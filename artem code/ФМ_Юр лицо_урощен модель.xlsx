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8_{0E10A659-5326-0940-BC3E-49969272B8D5}" xr6:coauthVersionLast="47" xr6:coauthVersionMax="47" xr10:uidLastSave="{00000000-0000-0000-0000-000000000000}"/>
  <bookViews>
    <workbookView xWindow="0" yWindow="760" windowWidth="34200" windowHeight="21380" tabRatio="822" activeTab="5" xr2:uid="{00000000-000D-0000-FFFF-FFFF00000000}"/>
  </bookViews>
  <sheets>
    <sheet name="Финансовая модель" sheetId="1" r:id="rId1"/>
    <sheet name="Аренда" sheetId="7" r:id="rId2"/>
    <sheet name="Анализ рынка (ФОТ)" sheetId="11" r:id="rId3"/>
    <sheet name="Таблица по должностям" sheetId="10" r:id="rId4"/>
    <sheet name="Расходы на содержание 2022" sheetId="3" state="hidden" r:id="rId5"/>
    <sheet name="Расходы на содержание 2024" sheetId="12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______CST11">[1]MAIN!$115:$115</definedName>
    <definedName name="_______CST12">[1]MAIN!$128:$128</definedName>
    <definedName name="_______CST13">[1]MAIN!$141:$141</definedName>
    <definedName name="_______CST14">[1]MAIN!$664:$664</definedName>
    <definedName name="_______CST15">[1]MAIN!$1503:$1503</definedName>
    <definedName name="_______CST21">[1]MAIN!$118:$118</definedName>
    <definedName name="_______CST22">[1]MAIN!$131:$131</definedName>
    <definedName name="_______CST23">[1]MAIN!$144:$144</definedName>
    <definedName name="_______CST24">[1]MAIN!$667:$667</definedName>
    <definedName name="_______CST25">[1]MAIN!$1505:$1505</definedName>
    <definedName name="_______FXA1">[1]MAIN!$576:$576</definedName>
    <definedName name="_______FXA11">[1]MAIN!$1523:$1523</definedName>
    <definedName name="_______FXA2">[1]MAIN!$595:$595</definedName>
    <definedName name="_______FXA21">[1]MAIN!$1525:$1525</definedName>
    <definedName name="_______IRR1">[1]MAIN!$D$1312</definedName>
    <definedName name="_______KRD1">[1]MAIN!$823:$823</definedName>
    <definedName name="_______KRD2">[1]MAIN!$851:$851</definedName>
    <definedName name="_______LIS1">[1]MAIN!$640:$640</definedName>
    <definedName name="_______NPV1">[1]MAIN!$D$1303</definedName>
    <definedName name="_______PR11">[1]MAIN!$66:$66</definedName>
    <definedName name="_______PR12">[1]MAIN!$79:$79</definedName>
    <definedName name="_______PR13">[1]MAIN!$92:$92</definedName>
    <definedName name="_______PR14">[1]MAIN!$1496:$1496</definedName>
    <definedName name="_______PR21">[1]MAIN!$69:$69</definedName>
    <definedName name="_______PR22">[1]MAIN!$82:$82</definedName>
    <definedName name="_______PR23">[1]MAIN!$95:$95</definedName>
    <definedName name="_______PR24">[1]MAIN!$1498:$1498</definedName>
    <definedName name="_______RAZ1">[1]SENS!$D$41</definedName>
    <definedName name="_______RAZ2">[1]SENS!$D$42</definedName>
    <definedName name="_______RAZ3">[1]SENS!$D$46</definedName>
    <definedName name="_______SAL1">[1]MAIN!$181:$181</definedName>
    <definedName name="_______SAL2">[1]MAIN!$226:$226</definedName>
    <definedName name="_______SAL3">[1]MAIN!$251:$251</definedName>
    <definedName name="_______SAL4">[1]MAIN!$261:$261</definedName>
    <definedName name="_______tab1">[1]MAIN!$A$30:$AB$57</definedName>
    <definedName name="_______tab10">[1]MAIN!$A$332:$AB$614</definedName>
    <definedName name="_______tab11">[1]MAIN!$A$616:$AB$652</definedName>
    <definedName name="_______tab12">[1]MAIN!$A$654:$AB$719</definedName>
    <definedName name="_______tab13">[1]MAIN!$A$721:$AB$755</definedName>
    <definedName name="_______tab14">[1]MAIN!$A$757:$AB$799</definedName>
    <definedName name="_______tab15">[1]MAIN!$A$801:$AB$827</definedName>
    <definedName name="_______tab16">[1]MAIN!$A$829:$AB$855</definedName>
    <definedName name="_______tab17">[1]MAIN!$A$857:$AB$887</definedName>
    <definedName name="_______tab18">[1]MAIN!$A$889:$AB$1000</definedName>
    <definedName name="_______tab19">[1]MAIN!$A$1002:$AB$1026</definedName>
    <definedName name="_______tab2">[1]MAIN!$A$59:$AB$70</definedName>
    <definedName name="_______tab20">[1]MAIN!$A$1028:$AB$1073</definedName>
    <definedName name="_______tab21">[1]MAIN!$A$1075:$AB$1106</definedName>
    <definedName name="_______tab22">[1]MAIN!$A$1108:$AB$1121</definedName>
    <definedName name="_______tab23">[1]MAIN!$A$1123:$AB$1146</definedName>
    <definedName name="_______tab24">[1]MAIN!$A$1148:$AB$1177</definedName>
    <definedName name="_______tab25">[1]MAIN!$A$1179:$AA$1228</definedName>
    <definedName name="_______tab26">[1]MAIN!$A$1231:$AA$1255</definedName>
    <definedName name="_______tab27">[1]MAIN!$A$1257:$AB$1326</definedName>
    <definedName name="_______tab28">[1]MAIN!$A$1328:$AB$1387</definedName>
    <definedName name="_______tab29">[1]MAIN!$A$1389:$AB$1438</definedName>
    <definedName name="_______tab3">[1]MAIN!$A$72:$AB$83</definedName>
    <definedName name="_______tab30">[1]MAIN!$A$1440:$AB$1483</definedName>
    <definedName name="_______tab31">[1]MAIN!$A$1485:$AA$1525</definedName>
    <definedName name="_______tab4">[1]MAIN!$A$85:$AB$106</definedName>
    <definedName name="_______tab5">[1]MAIN!$A$108:$AB$119</definedName>
    <definedName name="_______tab6">[1]MAIN!$A$121:$AB$132</definedName>
    <definedName name="_______tab7">[1]MAIN!$A$134:$AB$155</definedName>
    <definedName name="_______tab8">[1]MAIN!$A$157:$AB$270</definedName>
    <definedName name="_______tab9">[1]MAIN!$A$272:$AB$330</definedName>
    <definedName name="_______TXS1">[1]MAIN!$946:$946</definedName>
    <definedName name="_______TXS11">[1]MAIN!$1404:$1404</definedName>
    <definedName name="_______TXS2">[1]MAIN!$979:$979</definedName>
    <definedName name="_______TXS21">[1]MAIN!$1410:$1410</definedName>
    <definedName name="_______VC1">[1]MAIN!$F$1568:$AB$1568</definedName>
    <definedName name="_______VC2">[1]MAIN!$F$1569:$AB$1569</definedName>
    <definedName name="__CST11">[2]MAIN!$115:$115</definedName>
    <definedName name="__CST12">[2]MAIN!$128:$128</definedName>
    <definedName name="__CST13">[2]MAIN!$141:$141</definedName>
    <definedName name="__CST14">[2]MAIN!$664:$664</definedName>
    <definedName name="__CST15">[2]MAIN!$1503:$1503</definedName>
    <definedName name="__CST21">[2]MAIN!$118:$118</definedName>
    <definedName name="__CST22">[2]MAIN!$131:$131</definedName>
    <definedName name="__CST23">[2]MAIN!$144:$144</definedName>
    <definedName name="__CST24">[2]MAIN!$667:$667</definedName>
    <definedName name="__CST25">[2]MAIN!$1505:$1505</definedName>
    <definedName name="__FXA1">[2]MAIN!$576:$576</definedName>
    <definedName name="__FXA11">[2]MAIN!$1523:$1523</definedName>
    <definedName name="__FXA2">[2]MAIN!$595:$595</definedName>
    <definedName name="__FXA21">[2]MAIN!$1525:$1525</definedName>
    <definedName name="__IRR1">[2]MAIN!$D$1312</definedName>
    <definedName name="__kpn1">[3]Главн!$D$46</definedName>
    <definedName name="__kpn2">[3]Главн!$E$46</definedName>
    <definedName name="__kpn3">[3]Главн!$F$46</definedName>
    <definedName name="__kpn4">[3]Главн!$G$46</definedName>
    <definedName name="__kpn5">[3]Главн!$H$46</definedName>
    <definedName name="__kpn6">[3]Главн!$I$46</definedName>
    <definedName name="__kpn7">[3]Главн!$J$46</definedName>
    <definedName name="__kpn8">[3]Главн!$K$46</definedName>
    <definedName name="__KRD1">[2]MAIN!$823:$823</definedName>
    <definedName name="__KRD2">[2]MAIN!$851:$851</definedName>
    <definedName name="__LIS1">[2]MAIN!$640:$640</definedName>
    <definedName name="__nds1">[3]Главн!$D$42</definedName>
    <definedName name="__nds2">[3]Главн!$E$42</definedName>
    <definedName name="__nds3">[3]Главн!$F$42</definedName>
    <definedName name="__nds4">[3]Главн!$G$42</definedName>
    <definedName name="__nds5">[3]Главн!$H$42</definedName>
    <definedName name="__nds6">[3]Главн!$I$42</definedName>
    <definedName name="__NPV1">[2]MAIN!$D$1303</definedName>
    <definedName name="__PR11">[2]MAIN!$66:$66</definedName>
    <definedName name="__PR12">[2]MAIN!$79:$79</definedName>
    <definedName name="__PR13">[2]MAIN!$92:$92</definedName>
    <definedName name="__PR14">[2]MAIN!$1496:$1496</definedName>
    <definedName name="__PR21">[2]MAIN!$69:$69</definedName>
    <definedName name="__PR22">[2]MAIN!$82:$82</definedName>
    <definedName name="__PR23">[2]MAIN!$95:$95</definedName>
    <definedName name="__PR24">[2]MAIN!$1498:$1498</definedName>
    <definedName name="__RAZ1">[2]SENS!$D$41</definedName>
    <definedName name="__RAZ2">[2]SENS!$D$42</definedName>
    <definedName name="__RAZ3">[2]SENS!$D$46</definedName>
    <definedName name="__SAL1">[2]MAIN!$181:$181</definedName>
    <definedName name="__SAL2">[2]MAIN!$226:$226</definedName>
    <definedName name="__SAL3">[2]MAIN!$251:$251</definedName>
    <definedName name="__SAL4">[2]MAIN!$261:$261</definedName>
    <definedName name="__tab1">[2]MAIN!$A$30:$AB$57</definedName>
    <definedName name="__tab10">[2]MAIN!$A$332:$AB$614</definedName>
    <definedName name="__tab11">[2]MAIN!$A$616:$AB$652</definedName>
    <definedName name="__tab12">[2]MAIN!$A$654:$AB$719</definedName>
    <definedName name="__tab13">[2]MAIN!$A$721:$AB$755</definedName>
    <definedName name="__tab14">[2]MAIN!$A$757:$AB$799</definedName>
    <definedName name="__tab15">[2]MAIN!$A$801:$AB$827</definedName>
    <definedName name="__tab16">[2]MAIN!$A$829:$AB$855</definedName>
    <definedName name="__tab17">[2]MAIN!$A$857:$AB$887</definedName>
    <definedName name="__tab18">[2]MAIN!$A$889:$AB$1000</definedName>
    <definedName name="__tab19">[2]MAIN!$A$1002:$AB$1026</definedName>
    <definedName name="__tab2">[2]MAIN!$A$59:$AB$70</definedName>
    <definedName name="__tab20">[2]MAIN!$A$1028:$AB$1073</definedName>
    <definedName name="__tab21">[2]MAIN!$A$1075:$AB$1106</definedName>
    <definedName name="__tab22">[2]MAIN!$A$1108:$AB$1121</definedName>
    <definedName name="__tab23">[2]MAIN!$A$1123:$AB$1146</definedName>
    <definedName name="__tab24">[2]MAIN!$A$1148:$AB$1177</definedName>
    <definedName name="__tab25">[2]MAIN!$A$1179:$AA$1228</definedName>
    <definedName name="__tab26">[2]MAIN!$A$1231:$AA$1255</definedName>
    <definedName name="__tab27">[2]MAIN!$A$1257:$AB$1326</definedName>
    <definedName name="__tab28">[2]MAIN!$A$1328:$AB$1387</definedName>
    <definedName name="__tab29">[2]MAIN!$A$1389:$AB$1438</definedName>
    <definedName name="__tab3">[2]MAIN!$A$72:$AB$83</definedName>
    <definedName name="__tab30">[2]MAIN!$A$1440:$AB$1483</definedName>
    <definedName name="__tab31">[2]MAIN!$A$1485:$AA$1525</definedName>
    <definedName name="__tab4">[2]MAIN!$A$85:$AB$106</definedName>
    <definedName name="__tab5">[2]MAIN!$A$108:$AB$119</definedName>
    <definedName name="__tab6">[2]MAIN!$A$121:$AB$132</definedName>
    <definedName name="__tab7">[2]MAIN!$A$134:$AB$155</definedName>
    <definedName name="__tab8">[2]MAIN!$A$157:$AB$270</definedName>
    <definedName name="__tab9">[2]MAIN!$A$272:$AB$330</definedName>
    <definedName name="__TXS1">[2]MAIN!$946:$946</definedName>
    <definedName name="__TXS11">[2]MAIN!$1404:$1404</definedName>
    <definedName name="__TXS2">[2]MAIN!$979:$979</definedName>
    <definedName name="__TXS21">[2]MAIN!$1410:$1410</definedName>
    <definedName name="__VC1">[2]MAIN!$F$1568:$AB$1568</definedName>
    <definedName name="__VC2">[2]MAIN!$F$1569:$AB$1569</definedName>
    <definedName name="_CST11">[2]MAIN!$115:$115</definedName>
    <definedName name="_CST12">[2]MAIN!$128:$128</definedName>
    <definedName name="_CST13">[2]MAIN!$141:$141</definedName>
    <definedName name="_CST14">[2]MAIN!$664:$664</definedName>
    <definedName name="_CST15">[2]MAIN!$1503:$1503</definedName>
    <definedName name="_CST21">[2]MAIN!$118:$118</definedName>
    <definedName name="_CST22">[2]MAIN!$131:$131</definedName>
    <definedName name="_CST23">[2]MAIN!$144:$144</definedName>
    <definedName name="_CST24">[2]MAIN!$667:$667</definedName>
    <definedName name="_CST25">[2]MAIN!$1505:$1505</definedName>
    <definedName name="_FXA1">[2]MAIN!$576:$576</definedName>
    <definedName name="_FXA11">[2]MAIN!$1523:$1523</definedName>
    <definedName name="_FXA2">[2]MAIN!$595:$595</definedName>
    <definedName name="_FXA21">[2]MAIN!$1525:$1525</definedName>
    <definedName name="_IRR1">[2]MAIN!$D$1312</definedName>
    <definedName name="_kpn1">[4]Главн!$D$46</definedName>
    <definedName name="_kpn2">[4]Главн!$E$46</definedName>
    <definedName name="_kpn3">[4]Главн!$F$46</definedName>
    <definedName name="_kpn4">[4]Главн!$G$46</definedName>
    <definedName name="_kpn5">[4]Главн!$H$46</definedName>
    <definedName name="_kpn6">[4]Главн!$I$46</definedName>
    <definedName name="_kpn7">[4]Главн!$J$46</definedName>
    <definedName name="_kpn8">[4]Главн!$K$46</definedName>
    <definedName name="_KRD1">[2]MAIN!$823:$823</definedName>
    <definedName name="_KRD2">[2]MAIN!$851:$851</definedName>
    <definedName name="_LIS1">[2]MAIN!$640:$640</definedName>
    <definedName name="_nds1">[4]Главн!$D$42</definedName>
    <definedName name="_nds2">[4]Главн!$E$42</definedName>
    <definedName name="_nds3">[4]Главн!$F$42</definedName>
    <definedName name="_nds4">[4]Главн!$G$42</definedName>
    <definedName name="_nds5">[4]Главн!$H$42</definedName>
    <definedName name="_nds6">[4]Главн!$I$42</definedName>
    <definedName name="_NPV1">[2]MAIN!$D$1303</definedName>
    <definedName name="_PR11">[2]MAIN!$66:$66</definedName>
    <definedName name="_PR12">[2]MAIN!$79:$79</definedName>
    <definedName name="_PR13">[2]MAIN!$92:$92</definedName>
    <definedName name="_PR14">[2]MAIN!$1496:$1496</definedName>
    <definedName name="_PR21">[2]MAIN!$69:$69</definedName>
    <definedName name="_PR22">[2]MAIN!$82:$82</definedName>
    <definedName name="_PR23">[2]MAIN!$95:$95</definedName>
    <definedName name="_PR24">[2]MAIN!$1498:$1498</definedName>
    <definedName name="_RAZ1">[2]SENS!$D$41</definedName>
    <definedName name="_RAZ2">[2]SENS!$D$42</definedName>
    <definedName name="_RAZ3">[2]SENS!$D$46</definedName>
    <definedName name="_SAL1">[2]MAIN!$181:$181</definedName>
    <definedName name="_SAL2">[2]MAIN!$226:$226</definedName>
    <definedName name="_SAL3">[2]MAIN!$251:$251</definedName>
    <definedName name="_SAL4">[2]MAIN!$261:$261</definedName>
    <definedName name="_tab1">[2]MAIN!$A$30:$AB$57</definedName>
    <definedName name="_tab10">[2]MAIN!$A$332:$AB$614</definedName>
    <definedName name="_tab11">[2]MAIN!$A$616:$AB$652</definedName>
    <definedName name="_tab12">[2]MAIN!$A$654:$AB$719</definedName>
    <definedName name="_tab13">[2]MAIN!$A$721:$AB$755</definedName>
    <definedName name="_tab14">[2]MAIN!$A$757:$AB$799</definedName>
    <definedName name="_tab15">[2]MAIN!$A$801:$AB$827</definedName>
    <definedName name="_tab16">[2]MAIN!$A$829:$AB$855</definedName>
    <definedName name="_tab17">[2]MAIN!$A$857:$AB$887</definedName>
    <definedName name="_tab18">[2]MAIN!$A$889:$AB$1000</definedName>
    <definedName name="_tab19">[2]MAIN!$A$1002:$AB$1026</definedName>
    <definedName name="_tab2">[2]MAIN!$A$59:$AB$70</definedName>
    <definedName name="_tab20">[2]MAIN!$A$1028:$AB$1073</definedName>
    <definedName name="_tab21">[2]MAIN!$A$1075:$AB$1106</definedName>
    <definedName name="_tab22">[2]MAIN!$A$1108:$AB$1121</definedName>
    <definedName name="_tab23">[2]MAIN!$A$1123:$AB$1146</definedName>
    <definedName name="_tab24">[2]MAIN!$A$1148:$AB$1177</definedName>
    <definedName name="_tab25">[2]MAIN!$A$1179:$AA$1228</definedName>
    <definedName name="_tab26">[2]MAIN!$A$1231:$AA$1255</definedName>
    <definedName name="_tab27">[2]MAIN!$A$1257:$AB$1326</definedName>
    <definedName name="_tab28">[2]MAIN!$A$1328:$AB$1387</definedName>
    <definedName name="_tab29">[2]MAIN!$A$1389:$AB$1438</definedName>
    <definedName name="_tab3">[2]MAIN!$A$72:$AB$83</definedName>
    <definedName name="_tab30">[2]MAIN!$A$1440:$AB$1483</definedName>
    <definedName name="_tab31">[2]MAIN!$A$1485:$AA$1525</definedName>
    <definedName name="_tab4">[2]MAIN!$A$85:$AB$106</definedName>
    <definedName name="_tab5">[2]MAIN!$A$108:$AB$119</definedName>
    <definedName name="_tab6">[2]MAIN!$A$121:$AB$132</definedName>
    <definedName name="_tab7">[2]MAIN!$A$134:$AB$155</definedName>
    <definedName name="_tab8">[2]MAIN!$A$157:$AB$270</definedName>
    <definedName name="_tab9">[2]MAIN!$A$272:$AB$330</definedName>
    <definedName name="_TXS1">[2]MAIN!$946:$946</definedName>
    <definedName name="_TXS11">[2]MAIN!$1404:$1404</definedName>
    <definedName name="_TXS2">[2]MAIN!$979:$979</definedName>
    <definedName name="_TXS21">[2]MAIN!$1410:$1410</definedName>
    <definedName name="_VC1">[2]MAIN!$F$1568:$AB$1568</definedName>
    <definedName name="_VC2">[2]MAIN!$F$1569:$AB$1569</definedName>
    <definedName name="а">[19]MAIN!#REF!</definedName>
    <definedName name="АвПокуп">#REF!</definedName>
    <definedName name="АвПокуп1">#REF!</definedName>
    <definedName name="АвПост">#REF!</definedName>
    <definedName name="АвПост1">#REF!</definedName>
    <definedName name="адм">#REF!</definedName>
    <definedName name="Адрес">[20]Адреса_объектов!$A$2:$A$409</definedName>
    <definedName name="Амортиз_оборуд">#REF!</definedName>
    <definedName name="арекет">#REF!</definedName>
    <definedName name="арекет2">#REF!</definedName>
    <definedName name="арекет3">#REF!</definedName>
    <definedName name="арэк">#REF!</definedName>
    <definedName name="арэк2">#REF!</definedName>
    <definedName name="арэк3">#REF!</definedName>
    <definedName name="аств">#REF!</definedName>
    <definedName name="аств2">#REF!</definedName>
    <definedName name="аств3">#REF!</definedName>
    <definedName name="атырау">#REF!</definedName>
    <definedName name="атырау2">#REF!</definedName>
    <definedName name="атырау3">#REF!</definedName>
    <definedName name="баланс_стоимость">'[21]объекты обществаКокшетау'!#REF!</definedName>
    <definedName name="бву">'[22]Фин. пок-ли'!$C$17</definedName>
    <definedName name="ВА1">#REF!</definedName>
    <definedName name="Вал">#REF!</definedName>
    <definedName name="ВалП1">#REF!</definedName>
    <definedName name="Валюта">#REF!</definedName>
    <definedName name="Вид_документа">[23]Справочники!$A$33:$A$38</definedName>
    <definedName name="вид_инвестиций">[3]Invest!$C$7:$C$240</definedName>
    <definedName name="Вита_осн">'[24]ИсхД+'!$A$2</definedName>
    <definedName name="ВК">#REF!</definedName>
    <definedName name="ВК1">#REF!</definedName>
    <definedName name="ВК2">#REF!</definedName>
    <definedName name="ВК3">#REF!</definedName>
    <definedName name="Влажность_древ">#REF!</definedName>
    <definedName name="вложения">'[3]Граф кап инвестиц'!$B$8:$B$12</definedName>
    <definedName name="ВР1">#REF!</definedName>
    <definedName name="ВРО1">#REF!</definedName>
    <definedName name="всего_долл">'[21]объекты обществаКокшетау'!#REF!</definedName>
    <definedName name="вспомог">#REF!</definedName>
    <definedName name="Выход_прод">#REF!</definedName>
    <definedName name="Выход_продукции">#REF!</definedName>
    <definedName name="газсервис">#REF!</definedName>
    <definedName name="газсервис2">#REF!</definedName>
    <definedName name="газсервис3">#REF!</definedName>
    <definedName name="год">[25]Осн.показ!$D$8</definedName>
    <definedName name="год1">[25]Осн.показ!$D$9</definedName>
    <definedName name="ГотПр">#REF!</definedName>
    <definedName name="ГотПр1">#REF!</definedName>
    <definedName name="д">#REF!</definedName>
    <definedName name="Дебиторская__задолженность">'[10]Дин. оборотн. ср-в!!!'!$B$25+'[10]Дин. оборотн. ср-в!!!'!$B$26+'[10]Дин. оборотн. ср-в!!!'!$B$27+'[10]Дин. оборотн. ср-в!!!'!$B$28+'[10]Дин. оборотн. ср-в!!!'!$B$29+'[10]Дин. оборотн. ср-в!!!'!$B$30+'[10]Дин. оборотн. ср-в!!!'!$B$31+'[10]Дин. оборотн. ср-в!!!'!$B$33</definedName>
    <definedName name="Дебиторская_задолженность_Ст_сть_всех_активов">'[10]Уровень показателей!!!'!$E$18/'[10]Б3!!!'!$C$58</definedName>
    <definedName name="ДЗ">#REF!</definedName>
    <definedName name="ДЗ1">#REF!</definedName>
    <definedName name="дз1к">[10]Б1!$D$34+[10]Б1!$D$35+[10]Б1!$D$36+[10]Б1!$D$37+[10]Б1!$D$38+[10]Б1!$D$39</definedName>
    <definedName name="дз1н">[10]Б1!$C$34++[10]Б1!$C$35+[10]Б1!$C$36+[10]Б1!$C$37+[10]Б1!$C$38+[10]Б1!$C$39</definedName>
    <definedName name="дз94к">[10]Б1!#REF!+[10]Б1!#REF!+[10]Б1!#REF!+[10]Б1!#REF!+[10]Б1!#REF!+[10]Б1!#REF!+[10]Б1!#REF!</definedName>
    <definedName name="дз94н">[10]Б1!#REF!+[10]Б1!#REF!+[10]Б1!#REF!+[10]Б1!#REF!+[10]Б1!#REF!+[10]Б1!#REF!+[10]Б1!#REF!</definedName>
    <definedName name="дизенф">#REF!</definedName>
    <definedName name="ДК1">#REF!</definedName>
    <definedName name="дней_месяц">#REF!</definedName>
    <definedName name="дол">#REF!</definedName>
    <definedName name="долл">#REF!</definedName>
    <definedName name="доллар">[26]Параметры!$C$18</definedName>
    <definedName name="Доплата_ППС">"ппсд"</definedName>
    <definedName name="дох">#REF!</definedName>
    <definedName name="Древесная_порода">#REF!</definedName>
    <definedName name="Древесная_порода__мощн">#REF!</definedName>
    <definedName name="дсша">#REF!</definedName>
    <definedName name="дт">'[27]пост. пар.'!$C$13</definedName>
    <definedName name="евр">[25]Осн.показ!$D$13</definedName>
    <definedName name="евро">#REF!</definedName>
    <definedName name="ЕСН">'[28]Расходы '!$BK$1</definedName>
    <definedName name="ЕСН2011">'[28]Расходы '!$BK$2</definedName>
    <definedName name="ждд">#REF!</definedName>
    <definedName name="Зап">#REF!</definedName>
    <definedName name="Зап1">#REF!</definedName>
    <definedName name="имя">#REF!</definedName>
    <definedName name="Инвестор1">[3]Главн!$C$8</definedName>
    <definedName name="Инвестор2">[3]Главн!$C$9</definedName>
    <definedName name="Инвестор3">[3]Главн!$C$10</definedName>
    <definedName name="инициатор">[3]Главн!$C$7</definedName>
    <definedName name="Инт">#REF!</definedName>
    <definedName name="Источник">#REF!</definedName>
    <definedName name="Источник_2014">#REF!</definedName>
    <definedName name="ИТОГИ">#REF!</definedName>
    <definedName name="ИТОГИ_с">#REF!</definedName>
    <definedName name="итого_в_долл">'[21]объекты обществаКокшетау'!#REF!</definedName>
    <definedName name="июль">#REF!</definedName>
    <definedName name="Каламкас">'[29]объекты обществаКокшетау'!#REF!</definedName>
    <definedName name="каналз">#REF!</definedName>
    <definedName name="кндс">#REF!</definedName>
    <definedName name="кндс1">[30]Исх!$C$8</definedName>
    <definedName name="Код">#REF!</definedName>
    <definedName name="Код_задачи">[20]Справочник!$A$2:$A$80</definedName>
    <definedName name="Код_мероприятия">#REF!</definedName>
    <definedName name="Кол_угля">[2]MAIN!#REF!</definedName>
    <definedName name="кол_шпал_куб_м">#REF!</definedName>
    <definedName name="кол_шпал_шт">[2]MAIN!#REF!</definedName>
    <definedName name="компресс">#REF!</definedName>
    <definedName name="коэфф.">#REF!</definedName>
    <definedName name="кре">#REF!</definedName>
    <definedName name="Кредит_перераб">[31]Общ_Д!#REF!</definedName>
    <definedName name="Кредит_произв">[31]Общ_Д!#REF!</definedName>
    <definedName name="Кредит_производство">[31]Общ_Д!#REF!</definedName>
    <definedName name="кросс_курс">'[32]Приобретение О.С.'!$F$3</definedName>
    <definedName name="кулагер">#REF!</definedName>
    <definedName name="кулагер2">#REF!</definedName>
    <definedName name="кулагер3">#REF!</definedName>
    <definedName name="кумыскаскыр">#REF!</definedName>
    <definedName name="кумыскаскыр2">#REF!</definedName>
    <definedName name="кумыскаскыр3">#REF!</definedName>
    <definedName name="курс">#REF!</definedName>
    <definedName name="курс_доллара_сегодня">[33]константы!$A$15</definedName>
    <definedName name="курс_НБРК">'[21]объекты обществаКокшетау'!#REF!</definedName>
    <definedName name="Курс1">#REF!</definedName>
    <definedName name="Курс10">[34]Финпоки1!#REF!</definedName>
    <definedName name="курсСША">#REF!</definedName>
    <definedName name="Мероприятия">#REF!</definedName>
    <definedName name="Мероприятия_ФП">[35]Справочники!$G$1:$G$48</definedName>
    <definedName name="мес">[36]Осн.показ!$C$10</definedName>
    <definedName name="мес1">[36]Осн.показ!$C$11</definedName>
    <definedName name="металлоформы">#REF!</definedName>
    <definedName name="МОВ">#REF!</definedName>
    <definedName name="Мощность">[37]Параметры!$C$2</definedName>
    <definedName name="МРП">'[32]Перем. затраты'!$P$46</definedName>
    <definedName name="Название">#REF!</definedName>
    <definedName name="Наименование">'[12]План пр-ва'!$A$6</definedName>
    <definedName name="ндс">#REF!</definedName>
    <definedName name="НДС_2003">'[32]Перем. затраты'!$P$48</definedName>
    <definedName name="НДС1">[30]Исх!$C$7</definedName>
    <definedName name="НДС2">'[32]Перем. затраты'!$P$47</definedName>
    <definedName name="недвижКонсал">#REF!</definedName>
    <definedName name="недвижКонсал2">#REF!</definedName>
    <definedName name="недвижКонсал3">#REF!</definedName>
    <definedName name="Номер_проекта">[20]Справочник!$H$2:$H$12</definedName>
    <definedName name="НПр">#REF!</definedName>
    <definedName name="НПр1">#REF!</definedName>
    <definedName name="обм">#REF!</definedName>
    <definedName name="оборудование_ЖД">#REF!</definedName>
    <definedName name="общ">#REF!</definedName>
    <definedName name="объем">'[13]Осн. пара'!$C$6</definedName>
    <definedName name="объемгод">'[13]Осн. пара'!$C$7</definedName>
    <definedName name="Обьем">[2]MAIN!#REF!</definedName>
    <definedName name="Обьем_переработки">#REF!</definedName>
    <definedName name="ОС">[36]ОС!$D$27</definedName>
    <definedName name="ОТ">[35]ФОТ!$AM$1</definedName>
    <definedName name="Ответственные">[28]Справочники!$G$48:$G$76</definedName>
    <definedName name="отрасль">[10]Б1!$B$6</definedName>
    <definedName name="пер">#REF!</definedName>
    <definedName name="ПерЗ1">#REF!</definedName>
    <definedName name="План_производства">#REF!</definedName>
    <definedName name="ПМ">'[32]Перем. затраты'!$K$3</definedName>
    <definedName name="Подисточник_2014">#REF!</definedName>
    <definedName name="подстанция">#REF!</definedName>
    <definedName name="Показатели">[3]Главн!$C$2</definedName>
    <definedName name="пос">#REF!</definedName>
    <definedName name="ПОсД1">#REF!</definedName>
    <definedName name="пост">#REF!</definedName>
    <definedName name="ПостЗ1">#REF!</definedName>
    <definedName name="пп">'[38]список научн. хозр. подр.'!#REF!</definedName>
    <definedName name="ппп">[39]Справочники!$O$3:$O$7</definedName>
    <definedName name="приозернвй">#REF!</definedName>
    <definedName name="приозерный2">#REF!</definedName>
    <definedName name="приозерный3">#REF!</definedName>
    <definedName name="произв_ть_месяц">[2]MAIN!$C$58</definedName>
    <definedName name="Проц1">[2]MAIN!$F$266</definedName>
    <definedName name="Процент_АУ">[2]MAIN!$C$63</definedName>
    <definedName name="ПроцИзПр1">[2]MAIN!$F$268</definedName>
    <definedName name="Проч">#REF!</definedName>
    <definedName name="Проч1">#REF!</definedName>
    <definedName name="раб">'[40]Осн. пара'!$C$9</definedName>
    <definedName name="Раб_часы_сутки">#REF!</definedName>
    <definedName name="Рабоч_дни_месяц">#REF!</definedName>
    <definedName name="Раздел">#REF!</definedName>
    <definedName name="рас">[36]Осн.показ!$C$12</definedName>
    <definedName name="рбу">#REF!</definedName>
    <definedName name="рос">'[27]пост. пар.'!$C$8</definedName>
    <definedName name="руб">#REF!</definedName>
    <definedName name="себ">#REF!</definedName>
    <definedName name="СИ">#REF!</definedName>
    <definedName name="ситиПалас">#REF!</definedName>
    <definedName name="ситиПалас2">#REF!</definedName>
    <definedName name="ситиПалас3">#REF!</definedName>
    <definedName name="склад_продукции">#REF!</definedName>
    <definedName name="склад_цем">#REF!</definedName>
    <definedName name="соц1">[3]Главн!$D$48</definedName>
    <definedName name="соц2">[3]Главн!$E$48</definedName>
    <definedName name="соц3">[3]Главн!$F$48</definedName>
    <definedName name="соц4">[3]Главн!$G$48</definedName>
    <definedName name="соц5">[3]Главн!$H$48</definedName>
    <definedName name="спецодежда">#REF!</definedName>
    <definedName name="Срок_инвестиций1">[3]Invest!$I$7:$I$240</definedName>
    <definedName name="Срок_инвестиций2">[3]Invest!$M$7:$M$240</definedName>
    <definedName name="Срок_инвестиций3">[3]Invest!$Q$7:$Q$240</definedName>
    <definedName name="Срок_инвестиций4">[3]Invest!$U$7:$U$240</definedName>
    <definedName name="СрокПроекта">#REF!</definedName>
    <definedName name="ст">[41]Норм!$F$9</definedName>
    <definedName name="Ст_сть_газа_соляр">#REF!</definedName>
    <definedName name="Ст_ФП">[20]Кодировки_ФП!$A$2:$A$231</definedName>
    <definedName name="Ст_эл_эн">#REF!</definedName>
    <definedName name="СтавкаПроцента1">'[42]L-1'!$B$6</definedName>
    <definedName name="СтатьиФП">[35]Справочники!$K$2:$K$232</definedName>
    <definedName name="Статья_ФП">#REF!</definedName>
    <definedName name="СтНПр1">[2]MAIN!$F$260</definedName>
    <definedName name="стоимость_в_долларах">'[21]объекты обществаКокшетау'!#REF!</definedName>
    <definedName name="Стоимость_сырья__отходы">#REF!</definedName>
    <definedName name="Сумма_инвест1">[3]Invest!$H$7:$H$240</definedName>
    <definedName name="Сумма_инвест2">[3]Invest!$L$7:$L$240</definedName>
    <definedName name="Сумма_инвест3">[3]Invest!$P$7:$P$240</definedName>
    <definedName name="Сумма_инвест4">[3]Invest!$T$7:$T$240</definedName>
    <definedName name="Сумма_ст_ти_обор">#REF!</definedName>
    <definedName name="СуммаКредита1">'[42]L-1'!$B$5</definedName>
    <definedName name="СчОпл">#REF!</definedName>
    <definedName name="СчОпл1">#REF!</definedName>
    <definedName name="Сырье">#REF!</definedName>
    <definedName name="ТА1">#REF!</definedName>
    <definedName name="таблица_цен">[33]константы!$F$2:$G$30</definedName>
    <definedName name="Таблица1">#REF!</definedName>
    <definedName name="тара">#REF!</definedName>
    <definedName name="тг">#REF!</definedName>
    <definedName name="тепло">#REF!</definedName>
    <definedName name="Тип_расходов">[20]Справочник!$K$14:$K$17</definedName>
    <definedName name="Тов">#REF!</definedName>
    <definedName name="Тов1">#REF!</definedName>
    <definedName name="ТовРеал1">#REF!</definedName>
    <definedName name="убн96">'[24]Нетто3!!!'!$A$2</definedName>
    <definedName name="углкс">#REF!</definedName>
    <definedName name="уголь">#REF!</definedName>
    <definedName name="Удельн_плот_отход">#REF!</definedName>
    <definedName name="УК1">#REF!</definedName>
    <definedName name="факультет_подразделение">"п408"</definedName>
    <definedName name="Фото_печь">"Рисунок 2"</definedName>
    <definedName name="Фото_УАУ">"Рисунок 2"</definedName>
    <definedName name="цен">[25]Осн.показ!$D$5</definedName>
    <definedName name="цен1">[36]Осн.показ!$C$6</definedName>
    <definedName name="цена">'[13]Осн. пара'!$C$2</definedName>
    <definedName name="Цена_АУ">#REF!</definedName>
    <definedName name="Цена_бобов">[31]Дох!#REF!</definedName>
    <definedName name="Цена_древ_угля">#REF!</definedName>
    <definedName name="Цена_реал">#REF!</definedName>
    <definedName name="цена1">'[13]Осн. пара'!$C$13</definedName>
    <definedName name="цех_пби">#REF!</definedName>
    <definedName name="цр">#REF!</definedName>
    <definedName name="часов_сутки">#REF!</definedName>
    <definedName name="ЧП1">[2]MAIN!$F$714</definedName>
    <definedName name="ыввы">[43]MAIN!#REF!</definedName>
    <definedName name="электр">#REF!</definedName>
    <definedName name="ююю">[39]Справочники!$P$3:$P$12</definedName>
    <definedName name="a">'[5]П19-ЭИ'!$A$82</definedName>
    <definedName name="About_AI">#REF!</definedName>
    <definedName name="About_AI_Summ">#REF!</definedName>
    <definedName name="adfsf">[6]Проект!#REF!</definedName>
    <definedName name="AI_Version">[7]Опции!$B$5</definedName>
    <definedName name="areket">#REF!</definedName>
    <definedName name="areket2">#REF!</definedName>
    <definedName name="CalcMethod">'[8]П11-ЭИ'!$A$82</definedName>
    <definedName name="cash">[2]MAIN!$F$1175:$AB$1175</definedName>
    <definedName name="cash1">[2]MAIN!$F$1570:$Z$1570</definedName>
    <definedName name="cash2">[2]MAIN!$F$1571:$Z$1571</definedName>
    <definedName name="cashforeign">[2]MAIN!$F$1144:$AB$1144</definedName>
    <definedName name="cashlocal">[2]MAIN!$F$1104:$AB$1104</definedName>
    <definedName name="cfb">[9]NPV!$F$18</definedName>
    <definedName name="COMP_LAST_COLUMN">#REF!</definedName>
    <definedName name="COST1">[2]MAIN!$111:$115</definedName>
    <definedName name="COST2">[2]MAIN!$117:$118</definedName>
    <definedName name="cur_assets">[2]MAIN!$F$1198:$AA$1198</definedName>
    <definedName name="CUR_Foreign">[7]Проект!$B$12</definedName>
    <definedName name="CUR_Foreign1">[7]Проект!$B$12</definedName>
    <definedName name="CUR_I_Foreign">[7]Проект!$D$12</definedName>
    <definedName name="CUR_I_Main">[7]Проект!$D$11</definedName>
    <definedName name="CUR_I_Report">[7]Проект!$D$19</definedName>
    <definedName name="cur_liab">[2]MAIN!$F$1222:$AA$1222</definedName>
    <definedName name="CUR_Main">[7]Проект!$B$11</definedName>
    <definedName name="CUR_Report">[7]Проект!$B$19</definedName>
    <definedName name="curr">#REF!</definedName>
    <definedName name="cursrub">[2]MAIN!$F$39</definedName>
    <definedName name="data_">[2]MAIN!$F$15</definedName>
    <definedName name="DcB">'[10]Дин. оборотн. ср-в!!!'!$B$17+'[10]Дин. оборотн. ср-в!!!'!$B$18+'[10]Дин. оборотн. ср-в!!!'!$B$19+'[10]Дин. оборотн. ср-в!!!'!$B$20</definedName>
    <definedName name="DcF">'[10]Дин. оборотн. ср-в!!!'!$F$17+'[10]Дин. оборотн. ср-в!!!'!$F$18+'[10]Дин. оборотн. ср-в!!!'!$F$19+'[10]Дин. оборотн. ср-в!!!'!$F$20</definedName>
    <definedName name="DF">'[10]Дин. оборотн. ср-в!!!'!$F$25+'[10]Дин. оборотн. ср-в!!!'!$F$26+'[10]Дин. оборотн. ср-в!!!'!$F$27+'[10]Дин. оборотн. ср-в!!!'!$F$28+'[10]Дин. оборотн. ср-в!!!'!$F$29+'[10]Дин. оборотн. ср-в!!!'!$F$30+'[10]Дин. оборотн. ср-в!!!'!$F$31</definedName>
    <definedName name="DG">'[10]Дин. оборотн. ср-в!!!'!$B$25+'[10]Дин. оборотн. ср-в!!!'!$B$26+'[10]Дин. оборотн. ср-в!!!'!$B$27+'[10]Дин. оборотн. ср-в!!!'!$B$28+'[10]Дин. оборотн. ср-в!!!'!$B$29+'[10]Дин. оборотн. ср-в!!!'!$B$30+'[10]Дин. оборотн. ср-в!!!'!$B$31</definedName>
    <definedName name="dgnhd">[6]Проект!#REF!</definedName>
    <definedName name="do2_5">#REF!</definedName>
    <definedName name="do5_0">#REF!</definedName>
    <definedName name="do8_0">#REF!</definedName>
    <definedName name="DPAYB">[2]MAIN!$D$1301</definedName>
    <definedName name="droggi">#REF!</definedName>
    <definedName name="dtujy">[6]Проект!#REF!</definedName>
    <definedName name="Ed.">#REF!</definedName>
    <definedName name="EST_DATA">[11]Проект!#REF!</definedName>
    <definedName name="EST_FROM">[11]Проект!#REF!</definedName>
    <definedName name="EST_NumStages">[11]Проект!#REF!</definedName>
    <definedName name="EST_Obj_1">[11]Проект!#REF!</definedName>
    <definedName name="EST_Obj_10">[11]Проект!#REF!</definedName>
    <definedName name="EST_Obj_2">[11]Проект!#REF!</definedName>
    <definedName name="EST_Obj_3">[11]Проект!#REF!</definedName>
    <definedName name="EST_Obj_4">[11]Проект!#REF!</definedName>
    <definedName name="EST_Obj_5">[11]Проект!#REF!</definedName>
    <definedName name="EST_Obj_6">[11]Проект!#REF!</definedName>
    <definedName name="EST_Obj_7">[11]Проект!#REF!</definedName>
    <definedName name="EST_Obj_8">[11]Проект!#REF!</definedName>
    <definedName name="EST_Obj_9">[11]Проект!#REF!</definedName>
    <definedName name="EST_ProdNum">[11]Проект!#REF!</definedName>
    <definedName name="EST_SQUARE">#REF!</definedName>
    <definedName name="EUR">[12]Свод!$C$9</definedName>
    <definedName name="EURO">'[13]Осн. пара'!$C$8</definedName>
    <definedName name="FIXASSETS1">[2]MAIN!$336:$351</definedName>
    <definedName name="FIXASSETS2">[2]MAIN!$578:$594</definedName>
    <definedName name="imush1">[3]Главн!$D$44</definedName>
    <definedName name="imush2">[3]Главн!$E$44</definedName>
    <definedName name="imush3">[3]Главн!$F$44</definedName>
    <definedName name="imush4">[3]Главн!$G$44</definedName>
    <definedName name="imush5">[3]Главн!$H$44</definedName>
    <definedName name="imush6">[3]Главн!$I$44</definedName>
    <definedName name="imush7">[3]Главн!$J$44</definedName>
    <definedName name="imush8">[3]Главн!$K$44</definedName>
    <definedName name="INDASS1">[2]MAIN!$F$338:$Z$338</definedName>
    <definedName name="INDASS2">[2]MAIN!$F$580:$Z$580</definedName>
    <definedName name="inf">[3]Главн!$C$35</definedName>
    <definedName name="ioo">[6]Проект!#REF!</definedName>
    <definedName name="iou">[6]Проект!#REF!</definedName>
    <definedName name="IS_ESTATE">[7]Опции!$B$13</definedName>
    <definedName name="IS_SUMM">[7]Опции!$B$10</definedName>
    <definedName name="ISHOD1">[2]SENS!$E$40</definedName>
    <definedName name="ISHOD2_1">[2]SENS!$E$44</definedName>
    <definedName name="ISHOD2_2">[2]SENS!$E$45</definedName>
    <definedName name="iuu">[6]Проект!#REF!</definedName>
    <definedName name="koeff1">[2]MAIN!$C$1635</definedName>
    <definedName name="koeff2">[2]MAIN!$C$1636</definedName>
    <definedName name="koeff3">[2]MAIN!$C$1637</definedName>
    <definedName name="koeff4">[2]MAIN!$C$1638</definedName>
    <definedName name="koeff5">[2]MAIN!$F$1279</definedName>
    <definedName name="komp5">#REF!</definedName>
    <definedName name="komp6">#REF!</definedName>
    <definedName name="kompABR">#REF!</definedName>
    <definedName name="kompF1">#REF!</definedName>
    <definedName name="kompF2">#REF!</definedName>
    <definedName name="kompF3">#REF!</definedName>
    <definedName name="kompIZ">#REF!</definedName>
    <definedName name="kompMM">#REF!</definedName>
    <definedName name="kompORECH">#REF!</definedName>
    <definedName name="kompPERS">#REF!</definedName>
    <definedName name="kompPL">#REF!</definedName>
    <definedName name="kompPR">#REF!</definedName>
    <definedName name="kompPRC">#REF!</definedName>
    <definedName name="kompVISH">#REF!</definedName>
    <definedName name="KREDIT1">[2]MAIN!$804:$822</definedName>
    <definedName name="KREDIT2">[2]MAIN!$832:$850</definedName>
    <definedName name="kurs">#REF!</definedName>
    <definedName name="kurs2">[3]Главн!$C$31</definedName>
    <definedName name="labor_costs">[2]MAIN!$F$267:$AB$267</definedName>
    <definedName name="LANGUAGE">'[14]П9-Движение ДС'!$D$19</definedName>
    <definedName name="lastcolumn">[2]MAIN!$Z:$Z</definedName>
    <definedName name="lgot1">[3]Главн!$D$41</definedName>
    <definedName name="lgot2">[3]Главн!$E$41</definedName>
    <definedName name="lgot3">[3]Главн!$F$41</definedName>
    <definedName name="lgot4">[3]Главн!$G$41</definedName>
    <definedName name="lgot5">[3]Главн!$H$41</definedName>
    <definedName name="LISING1">[2]MAIN!$620:$639</definedName>
    <definedName name="ListForSensAnal">#REF!</definedName>
    <definedName name="MAXWC">[2]MAIN!$C$1648</definedName>
    <definedName name="med">#REF!</definedName>
    <definedName name="Method">[2]MAIN!$F$26</definedName>
    <definedName name="MINCASH">[2]MAIN!$C$1646</definedName>
    <definedName name="minlabor_costs">[2]MAIN!$F$893:$AB$893</definedName>
    <definedName name="MINPROFIT">[2]MAIN!$C$1647</definedName>
    <definedName name="Money1">[2]MAIN!$F$17</definedName>
    <definedName name="Money11">[2]MAIN!$F$18</definedName>
    <definedName name="Money2">[2]MAIN!$F$21</definedName>
    <definedName name="Money21">[2]MAIN!$F$22</definedName>
    <definedName name="MoneyR">[2]MAIN!$F$1567</definedName>
    <definedName name="name">[3]Главн!$C$2</definedName>
    <definedName name="npi">[2]MAIN!$F$1564:$AA$1564</definedName>
    <definedName name="NPVR">[2]MAIN!$D$1324</definedName>
    <definedName name="NWC_T_Cr_AdvK">[7]Проект!$B$1841</definedName>
    <definedName name="NWC_T_Cr_AdvT">[7]Проект!$C$1841</definedName>
    <definedName name="NWC_T_Cr_CrdK">[7]Проект!$B$1842</definedName>
    <definedName name="NWC_T_Cr_CrdT">[7]Проект!$C$1842</definedName>
    <definedName name="NWC_T_Db_AdvK">[7]Проект!$B$1829</definedName>
    <definedName name="NWC_T_Db_AdvT">[7]Проект!$C$1829</definedName>
    <definedName name="NWC_T_Db_CrdK">[7]Проект!$B$1830</definedName>
    <definedName name="NWC_T_Db_CrdT">[7]Проект!$C$1830</definedName>
    <definedName name="NWC_T_Mat">[7]Проект!$B$1818</definedName>
    <definedName name="OTCST1">[2]MAIN!$288:$288</definedName>
    <definedName name="OTCST2">[2]MAIN!$295:$295</definedName>
    <definedName name="OTCST3">[2]MAIN!$320:$320</definedName>
    <definedName name="OTHER_COST2">[2]MAIN!$294:$295</definedName>
    <definedName name="OTHER_COST3">[2]MAIN!$319:$320</definedName>
    <definedName name="OTHERCOST1">[2]MAIN!$285:$288</definedName>
    <definedName name="PARAM1_1">[2]SENS!$E$41</definedName>
    <definedName name="PARAM1_2">[2]SENS!$E$42</definedName>
    <definedName name="PARAM2">[2]SENS!$E$46</definedName>
    <definedName name="PARSENS1_1">[2]MAIN!$B$1652</definedName>
    <definedName name="PARSENS1_2">[2]MAIN!$C$1652</definedName>
    <definedName name="PARSENS2">[2]MAIN!$A$1663</definedName>
    <definedName name="PeriodTitle">[7]Проект!$F$33:$P$33</definedName>
    <definedName name="pi">[2]MAIN!$F$13</definedName>
    <definedName name="pps">"ппс"</definedName>
    <definedName name="price">[12]Свод!$C$11</definedName>
    <definedName name="PRINT_SENS">[2]SENS!$A$6:$K$35</definedName>
    <definedName name="PRJ_COUNT">#REF!</definedName>
    <definedName name="PRJ_Len">[7]Проект!$D$8</definedName>
    <definedName name="PRJ_Name">#REF!</definedName>
    <definedName name="PRJ_Protected">[7]Проект!$D$18</definedName>
    <definedName name="PRJ_StartDate">[7]Проект!$D$7</definedName>
    <definedName name="PRJ_StartMon">[7]Проект!$F$26</definedName>
    <definedName name="PRJ_StartYear">'[15]П10-Эффективность инвестиций'!$E$10</definedName>
    <definedName name="PRJ_Step">'[14]П10-Эффективность инвестиций'!$E$10</definedName>
    <definedName name="PRJ_Step_SName">[7]Проект!$E$9</definedName>
    <definedName name="PRJ_StepType">[7]Проект!$D$9</definedName>
    <definedName name="PRJ_Year">'[15]П10-Эффективность инвестиций'!$E$10</definedName>
    <definedName name="PRO">[16]MAIN!#REF!</definedName>
    <definedName name="PROD1">[2]MAIN!$62:$66</definedName>
    <definedName name="PROD2">[2]MAIN!$68:$69</definedName>
    <definedName name="Product_name_1">#REF!</definedName>
    <definedName name="Product_name_2">#REF!</definedName>
    <definedName name="Product_name_3">#REF!</definedName>
    <definedName name="ProfitTax">[7]Проект!$B$2009</definedName>
    <definedName name="ProfitTax_Period">[7]Проект!$B$2010</definedName>
    <definedName name="Proizv_v_sutki">#REF!</definedName>
    <definedName name="project">[2]MAIN!$A$10</definedName>
    <definedName name="RAZMER1">[2]SENS!$E$13:$K$13</definedName>
    <definedName name="RAZMER2">[2]SENS!$E$14:$K$14</definedName>
    <definedName name="RAZMER3">[2]SENS!$C$30:$I$34</definedName>
    <definedName name="remont">[3]Амортиз!$F$125</definedName>
    <definedName name="Rep_cur">[2]MAIN!$F$25</definedName>
    <definedName name="revenues">[2]MAIN!$F$96:$AB$96</definedName>
    <definedName name="rew">[6]Проект!#REF!</definedName>
    <definedName name="rhj">[6]Проект!#REF!</definedName>
    <definedName name="RUR">[12]Свод!#REF!</definedName>
    <definedName name="ryjuyte">[17]Проект!#REF!</definedName>
    <definedName name="s">[6]Проект!#REF!</definedName>
    <definedName name="SALAR1">[2]MAIN!$161:$165</definedName>
    <definedName name="SALAR2">[2]MAIN!$186:$190</definedName>
    <definedName name="SALAR3">[2]MAIN!$231:$235</definedName>
    <definedName name="SALAR4">[2]MAIN!$256:$260</definedName>
    <definedName name="SENS_Parameter">#REF!</definedName>
    <definedName name="SENS_Project">#REF!</definedName>
    <definedName name="SENS_Res1">#REF!</definedName>
    <definedName name="SENS_Res2">#REF!</definedName>
    <definedName name="SensForSumm">#REF!</definedName>
    <definedName name="SENSTAB1">[2]MAIN!$A$1652:$C$1659</definedName>
    <definedName name="SENSTAB2">[2]MAIN!$A$1663:$H$1668</definedName>
    <definedName name="ShowRealDates">[7]Проект!$D$20</definedName>
    <definedName name="social">[2]MAIN!$F$926:$Z$926</definedName>
    <definedName name="SPAYB">[2]MAIN!$D$1299</definedName>
    <definedName name="spez1">#REF!</definedName>
    <definedName name="spez2">#REF!</definedName>
    <definedName name="spez3">#REF!</definedName>
    <definedName name="spez4">#REF!</definedName>
    <definedName name="spez5">#REF!</definedName>
    <definedName name="spez6">#REF!</definedName>
    <definedName name="SUMM_Only_demo1">#REF!</definedName>
    <definedName name="SUMM_Only_demo2">#REF!</definedName>
    <definedName name="SUMM_Only_demo3">#REF!</definedName>
    <definedName name="SUMM_Only_demo4">#REF!</definedName>
    <definedName name="SUMMBLOCK">[2]MAIN!$A$1530:$AB$1560</definedName>
    <definedName name="tab0">[2]MAIN!$A$10:$F$27</definedName>
    <definedName name="TAXE1">[2]MAIN!$940:$945</definedName>
    <definedName name="TAXE2">[2]MAIN!$973:$978</definedName>
    <definedName name="tdhej">[6]Проект!#REF!</definedName>
    <definedName name="TOTWC">[2]MAIN!$C$1649</definedName>
    <definedName name="trew">[6]Проект!#REF!</definedName>
    <definedName name="USD">'[13]Осн. пара'!$C$4</definedName>
    <definedName name="valuta">[3]Главн!$C$21</definedName>
    <definedName name="valuta2">[3]Главн!$C$19</definedName>
    <definedName name="VAT">[7]Проект!$B$1954</definedName>
    <definedName name="VAT_OnAssets">[18]Проект!#REF!</definedName>
    <definedName name="VAT_Period">[7]Проект!$B$1955</definedName>
    <definedName name="VAT_Repay">[7]Проект!$B$1956</definedName>
    <definedName name="werr">[6]Проект!#REF!</definedName>
    <definedName name="wqw">[6]Проект!#REF!</definedName>
    <definedName name="Z_9D8A7FE8_EB32_11D6_AAD8_00E04C390749_.wvu.Cols" hidden="1">#REF!</definedName>
    <definedName name="zxx">[6]Проект!#REF!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3" i="1" l="1"/>
  <c r="E34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10" i="10"/>
  <c r="F80" i="1"/>
  <c r="G80" i="1"/>
  <c r="H80" i="1"/>
  <c r="I80" i="1"/>
  <c r="J80" i="1"/>
  <c r="K80" i="1"/>
  <c r="L80" i="1"/>
  <c r="M80" i="1"/>
  <c r="N80" i="1"/>
  <c r="E80" i="1"/>
  <c r="D80" i="1"/>
  <c r="T12" i="12" l="1"/>
  <c r="C13" i="12"/>
  <c r="R64" i="12" l="1"/>
  <c r="P64" i="12"/>
  <c r="N64" i="12"/>
  <c r="M64" i="12"/>
  <c r="R63" i="12"/>
  <c r="Q63" i="12"/>
  <c r="P63" i="12"/>
  <c r="O63" i="12"/>
  <c r="N63" i="12"/>
  <c r="M63" i="12"/>
  <c r="L63" i="12"/>
  <c r="J63" i="12"/>
  <c r="H63" i="12"/>
  <c r="E63" i="12"/>
  <c r="D63" i="12"/>
  <c r="S62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S59" i="12"/>
  <c r="S58" i="12"/>
  <c r="S57" i="12"/>
  <c r="R55" i="12"/>
  <c r="Q55" i="12"/>
  <c r="P55" i="12"/>
  <c r="O55" i="12"/>
  <c r="N55" i="12"/>
  <c r="M55" i="12"/>
  <c r="L55" i="12"/>
  <c r="J55" i="12"/>
  <c r="I55" i="12"/>
  <c r="H55" i="12"/>
  <c r="G55" i="12"/>
  <c r="F55" i="12"/>
  <c r="E55" i="12"/>
  <c r="D55" i="12"/>
  <c r="C54" i="12"/>
  <c r="S54" i="12" s="1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S52" i="12"/>
  <c r="G51" i="12"/>
  <c r="F51" i="12"/>
  <c r="R50" i="12"/>
  <c r="P50" i="12"/>
  <c r="O50" i="12"/>
  <c r="O51" i="12" s="1"/>
  <c r="N50" i="12"/>
  <c r="M50" i="12"/>
  <c r="L50" i="12"/>
  <c r="L51" i="12" s="1"/>
  <c r="K50" i="12"/>
  <c r="J50" i="12"/>
  <c r="I50" i="12"/>
  <c r="I51" i="12" s="1"/>
  <c r="H50" i="12"/>
  <c r="D50" i="12"/>
  <c r="C50" i="12"/>
  <c r="R49" i="12"/>
  <c r="Q49" i="12"/>
  <c r="Q51" i="12" s="1"/>
  <c r="P49" i="12"/>
  <c r="O49" i="12"/>
  <c r="N49" i="12"/>
  <c r="M49" i="12"/>
  <c r="L49" i="12"/>
  <c r="K49" i="12"/>
  <c r="J49" i="12"/>
  <c r="H49" i="12"/>
  <c r="E49" i="12"/>
  <c r="E51" i="12" s="1"/>
  <c r="D49" i="12"/>
  <c r="C49" i="12"/>
  <c r="S48" i="12"/>
  <c r="S47" i="12"/>
  <c r="S41" i="12"/>
  <c r="R35" i="12"/>
  <c r="R36" i="12" s="1"/>
  <c r="R38" i="12" s="1"/>
  <c r="R40" i="12" s="1"/>
  <c r="Q35" i="12"/>
  <c r="Q36" i="12" s="1"/>
  <c r="P35" i="12"/>
  <c r="P36" i="12" s="1"/>
  <c r="P38" i="12" s="1"/>
  <c r="P40" i="12" s="1"/>
  <c r="O35" i="12"/>
  <c r="O36" i="12" s="1"/>
  <c r="O38" i="12" s="1"/>
  <c r="N35" i="12"/>
  <c r="N36" i="12" s="1"/>
  <c r="N38" i="12" s="1"/>
  <c r="N40" i="12" s="1"/>
  <c r="M35" i="12"/>
  <c r="M36" i="12" s="1"/>
  <c r="L35" i="12"/>
  <c r="L36" i="12" s="1"/>
  <c r="L37" i="12" s="1"/>
  <c r="K35" i="12"/>
  <c r="K36" i="12" s="1"/>
  <c r="J35" i="12"/>
  <c r="J36" i="12" s="1"/>
  <c r="J37" i="12" s="1"/>
  <c r="I35" i="12"/>
  <c r="I36" i="12" s="1"/>
  <c r="H35" i="12"/>
  <c r="H36" i="12" s="1"/>
  <c r="G35" i="12"/>
  <c r="G36" i="12" s="1"/>
  <c r="G37" i="12" s="1"/>
  <c r="F35" i="12"/>
  <c r="F36" i="12" s="1"/>
  <c r="F37" i="12" s="1"/>
  <c r="E35" i="12"/>
  <c r="E36" i="12" s="1"/>
  <c r="E38" i="12" s="1"/>
  <c r="E40" i="12" s="1"/>
  <c r="D35" i="12"/>
  <c r="D36" i="12" s="1"/>
  <c r="D38" i="12" s="1"/>
  <c r="C35" i="12"/>
  <c r="C36" i="12" s="1"/>
  <c r="C37" i="12" s="1"/>
  <c r="C43" i="12" s="1"/>
  <c r="S34" i="12"/>
  <c r="S33" i="12"/>
  <c r="S32" i="12"/>
  <c r="S31" i="12"/>
  <c r="S30" i="12"/>
  <c r="S29" i="12"/>
  <c r="S28" i="12"/>
  <c r="R26" i="12"/>
  <c r="Q26" i="12"/>
  <c r="P26" i="12"/>
  <c r="O26" i="12"/>
  <c r="N26" i="12"/>
  <c r="M26" i="12"/>
  <c r="L26" i="12"/>
  <c r="K26" i="12"/>
  <c r="J26" i="12"/>
  <c r="I26" i="12"/>
  <c r="H26" i="12"/>
  <c r="H27" i="12" s="1"/>
  <c r="G26" i="12"/>
  <c r="F26" i="12"/>
  <c r="E26" i="12"/>
  <c r="D26" i="12"/>
  <c r="S25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G24" i="12" s="1"/>
  <c r="F23" i="12"/>
  <c r="E23" i="12"/>
  <c r="D23" i="12"/>
  <c r="S22" i="12"/>
  <c r="S20" i="12"/>
  <c r="S19" i="12"/>
  <c r="S18" i="12"/>
  <c r="O16" i="12"/>
  <c r="O17" i="12" s="1"/>
  <c r="J16" i="12"/>
  <c r="I16" i="12"/>
  <c r="H16" i="12"/>
  <c r="D16" i="12"/>
  <c r="S15" i="12"/>
  <c r="R13" i="12"/>
  <c r="Q13" i="12"/>
  <c r="P13" i="12"/>
  <c r="P14" i="12" s="1"/>
  <c r="O13" i="12"/>
  <c r="O14" i="12" s="1"/>
  <c r="N13" i="12"/>
  <c r="M13" i="12"/>
  <c r="L13" i="12"/>
  <c r="K13" i="12"/>
  <c r="J13" i="12"/>
  <c r="I13" i="12"/>
  <c r="H13" i="12"/>
  <c r="G13" i="12"/>
  <c r="F13" i="12"/>
  <c r="E13" i="12"/>
  <c r="E14" i="12" s="1"/>
  <c r="D13" i="12"/>
  <c r="N12" i="12"/>
  <c r="S12" i="12" s="1"/>
  <c r="R10" i="12"/>
  <c r="R21" i="12" s="1"/>
  <c r="Q10" i="12"/>
  <c r="Q17" i="12" s="1"/>
  <c r="P10" i="12"/>
  <c r="P21" i="12" s="1"/>
  <c r="O10" i="12"/>
  <c r="N10" i="12"/>
  <c r="M10" i="12"/>
  <c r="L10" i="12"/>
  <c r="L17" i="12" s="1"/>
  <c r="J10" i="12"/>
  <c r="J21" i="12" s="1"/>
  <c r="I10" i="12"/>
  <c r="I21" i="12" s="1"/>
  <c r="H10" i="12"/>
  <c r="H56" i="12" s="1"/>
  <c r="G10" i="12"/>
  <c r="G56" i="12" s="1"/>
  <c r="F10" i="12"/>
  <c r="F21" i="12" s="1"/>
  <c r="E10" i="12"/>
  <c r="E21" i="12" s="1"/>
  <c r="D10" i="12"/>
  <c r="C10" i="12"/>
  <c r="C21" i="12" s="1"/>
  <c r="S8" i="12"/>
  <c r="S7" i="12"/>
  <c r="S6" i="12"/>
  <c r="K5" i="12"/>
  <c r="K55" i="12" s="1"/>
  <c r="S49" i="12" l="1"/>
  <c r="L42" i="12"/>
  <c r="H51" i="12"/>
  <c r="H17" i="12"/>
  <c r="G27" i="12"/>
  <c r="I17" i="12"/>
  <c r="G17" i="12"/>
  <c r="F24" i="12"/>
  <c r="N51" i="12"/>
  <c r="N65" i="12" s="1"/>
  <c r="H24" i="12"/>
  <c r="R14" i="12"/>
  <c r="I24" i="12"/>
  <c r="F14" i="12"/>
  <c r="M14" i="12"/>
  <c r="G14" i="12"/>
  <c r="D40" i="12"/>
  <c r="Q14" i="12"/>
  <c r="N14" i="12"/>
  <c r="H14" i="12"/>
  <c r="G21" i="12"/>
  <c r="F56" i="12"/>
  <c r="F65" i="12" s="1"/>
  <c r="H21" i="12"/>
  <c r="Q27" i="12"/>
  <c r="J51" i="12"/>
  <c r="I56" i="12"/>
  <c r="I65" i="12" s="1"/>
  <c r="I27" i="12"/>
  <c r="K51" i="12"/>
  <c r="M38" i="12"/>
  <c r="M40" i="12" s="1"/>
  <c r="M37" i="12"/>
  <c r="M43" i="12" s="1"/>
  <c r="K37" i="12"/>
  <c r="K38" i="12"/>
  <c r="K40" i="12" s="1"/>
  <c r="M21" i="12"/>
  <c r="R17" i="12"/>
  <c r="F27" i="12"/>
  <c r="O40" i="12"/>
  <c r="C51" i="12"/>
  <c r="C61" i="12" s="1"/>
  <c r="G65" i="12"/>
  <c r="R27" i="12"/>
  <c r="N37" i="12"/>
  <c r="N43" i="12" s="1"/>
  <c r="I14" i="12"/>
  <c r="F17" i="12"/>
  <c r="J24" i="12"/>
  <c r="L27" i="12"/>
  <c r="J38" i="12"/>
  <c r="J40" i="12" s="1"/>
  <c r="L56" i="12"/>
  <c r="J14" i="12"/>
  <c r="L24" i="12"/>
  <c r="H65" i="12"/>
  <c r="L14" i="12"/>
  <c r="L21" i="12"/>
  <c r="N27" i="12"/>
  <c r="C55" i="12"/>
  <c r="S55" i="12" s="1"/>
  <c r="E27" i="12"/>
  <c r="P27" i="12"/>
  <c r="J17" i="12"/>
  <c r="D24" i="12"/>
  <c r="O24" i="12"/>
  <c r="M51" i="12"/>
  <c r="J42" i="12"/>
  <c r="J43" i="12"/>
  <c r="Q38" i="12"/>
  <c r="Q40" i="12" s="1"/>
  <c r="Q37" i="12"/>
  <c r="I37" i="12"/>
  <c r="I38" i="12"/>
  <c r="I40" i="12" s="1"/>
  <c r="F43" i="12"/>
  <c r="F42" i="12"/>
  <c r="F44" i="12" s="1"/>
  <c r="G43" i="12"/>
  <c r="G42" i="12"/>
  <c r="G44" i="12" s="1"/>
  <c r="H37" i="12"/>
  <c r="H38" i="12"/>
  <c r="H40" i="12" s="1"/>
  <c r="M17" i="12"/>
  <c r="M56" i="12"/>
  <c r="P37" i="12"/>
  <c r="N56" i="12"/>
  <c r="N21" i="12"/>
  <c r="M24" i="12"/>
  <c r="O56" i="12"/>
  <c r="O65" i="12" s="1"/>
  <c r="O21" i="12"/>
  <c r="N24" i="12"/>
  <c r="R37" i="12"/>
  <c r="Q56" i="12"/>
  <c r="Q65" i="12" s="1"/>
  <c r="Q21" i="12"/>
  <c r="E24" i="12"/>
  <c r="D17" i="12"/>
  <c r="S16" i="12"/>
  <c r="F38" i="12"/>
  <c r="F40" i="12" s="1"/>
  <c r="R56" i="12"/>
  <c r="M27" i="12"/>
  <c r="J27" i="12"/>
  <c r="G38" i="12"/>
  <c r="G40" i="12" s="1"/>
  <c r="R51" i="12"/>
  <c r="L38" i="12"/>
  <c r="L40" i="12" s="1"/>
  <c r="L65" i="12"/>
  <c r="L43" i="12"/>
  <c r="L44" i="12" s="1"/>
  <c r="S36" i="12"/>
  <c r="C38" i="12"/>
  <c r="J56" i="12"/>
  <c r="P17" i="12"/>
  <c r="P56" i="12"/>
  <c r="E37" i="12"/>
  <c r="R24" i="12"/>
  <c r="S60" i="12"/>
  <c r="O37" i="12"/>
  <c r="C27" i="12"/>
  <c r="C17" i="12"/>
  <c r="C24" i="12"/>
  <c r="S35" i="12"/>
  <c r="S13" i="12"/>
  <c r="D56" i="12"/>
  <c r="D21" i="12"/>
  <c r="C14" i="12"/>
  <c r="D37" i="12"/>
  <c r="E17" i="12"/>
  <c r="E56" i="12"/>
  <c r="E65" i="12" s="1"/>
  <c r="P24" i="12"/>
  <c r="D14" i="12"/>
  <c r="Q24" i="12"/>
  <c r="C42" i="12"/>
  <c r="P51" i="12"/>
  <c r="S23" i="12"/>
  <c r="D51" i="12"/>
  <c r="S50" i="12"/>
  <c r="N17" i="12"/>
  <c r="D27" i="12"/>
  <c r="S26" i="12"/>
  <c r="O27" i="12"/>
  <c r="S53" i="12"/>
  <c r="S64" i="12"/>
  <c r="C56" i="12"/>
  <c r="S5" i="12"/>
  <c r="K63" i="12"/>
  <c r="K10" i="12"/>
  <c r="P65" i="12" l="1"/>
  <c r="N42" i="12"/>
  <c r="N44" i="12" s="1"/>
  <c r="N45" i="12" s="1"/>
  <c r="G45" i="12"/>
  <c r="G46" i="12" s="1"/>
  <c r="J65" i="12"/>
  <c r="M65" i="12"/>
  <c r="F45" i="12"/>
  <c r="F66" i="12" s="1"/>
  <c r="S51" i="12"/>
  <c r="S37" i="12"/>
  <c r="M42" i="12"/>
  <c r="M44" i="12" s="1"/>
  <c r="M45" i="12" s="1"/>
  <c r="K42" i="12"/>
  <c r="K43" i="12"/>
  <c r="L45" i="12"/>
  <c r="G66" i="12"/>
  <c r="I42" i="12"/>
  <c r="I43" i="12"/>
  <c r="C39" i="12"/>
  <c r="S39" i="12" s="1"/>
  <c r="S38" i="12"/>
  <c r="C40" i="12"/>
  <c r="S40" i="12" s="1"/>
  <c r="K56" i="12"/>
  <c r="S56" i="12" s="1"/>
  <c r="K24" i="12"/>
  <c r="S24" i="12" s="1"/>
  <c r="K21" i="12"/>
  <c r="S21" i="12" s="1"/>
  <c r="K14" i="12"/>
  <c r="K27" i="12"/>
  <c r="S27" i="12" s="1"/>
  <c r="K17" i="12"/>
  <c r="S17" i="12" s="1"/>
  <c r="O43" i="12"/>
  <c r="O42" i="12"/>
  <c r="R65" i="12"/>
  <c r="D65" i="12"/>
  <c r="Q43" i="12"/>
  <c r="Q42" i="12"/>
  <c r="R42" i="12"/>
  <c r="R43" i="12"/>
  <c r="H42" i="12"/>
  <c r="H43" i="12"/>
  <c r="D43" i="12"/>
  <c r="D42" i="12"/>
  <c r="D44" i="12" s="1"/>
  <c r="D45" i="12" s="1"/>
  <c r="E43" i="12"/>
  <c r="E42" i="12"/>
  <c r="E44" i="12" s="1"/>
  <c r="E45" i="12" s="1"/>
  <c r="P43" i="12"/>
  <c r="P42" i="12"/>
  <c r="P44" i="12" s="1"/>
  <c r="P45" i="12" s="1"/>
  <c r="C65" i="12"/>
  <c r="S61" i="12"/>
  <c r="N66" i="12"/>
  <c r="N46" i="12"/>
  <c r="S63" i="12"/>
  <c r="C44" i="12"/>
  <c r="J44" i="12"/>
  <c r="J45" i="12" s="1"/>
  <c r="F46" i="12" l="1"/>
  <c r="M46" i="12"/>
  <c r="M66" i="12"/>
  <c r="K44" i="12"/>
  <c r="K45" i="12" s="1"/>
  <c r="K65" i="12"/>
  <c r="S65" i="12" s="1"/>
  <c r="I44" i="12"/>
  <c r="I45" i="12" s="1"/>
  <c r="S42" i="12"/>
  <c r="Q44" i="12"/>
  <c r="Q45" i="12" s="1"/>
  <c r="Q66" i="12" s="1"/>
  <c r="I66" i="12"/>
  <c r="I46" i="12"/>
  <c r="S14" i="12"/>
  <c r="H44" i="12"/>
  <c r="H45" i="12" s="1"/>
  <c r="R44" i="12"/>
  <c r="R45" i="12" s="1"/>
  <c r="P66" i="12"/>
  <c r="P46" i="12"/>
  <c r="C45" i="12"/>
  <c r="D66" i="12"/>
  <c r="D46" i="12"/>
  <c r="L46" i="12"/>
  <c r="L66" i="12"/>
  <c r="J46" i="12"/>
  <c r="J66" i="12"/>
  <c r="E66" i="12"/>
  <c r="E46" i="12"/>
  <c r="S43" i="12"/>
  <c r="O44" i="12"/>
  <c r="O45" i="12" s="1"/>
  <c r="K46" i="12" l="1"/>
  <c r="K66" i="12"/>
  <c r="Q46" i="12"/>
  <c r="S44" i="12"/>
  <c r="R66" i="12"/>
  <c r="R46" i="12"/>
  <c r="C46" i="12"/>
  <c r="S45" i="12"/>
  <c r="C66" i="12"/>
  <c r="H46" i="12"/>
  <c r="H66" i="12"/>
  <c r="O66" i="12"/>
  <c r="O46" i="12"/>
  <c r="S66" i="12" l="1"/>
  <c r="S68" i="12" s="1"/>
  <c r="D116" i="1" s="1"/>
  <c r="E116" i="1" s="1"/>
  <c r="S46" i="12"/>
  <c r="D147" i="1" l="1"/>
  <c r="E104" i="1" l="1"/>
  <c r="E128" i="1"/>
  <c r="E110" i="1"/>
  <c r="K86" i="1" l="1"/>
  <c r="D102" i="1" l="1"/>
  <c r="E131" i="1"/>
  <c r="F131" i="1" s="1"/>
  <c r="G131" i="1" s="1"/>
  <c r="H131" i="1" s="1"/>
  <c r="I131" i="1" s="1"/>
  <c r="J131" i="1" s="1"/>
  <c r="K131" i="1" s="1"/>
  <c r="L131" i="1" s="1"/>
  <c r="M131" i="1" s="1"/>
  <c r="N131" i="1" s="1"/>
  <c r="E129" i="1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E134" i="1"/>
  <c r="F134" i="1" s="1"/>
  <c r="G134" i="1" s="1"/>
  <c r="H134" i="1" s="1"/>
  <c r="I134" i="1" s="1"/>
  <c r="J134" i="1" s="1"/>
  <c r="K134" i="1" s="1"/>
  <c r="L134" i="1" s="1"/>
  <c r="M134" i="1" s="1"/>
  <c r="N134" i="1" s="1"/>
  <c r="E135" i="1"/>
  <c r="F135" i="1" s="1"/>
  <c r="G135" i="1" s="1"/>
  <c r="H135" i="1" s="1"/>
  <c r="I135" i="1" s="1"/>
  <c r="J135" i="1" s="1"/>
  <c r="K135" i="1" s="1"/>
  <c r="L135" i="1" s="1"/>
  <c r="M135" i="1" s="1"/>
  <c r="N135" i="1" s="1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E138" i="1"/>
  <c r="F138" i="1" s="1"/>
  <c r="G138" i="1" s="1"/>
  <c r="H138" i="1" s="1"/>
  <c r="I138" i="1" s="1"/>
  <c r="J138" i="1" s="1"/>
  <c r="K138" i="1" s="1"/>
  <c r="L138" i="1" s="1"/>
  <c r="M138" i="1" s="1"/>
  <c r="N138" i="1" s="1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E140" i="1"/>
  <c r="F140" i="1" s="1"/>
  <c r="G140" i="1" s="1"/>
  <c r="H140" i="1" s="1"/>
  <c r="I140" i="1" s="1"/>
  <c r="J140" i="1" s="1"/>
  <c r="K140" i="1" s="1"/>
  <c r="L140" i="1" s="1"/>
  <c r="M140" i="1" s="1"/>
  <c r="N140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E143" i="1"/>
  <c r="F143" i="1" s="1"/>
  <c r="G143" i="1" s="1"/>
  <c r="H143" i="1" s="1"/>
  <c r="I143" i="1" s="1"/>
  <c r="J143" i="1" s="1"/>
  <c r="K143" i="1" s="1"/>
  <c r="L143" i="1" s="1"/>
  <c r="M143" i="1" s="1"/>
  <c r="N143" i="1" s="1"/>
  <c r="E144" i="1"/>
  <c r="F144" i="1" s="1"/>
  <c r="G144" i="1" s="1"/>
  <c r="H144" i="1" s="1"/>
  <c r="I144" i="1" s="1"/>
  <c r="J144" i="1" s="1"/>
  <c r="K144" i="1" s="1"/>
  <c r="L144" i="1" s="1"/>
  <c r="M144" i="1" s="1"/>
  <c r="N144" i="1" s="1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F128" i="1"/>
  <c r="E70" i="1"/>
  <c r="F70" i="1" s="1"/>
  <c r="G70" i="1" s="1"/>
  <c r="H70" i="1" s="1"/>
  <c r="I70" i="1" s="1"/>
  <c r="J70" i="1" s="1"/>
  <c r="K70" i="1" s="1"/>
  <c r="L70" i="1" s="1"/>
  <c r="M70" i="1" s="1"/>
  <c r="N70" i="1" s="1"/>
  <c r="D90" i="1"/>
  <c r="E90" i="1"/>
  <c r="F90" i="1"/>
  <c r="G90" i="1"/>
  <c r="H90" i="1"/>
  <c r="I90" i="1"/>
  <c r="J90" i="1"/>
  <c r="K90" i="1"/>
  <c r="L90" i="1"/>
  <c r="M90" i="1"/>
  <c r="N90" i="1"/>
  <c r="F129" i="1" l="1"/>
  <c r="G129" i="1" s="1"/>
  <c r="H129" i="1" s="1"/>
  <c r="I129" i="1" s="1"/>
  <c r="J129" i="1" s="1"/>
  <c r="K129" i="1" s="1"/>
  <c r="L129" i="1" s="1"/>
  <c r="M129" i="1" s="1"/>
  <c r="N129" i="1" s="1"/>
  <c r="E147" i="1"/>
  <c r="E111" i="1" s="1"/>
  <c r="G128" i="1"/>
  <c r="F147" i="1"/>
  <c r="F111" i="1" s="1"/>
  <c r="C22" i="11"/>
  <c r="F2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" i="11"/>
  <c r="C34" i="10"/>
  <c r="H128" i="1" l="1"/>
  <c r="G147" i="1"/>
  <c r="G111" i="1" s="1"/>
  <c r="G13" i="11"/>
  <c r="G11" i="11"/>
  <c r="G9" i="11"/>
  <c r="G14" i="11"/>
  <c r="G12" i="11"/>
  <c r="G20" i="11"/>
  <c r="G21" i="11"/>
  <c r="G10" i="11"/>
  <c r="G8" i="11"/>
  <c r="G2" i="11"/>
  <c r="G19" i="11"/>
  <c r="G7" i="11"/>
  <c r="G18" i="11"/>
  <c r="G6" i="11"/>
  <c r="G4" i="11"/>
  <c r="G3" i="11"/>
  <c r="G17" i="11"/>
  <c r="G16" i="11"/>
  <c r="G15" i="11"/>
  <c r="G5" i="11"/>
  <c r="D22" i="11"/>
  <c r="E22" i="11"/>
  <c r="I128" i="1" l="1"/>
  <c r="H147" i="1"/>
  <c r="H111" i="1" s="1"/>
  <c r="G22" i="11"/>
  <c r="C28" i="11" s="1"/>
  <c r="D28" i="11" s="1"/>
  <c r="E103" i="1" s="1"/>
  <c r="J128" i="1" l="1"/>
  <c r="I147" i="1"/>
  <c r="I111" i="1" s="1"/>
  <c r="G89" i="1"/>
  <c r="F84" i="1"/>
  <c r="N94" i="1"/>
  <c r="M94" i="1"/>
  <c r="L94" i="1"/>
  <c r="K94" i="1"/>
  <c r="J94" i="1"/>
  <c r="I94" i="1"/>
  <c r="H94" i="1"/>
  <c r="G94" i="1"/>
  <c r="F94" i="1"/>
  <c r="E94" i="1"/>
  <c r="I88" i="1"/>
  <c r="I86" i="1"/>
  <c r="H83" i="1"/>
  <c r="G83" i="1"/>
  <c r="K88" i="1"/>
  <c r="N93" i="1"/>
  <c r="M93" i="1"/>
  <c r="L93" i="1"/>
  <c r="K93" i="1"/>
  <c r="J93" i="1"/>
  <c r="I93" i="1"/>
  <c r="H93" i="1"/>
  <c r="G93" i="1"/>
  <c r="F93" i="1"/>
  <c r="E93" i="1"/>
  <c r="N92" i="1"/>
  <c r="M92" i="1"/>
  <c r="L92" i="1"/>
  <c r="K92" i="1"/>
  <c r="J92" i="1"/>
  <c r="I92" i="1"/>
  <c r="H92" i="1"/>
  <c r="G92" i="1"/>
  <c r="F92" i="1"/>
  <c r="E92" i="1"/>
  <c r="N91" i="1"/>
  <c r="M91" i="1"/>
  <c r="L91" i="1"/>
  <c r="K91" i="1"/>
  <c r="J91" i="1"/>
  <c r="I91" i="1"/>
  <c r="H91" i="1"/>
  <c r="G91" i="1"/>
  <c r="F91" i="1"/>
  <c r="E91" i="1"/>
  <c r="N89" i="1"/>
  <c r="M89" i="1"/>
  <c r="L89" i="1"/>
  <c r="K89" i="1"/>
  <c r="J89" i="1"/>
  <c r="I89" i="1"/>
  <c r="H89" i="1"/>
  <c r="F89" i="1"/>
  <c r="E89" i="1"/>
  <c r="N88" i="1"/>
  <c r="M88" i="1"/>
  <c r="L88" i="1"/>
  <c r="J88" i="1"/>
  <c r="H88" i="1"/>
  <c r="G88" i="1"/>
  <c r="F88" i="1"/>
  <c r="E88" i="1"/>
  <c r="N87" i="1"/>
  <c r="M87" i="1"/>
  <c r="L87" i="1"/>
  <c r="K87" i="1"/>
  <c r="J87" i="1"/>
  <c r="I87" i="1"/>
  <c r="H87" i="1"/>
  <c r="G87" i="1"/>
  <c r="F87" i="1"/>
  <c r="E87" i="1"/>
  <c r="N86" i="1"/>
  <c r="M86" i="1"/>
  <c r="L86" i="1"/>
  <c r="J86" i="1"/>
  <c r="H86" i="1"/>
  <c r="G86" i="1"/>
  <c r="F86" i="1"/>
  <c r="E86" i="1"/>
  <c r="N85" i="1"/>
  <c r="M85" i="1"/>
  <c r="L85" i="1"/>
  <c r="K85" i="1"/>
  <c r="J85" i="1"/>
  <c r="I85" i="1"/>
  <c r="H85" i="1"/>
  <c r="G85" i="1"/>
  <c r="F85" i="1"/>
  <c r="E85" i="1"/>
  <c r="E83" i="1"/>
  <c r="E84" i="1"/>
  <c r="N84" i="1"/>
  <c r="M84" i="1"/>
  <c r="L84" i="1"/>
  <c r="K84" i="1"/>
  <c r="J84" i="1"/>
  <c r="I84" i="1"/>
  <c r="H84" i="1"/>
  <c r="G84" i="1"/>
  <c r="N83" i="1"/>
  <c r="E82" i="1"/>
  <c r="M83" i="1"/>
  <c r="L83" i="1"/>
  <c r="K83" i="1"/>
  <c r="J83" i="1"/>
  <c r="I83" i="1"/>
  <c r="F83" i="1"/>
  <c r="N82" i="1"/>
  <c r="M82" i="1"/>
  <c r="L82" i="1"/>
  <c r="K82" i="1"/>
  <c r="J82" i="1"/>
  <c r="I82" i="1"/>
  <c r="H82" i="1"/>
  <c r="G82" i="1"/>
  <c r="F82" i="1"/>
  <c r="E81" i="1"/>
  <c r="F81" i="1"/>
  <c r="G81" i="1"/>
  <c r="H81" i="1"/>
  <c r="I81" i="1"/>
  <c r="J81" i="1"/>
  <c r="K81" i="1"/>
  <c r="L81" i="1"/>
  <c r="M81" i="1"/>
  <c r="N81" i="1"/>
  <c r="D82" i="1"/>
  <c r="D85" i="1"/>
  <c r="D86" i="1"/>
  <c r="D84" i="1"/>
  <c r="D83" i="1"/>
  <c r="D81" i="1"/>
  <c r="K128" i="1" l="1"/>
  <c r="J147" i="1"/>
  <c r="J111" i="1" s="1"/>
  <c r="F103" i="1"/>
  <c r="E46" i="1"/>
  <c r="E69" i="1" s="1"/>
  <c r="E95" i="1" s="1"/>
  <c r="F46" i="1"/>
  <c r="F69" i="1" s="1"/>
  <c r="F95" i="1" s="1"/>
  <c r="G46" i="1"/>
  <c r="G69" i="1" s="1"/>
  <c r="G95" i="1" s="1"/>
  <c r="H46" i="1"/>
  <c r="H69" i="1" s="1"/>
  <c r="H95" i="1" s="1"/>
  <c r="I46" i="1"/>
  <c r="I69" i="1" s="1"/>
  <c r="I95" i="1" s="1"/>
  <c r="J46" i="1"/>
  <c r="J69" i="1" s="1"/>
  <c r="J95" i="1" s="1"/>
  <c r="K46" i="1"/>
  <c r="K69" i="1" s="1"/>
  <c r="K95" i="1" s="1"/>
  <c r="L46" i="1"/>
  <c r="L69" i="1" s="1"/>
  <c r="L95" i="1" s="1"/>
  <c r="M46" i="1"/>
  <c r="M69" i="1" s="1"/>
  <c r="M95" i="1" s="1"/>
  <c r="N46" i="1"/>
  <c r="N69" i="1" s="1"/>
  <c r="N95" i="1" s="1"/>
  <c r="E65" i="1"/>
  <c r="F65" i="1"/>
  <c r="G65" i="1"/>
  <c r="H65" i="1"/>
  <c r="I65" i="1"/>
  <c r="J65" i="1"/>
  <c r="K65" i="1"/>
  <c r="L65" i="1"/>
  <c r="M65" i="1"/>
  <c r="N65" i="1"/>
  <c r="Q5" i="3"/>
  <c r="D94" i="1"/>
  <c r="D87" i="1"/>
  <c r="D88" i="1"/>
  <c r="D89" i="1"/>
  <c r="D91" i="1"/>
  <c r="D92" i="1"/>
  <c r="D93" i="1"/>
  <c r="D65" i="1"/>
  <c r="D46" i="1"/>
  <c r="D69" i="1" s="1"/>
  <c r="D95" i="1" s="1"/>
  <c r="L128" i="1" l="1"/>
  <c r="K147" i="1"/>
  <c r="K111" i="1" s="1"/>
  <c r="D79" i="1"/>
  <c r="D78" i="1" l="1"/>
  <c r="D113" i="1"/>
  <c r="M128" i="1"/>
  <c r="L147" i="1"/>
  <c r="L111" i="1" s="1"/>
  <c r="N128" i="1" l="1"/>
  <c r="N147" i="1" s="1"/>
  <c r="N111" i="1" s="1"/>
  <c r="M147" i="1"/>
  <c r="M111" i="1" s="1"/>
  <c r="C18" i="7" l="1"/>
  <c r="Q61" i="3" s="1"/>
  <c r="C21" i="7" l="1"/>
  <c r="D115" i="1" s="1"/>
  <c r="E115" i="1" s="1"/>
  <c r="F115" i="1" s="1"/>
  <c r="G115" i="1" s="1"/>
  <c r="H115" i="1" s="1"/>
  <c r="I115" i="1" s="1"/>
  <c r="J115" i="1" s="1"/>
  <c r="K115" i="1" s="1"/>
  <c r="L115" i="1" s="1"/>
  <c r="M115" i="1" s="1"/>
  <c r="N115" i="1" s="1"/>
  <c r="E96" i="1"/>
  <c r="C9" i="3"/>
  <c r="C20" i="3" s="1"/>
  <c r="F104" i="1" l="1"/>
  <c r="G104" i="1" s="1"/>
  <c r="H104" i="1" s="1"/>
  <c r="I104" i="1" s="1"/>
  <c r="J104" i="1" s="1"/>
  <c r="K104" i="1" s="1"/>
  <c r="L104" i="1" s="1"/>
  <c r="M104" i="1" s="1"/>
  <c r="N104" i="1" s="1"/>
  <c r="E107" i="1"/>
  <c r="F107" i="1" s="1"/>
  <c r="G107" i="1" s="1"/>
  <c r="H107" i="1" s="1"/>
  <c r="I107" i="1" s="1"/>
  <c r="J107" i="1" s="1"/>
  <c r="K107" i="1" s="1"/>
  <c r="L107" i="1" s="1"/>
  <c r="M107" i="1" s="1"/>
  <c r="N107" i="1" s="1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F110" i="1"/>
  <c r="G110" i="1" s="1"/>
  <c r="H110" i="1" s="1"/>
  <c r="I110" i="1" s="1"/>
  <c r="J110" i="1" s="1"/>
  <c r="K110" i="1" s="1"/>
  <c r="L110" i="1" s="1"/>
  <c r="M110" i="1" s="1"/>
  <c r="N110" i="1" s="1"/>
  <c r="E106" i="1"/>
  <c r="E105" i="1" s="1"/>
  <c r="F106" i="1" l="1"/>
  <c r="F105" i="1" s="1"/>
  <c r="E102" i="1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H53" i="3"/>
  <c r="F53" i="3"/>
  <c r="P52" i="3"/>
  <c r="P53" i="3" s="1"/>
  <c r="O52" i="3"/>
  <c r="O53" i="3" s="1"/>
  <c r="N52" i="3"/>
  <c r="N53" i="3" s="1"/>
  <c r="L52" i="3"/>
  <c r="L53" i="3" s="1"/>
  <c r="K52" i="3"/>
  <c r="K53" i="3" s="1"/>
  <c r="J52" i="3"/>
  <c r="J53" i="3" s="1"/>
  <c r="I52" i="3"/>
  <c r="I53" i="3" s="1"/>
  <c r="H52" i="3"/>
  <c r="F52" i="3"/>
  <c r="E52" i="3"/>
  <c r="E53" i="3" s="1"/>
  <c r="D51" i="3"/>
  <c r="D52" i="3" s="1"/>
  <c r="C51" i="3"/>
  <c r="C52" i="3" s="1"/>
  <c r="C53" i="3" s="1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8" i="3"/>
  <c r="C49" i="3" s="1"/>
  <c r="P34" i="3"/>
  <c r="P35" i="3" s="1"/>
  <c r="P36" i="3" s="1"/>
  <c r="O34" i="3"/>
  <c r="O35" i="3" s="1"/>
  <c r="N34" i="3"/>
  <c r="N35" i="3" s="1"/>
  <c r="M34" i="3"/>
  <c r="M35" i="3" s="1"/>
  <c r="L34" i="3"/>
  <c r="L35" i="3" s="1"/>
  <c r="K34" i="3"/>
  <c r="K35" i="3" s="1"/>
  <c r="K36" i="3" s="1"/>
  <c r="J34" i="3"/>
  <c r="J35" i="3" s="1"/>
  <c r="I34" i="3"/>
  <c r="I35" i="3" s="1"/>
  <c r="H34" i="3"/>
  <c r="H35" i="3" s="1"/>
  <c r="G34" i="3"/>
  <c r="G35" i="3" s="1"/>
  <c r="F34" i="3"/>
  <c r="F35" i="3" s="1"/>
  <c r="E34" i="3"/>
  <c r="E35" i="3" s="1"/>
  <c r="E37" i="3" s="1"/>
  <c r="E39" i="3" s="1"/>
  <c r="D34" i="3"/>
  <c r="D35" i="3" s="1"/>
  <c r="D37" i="3" s="1"/>
  <c r="D39" i="3" s="1"/>
  <c r="C34" i="3"/>
  <c r="C35" i="3" s="1"/>
  <c r="C28" i="3"/>
  <c r="C27" i="3"/>
  <c r="C26" i="3"/>
  <c r="J23" i="3"/>
  <c r="C16" i="3"/>
  <c r="D14" i="3"/>
  <c r="C13" i="3"/>
  <c r="D12" i="3"/>
  <c r="D11" i="3"/>
  <c r="P9" i="3"/>
  <c r="P13" i="3" s="1"/>
  <c r="O9" i="3"/>
  <c r="O20" i="3" s="1"/>
  <c r="N9" i="3"/>
  <c r="N26" i="3" s="1"/>
  <c r="L9" i="3"/>
  <c r="L16" i="3" s="1"/>
  <c r="K9" i="3"/>
  <c r="K13" i="3" s="1"/>
  <c r="J9" i="3"/>
  <c r="J20" i="3" s="1"/>
  <c r="I9" i="3"/>
  <c r="I20" i="3" s="1"/>
  <c r="H9" i="3"/>
  <c r="H20" i="3" s="1"/>
  <c r="F9" i="3"/>
  <c r="F26" i="3" s="1"/>
  <c r="E9" i="3"/>
  <c r="E13" i="3" s="1"/>
  <c r="D9" i="3"/>
  <c r="D20" i="3" s="1"/>
  <c r="C23" i="3"/>
  <c r="M4" i="3"/>
  <c r="M52" i="3" s="1"/>
  <c r="M53" i="3" s="1"/>
  <c r="G4" i="3"/>
  <c r="G52" i="3" s="1"/>
  <c r="G53" i="3" s="1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C36" i="3" l="1"/>
  <c r="C42" i="3" s="1"/>
  <c r="P57" i="3"/>
  <c r="H57" i="3"/>
  <c r="I23" i="3"/>
  <c r="N57" i="3"/>
  <c r="I13" i="3"/>
  <c r="E101" i="1"/>
  <c r="M9" i="3"/>
  <c r="M16" i="3" s="1"/>
  <c r="E57" i="3"/>
  <c r="N13" i="3"/>
  <c r="C57" i="3"/>
  <c r="O57" i="3"/>
  <c r="O13" i="3"/>
  <c r="D16" i="3"/>
  <c r="D57" i="3"/>
  <c r="L36" i="3"/>
  <c r="L42" i="3" s="1"/>
  <c r="L37" i="3"/>
  <c r="L39" i="3" s="1"/>
  <c r="E23" i="3"/>
  <c r="D26" i="3"/>
  <c r="L57" i="3"/>
  <c r="E16" i="3"/>
  <c r="H26" i="3"/>
  <c r="I57" i="3"/>
  <c r="D13" i="3"/>
  <c r="J16" i="3"/>
  <c r="I26" i="3"/>
  <c r="J57" i="3"/>
  <c r="K23" i="3"/>
  <c r="K16" i="3"/>
  <c r="J26" i="3"/>
  <c r="K57" i="3"/>
  <c r="G9" i="3"/>
  <c r="G16" i="3" s="1"/>
  <c r="O16" i="3"/>
  <c r="P16" i="3"/>
  <c r="H13" i="3"/>
  <c r="D23" i="3"/>
  <c r="F57" i="3"/>
  <c r="G106" i="1"/>
  <c r="G105" i="1" s="1"/>
  <c r="G103" i="1"/>
  <c r="F102" i="1"/>
  <c r="C37" i="3"/>
  <c r="N36" i="3"/>
  <c r="N37" i="3"/>
  <c r="N39" i="3" s="1"/>
  <c r="G57" i="3"/>
  <c r="M37" i="3"/>
  <c r="M39" i="3" s="1"/>
  <c r="M36" i="3"/>
  <c r="O36" i="3"/>
  <c r="O37" i="3"/>
  <c r="O39" i="3" s="1"/>
  <c r="G36" i="3"/>
  <c r="G37" i="3"/>
  <c r="G39" i="3" s="1"/>
  <c r="L41" i="3"/>
  <c r="J37" i="3"/>
  <c r="J39" i="3" s="1"/>
  <c r="J36" i="3"/>
  <c r="M57" i="3"/>
  <c r="F37" i="3"/>
  <c r="F39" i="3" s="1"/>
  <c r="F36" i="3"/>
  <c r="K42" i="3"/>
  <c r="K41" i="3"/>
  <c r="H37" i="3"/>
  <c r="H39" i="3" s="1"/>
  <c r="H36" i="3"/>
  <c r="I37" i="3"/>
  <c r="I39" i="3" s="1"/>
  <c r="I36" i="3"/>
  <c r="P41" i="3"/>
  <c r="P42" i="3"/>
  <c r="F13" i="3"/>
  <c r="N16" i="3"/>
  <c r="K20" i="3"/>
  <c r="H23" i="3"/>
  <c r="K37" i="3"/>
  <c r="K39" i="3" s="1"/>
  <c r="D36" i="3"/>
  <c r="J13" i="3"/>
  <c r="F16" i="3"/>
  <c r="L23" i="3"/>
  <c r="K26" i="3"/>
  <c r="E36" i="3"/>
  <c r="P20" i="3"/>
  <c r="L26" i="3"/>
  <c r="P37" i="3"/>
  <c r="P39" i="3" s="1"/>
  <c r="L20" i="3"/>
  <c r="L13" i="3"/>
  <c r="H16" i="3"/>
  <c r="E20" i="3"/>
  <c r="N23" i="3"/>
  <c r="N20" i="3"/>
  <c r="I16" i="3"/>
  <c r="F20" i="3"/>
  <c r="F23" i="3"/>
  <c r="E26" i="3"/>
  <c r="M23" i="3" l="1"/>
  <c r="G20" i="3"/>
  <c r="C41" i="3"/>
  <c r="C43" i="3" s="1"/>
  <c r="M13" i="3"/>
  <c r="M20" i="3"/>
  <c r="M26" i="3"/>
  <c r="F101" i="1"/>
  <c r="L43" i="3"/>
  <c r="L44" i="3" s="1"/>
  <c r="L45" i="3" s="1"/>
  <c r="L58" i="3" s="1"/>
  <c r="G23" i="3"/>
  <c r="G26" i="3"/>
  <c r="G13" i="3"/>
  <c r="H106" i="1"/>
  <c r="H105" i="1" s="1"/>
  <c r="G41" i="3"/>
  <c r="G42" i="3"/>
  <c r="H103" i="1"/>
  <c r="G102" i="1"/>
  <c r="P43" i="3"/>
  <c r="P44" i="3" s="1"/>
  <c r="P45" i="3" s="1"/>
  <c r="P58" i="3" s="1"/>
  <c r="I42" i="3"/>
  <c r="I41" i="3"/>
  <c r="I43" i="3" s="1"/>
  <c r="I44" i="3" s="1"/>
  <c r="I45" i="3" s="1"/>
  <c r="I58" i="3" s="1"/>
  <c r="J42" i="3"/>
  <c r="J41" i="3"/>
  <c r="M41" i="3"/>
  <c r="M42" i="3"/>
  <c r="D41" i="3"/>
  <c r="D42" i="3"/>
  <c r="H41" i="3"/>
  <c r="H42" i="3"/>
  <c r="K43" i="3"/>
  <c r="K44" i="3" s="1"/>
  <c r="K45" i="3" s="1"/>
  <c r="K58" i="3" s="1"/>
  <c r="N42" i="3"/>
  <c r="N41" i="3"/>
  <c r="E41" i="3"/>
  <c r="E42" i="3"/>
  <c r="F42" i="3"/>
  <c r="F41" i="3"/>
  <c r="F43" i="3" s="1"/>
  <c r="F44" i="3" s="1"/>
  <c r="F45" i="3" s="1"/>
  <c r="F58" i="3" s="1"/>
  <c r="C39" i="3"/>
  <c r="C44" i="3" s="1"/>
  <c r="C45" i="3" s="1"/>
  <c r="C58" i="3" s="1"/>
  <c r="C38" i="3"/>
  <c r="O42" i="3"/>
  <c r="O41" i="3"/>
  <c r="O43" i="3" l="1"/>
  <c r="O44" i="3" s="1"/>
  <c r="O45" i="3" s="1"/>
  <c r="O58" i="3" s="1"/>
  <c r="G101" i="1"/>
  <c r="I106" i="1"/>
  <c r="I105" i="1" s="1"/>
  <c r="G43" i="3"/>
  <c r="G44" i="3" s="1"/>
  <c r="G45" i="3" s="1"/>
  <c r="G58" i="3" s="1"/>
  <c r="N43" i="3"/>
  <c r="N44" i="3" s="1"/>
  <c r="N45" i="3" s="1"/>
  <c r="N58" i="3" s="1"/>
  <c r="I103" i="1"/>
  <c r="H102" i="1"/>
  <c r="H43" i="3"/>
  <c r="H44" i="3" s="1"/>
  <c r="H45" i="3" s="1"/>
  <c r="H58" i="3" s="1"/>
  <c r="D43" i="3"/>
  <c r="D44" i="3" s="1"/>
  <c r="D45" i="3" s="1"/>
  <c r="D58" i="3" s="1"/>
  <c r="M43" i="3"/>
  <c r="M44" i="3" s="1"/>
  <c r="M45" i="3" s="1"/>
  <c r="M58" i="3" s="1"/>
  <c r="E43" i="3"/>
  <c r="E44" i="3" s="1"/>
  <c r="E45" i="3" s="1"/>
  <c r="E58" i="3" s="1"/>
  <c r="J43" i="3"/>
  <c r="J44" i="3" s="1"/>
  <c r="J45" i="3" s="1"/>
  <c r="J58" i="3" s="1"/>
  <c r="Q58" i="3" l="1"/>
  <c r="Q60" i="3" s="1"/>
  <c r="Q62" i="3"/>
  <c r="H101" i="1"/>
  <c r="J106" i="1"/>
  <c r="J105" i="1" s="1"/>
  <c r="J103" i="1"/>
  <c r="I102" i="1"/>
  <c r="E97" i="1"/>
  <c r="F97" i="1" s="1"/>
  <c r="G97" i="1" s="1"/>
  <c r="H97" i="1" s="1"/>
  <c r="I97" i="1" s="1"/>
  <c r="J97" i="1" s="1"/>
  <c r="K97" i="1" s="1"/>
  <c r="L97" i="1" s="1"/>
  <c r="M97" i="1" s="1"/>
  <c r="N97" i="1" s="1"/>
  <c r="E98" i="1"/>
  <c r="F98" i="1" s="1"/>
  <c r="G98" i="1" s="1"/>
  <c r="H98" i="1" s="1"/>
  <c r="I98" i="1" s="1"/>
  <c r="J98" i="1" s="1"/>
  <c r="K98" i="1" s="1"/>
  <c r="L98" i="1" s="1"/>
  <c r="M98" i="1" s="1"/>
  <c r="N98" i="1" s="1"/>
  <c r="F96" i="1"/>
  <c r="G96" i="1" s="1"/>
  <c r="H96" i="1" s="1"/>
  <c r="I96" i="1" s="1"/>
  <c r="J96" i="1" s="1"/>
  <c r="K96" i="1" s="1"/>
  <c r="L96" i="1" s="1"/>
  <c r="M96" i="1" s="1"/>
  <c r="N96" i="1" s="1"/>
  <c r="F116" i="1" l="1"/>
  <c r="G116" i="1" s="1"/>
  <c r="H116" i="1" s="1"/>
  <c r="I116" i="1" s="1"/>
  <c r="J116" i="1" s="1"/>
  <c r="K116" i="1" s="1"/>
  <c r="L116" i="1" s="1"/>
  <c r="M116" i="1" s="1"/>
  <c r="N116" i="1" s="1"/>
  <c r="I101" i="1"/>
  <c r="K106" i="1"/>
  <c r="K105" i="1" s="1"/>
  <c r="K103" i="1"/>
  <c r="J102" i="1"/>
  <c r="J101" i="1" l="1"/>
  <c r="L106" i="1"/>
  <c r="L105" i="1" s="1"/>
  <c r="L103" i="1"/>
  <c r="K102" i="1"/>
  <c r="K101" i="1" l="1"/>
  <c r="M106" i="1"/>
  <c r="M105" i="1" s="1"/>
  <c r="M103" i="1"/>
  <c r="L102" i="1"/>
  <c r="L101" i="1" l="1"/>
  <c r="N106" i="1"/>
  <c r="N105" i="1" s="1"/>
  <c r="N103" i="1"/>
  <c r="N102" i="1" s="1"/>
  <c r="M102" i="1"/>
  <c r="M101" i="1" l="1"/>
  <c r="N101" i="1"/>
  <c r="G79" i="1" l="1"/>
  <c r="J79" i="1"/>
  <c r="L79" i="1"/>
  <c r="L113" i="1" s="1"/>
  <c r="N79" i="1"/>
  <c r="F79" i="1"/>
  <c r="K79" i="1"/>
  <c r="K113" i="1" s="1"/>
  <c r="E79" i="1"/>
  <c r="E113" i="1" s="1"/>
  <c r="M79" i="1"/>
  <c r="M113" i="1" s="1"/>
  <c r="H79" i="1"/>
  <c r="I79" i="1"/>
  <c r="I78" i="1" l="1"/>
  <c r="I113" i="1"/>
  <c r="H78" i="1"/>
  <c r="H113" i="1"/>
  <c r="F78" i="1"/>
  <c r="F114" i="1" s="1"/>
  <c r="F113" i="1"/>
  <c r="N78" i="1"/>
  <c r="N114" i="1" s="1"/>
  <c r="N113" i="1"/>
  <c r="J78" i="1"/>
  <c r="J114" i="1" s="1"/>
  <c r="J113" i="1"/>
  <c r="G78" i="1"/>
  <c r="G114" i="1" s="1"/>
  <c r="G113" i="1"/>
  <c r="E78" i="1"/>
  <c r="E114" i="1" s="1"/>
  <c r="E112" i="1" s="1"/>
  <c r="L78" i="1"/>
  <c r="L114" i="1" s="1"/>
  <c r="L112" i="1" s="1"/>
  <c r="M78" i="1"/>
  <c r="M114" i="1" s="1"/>
  <c r="M112" i="1" s="1"/>
  <c r="K78" i="1"/>
  <c r="K114" i="1" s="1"/>
  <c r="K112" i="1" s="1"/>
  <c r="H114" i="1"/>
  <c r="I114" i="1"/>
  <c r="I112" i="1" l="1"/>
  <c r="I100" i="1" s="1"/>
  <c r="I118" i="1" s="1"/>
  <c r="H112" i="1"/>
  <c r="H100" i="1" s="1"/>
  <c r="H118" i="1" s="1"/>
  <c r="G112" i="1"/>
  <c r="G100" i="1" s="1"/>
  <c r="G118" i="1" s="1"/>
  <c r="J112" i="1"/>
  <c r="J122" i="1" s="1"/>
  <c r="N112" i="1"/>
  <c r="N100" i="1" s="1"/>
  <c r="N118" i="1" s="1"/>
  <c r="F112" i="1"/>
  <c r="F100" i="1" s="1"/>
  <c r="F118" i="1" s="1"/>
  <c r="L100" i="1"/>
  <c r="L118" i="1" s="1"/>
  <c r="L122" i="1"/>
  <c r="K100" i="1"/>
  <c r="K118" i="1" s="1"/>
  <c r="K122" i="1"/>
  <c r="M100" i="1"/>
  <c r="M118" i="1" s="1"/>
  <c r="M122" i="1"/>
  <c r="E100" i="1"/>
  <c r="E118" i="1" s="1"/>
  <c r="E122" i="1"/>
  <c r="N122" i="1" l="1"/>
  <c r="I122" i="1"/>
  <c r="H122" i="1"/>
  <c r="G122" i="1"/>
  <c r="J100" i="1"/>
  <c r="J118" i="1" s="1"/>
  <c r="F122" i="1"/>
  <c r="D111" i="1" l="1"/>
  <c r="D105" i="1" s="1"/>
  <c r="D101" i="1" s="1"/>
  <c r="D114" i="1" l="1"/>
  <c r="D112" i="1" s="1"/>
  <c r="D122" i="1" s="1"/>
  <c r="D100" i="1" l="1"/>
  <c r="D118" i="1" s="1"/>
  <c r="D119" i="1" s="1"/>
  <c r="E119" i="1" s="1"/>
  <c r="F119" i="1" s="1"/>
  <c r="G119" i="1" s="1"/>
  <c r="H119" i="1" s="1"/>
  <c r="I119" i="1" s="1"/>
  <c r="J119" i="1" s="1"/>
  <c r="K119" i="1" s="1"/>
  <c r="L119" i="1" s="1"/>
  <c r="M119" i="1" s="1"/>
  <c r="N1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1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2023</t>
        </r>
      </text>
    </comment>
    <comment ref="C30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для кафе</t>
        </r>
      </text>
    </comment>
    <comment ref="C48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841,77 стоимость 1 куб.м *1.1 (размер контенера)</t>
        </r>
      </text>
    </comment>
    <comment ref="C51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факт 2022 клининг 2,8% от общей цены догоора расчетно </t>
        </r>
      </text>
    </comment>
    <comment ref="E51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факт 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Q48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 договору вывозят только КГО</t>
        </r>
      </text>
    </comment>
    <comment ref="O56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нет информации о площадях зала и подсобных помещений</t>
        </r>
      </text>
    </comment>
    <comment ref="P56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нет информации о площадях зала и подсобных помещений</t>
        </r>
      </text>
    </comment>
    <comment ref="Q56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нет информации о площадях зала и подсобных помещений</t>
        </r>
      </text>
    </comment>
    <comment ref="R56" authorId="0" shapeId="0" xr:uid="{00000000-0006-0000-0700-000005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нет информации о площадях зала и подсобных помещений</t>
        </r>
      </text>
    </comment>
  </commentList>
</comments>
</file>

<file path=xl/sharedStrings.xml><?xml version="1.0" encoding="utf-8"?>
<sst xmlns="http://schemas.openxmlformats.org/spreadsheetml/2006/main" count="570" uniqueCount="226">
  <si>
    <t>Оперционные расходы</t>
  </si>
  <si>
    <t>Внешние предпосылки</t>
  </si>
  <si>
    <t>Период</t>
  </si>
  <si>
    <t>ед.</t>
  </si>
  <si>
    <t>Инфляция в России</t>
  </si>
  <si>
    <t>%</t>
  </si>
  <si>
    <t>Количество месяцев учета</t>
  </si>
  <si>
    <t>шт.</t>
  </si>
  <si>
    <t>Вводные параметры</t>
  </si>
  <si>
    <t>Доходы</t>
  </si>
  <si>
    <t>Расходы</t>
  </si>
  <si>
    <t>Финансовый результат</t>
  </si>
  <si>
    <t>Финансовая модель КОП</t>
  </si>
  <si>
    <t xml:space="preserve">Точки питания </t>
  </si>
  <si>
    <t>Кейтеринг</t>
  </si>
  <si>
    <t>Вендинговые автоматы</t>
  </si>
  <si>
    <t>тыс. руб.</t>
  </si>
  <si>
    <t>Расходы на персонал</t>
  </si>
  <si>
    <t>Сырье</t>
  </si>
  <si>
    <t>Ремонт и техобслуживание производственного оборудования</t>
  </si>
  <si>
    <t>Налог на добавленную стоимость</t>
  </si>
  <si>
    <t>Прогнозный сводный расчет затрат НИУ ВШЭ  за коммунальные услуги и содержание помещений,  арендуемых  Комбинатом общественного питания  (расчетные данные по расходам 2022 года)</t>
  </si>
  <si>
    <t>Ед.изм.</t>
  </si>
  <si>
    <t>Покровский бульвар, д. 11, стр. 12 (корп. F)</t>
  </si>
  <si>
    <t>Потаповский пер., д. 16, стр. 10</t>
  </si>
  <si>
    <t>Профсоюзная ул., д. 33, корп. 4</t>
  </si>
  <si>
    <t>Таллинская ул., д. 34</t>
  </si>
  <si>
    <t>Трифоновская ул., д. 57, стр. 2</t>
  </si>
  <si>
    <t>ул.Вавилова, д.7</t>
  </si>
  <si>
    <t>ул.Б.Переяславская, д.50, стр.1</t>
  </si>
  <si>
    <t>3-й Колобовский пер., д. 8, стр. 2</t>
  </si>
  <si>
    <t>Б. Харитоньевский пер, д. 4, стр. 1</t>
  </si>
  <si>
    <t>Лялин пер., д. 3а</t>
  </si>
  <si>
    <t>ул. Солянка, д. 14а, стр. 1</t>
  </si>
  <si>
    <t>ул. Мясницкая, д. 11</t>
  </si>
  <si>
    <t>Усачева  ул., д.6</t>
  </si>
  <si>
    <t>Мясницкая, 20</t>
  </si>
  <si>
    <t>ВСЕГО</t>
  </si>
  <si>
    <t>Общая площадь объекта</t>
  </si>
  <si>
    <t>м2</t>
  </si>
  <si>
    <t>Площадь размещения объекта питания (КОП)</t>
  </si>
  <si>
    <t>Площадь зала</t>
  </si>
  <si>
    <t>м3</t>
  </si>
  <si>
    <t>Площадь подсобных помещений</t>
  </si>
  <si>
    <t>м4</t>
  </si>
  <si>
    <t>Назначение КОП</t>
  </si>
  <si>
    <t>кофейня</t>
  </si>
  <si>
    <t>столовая</t>
  </si>
  <si>
    <t>Доля  занимаемой  площади КОП от общей площади объекта</t>
  </si>
  <si>
    <t>1.КОММУНАЛЬНЫЕ УСЛУГИ</t>
  </si>
  <si>
    <t>Объем потребления ТЭ (общий)</t>
  </si>
  <si>
    <t xml:space="preserve"> гкал </t>
  </si>
  <si>
    <t xml:space="preserve">Среднегодовой тариф ТЭ </t>
  </si>
  <si>
    <t>руб./гкал</t>
  </si>
  <si>
    <t>Потребление ТЭ КОП</t>
  </si>
  <si>
    <t>рублей</t>
  </si>
  <si>
    <t>Объем потребления ГВ (общий)</t>
  </si>
  <si>
    <t>Среднегодовой тариф ГВ</t>
  </si>
  <si>
    <t xml:space="preserve"> руб./м 3</t>
  </si>
  <si>
    <t>Потребление ГВ КОП</t>
  </si>
  <si>
    <t xml:space="preserve">рублей в год </t>
  </si>
  <si>
    <t>Объем потребления ЭЭ (общий)</t>
  </si>
  <si>
    <t xml:space="preserve"> кВт.ч. </t>
  </si>
  <si>
    <t>Среднегодовой тариф э/э</t>
  </si>
  <si>
    <t xml:space="preserve"> руб./кВтч. </t>
  </si>
  <si>
    <t>Коэффициент на увеличение мощности электрооборудования</t>
  </si>
  <si>
    <t>Потребление ЭЭ КОП</t>
  </si>
  <si>
    <t>рублей в год</t>
  </si>
  <si>
    <t>Объем водоснабжение (общий)</t>
  </si>
  <si>
    <t>Среднегодовой тариф водоснабжение</t>
  </si>
  <si>
    <t>Потребление КОП (водоснабжение)</t>
  </si>
  <si>
    <t>Объем водоотведение (общий)</t>
  </si>
  <si>
    <t>м 3</t>
  </si>
  <si>
    <t>Среднегодовой тариф водоотведение</t>
  </si>
  <si>
    <t>Потребление КОП (водоотведение)</t>
  </si>
  <si>
    <t>Норма расхода ХВ на 1 условное блюдо  СНиП 2.04.01-85</t>
  </si>
  <si>
    <t>литр</t>
  </si>
  <si>
    <t>Норма расхода ГВ на 1 условное блюдо СНиП 2.04.01-85</t>
  </si>
  <si>
    <t>Кол-во посадочных мест,n</t>
  </si>
  <si>
    <t>место</t>
  </si>
  <si>
    <t>Кол-во посадок /час (для студенческих столовых), m</t>
  </si>
  <si>
    <t>Продолжительность смены, T</t>
  </si>
  <si>
    <t>час</t>
  </si>
  <si>
    <t xml:space="preserve">Коэффициент неравномерности потребления воды, </t>
  </si>
  <si>
    <t>Коэффициент неравномерности посадок,q</t>
  </si>
  <si>
    <t xml:space="preserve"> U Кол-во условных блюд/час U=2,2*n*m</t>
  </si>
  <si>
    <t>условное блюдо в час</t>
  </si>
  <si>
    <t>U Кол-во условных блюд/сут U=2,2*n*m*q*T</t>
  </si>
  <si>
    <t>условное блюдо в сутки</t>
  </si>
  <si>
    <t xml:space="preserve">Q расход  ХВ воды </t>
  </si>
  <si>
    <t>м3 в сутки</t>
  </si>
  <si>
    <t xml:space="preserve">Q расход  ГВ воды </t>
  </si>
  <si>
    <t xml:space="preserve">Потребление ГВ КОП </t>
  </si>
  <si>
    <t>Кол-во рабочих дней в году</t>
  </si>
  <si>
    <t>дней</t>
  </si>
  <si>
    <t>Потребление ХВ КОП (водоснабжение)</t>
  </si>
  <si>
    <t>Потребление ХВ КОП (водоотведение)</t>
  </si>
  <si>
    <t>Потребление ХВ КОП</t>
  </si>
  <si>
    <t>ИТОГО  КОП коммунальные услуги (расчет)</t>
  </si>
  <si>
    <t>ИТОГО КОП коммунальные услуги (расчет)</t>
  </si>
  <si>
    <t>рублей в месяц</t>
  </si>
  <si>
    <t>2. УСЛУГИ ПО СОДЕРЖАНИЮ ЗДАНИЯ</t>
  </si>
  <si>
    <t>Кол-во контейнеров для вывоза ТКО</t>
  </si>
  <si>
    <t>цена 1 контейнера 1,1 м3</t>
  </si>
  <si>
    <t xml:space="preserve"> Услуги по вывозу ТКО</t>
  </si>
  <si>
    <t>рублей/месяц</t>
  </si>
  <si>
    <t>Дератазация и дезинсекция помещений</t>
  </si>
  <si>
    <t>Услуги клининговой компании по обслуживанию общей площади объекта</t>
  </si>
  <si>
    <t>Стоимость обслуживания 1 м2 клининговой компанией</t>
  </si>
  <si>
    <t>Клининг (Уборка зала)</t>
  </si>
  <si>
    <t>Площадь оконных заполнений</t>
  </si>
  <si>
    <t>Цена 1 м2 мойки оконных заполнений</t>
  </si>
  <si>
    <t>рублей м2</t>
  </si>
  <si>
    <t>Услуги по мойке окон  1 раз в год</t>
  </si>
  <si>
    <t>ИТОГО КОП услуги по содержанию (расчет)</t>
  </si>
  <si>
    <t xml:space="preserve">ВСЕГО РАСХОДЫ </t>
  </si>
  <si>
    <t>Оплата труда штатных сотрудников (включая страховые взносы)</t>
  </si>
  <si>
    <t>Оплата труда по ГПХ (включая страховые взносы)</t>
  </si>
  <si>
    <t>Содержание имущества</t>
  </si>
  <si>
    <t>Посуда и хоз. инвентарь</t>
  </si>
  <si>
    <t>Прочие</t>
  </si>
  <si>
    <t>Расходы (сырье,тмц,химия,амортизация,прочее)</t>
  </si>
  <si>
    <t>кв. м.</t>
  </si>
  <si>
    <t>Итого</t>
  </si>
  <si>
    <t>Стоимость аренды КОП в год</t>
  </si>
  <si>
    <t>примерная площадь</t>
  </si>
  <si>
    <t>фактическая площадь</t>
  </si>
  <si>
    <t>Чистая прибыль</t>
  </si>
  <si>
    <t>Чистая прибыль нарастающим итогом</t>
  </si>
  <si>
    <t>Налоги</t>
  </si>
  <si>
    <t>Налог на прибыль</t>
  </si>
  <si>
    <t>Средняя цена аренды за кв. м. в год по г. Москва</t>
  </si>
  <si>
    <t>Площадь</t>
  </si>
  <si>
    <t>НДС</t>
  </si>
  <si>
    <t xml:space="preserve">Внутренние предпосылки </t>
  </si>
  <si>
    <t>Доля товаров, облагаемых НДС (в разрезе точек питания)</t>
  </si>
  <si>
    <t xml:space="preserve">Количество чеков (в разрезе точек питания) </t>
  </si>
  <si>
    <t xml:space="preserve">Сумма среднего чека (в разрезе точек питания) </t>
  </si>
  <si>
    <t>Среднее значение по КОП</t>
  </si>
  <si>
    <t>Стоимость расходов на 1 кв. м</t>
  </si>
  <si>
    <t>Общая площадь КОП</t>
  </si>
  <si>
    <t>Общая стоимость содержания КОП</t>
  </si>
  <si>
    <t>Года прогноза</t>
  </si>
  <si>
    <t xml:space="preserve">Комплексные обеды </t>
  </si>
  <si>
    <t>Доля доходов от КО</t>
  </si>
  <si>
    <t>Количество чеков</t>
  </si>
  <si>
    <t>Себестоимость КО</t>
  </si>
  <si>
    <t>Дополнительные доходы от КО</t>
  </si>
  <si>
    <t>Цена реализации КО</t>
  </si>
  <si>
    <t xml:space="preserve">Финановые показатели </t>
  </si>
  <si>
    <t>Точка безубыточности</t>
  </si>
  <si>
    <t>Сценарии</t>
  </si>
  <si>
    <t>Вычет НДС</t>
  </si>
  <si>
    <t>Сокращение операционных расходов (в части ФОТ персонала)</t>
  </si>
  <si>
    <t>Приложение № 2</t>
  </si>
  <si>
    <t>Категория персонала</t>
  </si>
  <si>
    <t>Должность</t>
  </si>
  <si>
    <t>АУП</t>
  </si>
  <si>
    <t>Директор</t>
  </si>
  <si>
    <t>Заведующий производством</t>
  </si>
  <si>
    <t>Заместитель директора</t>
  </si>
  <si>
    <t>Заместитель заведующего производством</t>
  </si>
  <si>
    <t>Территориальный управляющий</t>
  </si>
  <si>
    <t>Бухгалтер</t>
  </si>
  <si>
    <t>Инспектор санитарный</t>
  </si>
  <si>
    <t>ПОП</t>
  </si>
  <si>
    <t>Бармен</t>
  </si>
  <si>
    <t>Буфетчик</t>
  </si>
  <si>
    <t>Калькулятор</t>
  </si>
  <si>
    <t>Кладовщик</t>
  </si>
  <si>
    <t>Контролер-кассир</t>
  </si>
  <si>
    <t>Кухонный рабочий</t>
  </si>
  <si>
    <t>Мойщик посуды</t>
  </si>
  <si>
    <t>Официант</t>
  </si>
  <si>
    <t>Пекарь</t>
  </si>
  <si>
    <t>Повар</t>
  </si>
  <si>
    <t>Подсобный рабочий</t>
  </si>
  <si>
    <t>Уборщик производственных и служебных помещений</t>
  </si>
  <si>
    <t>Экспедитор</t>
  </si>
  <si>
    <t>Менеджер</t>
  </si>
  <si>
    <t>Администратор</t>
  </si>
  <si>
    <t>Заведующий столовой</t>
  </si>
  <si>
    <t>Заведующий экспедицией</t>
  </si>
  <si>
    <t>ИТОГО</t>
  </si>
  <si>
    <t xml:space="preserve">Количество необходимых ставок </t>
  </si>
  <si>
    <t>Наименование</t>
  </si>
  <si>
    <t>Страховые взносы (за месяц)</t>
  </si>
  <si>
    <t>Итого за год (тыс. руб.)</t>
  </si>
  <si>
    <t>НДФЛ</t>
  </si>
  <si>
    <t>Средняя заработная плата по г. Москва (на руки за месяц)</t>
  </si>
  <si>
    <t xml:space="preserve">Источники: </t>
  </si>
  <si>
    <t>https://hh.ru/?hhtmFrom=vacancy_search_list</t>
  </si>
  <si>
    <t>https://www.superjob.ru/</t>
  </si>
  <si>
    <t>Корректировка на инфляцию</t>
  </si>
  <si>
    <t>Повышение стоимости комплексного обеда</t>
  </si>
  <si>
    <t>Расходные материалы и химия</t>
  </si>
  <si>
    <t>Прочие расходы (статьи расходов, не вошедшие в другие статьи)</t>
  </si>
  <si>
    <t>Транспортные расходы</t>
  </si>
  <si>
    <t>Да</t>
  </si>
  <si>
    <t>Нет</t>
  </si>
  <si>
    <t>Дополнительные расходы от новых точек</t>
  </si>
  <si>
    <t>Расходы от новых точек питания</t>
  </si>
  <si>
    <t>Итого расходы</t>
  </si>
  <si>
    <t>столовая, кофейня</t>
  </si>
  <si>
    <t>Кол-во рабочих дней в году (6-дневная рабочая неделя)</t>
  </si>
  <si>
    <t>Кол-во контейнеров для вывоза ТКО (общий)</t>
  </si>
  <si>
    <t>Кол-во контейнеров для вывоза ТКО (КОП)</t>
  </si>
  <si>
    <t>рублей/ месяц</t>
  </si>
  <si>
    <t>Услуги по мойке окон  1 раз в год (общий)</t>
  </si>
  <si>
    <t>Услуги по мойке окон  1 раз в год (КОП)</t>
  </si>
  <si>
    <t>Услуги технической эксплуатации инженерных систем</t>
  </si>
  <si>
    <t>Услуги по очистке и дезинфекции системы вентиляции 1 раз в год (общий)</t>
  </si>
  <si>
    <t>Услуги по очистке и дезинфекции системы вентиляции 1 раз в год (КОП)</t>
  </si>
  <si>
    <t>Услуги по очистке жироуловителей (КОП)</t>
  </si>
  <si>
    <t>рублей/год</t>
  </si>
  <si>
    <t>Справка</t>
  </si>
  <si>
    <t>Данные требуют уточнению у КОП -</t>
  </si>
  <si>
    <t>2025 г.</t>
  </si>
  <si>
    <t>Коммунальные услуги</t>
  </si>
  <si>
    <t>ФОТ</t>
  </si>
  <si>
    <t>Количество ставок</t>
  </si>
  <si>
    <t>Оклад</t>
  </si>
  <si>
    <t xml:space="preserve">Аренда помещений </t>
  </si>
  <si>
    <t xml:space="preserve">Мероприятия </t>
  </si>
  <si>
    <t>Аренда помещений</t>
  </si>
  <si>
    <t>Содержание помещений и коммунальные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</si>
</sst>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-;\-* #,##0_-;_-* &quot;-&quot;??_-;_-@_-"/>
    <numFmt numFmtId="165" formatCode="0\Ф"/>
    <numFmt numFmtId="166" formatCode="#,##0_);\(#,##0\);\-_);@"/>
    <numFmt numFmtId="167" formatCode="#,##0_ ;\-#,##0\ "/>
    <numFmt numFmtId="168" formatCode="0.0%"/>
    <numFmt numFmtId="169" formatCode="#,##0.0"/>
    <numFmt numFmtId="170" formatCode="#,##0\ _₽"/>
    <numFmt numFmtId="171" formatCode="_-* #,##0.00_р_._-;\-* #,##0.00_р_._-;_-* &quot;-&quot;??_р_._-;_-@_-"/>
    <numFmt numFmtId="172" formatCode="_-* #,##0.000_-;\-* #,##0.000_-;_-* &quot;-&quot;??_-;_-@_-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b/>
      <sz val="12"/>
      <color theme="0"/>
      <name val="Arial Narrow"/>
      <family val="2"/>
      <charset val="204"/>
    </font>
    <font>
      <b/>
      <i/>
      <sz val="12"/>
      <color theme="0"/>
      <name val="Arial Narrow"/>
      <family val="2"/>
      <charset val="204"/>
    </font>
    <font>
      <b/>
      <i/>
      <sz val="11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color theme="3" tint="-0.499984740745262"/>
      <name val="Arial Narrow"/>
      <family val="2"/>
      <charset val="204"/>
    </font>
    <font>
      <b/>
      <sz val="11"/>
      <name val="Arial Narrow"/>
      <family val="2"/>
      <charset val="204"/>
    </font>
    <font>
      <b/>
      <sz val="10"/>
      <color theme="0"/>
      <name val="Arial Narrow"/>
      <family val="2"/>
      <charset val="204"/>
    </font>
    <font>
      <b/>
      <sz val="11"/>
      <color theme="0"/>
      <name val="Arial Narrow"/>
      <family val="2"/>
      <charset val="204"/>
    </font>
    <font>
      <b/>
      <sz val="12"/>
      <name val="Arial Narrow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i/>
      <sz val="10"/>
      <color theme="1"/>
      <name val="Arial Narrow"/>
      <family val="2"/>
      <charset val="204"/>
    </font>
    <font>
      <u/>
      <sz val="11"/>
      <color theme="10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sz val="16"/>
      <color theme="1"/>
      <name val="Arial Narrow"/>
      <family val="2"/>
      <charset val="204"/>
    </font>
    <font>
      <b/>
      <sz val="14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color indexed="63"/>
      <name val="Arial Narrow"/>
      <family val="2"/>
      <charset val="204"/>
    </font>
    <font>
      <sz val="10"/>
      <color rgb="FFFF0000"/>
      <name val="Arial Narrow"/>
      <family val="2"/>
      <charset val="204"/>
    </font>
    <font>
      <b/>
      <u/>
      <sz val="10"/>
      <color theme="1"/>
      <name val="Arial Narrow"/>
      <family val="2"/>
      <charset val="204"/>
    </font>
    <font>
      <b/>
      <sz val="10"/>
      <color indexed="63"/>
      <name val="Arial Narrow"/>
      <family val="2"/>
      <charset val="204"/>
    </font>
    <font>
      <b/>
      <sz val="10"/>
      <color rgb="FFFF0000"/>
      <name val="Arial Narrow"/>
      <family val="2"/>
      <charset val="204"/>
    </font>
    <font>
      <sz val="10"/>
      <name val="Arial Narrow"/>
      <family val="2"/>
      <charset val="204"/>
    </font>
    <font>
      <b/>
      <sz val="12"/>
      <color indexed="63"/>
      <name val="Arial Narrow"/>
      <family val="2"/>
      <charset val="204"/>
    </font>
    <font>
      <b/>
      <sz val="14"/>
      <color indexed="63"/>
      <name val="Arial Narrow"/>
      <family val="2"/>
      <charset val="204"/>
    </font>
    <font>
      <b/>
      <i/>
      <sz val="12"/>
      <color theme="1"/>
      <name val="Arial Narrow"/>
      <family val="2"/>
      <charset val="204"/>
    </font>
    <font>
      <sz val="11"/>
      <color rgb="FFFF0000"/>
      <name val="Arial Narrow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FAC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48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theme="0"/>
      </top>
      <bottom/>
      <diagonal/>
    </border>
    <border>
      <left/>
      <right/>
      <top style="thin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0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22" fillId="0" borderId="0"/>
    <xf numFmtId="171" fontId="6" fillId="0" borderId="0" applyFont="0" applyFill="0" applyBorder="0" applyAlignment="0" applyProtection="0"/>
    <xf numFmtId="0" fontId="5" fillId="0" borderId="0"/>
    <xf numFmtId="17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4" fillId="0" borderId="0"/>
    <xf numFmtId="17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30">
    <xf numFmtId="0" fontId="0" fillId="0" borderId="0" xfId="0"/>
    <xf numFmtId="0" fontId="8" fillId="0" borderId="0" xfId="0" applyFont="1"/>
    <xf numFmtId="164" fontId="8" fillId="0" borderId="0" xfId="1" applyNumberFormat="1" applyFont="1"/>
    <xf numFmtId="0" fontId="9" fillId="0" borderId="0" xfId="0" applyFont="1"/>
    <xf numFmtId="164" fontId="9" fillId="0" borderId="0" xfId="1" applyNumberFormat="1" applyFont="1"/>
    <xf numFmtId="0" fontId="11" fillId="2" borderId="0" xfId="0" applyFont="1" applyFill="1"/>
    <xf numFmtId="0" fontId="11" fillId="0" borderId="0" xfId="0" applyFont="1" applyAlignment="1">
      <alignment vertical="center" wrapText="1"/>
    </xf>
    <xf numFmtId="0" fontId="12" fillId="3" borderId="0" xfId="0" applyFont="1" applyFill="1"/>
    <xf numFmtId="0" fontId="12" fillId="3" borderId="0" xfId="0" applyFont="1" applyFill="1" applyAlignment="1">
      <alignment vertical="center"/>
    </xf>
    <xf numFmtId="0" fontId="13" fillId="3" borderId="0" xfId="0" applyFont="1" applyFill="1"/>
    <xf numFmtId="166" fontId="16" fillId="5" borderId="3" xfId="0" applyNumberFormat="1" applyFont="1" applyFill="1" applyBorder="1" applyAlignment="1">
      <alignment horizontal="left" inden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6" fontId="16" fillId="5" borderId="5" xfId="0" applyNumberFormat="1" applyFont="1" applyFill="1" applyBorder="1" applyAlignment="1">
      <alignment horizontal="left" indent="1"/>
    </xf>
    <xf numFmtId="165" fontId="15" fillId="0" borderId="4" xfId="0" applyNumberFormat="1" applyFont="1" applyBorder="1" applyAlignment="1">
      <alignment horizontal="left"/>
    </xf>
    <xf numFmtId="165" fontId="15" fillId="0" borderId="4" xfId="0" applyNumberFormat="1" applyFont="1" applyBorder="1" applyAlignment="1">
      <alignment horizontal="left" vertical="center"/>
    </xf>
    <xf numFmtId="0" fontId="10" fillId="0" borderId="4" xfId="1" applyNumberFormat="1" applyFont="1" applyBorder="1" applyAlignment="1">
      <alignment horizontal="center"/>
    </xf>
    <xf numFmtId="0" fontId="9" fillId="0" borderId="0" xfId="2" applyNumberFormat="1" applyFont="1" applyAlignment="1">
      <alignment horizontal="center"/>
    </xf>
    <xf numFmtId="9" fontId="8" fillId="0" borderId="0" xfId="2" applyFont="1" applyAlignment="1">
      <alignment horizontal="center"/>
    </xf>
    <xf numFmtId="0" fontId="17" fillId="6" borderId="0" xfId="0" applyFont="1" applyFill="1"/>
    <xf numFmtId="0" fontId="18" fillId="6" borderId="0" xfId="0" applyFont="1" applyFill="1" applyAlignment="1">
      <alignment vertical="center"/>
    </xf>
    <xf numFmtId="0" fontId="18" fillId="6" borderId="0" xfId="0" applyFont="1" applyFill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9" fillId="0" borderId="0" xfId="1" applyNumberFormat="1" applyFont="1" applyAlignment="1">
      <alignment horizontal="center" vertical="center"/>
    </xf>
    <xf numFmtId="0" fontId="15" fillId="6" borderId="0" xfId="0" applyFont="1" applyFill="1" applyAlignment="1">
      <alignment vertical="center"/>
    </xf>
    <xf numFmtId="167" fontId="17" fillId="6" borderId="0" xfId="0" applyNumberFormat="1" applyFont="1" applyFill="1"/>
    <xf numFmtId="164" fontId="11" fillId="2" borderId="0" xfId="0" applyNumberFormat="1" applyFont="1" applyFill="1"/>
    <xf numFmtId="0" fontId="18" fillId="7" borderId="0" xfId="0" applyFont="1" applyFill="1" applyAlignment="1">
      <alignment vertical="center"/>
    </xf>
    <xf numFmtId="0" fontId="18" fillId="7" borderId="0" xfId="0" applyFont="1" applyFill="1"/>
    <xf numFmtId="0" fontId="19" fillId="7" borderId="0" xfId="0" applyFont="1" applyFill="1" applyAlignment="1">
      <alignment vertical="center"/>
    </xf>
    <xf numFmtId="0" fontId="9" fillId="0" borderId="4" xfId="0" applyFont="1" applyBorder="1"/>
    <xf numFmtId="0" fontId="9" fillId="4" borderId="0" xfId="0" applyFont="1" applyFill="1" applyAlignment="1">
      <alignment horizontal="left" vertical="center"/>
    </xf>
    <xf numFmtId="164" fontId="11" fillId="4" borderId="0" xfId="1" applyNumberFormat="1" applyFont="1" applyFill="1"/>
    <xf numFmtId="164" fontId="11" fillId="2" borderId="0" xfId="1" applyNumberFormat="1" applyFont="1" applyFill="1" applyAlignment="1">
      <alignment horizontal="center"/>
    </xf>
    <xf numFmtId="164" fontId="20" fillId="6" borderId="0" xfId="0" applyNumberFormat="1" applyFont="1" applyFill="1" applyAlignment="1">
      <alignment vertical="center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/>
    <xf numFmtId="9" fontId="9" fillId="0" borderId="0" xfId="2" applyFont="1"/>
    <xf numFmtId="164" fontId="25" fillId="0" borderId="0" xfId="0" applyNumberFormat="1" applyFont="1" applyAlignment="1">
      <alignment vertical="center" wrapText="1"/>
    </xf>
    <xf numFmtId="0" fontId="25" fillId="0" borderId="0" xfId="0" applyFont="1"/>
    <xf numFmtId="0" fontId="11" fillId="2" borderId="0" xfId="0" applyFont="1" applyFill="1" applyAlignment="1">
      <alignment horizontal="center"/>
    </xf>
    <xf numFmtId="0" fontId="11" fillId="18" borderId="0" xfId="0" applyFont="1" applyFill="1"/>
    <xf numFmtId="0" fontId="11" fillId="2" borderId="20" xfId="0" applyFont="1" applyFill="1" applyBorder="1"/>
    <xf numFmtId="0" fontId="11" fillId="2" borderId="21" xfId="0" applyFont="1" applyFill="1" applyBorder="1"/>
    <xf numFmtId="0" fontId="9" fillId="18" borderId="0" xfId="0" applyFont="1" applyFill="1"/>
    <xf numFmtId="0" fontId="9" fillId="15" borderId="19" xfId="0" applyFont="1" applyFill="1" applyBorder="1"/>
    <xf numFmtId="0" fontId="9" fillId="14" borderId="19" xfId="0" applyFont="1" applyFill="1" applyBorder="1"/>
    <xf numFmtId="0" fontId="26" fillId="0" borderId="0" xfId="9"/>
    <xf numFmtId="1" fontId="9" fillId="14" borderId="0" xfId="0" applyNumberFormat="1" applyFont="1" applyFill="1" applyAlignment="1">
      <alignment horizontal="center"/>
    </xf>
    <xf numFmtId="1" fontId="9" fillId="15" borderId="0" xfId="0" applyNumberFormat="1" applyFont="1" applyFill="1" applyAlignment="1">
      <alignment horizontal="center"/>
    </xf>
    <xf numFmtId="1" fontId="11" fillId="18" borderId="0" xfId="0" applyNumberFormat="1" applyFont="1" applyFill="1"/>
    <xf numFmtId="43" fontId="11" fillId="2" borderId="22" xfId="1" applyFont="1" applyFill="1" applyBorder="1" applyAlignment="1">
      <alignment horizontal="center"/>
    </xf>
    <xf numFmtId="1" fontId="9" fillId="0" borderId="0" xfId="0" applyNumberFormat="1" applyFont="1"/>
    <xf numFmtId="0" fontId="9" fillId="0" borderId="24" xfId="0" applyFont="1" applyBorder="1"/>
    <xf numFmtId="0" fontId="11" fillId="0" borderId="24" xfId="0" applyFont="1" applyBorder="1"/>
    <xf numFmtId="164" fontId="11" fillId="0" borderId="24" xfId="1" applyNumberFormat="1" applyFont="1" applyBorder="1"/>
    <xf numFmtId="9" fontId="11" fillId="0" borderId="24" xfId="2" applyFont="1" applyBorder="1"/>
    <xf numFmtId="0" fontId="11" fillId="4" borderId="31" xfId="0" applyFont="1" applyFill="1" applyBorder="1"/>
    <xf numFmtId="0" fontId="11" fillId="4" borderId="31" xfId="0" applyFont="1" applyFill="1" applyBorder="1" applyAlignment="1">
      <alignment vertical="center"/>
    </xf>
    <xf numFmtId="0" fontId="14" fillId="4" borderId="31" xfId="0" applyFont="1" applyFill="1" applyBorder="1"/>
    <xf numFmtId="0" fontId="12" fillId="0" borderId="0" xfId="0" applyFont="1"/>
    <xf numFmtId="0" fontId="11" fillId="0" borderId="2" xfId="0" applyFont="1" applyBorder="1"/>
    <xf numFmtId="0" fontId="11" fillId="19" borderId="1" xfId="0" applyFont="1" applyFill="1" applyBorder="1"/>
    <xf numFmtId="0" fontId="11" fillId="19" borderId="2" xfId="0" applyFont="1" applyFill="1" applyBorder="1"/>
    <xf numFmtId="0" fontId="11" fillId="19" borderId="2" xfId="0" applyFont="1" applyFill="1" applyBorder="1" applyAlignment="1">
      <alignment vertical="center"/>
    </xf>
    <xf numFmtId="0" fontId="14" fillId="19" borderId="2" xfId="0" applyFont="1" applyFill="1" applyBorder="1"/>
    <xf numFmtId="0" fontId="11" fillId="20" borderId="1" xfId="0" applyFont="1" applyFill="1" applyBorder="1"/>
    <xf numFmtId="0" fontId="11" fillId="20" borderId="2" xfId="0" applyFont="1" applyFill="1" applyBorder="1"/>
    <xf numFmtId="0" fontId="11" fillId="20" borderId="2" xfId="0" applyFont="1" applyFill="1" applyBorder="1" applyAlignment="1">
      <alignment vertical="center"/>
    </xf>
    <xf numFmtId="0" fontId="14" fillId="20" borderId="2" xfId="0" applyFont="1" applyFill="1" applyBorder="1"/>
    <xf numFmtId="164" fontId="11" fillId="0" borderId="24" xfId="2" applyNumberFormat="1" applyFont="1" applyBorder="1"/>
    <xf numFmtId="164" fontId="9" fillId="0" borderId="24" xfId="1" applyNumberFormat="1" applyFont="1" applyBorder="1"/>
    <xf numFmtId="164" fontId="9" fillId="0" borderId="0" xfId="1" applyNumberFormat="1" applyFont="1" applyBorder="1"/>
    <xf numFmtId="164" fontId="11" fillId="0" borderId="0" xfId="2" applyNumberFormat="1" applyFont="1" applyBorder="1"/>
    <xf numFmtId="164" fontId="9" fillId="0" borderId="32" xfId="1" applyNumberFormat="1" applyFont="1" applyBorder="1"/>
    <xf numFmtId="172" fontId="9" fillId="0" borderId="0" xfId="1" applyNumberFormat="1" applyFont="1"/>
    <xf numFmtId="172" fontId="11" fillId="0" borderId="24" xfId="1" applyNumberFormat="1" applyFont="1" applyBorder="1"/>
    <xf numFmtId="164" fontId="11" fillId="0" borderId="0" xfId="1" applyNumberFormat="1" applyFont="1" applyBorder="1"/>
    <xf numFmtId="9" fontId="11" fillId="0" borderId="0" xfId="2" applyFont="1" applyBorder="1"/>
    <xf numFmtId="172" fontId="9" fillId="0" borderId="0" xfId="1" applyNumberFormat="1" applyFont="1" applyBorder="1"/>
    <xf numFmtId="165" fontId="15" fillId="0" borderId="0" xfId="0" applyNumberFormat="1" applyFont="1" applyAlignment="1">
      <alignment horizontal="left" vertical="center"/>
    </xf>
    <xf numFmtId="0" fontId="10" fillId="0" borderId="0" xfId="1" applyNumberFormat="1" applyFont="1" applyBorder="1" applyAlignment="1">
      <alignment horizontal="center"/>
    </xf>
    <xf numFmtId="9" fontId="9" fillId="0" borderId="0" xfId="2" applyFont="1" applyBorder="1"/>
    <xf numFmtId="43" fontId="9" fillId="0" borderId="0" xfId="1" applyFont="1" applyFill="1"/>
    <xf numFmtId="0" fontId="11" fillId="4" borderId="0" xfId="0" applyFont="1" applyFill="1"/>
    <xf numFmtId="0" fontId="11" fillId="4" borderId="0" xfId="0" applyFont="1" applyFill="1" applyAlignment="1">
      <alignment vertical="center"/>
    </xf>
    <xf numFmtId="0" fontId="14" fillId="4" borderId="0" xfId="0" applyFont="1" applyFill="1"/>
    <xf numFmtId="0" fontId="9" fillId="0" borderId="0" xfId="16" applyFont="1"/>
    <xf numFmtId="43" fontId="9" fillId="0" borderId="0" xfId="17" applyFont="1"/>
    <xf numFmtId="0" fontId="11" fillId="0" borderId="25" xfId="16" applyFont="1" applyBorder="1" applyAlignment="1">
      <alignment horizontal="center" vertical="top"/>
    </xf>
    <xf numFmtId="0" fontId="9" fillId="0" borderId="25" xfId="16" applyFont="1" applyBorder="1"/>
    <xf numFmtId="0" fontId="9" fillId="0" borderId="25" xfId="16" applyFont="1" applyBorder="1" applyAlignment="1">
      <alignment wrapText="1"/>
    </xf>
    <xf numFmtId="43" fontId="9" fillId="0" borderId="25" xfId="17" applyFont="1" applyBorder="1"/>
    <xf numFmtId="43" fontId="11" fillId="0" borderId="25" xfId="16" applyNumberFormat="1" applyFont="1" applyBorder="1"/>
    <xf numFmtId="0" fontId="11" fillId="0" borderId="25" xfId="16" applyFont="1" applyBorder="1"/>
    <xf numFmtId="0" fontId="28" fillId="0" borderId="0" xfId="16" applyFont="1"/>
    <xf numFmtId="0" fontId="9" fillId="0" borderId="0" xfId="0" applyFont="1" applyAlignment="1">
      <alignment wrapText="1"/>
    </xf>
    <xf numFmtId="43" fontId="9" fillId="0" borderId="0" xfId="1" applyFont="1" applyBorder="1"/>
    <xf numFmtId="0" fontId="11" fillId="0" borderId="0" xfId="0" applyFont="1" applyAlignment="1">
      <alignment horizontal="center" vertical="center" wrapText="1"/>
    </xf>
    <xf numFmtId="0" fontId="0" fillId="0" borderId="25" xfId="0" applyBorder="1"/>
    <xf numFmtId="0" fontId="21" fillId="0" borderId="25" xfId="0" applyFon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9" fontId="11" fillId="0" borderId="0" xfId="2" applyFont="1" applyFill="1" applyBorder="1"/>
    <xf numFmtId="9" fontId="9" fillId="0" borderId="0" xfId="2" applyFont="1" applyFill="1" applyBorder="1"/>
    <xf numFmtId="164" fontId="9" fillId="0" borderId="0" xfId="1" applyNumberFormat="1" applyFont="1" applyFill="1" applyBorder="1" applyAlignment="1">
      <alignment horizontal="center"/>
    </xf>
    <xf numFmtId="0" fontId="11" fillId="0" borderId="0" xfId="0" applyFont="1" applyAlignment="1">
      <alignment horizontal="left" vertical="center"/>
    </xf>
    <xf numFmtId="43" fontId="9" fillId="0" borderId="0" xfId="1" applyFont="1"/>
    <xf numFmtId="164" fontId="9" fillId="0" borderId="25" xfId="1" applyNumberFormat="1" applyFont="1" applyBorder="1" applyAlignment="1">
      <alignment wrapText="1"/>
    </xf>
    <xf numFmtId="164" fontId="9" fillId="0" borderId="25" xfId="1" applyNumberFormat="1" applyFont="1" applyBorder="1"/>
    <xf numFmtId="0" fontId="9" fillId="0" borderId="0" xfId="3" applyFont="1"/>
    <xf numFmtId="0" fontId="30" fillId="8" borderId="7" xfId="3" applyFont="1" applyFill="1" applyBorder="1" applyAlignment="1">
      <alignment horizontal="center" vertical="center" wrapText="1"/>
    </xf>
    <xf numFmtId="0" fontId="30" fillId="8" borderId="8" xfId="3" applyFont="1" applyFill="1" applyBorder="1" applyAlignment="1">
      <alignment horizontal="center" vertical="center" wrapText="1"/>
    </xf>
    <xf numFmtId="0" fontId="30" fillId="9" borderId="7" xfId="3" applyFont="1" applyFill="1" applyBorder="1" applyAlignment="1">
      <alignment horizontal="center" vertical="center" wrapText="1"/>
    </xf>
    <xf numFmtId="0" fontId="15" fillId="8" borderId="7" xfId="3" applyFont="1" applyFill="1" applyBorder="1" applyAlignment="1">
      <alignment horizontal="center" vertical="center" wrapText="1"/>
    </xf>
    <xf numFmtId="0" fontId="30" fillId="8" borderId="9" xfId="3" applyFont="1" applyFill="1" applyBorder="1" applyAlignment="1">
      <alignment horizontal="center" vertical="center" wrapText="1"/>
    </xf>
    <xf numFmtId="0" fontId="30" fillId="8" borderId="10" xfId="3" applyFont="1" applyFill="1" applyBorder="1" applyAlignment="1">
      <alignment horizontal="center" vertical="center" wrapText="1"/>
    </xf>
    <xf numFmtId="0" fontId="31" fillId="8" borderId="11" xfId="3" applyFont="1" applyFill="1" applyBorder="1" applyAlignment="1">
      <alignment horizontal="center" vertical="center" wrapText="1"/>
    </xf>
    <xf numFmtId="0" fontId="31" fillId="8" borderId="12" xfId="3" applyFont="1" applyFill="1" applyBorder="1" applyAlignment="1">
      <alignment horizontal="center" vertical="center" wrapText="1"/>
    </xf>
    <xf numFmtId="4" fontId="32" fillId="10" borderId="13" xfId="4" applyNumberFormat="1" applyFont="1" applyFill="1" applyBorder="1" applyAlignment="1">
      <alignment horizontal="right" vertical="top"/>
    </xf>
    <xf numFmtId="4" fontId="32" fillId="10" borderId="14" xfId="4" applyNumberFormat="1" applyFont="1" applyFill="1" applyBorder="1" applyAlignment="1">
      <alignment horizontal="right" vertical="top"/>
    </xf>
    <xf numFmtId="4" fontId="32" fillId="9" borderId="14" xfId="4" applyNumberFormat="1" applyFont="1" applyFill="1" applyBorder="1" applyAlignment="1">
      <alignment horizontal="right" vertical="top"/>
    </xf>
    <xf numFmtId="0" fontId="31" fillId="16" borderId="15" xfId="3" applyFont="1" applyFill="1" applyBorder="1" applyAlignment="1">
      <alignment horizontal="center" vertical="center" wrapText="1"/>
    </xf>
    <xf numFmtId="0" fontId="31" fillId="16" borderId="16" xfId="3" applyFont="1" applyFill="1" applyBorder="1" applyAlignment="1">
      <alignment horizontal="center" vertical="center" wrapText="1"/>
    </xf>
    <xf numFmtId="4" fontId="32" fillId="17" borderId="17" xfId="4" applyNumberFormat="1" applyFont="1" applyFill="1" applyBorder="1" applyAlignment="1">
      <alignment horizontal="right" vertical="top"/>
    </xf>
    <xf numFmtId="4" fontId="32" fillId="17" borderId="18" xfId="4" applyNumberFormat="1" applyFont="1" applyFill="1" applyBorder="1" applyAlignment="1">
      <alignment horizontal="right" vertical="top"/>
    </xf>
    <xf numFmtId="4" fontId="9" fillId="0" borderId="0" xfId="3" applyNumberFormat="1" applyFont="1"/>
    <xf numFmtId="0" fontId="31" fillId="8" borderId="15" xfId="3" applyFont="1" applyFill="1" applyBorder="1" applyAlignment="1">
      <alignment horizontal="center" vertical="center" wrapText="1"/>
    </xf>
    <xf numFmtId="0" fontId="31" fillId="8" borderId="16" xfId="3" applyFont="1" applyFill="1" applyBorder="1" applyAlignment="1">
      <alignment horizontal="center" vertical="center" wrapText="1"/>
    </xf>
    <xf numFmtId="4" fontId="32" fillId="10" borderId="17" xfId="4" applyNumberFormat="1" applyFont="1" applyFill="1" applyBorder="1" applyAlignment="1">
      <alignment horizontal="right" vertical="top"/>
    </xf>
    <xf numFmtId="4" fontId="32" fillId="10" borderId="18" xfId="4" applyNumberFormat="1" applyFont="1" applyFill="1" applyBorder="1" applyAlignment="1">
      <alignment horizontal="right" vertical="top"/>
    </xf>
    <xf numFmtId="4" fontId="33" fillId="10" borderId="18" xfId="4" applyNumberFormat="1" applyFont="1" applyFill="1" applyBorder="1" applyAlignment="1">
      <alignment horizontal="right" vertical="top"/>
    </xf>
    <xf numFmtId="4" fontId="32" fillId="10" borderId="17" xfId="4" applyNumberFormat="1" applyFont="1" applyFill="1" applyBorder="1" applyAlignment="1">
      <alignment horizontal="center" vertical="top"/>
    </xf>
    <xf numFmtId="4" fontId="32" fillId="10" borderId="18" xfId="4" applyNumberFormat="1" applyFont="1" applyFill="1" applyBorder="1" applyAlignment="1">
      <alignment horizontal="center" vertical="top"/>
    </xf>
    <xf numFmtId="168" fontId="31" fillId="8" borderId="15" xfId="3" applyNumberFormat="1" applyFont="1" applyFill="1" applyBorder="1" applyAlignment="1">
      <alignment horizontal="center" vertical="center" wrapText="1"/>
    </xf>
    <xf numFmtId="168" fontId="31" fillId="8" borderId="16" xfId="3" applyNumberFormat="1" applyFont="1" applyFill="1" applyBorder="1" applyAlignment="1">
      <alignment horizontal="center" vertical="center" wrapText="1"/>
    </xf>
    <xf numFmtId="168" fontId="32" fillId="10" borderId="17" xfId="4" applyNumberFormat="1" applyFont="1" applyFill="1" applyBorder="1" applyAlignment="1">
      <alignment horizontal="right" vertical="top"/>
    </xf>
    <xf numFmtId="168" fontId="32" fillId="10" borderId="18" xfId="4" applyNumberFormat="1" applyFont="1" applyFill="1" applyBorder="1" applyAlignment="1">
      <alignment horizontal="right" vertical="top"/>
    </xf>
    <xf numFmtId="168" fontId="9" fillId="0" borderId="0" xfId="3" applyNumberFormat="1" applyFont="1"/>
    <xf numFmtId="168" fontId="34" fillId="11" borderId="15" xfId="3" applyNumberFormat="1" applyFont="1" applyFill="1" applyBorder="1" applyAlignment="1">
      <alignment horizontal="center" vertical="center" wrapText="1"/>
    </xf>
    <xf numFmtId="168" fontId="31" fillId="11" borderId="16" xfId="3" applyNumberFormat="1" applyFont="1" applyFill="1" applyBorder="1" applyAlignment="1">
      <alignment horizontal="center" vertical="center" wrapText="1"/>
    </xf>
    <xf numFmtId="168" fontId="32" fillId="2" borderId="17" xfId="4" applyNumberFormat="1" applyFont="1" applyFill="1" applyBorder="1" applyAlignment="1">
      <alignment horizontal="right" vertical="top"/>
    </xf>
    <xf numFmtId="168" fontId="32" fillId="2" borderId="18" xfId="4" applyNumberFormat="1" applyFont="1" applyFill="1" applyBorder="1" applyAlignment="1">
      <alignment horizontal="right" vertical="top"/>
    </xf>
    <xf numFmtId="4" fontId="32" fillId="9" borderId="17" xfId="4" applyNumberFormat="1" applyFont="1" applyFill="1" applyBorder="1" applyAlignment="1">
      <alignment horizontal="right" vertical="top"/>
    </xf>
    <xf numFmtId="4" fontId="32" fillId="9" borderId="18" xfId="4" applyNumberFormat="1" applyFont="1" applyFill="1" applyBorder="1" applyAlignment="1">
      <alignment horizontal="right" vertical="top"/>
    </xf>
    <xf numFmtId="0" fontId="30" fillId="8" borderId="15" xfId="3" applyFont="1" applyFill="1" applyBorder="1" applyAlignment="1">
      <alignment horizontal="center" vertical="center" wrapText="1"/>
    </xf>
    <xf numFmtId="4" fontId="35" fillId="9" borderId="17" xfId="4" applyNumberFormat="1" applyFont="1" applyFill="1" applyBorder="1" applyAlignment="1">
      <alignment horizontal="right" vertical="top"/>
    </xf>
    <xf numFmtId="4" fontId="35" fillId="9" borderId="18" xfId="4" applyNumberFormat="1" applyFont="1" applyFill="1" applyBorder="1" applyAlignment="1">
      <alignment horizontal="right" vertical="top"/>
    </xf>
    <xf numFmtId="0" fontId="11" fillId="0" borderId="0" xfId="3" applyFont="1"/>
    <xf numFmtId="0" fontId="9" fillId="9" borderId="0" xfId="3" applyFont="1" applyFill="1"/>
    <xf numFmtId="4" fontId="35" fillId="10" borderId="17" xfId="4" applyNumberFormat="1" applyFont="1" applyFill="1" applyBorder="1" applyAlignment="1">
      <alignment horizontal="right" vertical="top"/>
    </xf>
    <xf numFmtId="4" fontId="35" fillId="10" borderId="18" xfId="4" applyNumberFormat="1" applyFont="1" applyFill="1" applyBorder="1" applyAlignment="1">
      <alignment horizontal="right" vertical="top"/>
    </xf>
    <xf numFmtId="0" fontId="31" fillId="12" borderId="15" xfId="3" applyFont="1" applyFill="1" applyBorder="1" applyAlignment="1">
      <alignment horizontal="center" vertical="center" wrapText="1"/>
    </xf>
    <xf numFmtId="0" fontId="31" fillId="12" borderId="16" xfId="3" applyFont="1" applyFill="1" applyBorder="1" applyAlignment="1">
      <alignment horizontal="center" vertical="center" wrapText="1"/>
    </xf>
    <xf numFmtId="169" fontId="32" fillId="13" borderId="17" xfId="4" applyNumberFormat="1" applyFont="1" applyFill="1" applyBorder="1" applyAlignment="1">
      <alignment horizontal="right" vertical="top"/>
    </xf>
    <xf numFmtId="169" fontId="32" fillId="13" borderId="18" xfId="4" applyNumberFormat="1" applyFont="1" applyFill="1" applyBorder="1" applyAlignment="1">
      <alignment horizontal="right" vertical="top"/>
    </xf>
    <xf numFmtId="0" fontId="11" fillId="0" borderId="16" xfId="3" applyFont="1" applyBorder="1"/>
    <xf numFmtId="4" fontId="32" fillId="13" borderId="17" xfId="4" applyNumberFormat="1" applyFont="1" applyFill="1" applyBorder="1" applyAlignment="1">
      <alignment horizontal="right" vertical="top"/>
    </xf>
    <xf numFmtId="4" fontId="32" fillId="13" borderId="18" xfId="4" applyNumberFormat="1" applyFont="1" applyFill="1" applyBorder="1" applyAlignment="1">
      <alignment horizontal="right" vertical="top"/>
    </xf>
    <xf numFmtId="170" fontId="32" fillId="10" borderId="17" xfId="4" applyNumberFormat="1" applyFont="1" applyFill="1" applyBorder="1" applyAlignment="1">
      <alignment horizontal="right" vertical="top"/>
    </xf>
    <xf numFmtId="170" fontId="32" fillId="10" borderId="18" xfId="4" applyNumberFormat="1" applyFont="1" applyFill="1" applyBorder="1" applyAlignment="1">
      <alignment horizontal="right" vertical="top"/>
    </xf>
    <xf numFmtId="0" fontId="34" fillId="11" borderId="15" xfId="3" applyFont="1" applyFill="1" applyBorder="1" applyAlignment="1">
      <alignment horizontal="center" vertical="center" wrapText="1"/>
    </xf>
    <xf numFmtId="0" fontId="31" fillId="11" borderId="16" xfId="3" applyFont="1" applyFill="1" applyBorder="1" applyAlignment="1">
      <alignment horizontal="center" vertical="center" wrapText="1"/>
    </xf>
    <xf numFmtId="4" fontId="35" fillId="2" borderId="17" xfId="4" applyNumberFormat="1" applyFont="1" applyFill="1" applyBorder="1" applyAlignment="1">
      <alignment horizontal="right" vertical="top"/>
    </xf>
    <xf numFmtId="4" fontId="35" fillId="2" borderId="18" xfId="4" applyNumberFormat="1" applyFont="1" applyFill="1" applyBorder="1" applyAlignment="1">
      <alignment horizontal="right" vertical="top"/>
    </xf>
    <xf numFmtId="3" fontId="32" fillId="13" borderId="17" xfId="4" applyNumberFormat="1" applyFont="1" applyFill="1" applyBorder="1" applyAlignment="1">
      <alignment horizontal="right" vertical="top"/>
    </xf>
    <xf numFmtId="0" fontId="11" fillId="9" borderId="0" xfId="3" applyFont="1" applyFill="1"/>
    <xf numFmtId="4" fontId="36" fillId="9" borderId="17" xfId="4" applyNumberFormat="1" applyFont="1" applyFill="1" applyBorder="1" applyAlignment="1">
      <alignment horizontal="right" vertical="top"/>
    </xf>
    <xf numFmtId="0" fontId="30" fillId="11" borderId="15" xfId="3" applyFont="1" applyFill="1" applyBorder="1" applyAlignment="1">
      <alignment horizontal="center" vertical="center" wrapText="1"/>
    </xf>
    <xf numFmtId="4" fontId="35" fillId="2" borderId="16" xfId="4" applyNumberFormat="1" applyFont="1" applyFill="1" applyBorder="1" applyAlignment="1">
      <alignment horizontal="right" vertical="top"/>
    </xf>
    <xf numFmtId="0" fontId="9" fillId="0" borderId="0" xfId="3" applyFont="1" applyAlignment="1">
      <alignment horizontal="center"/>
    </xf>
    <xf numFmtId="0" fontId="9" fillId="0" borderId="37" xfId="3" applyFont="1" applyBorder="1"/>
    <xf numFmtId="43" fontId="9" fillId="0" borderId="38" xfId="1" applyFont="1" applyBorder="1"/>
    <xf numFmtId="10" fontId="9" fillId="0" borderId="0" xfId="3" applyNumberFormat="1" applyFont="1" applyAlignment="1">
      <alignment horizontal="center"/>
    </xf>
    <xf numFmtId="9" fontId="9" fillId="0" borderId="0" xfId="3" applyNumberFormat="1" applyFont="1"/>
    <xf numFmtId="0" fontId="9" fillId="0" borderId="33" xfId="3" applyFont="1" applyBorder="1"/>
    <xf numFmtId="0" fontId="9" fillId="0" borderId="34" xfId="3" applyFont="1" applyBorder="1"/>
    <xf numFmtId="0" fontId="9" fillId="0" borderId="35" xfId="3" applyFont="1" applyBorder="1"/>
    <xf numFmtId="1" fontId="9" fillId="0" borderId="36" xfId="3" applyNumberFormat="1" applyFont="1" applyBorder="1"/>
    <xf numFmtId="43" fontId="29" fillId="0" borderId="38" xfId="1" applyFont="1" applyBorder="1"/>
    <xf numFmtId="0" fontId="9" fillId="0" borderId="0" xfId="19" applyFont="1"/>
    <xf numFmtId="0" fontId="10" fillId="0" borderId="25" xfId="19" applyFont="1" applyBorder="1" applyAlignment="1">
      <alignment horizontal="center"/>
    </xf>
    <xf numFmtId="0" fontId="30" fillId="8" borderId="25" xfId="19" applyFont="1" applyFill="1" applyBorder="1" applyAlignment="1">
      <alignment horizontal="center" vertical="center" wrapText="1"/>
    </xf>
    <xf numFmtId="0" fontId="30" fillId="8" borderId="26" xfId="19" applyFont="1" applyFill="1" applyBorder="1" applyAlignment="1">
      <alignment horizontal="center" vertical="center" wrapText="1"/>
    </xf>
    <xf numFmtId="0" fontId="30" fillId="8" borderId="27" xfId="19" applyFont="1" applyFill="1" applyBorder="1" applyAlignment="1">
      <alignment horizontal="center" vertical="center" wrapText="1"/>
    </xf>
    <xf numFmtId="0" fontId="15" fillId="8" borderId="25" xfId="19" applyFont="1" applyFill="1" applyBorder="1" applyAlignment="1">
      <alignment horizontal="center" vertical="center" wrapText="1"/>
    </xf>
    <xf numFmtId="0" fontId="30" fillId="8" borderId="28" xfId="19" applyFont="1" applyFill="1" applyBorder="1" applyAlignment="1">
      <alignment horizontal="center" vertical="center" wrapText="1"/>
    </xf>
    <xf numFmtId="0" fontId="30" fillId="8" borderId="41" xfId="19" applyFont="1" applyFill="1" applyBorder="1" applyAlignment="1">
      <alignment horizontal="center" vertical="center" wrapText="1"/>
    </xf>
    <xf numFmtId="3" fontId="11" fillId="8" borderId="25" xfId="19" applyNumberFormat="1" applyFont="1" applyFill="1" applyBorder="1" applyAlignment="1">
      <alignment horizontal="center" vertical="center" wrapText="1"/>
    </xf>
    <xf numFmtId="0" fontId="31" fillId="8" borderId="25" xfId="19" applyFont="1" applyFill="1" applyBorder="1" applyAlignment="1">
      <alignment horizontal="center" vertical="center" wrapText="1"/>
    </xf>
    <xf numFmtId="4" fontId="32" fillId="10" borderId="25" xfId="4" applyNumberFormat="1" applyFont="1" applyFill="1" applyBorder="1" applyAlignment="1">
      <alignment horizontal="right" vertical="top"/>
    </xf>
    <xf numFmtId="4" fontId="37" fillId="10" borderId="25" xfId="4" applyNumberFormat="1" applyFont="1" applyFill="1" applyBorder="1" applyAlignment="1">
      <alignment horizontal="right" vertical="top"/>
    </xf>
    <xf numFmtId="4" fontId="33" fillId="10" borderId="28" xfId="4" applyNumberFormat="1" applyFont="1" applyFill="1" applyBorder="1" applyAlignment="1">
      <alignment horizontal="right" vertical="top"/>
    </xf>
    <xf numFmtId="4" fontId="32" fillId="10" borderId="26" xfId="4" applyNumberFormat="1" applyFont="1" applyFill="1" applyBorder="1" applyAlignment="1">
      <alignment horizontal="right" vertical="top"/>
    </xf>
    <xf numFmtId="4" fontId="32" fillId="10" borderId="27" xfId="4" applyNumberFormat="1" applyFont="1" applyFill="1" applyBorder="1" applyAlignment="1">
      <alignment horizontal="right" vertical="top"/>
    </xf>
    <xf numFmtId="4" fontId="32" fillId="10" borderId="41" xfId="4" applyNumberFormat="1" applyFont="1" applyFill="1" applyBorder="1" applyAlignment="1">
      <alignment horizontal="right" vertical="top"/>
    </xf>
    <xf numFmtId="4" fontId="32" fillId="9" borderId="25" xfId="4" applyNumberFormat="1" applyFont="1" applyFill="1" applyBorder="1" applyAlignment="1">
      <alignment horizontal="right" vertical="top"/>
    </xf>
    <xf numFmtId="3" fontId="38" fillId="9" borderId="25" xfId="4" applyNumberFormat="1" applyFont="1" applyFill="1" applyBorder="1" applyAlignment="1">
      <alignment horizontal="right" vertical="top"/>
    </xf>
    <xf numFmtId="4" fontId="33" fillId="9" borderId="28" xfId="4" applyNumberFormat="1" applyFont="1" applyFill="1" applyBorder="1" applyAlignment="1">
      <alignment horizontal="right" vertical="top"/>
    </xf>
    <xf numFmtId="4" fontId="32" fillId="9" borderId="26" xfId="4" applyNumberFormat="1" applyFont="1" applyFill="1" applyBorder="1" applyAlignment="1">
      <alignment horizontal="right" vertical="top"/>
    </xf>
    <xf numFmtId="4" fontId="32" fillId="9" borderId="27" xfId="4" applyNumberFormat="1" applyFont="1" applyFill="1" applyBorder="1" applyAlignment="1">
      <alignment horizontal="right" vertical="top"/>
    </xf>
    <xf numFmtId="4" fontId="32" fillId="9" borderId="41" xfId="4" applyNumberFormat="1" applyFont="1" applyFill="1" applyBorder="1" applyAlignment="1">
      <alignment horizontal="right" vertical="top"/>
    </xf>
    <xf numFmtId="4" fontId="33" fillId="13" borderId="25" xfId="4" applyNumberFormat="1" applyFont="1" applyFill="1" applyBorder="1" applyAlignment="1">
      <alignment horizontal="right" vertical="top"/>
    </xf>
    <xf numFmtId="4" fontId="32" fillId="10" borderId="25" xfId="4" applyNumberFormat="1" applyFont="1" applyFill="1" applyBorder="1" applyAlignment="1">
      <alignment horizontal="center" vertical="top"/>
    </xf>
    <xf numFmtId="4" fontId="33" fillId="10" borderId="28" xfId="4" applyNumberFormat="1" applyFont="1" applyFill="1" applyBorder="1" applyAlignment="1">
      <alignment horizontal="center" vertical="top"/>
    </xf>
    <xf numFmtId="4" fontId="32" fillId="10" borderId="26" xfId="4" applyNumberFormat="1" applyFont="1" applyFill="1" applyBorder="1" applyAlignment="1">
      <alignment horizontal="center" vertical="top"/>
    </xf>
    <xf numFmtId="4" fontId="32" fillId="10" borderId="27" xfId="4" applyNumberFormat="1" applyFont="1" applyFill="1" applyBorder="1" applyAlignment="1">
      <alignment horizontal="center" vertical="top"/>
    </xf>
    <xf numFmtId="4" fontId="32" fillId="10" borderId="41" xfId="4" applyNumberFormat="1" applyFont="1" applyFill="1" applyBorder="1" applyAlignment="1">
      <alignment horizontal="center" vertical="top"/>
    </xf>
    <xf numFmtId="168" fontId="31" fillId="8" borderId="25" xfId="19" applyNumberFormat="1" applyFont="1" applyFill="1" applyBorder="1" applyAlignment="1">
      <alignment horizontal="center" vertical="center" wrapText="1"/>
    </xf>
    <xf numFmtId="168" fontId="32" fillId="10" borderId="25" xfId="4" applyNumberFormat="1" applyFont="1" applyFill="1" applyBorder="1" applyAlignment="1">
      <alignment horizontal="right" vertical="top"/>
    </xf>
    <xf numFmtId="168" fontId="33" fillId="10" borderId="28" xfId="4" applyNumberFormat="1" applyFont="1" applyFill="1" applyBorder="1" applyAlignment="1">
      <alignment horizontal="right" vertical="top"/>
    </xf>
    <xf numFmtId="168" fontId="32" fillId="10" borderId="26" xfId="4" applyNumberFormat="1" applyFont="1" applyFill="1" applyBorder="1" applyAlignment="1">
      <alignment horizontal="right" vertical="top"/>
    </xf>
    <xf numFmtId="168" fontId="32" fillId="10" borderId="27" xfId="4" applyNumberFormat="1" applyFont="1" applyFill="1" applyBorder="1" applyAlignment="1">
      <alignment horizontal="right" vertical="top"/>
    </xf>
    <xf numFmtId="168" fontId="32" fillId="10" borderId="41" xfId="4" applyNumberFormat="1" applyFont="1" applyFill="1" applyBorder="1" applyAlignment="1">
      <alignment horizontal="right" vertical="top"/>
    </xf>
    <xf numFmtId="168" fontId="9" fillId="0" borderId="0" xfId="19" applyNumberFormat="1" applyFont="1"/>
    <xf numFmtId="168" fontId="34" fillId="11" borderId="25" xfId="19" applyNumberFormat="1" applyFont="1" applyFill="1" applyBorder="1" applyAlignment="1">
      <alignment horizontal="center" vertical="center" wrapText="1"/>
    </xf>
    <xf numFmtId="168" fontId="31" fillId="11" borderId="25" xfId="19" applyNumberFormat="1" applyFont="1" applyFill="1" applyBorder="1" applyAlignment="1">
      <alignment horizontal="center" vertical="center" wrapText="1"/>
    </xf>
    <xf numFmtId="168" fontId="32" fillId="2" borderId="25" xfId="4" applyNumberFormat="1" applyFont="1" applyFill="1" applyBorder="1" applyAlignment="1">
      <alignment horizontal="right" vertical="top"/>
    </xf>
    <xf numFmtId="168" fontId="33" fillId="2" borderId="28" xfId="4" applyNumberFormat="1" applyFont="1" applyFill="1" applyBorder="1" applyAlignment="1">
      <alignment horizontal="right" vertical="top"/>
    </xf>
    <xf numFmtId="168" fontId="32" fillId="2" borderId="26" xfId="4" applyNumberFormat="1" applyFont="1" applyFill="1" applyBorder="1" applyAlignment="1">
      <alignment horizontal="right" vertical="top"/>
    </xf>
    <xf numFmtId="168" fontId="32" fillId="2" borderId="27" xfId="4" applyNumberFormat="1" applyFont="1" applyFill="1" applyBorder="1" applyAlignment="1">
      <alignment horizontal="right" vertical="top"/>
    </xf>
    <xf numFmtId="168" fontId="32" fillId="2" borderId="41" xfId="4" applyNumberFormat="1" applyFont="1" applyFill="1" applyBorder="1" applyAlignment="1">
      <alignment horizontal="right" vertical="top"/>
    </xf>
    <xf numFmtId="0" fontId="31" fillId="12" borderId="25" xfId="19" applyFont="1" applyFill="1" applyBorder="1" applyAlignment="1">
      <alignment horizontal="center" vertical="center" wrapText="1"/>
    </xf>
    <xf numFmtId="4" fontId="32" fillId="13" borderId="25" xfId="4" applyNumberFormat="1" applyFont="1" applyFill="1" applyBorder="1" applyAlignment="1">
      <alignment horizontal="right" vertical="top"/>
    </xf>
    <xf numFmtId="4" fontId="33" fillId="13" borderId="28" xfId="4" applyNumberFormat="1" applyFont="1" applyFill="1" applyBorder="1" applyAlignment="1">
      <alignment horizontal="right" vertical="top"/>
    </xf>
    <xf numFmtId="4" fontId="32" fillId="13" borderId="26" xfId="4" applyNumberFormat="1" applyFont="1" applyFill="1" applyBorder="1" applyAlignment="1">
      <alignment horizontal="right" vertical="top"/>
    </xf>
    <xf numFmtId="4" fontId="32" fillId="13" borderId="27" xfId="4" applyNumberFormat="1" applyFont="1" applyFill="1" applyBorder="1" applyAlignment="1">
      <alignment horizontal="right" vertical="top"/>
    </xf>
    <xf numFmtId="4" fontId="32" fillId="13" borderId="41" xfId="4" applyNumberFormat="1" applyFont="1" applyFill="1" applyBorder="1" applyAlignment="1">
      <alignment horizontal="right" vertical="top"/>
    </xf>
    <xf numFmtId="4" fontId="35" fillId="9" borderId="25" xfId="4" applyNumberFormat="1" applyFont="1" applyFill="1" applyBorder="1" applyAlignment="1">
      <alignment horizontal="right" vertical="top"/>
    </xf>
    <xf numFmtId="4" fontId="15" fillId="9" borderId="25" xfId="4" applyNumberFormat="1" applyFont="1" applyFill="1" applyBorder="1" applyAlignment="1">
      <alignment horizontal="right" vertical="top"/>
    </xf>
    <xf numFmtId="4" fontId="36" fillId="9" borderId="28" xfId="4" applyNumberFormat="1" applyFont="1" applyFill="1" applyBorder="1" applyAlignment="1">
      <alignment horizontal="right" vertical="top"/>
    </xf>
    <xf numFmtId="4" fontId="35" fillId="9" borderId="26" xfId="4" applyNumberFormat="1" applyFont="1" applyFill="1" applyBorder="1" applyAlignment="1">
      <alignment horizontal="right" vertical="top"/>
    </xf>
    <xf numFmtId="4" fontId="35" fillId="9" borderId="27" xfId="4" applyNumberFormat="1" applyFont="1" applyFill="1" applyBorder="1" applyAlignment="1">
      <alignment horizontal="right" vertical="top"/>
    </xf>
    <xf numFmtId="4" fontId="35" fillId="9" borderId="41" xfId="4" applyNumberFormat="1" applyFont="1" applyFill="1" applyBorder="1" applyAlignment="1">
      <alignment horizontal="right" vertical="top"/>
    </xf>
    <xf numFmtId="0" fontId="11" fillId="0" borderId="0" xfId="19" applyFont="1"/>
    <xf numFmtId="0" fontId="9" fillId="9" borderId="0" xfId="19" applyFont="1" applyFill="1"/>
    <xf numFmtId="4" fontId="35" fillId="10" borderId="25" xfId="4" applyNumberFormat="1" applyFont="1" applyFill="1" applyBorder="1" applyAlignment="1">
      <alignment horizontal="right" vertical="top"/>
    </xf>
    <xf numFmtId="4" fontId="36" fillId="10" borderId="28" xfId="4" applyNumberFormat="1" applyFont="1" applyFill="1" applyBorder="1" applyAlignment="1">
      <alignment horizontal="right" vertical="top"/>
    </xf>
    <xf numFmtId="4" fontId="35" fillId="10" borderId="26" xfId="4" applyNumberFormat="1" applyFont="1" applyFill="1" applyBorder="1" applyAlignment="1">
      <alignment horizontal="right" vertical="top"/>
    </xf>
    <xf numFmtId="4" fontId="35" fillId="10" borderId="27" xfId="4" applyNumberFormat="1" applyFont="1" applyFill="1" applyBorder="1" applyAlignment="1">
      <alignment horizontal="right" vertical="top"/>
    </xf>
    <xf numFmtId="4" fontId="35" fillId="10" borderId="41" xfId="4" applyNumberFormat="1" applyFont="1" applyFill="1" applyBorder="1" applyAlignment="1">
      <alignment horizontal="right" vertical="top"/>
    </xf>
    <xf numFmtId="169" fontId="32" fillId="13" borderId="25" xfId="4" applyNumberFormat="1" applyFont="1" applyFill="1" applyBorder="1" applyAlignment="1">
      <alignment horizontal="right" vertical="top"/>
    </xf>
    <xf numFmtId="169" fontId="33" fillId="13" borderId="28" xfId="4" applyNumberFormat="1" applyFont="1" applyFill="1" applyBorder="1" applyAlignment="1">
      <alignment horizontal="right" vertical="top"/>
    </xf>
    <xf numFmtId="169" fontId="32" fillId="13" borderId="26" xfId="4" applyNumberFormat="1" applyFont="1" applyFill="1" applyBorder="1" applyAlignment="1">
      <alignment horizontal="right" vertical="top"/>
    </xf>
    <xf numFmtId="169" fontId="32" fillId="13" borderId="27" xfId="4" applyNumberFormat="1" applyFont="1" applyFill="1" applyBorder="1" applyAlignment="1">
      <alignment horizontal="right" vertical="top"/>
    </xf>
    <xf numFmtId="169" fontId="32" fillId="13" borderId="41" xfId="4" applyNumberFormat="1" applyFont="1" applyFill="1" applyBorder="1" applyAlignment="1">
      <alignment horizontal="right" vertical="top"/>
    </xf>
    <xf numFmtId="4" fontId="32" fillId="10" borderId="28" xfId="4" applyNumberFormat="1" applyFont="1" applyFill="1" applyBorder="1" applyAlignment="1">
      <alignment horizontal="right" vertical="top"/>
    </xf>
    <xf numFmtId="0" fontId="11" fillId="0" borderId="25" xfId="19" applyFont="1" applyBorder="1"/>
    <xf numFmtId="4" fontId="31" fillId="13" borderId="25" xfId="4" applyNumberFormat="1" applyFont="1" applyFill="1" applyBorder="1" applyAlignment="1">
      <alignment horizontal="right" vertical="top"/>
    </xf>
    <xf numFmtId="4" fontId="31" fillId="13" borderId="28" xfId="4" applyNumberFormat="1" applyFont="1" applyFill="1" applyBorder="1" applyAlignment="1">
      <alignment horizontal="right" vertical="top"/>
    </xf>
    <xf numFmtId="4" fontId="31" fillId="13" borderId="26" xfId="4" applyNumberFormat="1" applyFont="1" applyFill="1" applyBorder="1" applyAlignment="1">
      <alignment horizontal="right" vertical="top"/>
    </xf>
    <xf numFmtId="4" fontId="31" fillId="13" borderId="27" xfId="4" applyNumberFormat="1" applyFont="1" applyFill="1" applyBorder="1" applyAlignment="1">
      <alignment horizontal="right" vertical="top"/>
    </xf>
    <xf numFmtId="4" fontId="31" fillId="13" borderId="41" xfId="4" applyNumberFormat="1" applyFont="1" applyFill="1" applyBorder="1" applyAlignment="1">
      <alignment horizontal="right" vertical="top"/>
    </xf>
    <xf numFmtId="170" fontId="32" fillId="10" borderId="25" xfId="4" applyNumberFormat="1" applyFont="1" applyFill="1" applyBorder="1" applyAlignment="1">
      <alignment horizontal="right" vertical="top"/>
    </xf>
    <xf numFmtId="170" fontId="33" fillId="10" borderId="28" xfId="4" applyNumberFormat="1" applyFont="1" applyFill="1" applyBorder="1" applyAlignment="1">
      <alignment horizontal="right" vertical="top"/>
    </xf>
    <xf numFmtId="170" fontId="32" fillId="10" borderId="26" xfId="4" applyNumberFormat="1" applyFont="1" applyFill="1" applyBorder="1" applyAlignment="1">
      <alignment horizontal="right" vertical="top"/>
    </xf>
    <xf numFmtId="170" fontId="32" fillId="10" borderId="27" xfId="4" applyNumberFormat="1" applyFont="1" applyFill="1" applyBorder="1" applyAlignment="1">
      <alignment horizontal="right" vertical="top"/>
    </xf>
    <xf numFmtId="170" fontId="32" fillId="10" borderId="41" xfId="4" applyNumberFormat="1" applyFont="1" applyFill="1" applyBorder="1" applyAlignment="1">
      <alignment horizontal="right" vertical="top"/>
    </xf>
    <xf numFmtId="4" fontId="32" fillId="13" borderId="28" xfId="4" applyNumberFormat="1" applyFont="1" applyFill="1" applyBorder="1" applyAlignment="1">
      <alignment horizontal="right" vertical="top"/>
    </xf>
    <xf numFmtId="0" fontId="34" fillId="11" borderId="25" xfId="19" applyFont="1" applyFill="1" applyBorder="1" applyAlignment="1">
      <alignment horizontal="center" vertical="center" wrapText="1"/>
    </xf>
    <xf numFmtId="0" fontId="31" fillId="11" borderId="25" xfId="19" applyFont="1" applyFill="1" applyBorder="1" applyAlignment="1">
      <alignment horizontal="center" vertical="center" wrapText="1"/>
    </xf>
    <xf numFmtId="4" fontId="35" fillId="2" borderId="25" xfId="4" applyNumberFormat="1" applyFont="1" applyFill="1" applyBorder="1" applyAlignment="1">
      <alignment horizontal="right" vertical="top"/>
    </xf>
    <xf numFmtId="4" fontId="36" fillId="2" borderId="28" xfId="4" applyNumberFormat="1" applyFont="1" applyFill="1" applyBorder="1" applyAlignment="1">
      <alignment horizontal="right" vertical="top"/>
    </xf>
    <xf numFmtId="4" fontId="35" fillId="2" borderId="26" xfId="4" applyNumberFormat="1" applyFont="1" applyFill="1" applyBorder="1" applyAlignment="1">
      <alignment horizontal="right" vertical="top"/>
    </xf>
    <xf numFmtId="4" fontId="35" fillId="2" borderId="27" xfId="4" applyNumberFormat="1" applyFont="1" applyFill="1" applyBorder="1" applyAlignment="1">
      <alignment horizontal="right" vertical="top"/>
    </xf>
    <xf numFmtId="4" fontId="35" fillId="2" borderId="41" xfId="4" applyNumberFormat="1" applyFont="1" applyFill="1" applyBorder="1" applyAlignment="1">
      <alignment horizontal="right" vertical="top"/>
    </xf>
    <xf numFmtId="3" fontId="31" fillId="13" borderId="25" xfId="4" applyNumberFormat="1" applyFont="1" applyFill="1" applyBorder="1" applyAlignment="1">
      <alignment horizontal="right" vertical="top"/>
    </xf>
    <xf numFmtId="3" fontId="31" fillId="13" borderId="28" xfId="4" applyNumberFormat="1" applyFont="1" applyFill="1" applyBorder="1" applyAlignment="1">
      <alignment horizontal="right" vertical="top"/>
    </xf>
    <xf numFmtId="3" fontId="31" fillId="13" borderId="26" xfId="4" applyNumberFormat="1" applyFont="1" applyFill="1" applyBorder="1" applyAlignment="1">
      <alignment horizontal="right" vertical="top"/>
    </xf>
    <xf numFmtId="3" fontId="31" fillId="13" borderId="27" xfId="4" applyNumberFormat="1" applyFont="1" applyFill="1" applyBorder="1" applyAlignment="1">
      <alignment horizontal="right" vertical="top"/>
    </xf>
    <xf numFmtId="3" fontId="31" fillId="13" borderId="41" xfId="4" applyNumberFormat="1" applyFont="1" applyFill="1" applyBorder="1" applyAlignment="1">
      <alignment horizontal="right" vertical="top"/>
    </xf>
    <xf numFmtId="4" fontId="35" fillId="9" borderId="28" xfId="4" applyNumberFormat="1" applyFont="1" applyFill="1" applyBorder="1" applyAlignment="1">
      <alignment horizontal="right" vertical="top"/>
    </xf>
    <xf numFmtId="0" fontId="11" fillId="9" borderId="0" xfId="19" applyFont="1" applyFill="1"/>
    <xf numFmtId="0" fontId="37" fillId="8" borderId="25" xfId="19" applyFont="1" applyFill="1" applyBorder="1" applyAlignment="1">
      <alignment horizontal="center" vertical="center" wrapText="1"/>
    </xf>
    <xf numFmtId="4" fontId="15" fillId="9" borderId="28" xfId="4" applyNumberFormat="1" applyFont="1" applyFill="1" applyBorder="1" applyAlignment="1">
      <alignment horizontal="right" vertical="top"/>
    </xf>
    <xf numFmtId="4" fontId="15" fillId="9" borderId="26" xfId="4" applyNumberFormat="1" applyFont="1" applyFill="1" applyBorder="1" applyAlignment="1">
      <alignment horizontal="right" vertical="top"/>
    </xf>
    <xf numFmtId="4" fontId="15" fillId="9" borderId="27" xfId="4" applyNumberFormat="1" applyFont="1" applyFill="1" applyBorder="1" applyAlignment="1">
      <alignment horizontal="right" vertical="top"/>
    </xf>
    <xf numFmtId="4" fontId="15" fillId="9" borderId="41" xfId="4" applyNumberFormat="1" applyFont="1" applyFill="1" applyBorder="1" applyAlignment="1">
      <alignment horizontal="right" vertical="top"/>
    </xf>
    <xf numFmtId="0" fontId="17" fillId="9" borderId="0" xfId="19" applyFont="1" applyFill="1"/>
    <xf numFmtId="0" fontId="30" fillId="11" borderId="25" xfId="19" applyFont="1" applyFill="1" applyBorder="1" applyAlignment="1">
      <alignment horizontal="center" vertical="center" wrapText="1"/>
    </xf>
    <xf numFmtId="4" fontId="35" fillId="2" borderId="28" xfId="4" applyNumberFormat="1" applyFont="1" applyFill="1" applyBorder="1" applyAlignment="1">
      <alignment horizontal="right" vertical="top"/>
    </xf>
    <xf numFmtId="4" fontId="35" fillId="2" borderId="29" xfId="4" applyNumberFormat="1" applyFont="1" applyFill="1" applyBorder="1" applyAlignment="1">
      <alignment horizontal="right" vertical="top"/>
    </xf>
    <xf numFmtId="4" fontId="35" fillId="2" borderId="45" xfId="4" applyNumberFormat="1" applyFont="1" applyFill="1" applyBorder="1" applyAlignment="1">
      <alignment horizontal="right" vertical="top"/>
    </xf>
    <xf numFmtId="4" fontId="35" fillId="2" borderId="30" xfId="4" applyNumberFormat="1" applyFont="1" applyFill="1" applyBorder="1" applyAlignment="1">
      <alignment horizontal="right" vertical="top"/>
    </xf>
    <xf numFmtId="3" fontId="39" fillId="21" borderId="25" xfId="4" applyNumberFormat="1" applyFont="1" applyFill="1" applyBorder="1" applyAlignment="1">
      <alignment horizontal="right" vertical="top"/>
    </xf>
    <xf numFmtId="0" fontId="31" fillId="8" borderId="46" xfId="19" applyFont="1" applyFill="1" applyBorder="1" applyAlignment="1">
      <alignment horizontal="center" vertical="center" wrapText="1"/>
    </xf>
    <xf numFmtId="0" fontId="31" fillId="8" borderId="47" xfId="19" applyFont="1" applyFill="1" applyBorder="1" applyAlignment="1">
      <alignment horizontal="center" vertical="center" wrapText="1"/>
    </xf>
    <xf numFmtId="4" fontId="32" fillId="10" borderId="47" xfId="4" applyNumberFormat="1" applyFont="1" applyFill="1" applyBorder="1" applyAlignment="1">
      <alignment horizontal="right" vertical="top"/>
    </xf>
    <xf numFmtId="4" fontId="33" fillId="10" borderId="47" xfId="4" applyNumberFormat="1" applyFont="1" applyFill="1" applyBorder="1" applyAlignment="1">
      <alignment horizontal="right" vertical="top"/>
    </xf>
    <xf numFmtId="0" fontId="40" fillId="0" borderId="0" xfId="19" applyFont="1" applyAlignment="1">
      <alignment horizontal="left"/>
    </xf>
    <xf numFmtId="0" fontId="9" fillId="0" borderId="0" xfId="19" applyFont="1" applyAlignment="1">
      <alignment horizontal="center"/>
    </xf>
    <xf numFmtId="0" fontId="41" fillId="0" borderId="0" xfId="19" applyFont="1"/>
    <xf numFmtId="0" fontId="10" fillId="0" borderId="0" xfId="19" applyFont="1" applyAlignment="1">
      <alignment horizontal="center"/>
    </xf>
    <xf numFmtId="0" fontId="9" fillId="13" borderId="19" xfId="19" applyFont="1" applyFill="1" applyBorder="1" applyAlignment="1">
      <alignment horizontal="center"/>
    </xf>
    <xf numFmtId="0" fontId="11" fillId="0" borderId="0" xfId="19" applyFont="1" applyAlignment="1">
      <alignment horizontal="right"/>
    </xf>
    <xf numFmtId="0" fontId="11" fillId="0" borderId="28" xfId="16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/>
    </xf>
    <xf numFmtId="164" fontId="11" fillId="0" borderId="25" xfId="1" applyNumberFormat="1" applyFont="1" applyBorder="1" applyAlignment="1">
      <alignment horizontal="center" wrapText="1"/>
    </xf>
    <xf numFmtId="164" fontId="11" fillId="0" borderId="28" xfId="1" applyNumberFormat="1" applyFont="1" applyBorder="1" applyAlignment="1">
      <alignment horizontal="center"/>
    </xf>
    <xf numFmtId="164" fontId="11" fillId="0" borderId="40" xfId="1" applyNumberFormat="1" applyFont="1" applyBorder="1" applyAlignment="1">
      <alignment horizontal="center"/>
    </xf>
    <xf numFmtId="164" fontId="11" fillId="0" borderId="41" xfId="1" applyNumberFormat="1" applyFont="1" applyBorder="1" applyAlignment="1">
      <alignment horizontal="center"/>
    </xf>
    <xf numFmtId="164" fontId="29" fillId="0" borderId="28" xfId="1" applyNumberFormat="1" applyFont="1" applyBorder="1" applyAlignment="1">
      <alignment horizontal="center"/>
    </xf>
    <xf numFmtId="164" fontId="29" fillId="0" borderId="40" xfId="1" applyNumberFormat="1" applyFont="1" applyBorder="1" applyAlignment="1">
      <alignment horizontal="center"/>
    </xf>
    <xf numFmtId="164" fontId="29" fillId="0" borderId="41" xfId="1" applyNumberFormat="1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28" xfId="16" applyFont="1" applyBorder="1" applyAlignment="1">
      <alignment horizontal="center"/>
    </xf>
    <xf numFmtId="0" fontId="11" fillId="0" borderId="41" xfId="16" applyFont="1" applyBorder="1" applyAlignment="1">
      <alignment horizontal="center"/>
    </xf>
    <xf numFmtId="0" fontId="27" fillId="0" borderId="33" xfId="16" applyFont="1" applyBorder="1" applyAlignment="1">
      <alignment horizontal="center" vertical="center"/>
    </xf>
    <xf numFmtId="0" fontId="27" fillId="0" borderId="34" xfId="16" applyFont="1" applyBorder="1" applyAlignment="1">
      <alignment horizontal="center" vertical="center"/>
    </xf>
    <xf numFmtId="0" fontId="27" fillId="0" borderId="37" xfId="16" applyFont="1" applyBorder="1" applyAlignment="1">
      <alignment horizontal="center" vertical="center"/>
    </xf>
    <xf numFmtId="0" fontId="27" fillId="0" borderId="38" xfId="16" applyFont="1" applyBorder="1" applyAlignment="1">
      <alignment horizontal="center" vertical="center"/>
    </xf>
    <xf numFmtId="0" fontId="11" fillId="0" borderId="23" xfId="16" applyFont="1" applyBorder="1" applyAlignment="1">
      <alignment horizontal="center" vertical="top" wrapText="1"/>
    </xf>
    <xf numFmtId="0" fontId="11" fillId="0" borderId="39" xfId="16" applyFont="1" applyBorder="1" applyAlignment="1">
      <alignment horizontal="center" vertical="top" wrapText="1"/>
    </xf>
    <xf numFmtId="0" fontId="11" fillId="0" borderId="25" xfId="16" applyFont="1" applyBorder="1" applyAlignment="1">
      <alignment horizontal="center" vertical="top"/>
    </xf>
    <xf numFmtId="0" fontId="10" fillId="0" borderId="6" xfId="3" applyFont="1" applyBorder="1" applyAlignment="1">
      <alignment horizontal="center"/>
    </xf>
    <xf numFmtId="0" fontId="10" fillId="8" borderId="25" xfId="19" applyFont="1" applyFill="1" applyBorder="1" applyAlignment="1">
      <alignment horizontal="center" vertical="center" wrapText="1"/>
    </xf>
    <xf numFmtId="0" fontId="10" fillId="0" borderId="6" xfId="19" applyFont="1" applyBorder="1" applyAlignment="1">
      <alignment horizontal="center"/>
    </xf>
    <xf numFmtId="0" fontId="10" fillId="0" borderId="0" xfId="19" applyFont="1" applyAlignment="1">
      <alignment horizontal="center"/>
    </xf>
    <xf numFmtId="0" fontId="10" fillId="0" borderId="25" xfId="19" applyFont="1" applyBorder="1" applyAlignment="1">
      <alignment horizontal="center"/>
    </xf>
    <xf numFmtId="0" fontId="30" fillId="8" borderId="25" xfId="19" applyFont="1" applyFill="1" applyBorder="1" applyAlignment="1">
      <alignment horizontal="center" vertical="center" wrapText="1"/>
    </xf>
    <xf numFmtId="0" fontId="30" fillId="9" borderId="25" xfId="19" applyFont="1" applyFill="1" applyBorder="1" applyAlignment="1">
      <alignment horizontal="center" vertical="center" wrapText="1"/>
    </xf>
    <xf numFmtId="0" fontId="36" fillId="8" borderId="28" xfId="19" applyFont="1" applyFill="1" applyBorder="1" applyAlignment="1">
      <alignment horizontal="center" vertical="center" wrapText="1"/>
    </xf>
    <xf numFmtId="0" fontId="10" fillId="0" borderId="42" xfId="19" applyFont="1" applyBorder="1" applyAlignment="1">
      <alignment horizontal="center"/>
    </xf>
    <xf numFmtId="0" fontId="10" fillId="0" borderId="43" xfId="19" applyFont="1" applyBorder="1" applyAlignment="1">
      <alignment horizontal="center"/>
    </xf>
    <xf numFmtId="0" fontId="10" fillId="0" borderId="44" xfId="19" applyFont="1" applyBorder="1" applyAlignment="1">
      <alignment horizontal="center"/>
    </xf>
    <xf numFmtId="0" fontId="30" fillId="8" borderId="41" xfId="19" applyFont="1" applyFill="1" applyBorder="1" applyAlignment="1">
      <alignment horizontal="center" vertical="center" wrapText="1"/>
    </xf>
  </cellXfs>
  <cellStyles count="20">
    <cellStyle name="Гиперссылка" xfId="9" builtinId="8"/>
    <cellStyle name="Обычный" xfId="0" builtinId="0"/>
    <cellStyle name="Обычный 2" xfId="3" xr:uid="{00000000-0005-0000-0000-000002000000}"/>
    <cellStyle name="Обычный 2 88" xfId="4" xr:uid="{00000000-0005-0000-0000-000003000000}"/>
    <cellStyle name="Обычный 3" xfId="6" xr:uid="{00000000-0005-0000-0000-000004000000}"/>
    <cellStyle name="Обычный 4" xfId="10" xr:uid="{00000000-0005-0000-0000-000005000000}"/>
    <cellStyle name="Обычный 5" xfId="16" xr:uid="{00000000-0005-0000-0000-000006000000}"/>
    <cellStyle name="Обычный 6" xfId="13" xr:uid="{00000000-0005-0000-0000-000007000000}"/>
    <cellStyle name="Обычный 7" xfId="19" xr:uid="{00000000-0005-0000-0000-000008000000}"/>
    <cellStyle name="Процентный" xfId="2" builtinId="5"/>
    <cellStyle name="Процентный 2" xfId="8" xr:uid="{00000000-0005-0000-0000-00000B000000}"/>
    <cellStyle name="Процентный 3" xfId="12" xr:uid="{00000000-0005-0000-0000-00000C000000}"/>
    <cellStyle name="Процентный 4" xfId="15" xr:uid="{00000000-0005-0000-0000-00000D000000}"/>
    <cellStyle name="Процентный 5" xfId="14" xr:uid="{00000000-0005-0000-0000-00000E000000}"/>
    <cellStyle name="Процентный 6" xfId="18" xr:uid="{00000000-0005-0000-0000-00000F000000}"/>
    <cellStyle name="Финансовый" xfId="1" builtinId="3"/>
    <cellStyle name="Финансовый 2" xfId="5" xr:uid="{00000000-0005-0000-0000-000011000000}"/>
    <cellStyle name="Финансовый 3" xfId="7" xr:uid="{00000000-0005-0000-0000-000012000000}"/>
    <cellStyle name="Финансовый 4" xfId="11" xr:uid="{00000000-0005-0000-0000-000013000000}"/>
    <cellStyle name="Финансовый 5" xfId="17" xr:uid="{00000000-0005-0000-0000-000014000000}"/>
  </cellStyles>
  <dxfs count="0"/>
  <tableStyles count="0" defaultTableStyle="TableStyleMedium2" defaultPivotStyle="PivotStyleLight16"/>
  <colors>
    <mruColors>
      <color rgb="FF33CA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8" Type="http://schemas.openxmlformats.org/officeDocument/2006/relationships/externalLink" Target="externalLinks/externalLink2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7;&#1045;&#1056;&#1045;&#1046;&#1040;/&#1050;&#1086;&#1085;&#1089;&#1072;&#1083;&#1090;&#1080;&#1085;&#1075;/&#1041;&#1080;&#1079;&#1085;&#1077;&#1089;-&#1087;&#1083;&#1072;&#1085;&#1080;&#1088;&#1086;&#1074;&#1072;&#1085;&#1080;&#1077;/&#1055;&#1088;&#1086;&#1077;&#1082;&#1090;&#1099;/&#1058;&#1051;&#1058;%20&#1053;&#1077;&#1093;&#1086;&#1090;&#1077;&#1077;&#1074;&#1082;&#1072;/&#1058;&#1051;&#1058;%20&#1085;&#109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1055;&#1086;&#1083;&#1100;&#1079;&#1086;&#1074;&#1072;&#1090;&#1077;&#1083;&#1100;/&#1056;&#1072;&#1073;&#1086;&#1095;&#1080;&#1081;%20&#1089;&#1090;&#1086;&#1083;/&#1089;&#1074;&#1080;&#1085;&#1086;&#1082;&#1086;&#1084;&#1087;&#1083;&#1077;&#1082;&#1089;%20&#1085;&#1072;%20120%20&#1090;&#1099;&#1089;%20&#1075;&#1086;&#1083;&#1086;&#1074;/&#1056;&#1072;&#1089;&#1095;&#1105;&#1090;&#1099;%20&#1057;&#1091;&#1089;&#1083;&#1086;&#1074;&#1072;/&#1057;&#1045;&#1056;&#1045;&#1046;&#1040;/&#1050;&#1086;&#1085;&#1089;&#1072;&#1083;&#1090;&#1080;&#1085;&#1075;/&#1041;&#1080;&#1079;&#1085;&#1077;&#1089;-&#1087;&#1083;&#1072;&#1085;&#1080;&#1088;&#1086;&#1074;&#1072;&#1085;&#1080;&#1077;/&#1055;&#1088;&#1086;&#1077;&#1082;&#1090;&#1099;/&#1058;&#1051;&#1058;%20&#1053;&#1077;&#1093;&#1086;&#1090;&#1077;&#1077;&#1074;&#1082;&#1072;/&#1058;&#1051;&#1058;%20&#1085;&#109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6DD448A8/&#1041;&#1055;%20&#1058;&#1041;&#1054;%20&#1040;&#1082;&#1090;&#1086;&#1073;&#107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80;&#1093;&#1072;&#1080;&#1083;/Documents/&#1044;&#1086;&#1082;&#1091;&#1084;&#1077;&#1085;&#1090;&#1099;%20&#1040;&#1085;&#1092;&#1080;&#1085;&#1086;&#1075;&#1077;&#1085;&#1086;&#1074;/&#1056;&#1072;&#1089;&#1095;&#1077;&#1090;&#1099;,%20&#1041;&#1055;/2010-2011/65_&#1069;&#1083;&#1077;&#1074;&#1072;&#1090;&#1086;&#1088;&#1099;/_&#1056;&#1072;&#1089;&#1095;&#1077;&#1090;&#1099;/Documents%20and%20Settings/b_altynbai/&#1052;&#1086;&#1080;%20&#1076;&#1086;&#1082;&#1091;&#1084;&#1077;&#1085;&#1090;&#1099;/&#1052;&#1086;&#1080;%20&#1087;&#1088;&#1086;&#1077;&#1082;&#1090;&#1099;/&#1060;&#1072;&#1088;&#1084;%20&#1043;&#1083;&#1072;&#1089;&#1089;/+&#1058;&#1041;&#1054;-&#1040;&#1082;&#1090;&#1086;&#1073;&#1077;_board/&#1047;&#1072;&#1082;&#1083;&#1102;&#1095;&#1077;&#1085;&#1080;&#1077;/&#1041;&#1055;%20&#1058;&#1041;&#1054;%20&#1040;&#1082;&#1090;&#1086;&#1073;&#107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1064;&#1072;&#1084;&#1072;&#1077;&#1074;/Application%20Data/Microsoft/Excel/&#1055;&#1077;&#1088;&#1077;&#1088;&#1072;&#1073;&#1086;&#1090;&#1082;&#1072;%20&#1084;&#1086;&#1083;&#1086;&#1082;&#1072;%202%20(version%20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7;&#1045;&#1056;&#1045;&#1046;&#1040;/&#1050;&#1086;&#1085;&#1089;&#1072;&#1083;&#1090;&#1080;&#1085;&#1075;/&#1041;&#1080;&#1079;&#1085;&#1077;&#1089;-&#1087;&#1083;&#1072;&#1085;&#1080;&#1088;&#1086;&#1074;&#1072;&#1085;&#1080;&#1077;/&#1055;&#1088;&#1086;&#1077;&#1082;&#1090;&#1099;/&#1041;&#1080;&#1086;&#1088;&#1086;&#1089;&#1072;&#1075;&#1088;&#1086;/&#1055;&#1086;&#1082;&#1088;&#1086;&#1074;&#1089;&#1082;&#1086;&#107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anastasia.sizova/Desktop/&#1060;&#1080;&#1085;&#1084;&#1086;&#1076;&#1077;&#1083;&#1100;_&#1055;&#1072;&#1088;&#1080;&#1090;&#1077;&#1090;_08.08.2011_workin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40;&#1056;&#1058;&#1040;&#1042;&#1045;&#1053;&#1050;&#1054;/&#1050;&#1086;&#1085;&#1089;&#1072;&#1083;&#1090;&#1080;&#1085;&#1075;/&#1041;&#1080;&#1079;&#1085;&#1077;&#1089;-&#1087;&#1083;&#1072;&#1085;&#1080;&#1088;&#1086;&#1074;&#1072;&#1085;&#1080;&#1077;/&#1055;&#1088;&#1086;&#1077;&#1082;&#1090;&#1099;%20&#1085;&#1072;%20&#1089;&#1072;&#1081;&#1090;/28.&#1041;&#1055;%20&#1091;&#1073;&#1086;&#1081;&#1085;&#1086;&#1075;&#1086;%20&#1094;&#1077;&#1093;&#1072;/&#1059;&#1073;&#1086;&#1081;&#1085;&#1099;&#1081;%20&#1094;&#1077;&#1093;%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Pdc/&#1086;&#1073;&#1097;&#1080;&#1077;%20&#1076;&#1086;&#1082;&#1091;&#1084;&#1077;&#1085;&#1090;&#1099;/Documents%20and%20Settings/m_anfinogenov/&#1056;&#1072;&#1073;&#1086;&#1095;&#1080;&#1081;%20&#1089;&#1090;&#1086;&#1083;/&#1047;&#1086;&#1083;&#1086;&#1090;&#1086;&#1081;%20&#1087;&#1088;&#1080;&#1080;&#1089;&#108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BAL_&#1047;&#1077;&#1088;&#1085;&#1051;&#105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7;&#1045;&#1056;&#1045;&#1046;&#1040;/&#1050;&#1086;&#1085;&#1089;&#1072;&#1083;&#1090;&#1080;&#1085;&#1075;/&#1041;&#1080;&#1079;&#1085;&#1077;&#1089;-&#1087;&#1083;&#1072;&#1085;&#1080;&#1088;&#1086;&#1074;&#1072;&#1085;&#1080;&#1077;/&#1055;&#1088;&#1086;&#1077;&#1082;&#1090;&#1099;/&#1055;&#1088;&#1086;&#1084;&#1090;&#1077;&#1093;&#1085;&#1086;&#1083;&#1086;&#1075;&#1080;&#1103;/&#1055;&#1086;&#1082;&#1088;&#1086;&#1074;&#1089;&#1082;&#1086;&#107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dc/&#1086;&#1073;&#1097;&#1080;&#1077;%20&#1076;&#1086;&#1082;&#1091;&#1084;&#1077;&#1085;&#1090;&#1099;/Documents%20and%20Settings/kusmanov/&#1052;&#1086;&#1080;%20&#1076;&#1086;&#1082;&#1091;&#1084;&#1077;&#1085;&#1090;&#1099;/&#1048;&#1085;&#1092;&#1086;&#1088;&#1084;/&#1041;&#1087;%20breton/&#1041;&#1087;%20bret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dc/&#1086;&#1073;&#1097;&#1080;&#1077;%20&#1076;&#1086;&#1082;&#1091;&#1084;&#1077;&#1085;&#1090;&#1099;/DOCUME~1/GH_KUS~1/LOCALS~1/Temp/bat/&#1041;&#1055;%20&#1082;&#1080;&#1088;%20&#1079;&#1072;&#1074;&#1086;&#1076;%203.3%20%20(40%20&#1084;&#1083;&#1085;.%20+20%20&#1079;&#1072;&#1073;&#1091;&#1090;%20&#1088;&#1077;&#1072;&#1083;%20&#1085;&#1072;%2018.07.06%20&#1076;&#1083;&#1103;%20&#1040;&#1060;%20&#1091;&#1074;&#1077;&#1083;%20&#1082;&#1091;&#1088;&#1089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40;&#1056;&#1058;&#1040;&#1042;&#1045;&#1053;&#1050;&#1054;/&#1050;&#1086;&#1085;&#1089;&#1072;&#1083;&#1090;&#1080;&#1085;&#1075;/&#1041;&#1080;&#1079;&#1085;&#1077;&#1089;-&#1087;&#1083;&#1072;&#1085;&#1080;&#1088;&#1086;&#1074;&#1072;&#1085;&#1080;&#1077;/&#1055;&#1088;&#1086;&#1077;&#1082;&#1090;&#1099;%20&#1085;&#1072;%20&#1089;&#1072;&#1081;&#1090;/&#1041;&#1055;%20&#1084;&#1072;&#1075;&#1072;&#1079;&#1080;&#1085;%20&#1075;&#1086;&#1090;&#1086;&#1074;&#1086;&#1075;&#1086;%20&#1096;&#1072;&#1096;&#1083;&#1099;&#1082;&#1072;/&#1052;&#1086;&#1076;&#1077;&#1083;&#1100;%20&#1064;&#1072;&#1096;&#1083;&#1099;&#1082;%2031.1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40;&#1056;&#1058;&#1040;&#1042;&#1045;&#1053;&#1050;&#1054;/&#1050;&#1086;&#1085;&#1089;&#1072;&#1083;&#1090;&#1080;&#1085;&#1075;/&#1041;&#1080;&#1079;&#1085;&#1077;&#1089;-&#1087;&#1083;&#1072;&#1085;&#1080;&#1088;&#1086;&#1074;&#1072;&#1085;&#1080;&#1077;/&#1055;&#1088;&#1086;&#1077;&#1082;&#1090;&#1099;%20&#1085;&#1072;%20&#1089;&#1072;&#1081;&#1090;/20.&#1041;&#1055;%20&#1075;&#1086;&#1089;&#1090;&#1080;&#1085;&#1080;&#1094;&#1099;/&#1041;&#1055;%20&#1043;&#1086;&#1089;&#1090;&#1080;&#1085;&#1080;&#1094;&#1072;%20&#1084;&#1072;&#1081;/&#1043;&#1086;&#1089;&#1090;&#1080;&#1085;&#1080;&#1094;&#1072;%2026.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7;&#1045;&#1056;&#1045;&#1046;&#1040;/&#1050;&#1086;&#1085;&#1089;&#1072;&#1083;&#1090;&#1080;&#1085;&#1075;/&#1041;&#1080;&#1079;&#1085;&#1077;&#1089;-&#1087;&#1083;&#1072;&#1085;&#1080;&#1088;&#1086;&#1074;&#1072;&#1085;&#1080;&#1077;/&#1055;&#1088;&#1086;&#1077;&#1082;&#1090;&#1099;%20&#1085;&#1072;%20&#1089;&#1072;&#1081;&#1090;/&#1041;&#1055;%20&#1084;&#1072;&#1075;&#1072;&#1079;&#1080;&#1085;&#1072;%20&#1087;&#1088;&#1086;&#1076;&#1091;&#1082;&#1090;&#1086;&#1074;/&#1043;&#1086;&#1090;&#1086;&#1074;&#1099;&#1081;/&#1044;&#1080;&#1089;&#1082;&#1072;&#1091;&#1085;&#1090;&#1077;&#1088;%20&#1086;&#1076;&#1077;&#1078;&#1076;&#109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40;&#1056;&#1058;&#1040;&#1042;&#1045;&#1053;&#1050;&#1054;/&#1050;&#1086;&#1085;&#1089;&#1072;&#1083;&#1090;&#1080;&#1085;&#1075;/&#1041;&#1080;&#1079;&#1085;&#1077;&#1089;-&#1087;&#1083;&#1072;&#1085;&#1080;&#1088;&#1086;&#1074;&#1072;&#1085;&#1080;&#1077;/&#1055;&#1088;&#1086;&#1077;&#1082;&#1090;&#1099;/&#1054;&#1088;&#1077;&#1085;&#1073;&#1091;&#1088;&#1075;/5900/&#1052;&#1086;&#1076;&#1077;&#1083;&#1100;_5900-&#1041;%20(16%200511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40;&#1056;&#1058;&#1040;&#1042;&#1045;&#1053;&#1050;&#1054;/&#1050;&#1086;&#1085;&#1089;&#1072;&#1083;&#1090;&#1080;&#1085;&#1075;/&#1041;&#1080;&#1079;&#1085;&#1077;&#1089;-&#1087;&#1083;&#1072;&#1085;&#1080;&#1088;&#1086;&#1074;&#1072;&#1085;&#1080;&#1077;/&#1055;&#1088;&#1086;&#1077;&#1082;&#1090;&#1099;%20&#1085;&#1072;%20&#1089;&#1072;&#1081;&#1090;/1.&#1041;&#1055;%20&#1089;&#1074;&#1080;&#1085;&#1086;&#1082;&#1086;&#1084;&#1087;&#1083;&#1077;&#1082;&#1089;&#1072;/&#1055;&#1088;&#1086;&#1076;&#1072;&#1078;&#1080;/5.2013.&#1050;&#1072;&#1079;&#1072;&#1093;&#1089;&#1090;&#1072;&#1085;%20%20800/&#1052;&#1086;&#1076;&#1077;&#1083;&#1100;_5900-&#1041;%20(16%20051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7;&#1045;&#1056;&#1045;&#1046;&#1040;/&#1050;&#1086;&#1085;&#1089;&#1072;&#1083;&#1090;&#1080;&#1085;&#1075;/&#1041;&#1080;&#1079;&#1085;&#1077;&#1089;-&#1087;&#1083;&#1072;&#1085;&#1080;&#1088;&#1086;&#1074;&#1072;&#1085;&#1080;&#1077;/&#1055;&#1088;&#1086;&#1077;&#1082;&#1090;&#1099;%20&#1085;&#1072;%20&#1089;&#1072;&#1081;&#1090;/&#1041;&#1055;%20&#1084;&#1072;&#1075;&#1072;&#1079;%20&#1086;&#1076;&#1077;&#1078;&#1076;&#1099;%20(&#1076;&#1080;&#1089;&#1082;)/&#1043;&#1086;&#1090;&#1086;&#1074;&#1099;&#1081;/&#1052;&#1086;&#1076;&#1077;&#1083;&#1100;%20&#1076;&#1080;&#1089;&#108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60;&#1059;/&#1040;&#1092;&#1072;&#1085;&#1072;&#1089;&#1100;&#1077;&#1074;&#1072;/&#1041;&#1040;&#1047;&#1040;%202014-&#1076;&#1074;&#1080;&#1078;&#1077;&#1085;&#1080;&#1077;%2014.01.201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3590F252/&#1041;&#1102;&#1076;&#1078;&#1077;&#1090;&#1055;&#1088;&#1086;&#1076;&#1072;&#1078;&#1042;&#1085;&#1077;&#1096;&#1085;&#1080;&#108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pdc/&#1054;&#1073;&#1097;&#1080;&#1077;%20&#1076;&#1086;&#1082;&#1091;&#1084;&#1077;&#1085;&#1090;&#1099;/Documents%20and%20Settings/k_abdrahmanov/&#1056;&#1072;&#1073;&#1086;&#1095;&#1080;&#1081;%20&#1089;&#1090;&#1086;&#1083;/&#1048;&#1085;&#1092;&#1086;%20&#1040;&#1082;&#1090;&#1086;&#1073;&#1077;/&#1085;&#1086;&#1074;&#1099;&#1081;%20&#1041;&#1055;%20%20&#1080;&#1089;&#1087;&#1088;%20&#1089;%20&#1091;&#1095;.%20&#1092;&#1080;&#1085;.%20NB%2007.02.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1;&#1102;&#1076;&#1078;&#1077;&#1090;&#1085;&#1099;&#1077;%20&#1072;&#1089;&#1089;&#1080;&#1075;&#1085;&#1086;&#1074;&#1072;&#1085;&#1080;&#1103;/2014-&#1076;&#1074;&#1080;&#1078;&#1077;&#1085;&#1080;&#1077;%20&#1089;&#1088;&#1077;&#1076;&#1089;&#1090;&#1074;_&#1082;&#1086;&#1088;&#1088;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shpan_zh/temp/ERLAN/Zakluchenia/&#1047;&#1077;&#1088;&#1085;&#1086;&#1074;&#1072;&#1103;_&#1051;&#1050;/Proj_&#1047;&#1051;&#1050;_&#1087;&#1096;&#1077;&#1085;&#1080;&#1094;&#1072;_50%25_&#1083;&#1080;&#1079;_&#1087;&#1083;&#1072;&#109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dc/&#1086;&#1073;&#1097;&#1080;&#1077;%20&#1076;&#1086;&#1082;&#1091;&#1084;&#1077;&#1085;&#1090;&#1099;/&#1050;&#1091;&#1089;&#1084;&#1072;&#1085;&#1086;&#1074;%20&#1046;&#1077;&#1085;&#1080;&#1089;%20&#1050;&#1072;&#1081;&#1088;&#1073;&#1072;&#1077;&#1074;&#1080;&#1095;/&#1041;&#1055;%20&#1097;&#1077;&#1073;&#1077;&#1085;&#1100;%201.05%20&#1076;&#1083;&#1103;%20&#1041;&#1058;&#104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80;&#1093;&#1072;&#1080;&#1083;/Documents/&#1044;&#1086;&#1082;&#1091;&#1084;&#1077;&#1085;&#1090;&#1099;%20&#1040;&#1085;&#1092;&#1080;&#1085;&#1086;&#1075;&#1077;&#1085;&#1086;&#1074;/&#1056;&#1072;&#1089;&#1095;&#1077;&#1090;&#1099;,%20&#1041;&#1055;/2011-2012/84-103_&#1058;&#1080;&#1087;&#1086;&#1074;&#1099;&#1077;%20&#1044;&#1040;&#1052;&#1059;/01_&#1052;&#1086;&#1083;&#1086;&#1095;&#1085;&#1072;&#1103;%20&#1092;&#1077;&#1088;&#1084;&#1072;/DOCUME~1/G_SVEC~1/LOCALS~1/Temp/bat/6A75EE9B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4E3D828C/&#1041;&#1102;&#1076;&#1078;&#1077;&#1090;%20&#1085;&#1072;%202-%20&#1086;&#1077;%20&#1087;&#1086;&#1083;&#1091;&#1075;&#1086;&#1076;&#1080;&#1077;%202007%20&#1075;.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ocuments%20and%20Settings/zakharova/Local%20Settings/Temporary%20Internet%20Files/Content.IE5/B21G8DND/&#1060;&#1048;&#1053;&#1055;&#1051;&#1040;&#1053;%202012/&#1060;&#1055;%202012-2014-01-11-201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~1/AHMETO~1/LOCALS~1/Temp/Rar$DI00.531/&#1041;&#1102;&#1076;&#1078;&#1077;&#1090;&#1055;&#1088;&#1086;&#1076;&#1072;&#1078;&#1042;&#1085;&#1077;&#1096;&#1085;&#1080;&#108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80;&#1093;&#1072;&#1080;&#1083;/Documents/&#1044;&#1086;&#1082;&#1091;&#1084;&#1077;&#1085;&#1090;&#1099;%20&#1040;&#1085;&#1092;&#1080;&#1085;&#1086;&#1075;&#1077;&#1085;&#1086;&#1074;/&#1056;&#1072;&#1089;&#1095;&#1077;&#1090;&#1099;,%20&#1041;&#1055;/2011-2012/84-103_&#1058;&#1080;&#1087;&#1086;&#1074;&#1099;&#1077;%20&#1044;&#1040;&#1052;&#1059;/01_&#1052;&#1086;&#1083;&#1086;&#1095;&#1085;&#1072;&#1103;%20&#1092;&#1077;&#1088;&#1084;&#1072;/&#1052;&#1051;&#1044;&#1050;%20&#1060;3+&#1060;2%20&#1073;&#1077;&#1079;%20&#1048;&#1060;&#1050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shpan_zh/temp/ERLAN/Zakluchenia/&#1040;&#1050;&#1058;&#1048;&#1042;/Proj_&#1040;&#1050;&#1058;&#1048;&#1042;_7&#1083;&#1077;&#109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dc/&#1086;&#1073;&#1097;&#1080;&#1077;%20&#1076;&#1086;&#1082;&#1091;&#1084;&#1077;&#1085;&#1090;&#1099;/WINDOWS/TEMP/Rar$DI01.712/&#1069;&#1082;&#1086;&#1090;&#1086;&#1085;%2011.03.0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80;&#1093;&#1072;&#1080;&#1083;/Documents/&#1044;&#1086;&#1082;&#1091;&#1084;&#1077;&#1085;&#1090;&#1099;%20&#1040;&#1085;&#1092;&#1080;&#1085;&#1086;&#1075;&#1077;&#1085;&#1086;&#1074;/&#1056;&#1072;&#1089;&#1095;&#1077;&#1090;&#1099;,%20&#1041;&#1055;/2011-2012/84-103_&#1058;&#1080;&#1087;&#1086;&#1074;&#1099;&#1077;%20&#1044;&#1040;&#1052;&#1059;/01_&#1052;&#1086;&#1083;&#1086;&#1095;&#1085;&#1072;&#1103;%20&#1092;&#1077;&#1088;&#1084;&#1072;/tes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Pdc/&#1086;&#1073;&#1097;&#1080;&#1077;%20&#1076;&#1086;&#1082;&#1091;&#1084;&#1077;&#1085;&#1090;&#1099;/&#1052;&#1086;&#1080;%20&#1076;&#1086;&#1082;&#1091;&#1084;&#1077;&#1085;&#1090;&#1099;/&#1064;&#1072;&#1073;&#1083;&#1086;&#1085;&#1099;/&#1064;&#1072;&#1073;&#1083;&#1086;&#1085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markova/&#1056;&#1072;&#1073;&#1086;&#1095;&#1080;&#1081;%20&#1089;&#1090;&#1086;&#1083;/&#1050;&#1086;&#1087;&#1080;&#1103;%20&#1060;&#1055;%202014-&#1073;&#1072;&#1083;&#1072;&#1085;&#1089;%20&#1044;&#1050;-16-01-2014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80;&#1093;&#1072;&#1080;&#1083;/Documents/&#1044;&#1086;&#1082;&#1091;&#1084;&#1077;&#1085;&#1090;&#1099;%20&#1040;&#1085;&#1092;&#1080;&#1085;&#1086;&#1075;&#1077;&#1085;&#1086;&#1074;/&#1056;&#1072;&#1089;&#1095;&#1077;&#1090;&#1099;,%20&#1041;&#1055;/2011-2012/84-103_&#1058;&#1080;&#1087;&#1086;&#1074;&#1099;&#1077;%20&#1044;&#1040;&#1052;&#1059;/01_&#1052;&#1086;&#1083;&#1086;&#1095;&#1085;&#1072;&#1103;%20&#1092;&#1077;&#1088;&#1084;&#1072;/DOCUME~1/I_FROL~1/LOCALS~1/Temp/bat/ENKI/&#1053;&#1077;&#1088;&#1091;&#1076;%20&#1084;&#1086;&#1080;%20&#1088;&#1072;&#1089;&#1095;&#1105;&#1090;&#109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80;&#1093;&#1072;&#1080;&#1083;/Documents/&#1044;&#1086;&#1082;&#1091;&#1084;&#1077;&#1085;&#1090;&#1099;%20&#1040;&#1085;&#1092;&#1080;&#1085;&#1086;&#1075;&#1077;&#1085;&#1086;&#1074;/&#1056;&#1072;&#1089;&#1095;&#1077;&#1090;&#1099;,%20&#1041;&#1055;/2011-2012/84-103_&#1058;&#1080;&#1087;&#1086;&#1074;&#1099;&#1077;%20&#1044;&#1040;&#1052;&#1059;/01_&#1052;&#1086;&#1083;&#1086;&#1095;&#1085;&#1072;&#1103;%20&#1092;&#1077;&#1088;&#1084;&#1072;/DOCUME~1/G_SVEC~1/LOCALS~1/Temp/bat/15E674E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afanaseva.STAFF.000/Desktop/&#1056;&#1040;&#1041;&#1054;&#1058;&#1040;/&#1053;&#1040;&#1059;&#1050;&#1040;/&#1053;&#1072;&#1091;&#1082;&#1072;%202013/&#1057;&#1074;&#1086;&#1076;&#1099;/&#1057;&#1083;&#1086;&#1085;&#1103;&#1090;&#1082;&#1072;_2013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Documents%20and%20Settings/zakharova/Local%20Settings/Temporary%20Internet%20Files/Content.IE5/B21G8DND/&#1060;&#1048;&#1053;&#1055;&#1051;&#1040;&#1053;%202011/&#1060;&#1055;%202011-&#1092;&#1080;&#1085;&#1072;&#1083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9F3459BB/&#1041;&#1055;%20&#1082;&#1080;&#1088;%20&#1079;&#1072;&#1074;&#1086;&#1076;%203.3%20%20(40%20&#1084;&#1083;&#1085;.%20+20%20&#1079;&#1072;&#1073;&#1091;&#1090;%20&#1088;&#1077;&#1072;&#1083;%20&#1085;&#1072;%2018.07.06%20&#1076;&#1083;&#1103;%20&#1040;&#1060;%20&#1091;&#1074;&#1077;&#1083;%20&#1082;&#1091;&#1088;&#1089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52;&#1080;&#1093;&#1072;&#1080;&#1083;/Documents/&#1044;&#1086;&#1082;&#1091;&#1084;&#1077;&#1085;&#1090;&#1099;%20&#1040;&#1085;&#1092;&#1080;&#1085;&#1086;&#1075;&#1077;&#1085;&#1086;&#1074;/&#1056;&#1072;&#1089;&#1095;&#1077;&#1090;&#1099;,%20&#1041;&#1055;/2011-2012/84-103_&#1058;&#1080;&#1087;&#1086;&#1074;&#1099;&#1077;%20&#1044;&#1040;&#1052;&#1059;/01_&#1052;&#1086;&#1083;&#1086;&#1095;&#1085;&#1072;&#1103;%20&#1092;&#1077;&#1088;&#1084;&#1072;/&#1052;&#1086;&#1080;%20&#1076;&#1086;&#1082;&#1091;&#1084;&#1077;&#1085;&#1090;&#1099;/&#1055;&#1088;&#1086;&#1077;&#1082;&#1090;&#1099;/&#1050;&#1080;&#1088;&#1087;&#1080;&#1095;/&#1041;&#1080;&#1079;&#1085;&#1077;&#1089;-&#1087;&#1083;&#1072;&#1085;/&#1041;&#1055;%20&#1082;&#1080;&#1088;%20&#1079;&#1072;&#1074;&#1086;&#1076;%204%20%20(14.01.08)%20&#1087;&#1077;&#1089;&#1089;&#1080;&#108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Pdc/&#1086;&#1073;&#1097;&#1080;&#1077;%20&#1076;&#1086;&#1082;&#1091;&#1084;&#1077;&#1085;&#1090;&#1099;/&#1052;&#1086;&#1080;%20&#1076;&#1086;&#1082;&#1091;&#1084;&#1077;&#1085;&#1090;&#1099;/&#1041;%20&#1055;/&#1047;&#1072;&#1074;&#1086;&#1076;%20&#1084;&#1080;&#1085;&#1077;&#1088;&#1072;&#1083;&#1086;&#1074;&#1072;&#1090;&#1085;&#1099;&#1093;%20&#1080;&#1079;&#1076;&#1077;&#1083;&#1080;&#1081;/Proj_&#1057;&#1072;&#1088;&#1076;&#1072;&#1083;&#107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1055;&#1086;&#1083;&#1100;&#1079;&#1086;&#1074;&#1072;&#1090;&#1077;&#1083;&#1100;/&#1056;&#1072;&#1073;&#1086;&#1095;&#1080;&#1081;%20&#1089;&#1090;&#1086;&#1083;/&#1089;&#1074;&#1080;&#1085;&#1086;&#1082;&#1086;&#1084;&#1087;&#1083;&#1077;&#1082;&#1089;%20&#1085;&#1072;%20120%20&#1090;&#1099;&#1089;%20&#1075;&#1086;&#1083;&#1086;&#1074;/&#1056;&#1072;&#1089;&#1095;&#1105;&#1090;&#1099;%20&#1057;&#1091;&#1089;&#1083;&#1086;&#1074;&#1072;/&#1057;&#1045;&#1056;&#1045;&#1046;&#1040;/&#1050;&#1086;&#1085;&#1089;&#1072;&#1083;&#1090;&#1080;&#1085;&#1075;/&#1041;&#1080;&#1079;&#1085;&#1077;&#1089;-&#1087;&#1083;&#1072;&#1085;&#1080;&#1088;&#1086;&#1074;&#1072;&#1085;&#1080;&#1077;/&#1055;&#1088;&#1086;&#1077;&#1082;&#1090;&#1099;/&#1055;&#1072;&#1088;&#1082;/&#1057;&#1056;&#1050;%20&#1087;&#1072;&#1088;&#108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Инвестиции"/>
      <sheetName val="График проекта"/>
      <sheetName val="Текущие расходы"/>
      <sheetName val="Продажи"/>
      <sheetName val="Лист1"/>
      <sheetName val="MAIN"/>
      <sheetName val="SENS"/>
      <sheetName val="REPORT"/>
      <sheetName val="Sales&amp;Costs"/>
      <sheetName val="Working Capital"/>
      <sheetName val="Debt Service"/>
      <sheetName val="Profit"/>
      <sheetName val="Cash Flow"/>
      <sheetName val="Fin.Ratios"/>
      <sheetName val="Net Cash Flow (I)"/>
      <sheetName val="Net Cash Flow (II) "/>
      <sheetName val="Budget"/>
      <sheetName val="Sens(I)"/>
      <sheetName val="Sens(II)"/>
      <sheetName val="MD1"/>
      <sheetName val="MD2"/>
      <sheetName val="CST"/>
      <sheetName val="GOC"/>
      <sheetName val="PR"/>
      <sheetName val="KR"/>
      <sheetName val="REP"/>
      <sheetName val="PRN"/>
      <sheetName val="GOT"/>
      <sheetName val="SAL"/>
      <sheetName val="FXA"/>
      <sheetName val="SE1"/>
      <sheetName val="S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Инвестиции"/>
      <sheetName val="График проекта"/>
      <sheetName val="Текущие расходы"/>
      <sheetName val="Продажи"/>
      <sheetName val="Лист1"/>
      <sheetName val="MAIN"/>
      <sheetName val="SENS"/>
      <sheetName val="REPORT"/>
      <sheetName val="Sales&amp;Costs"/>
      <sheetName val="Working Capital"/>
      <sheetName val="Debt Service"/>
      <sheetName val="Profit"/>
      <sheetName val="Cash Flow"/>
      <sheetName val="Fin.Ratios"/>
      <sheetName val="Net Cash Flow (I)"/>
      <sheetName val="Net Cash Flow (II) "/>
      <sheetName val="Budget"/>
      <sheetName val="Sens(I)"/>
      <sheetName val="Sens(II)"/>
      <sheetName val="MD1"/>
      <sheetName val="MD2"/>
      <sheetName val="CST"/>
      <sheetName val="GOC"/>
      <sheetName val="PR"/>
      <sheetName val="KR"/>
      <sheetName val="REP"/>
      <sheetName val="PRN"/>
      <sheetName val="GOT"/>
      <sheetName val="SAL"/>
      <sheetName val="FXA"/>
      <sheetName val="SE1"/>
      <sheetName val="S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"/>
      <sheetName val="Invest"/>
      <sheetName val="Граф кап инвестиц"/>
      <sheetName val="Амортиз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"/>
      <sheetName val="Пояснения"/>
      <sheetName val="Эффективность"/>
      <sheetName val="Рас.эффект"/>
      <sheetName val="№ 2 Товар.выпуск"/>
      <sheetName val="№ 3 Реализация"/>
      <sheetName val="Доходы"/>
      <sheetName val="Себест реал"/>
      <sheetName val="Cash"/>
      <sheetName val="CF"/>
      <sheetName val="P&amp;L"/>
      <sheetName val="Кредиты"/>
      <sheetName val="Кредиты 2"/>
      <sheetName val="Кредиты 3"/>
      <sheetName val="№ 1 Произв.прогр"/>
      <sheetName val="Произв.мощн"/>
      <sheetName val="График работ"/>
      <sheetName val="Invest"/>
      <sheetName val="Лист1"/>
      <sheetName val="Граф кап инвестиц"/>
      <sheetName val="Граф произв инвестиц"/>
      <sheetName val="Амортиз"/>
      <sheetName val="Спр.мат"/>
      <sheetName val="Материалы"/>
      <sheetName val="№ 4 Материалы полн"/>
      <sheetName val="Материалы по ассорт"/>
      <sheetName val="Упаковка"/>
      <sheetName val="№ 4-1 Мат 0,5 ЗС"/>
      <sheetName val="№ 4-2 Мат 0,7 ЗС"/>
      <sheetName val="№ 4-3 Мат 0,5 обл"/>
      <sheetName val="№ 4-4 Мат 0,5 ст"/>
      <sheetName val="№ 4-5 Мат 0,5 ст шелкогр"/>
      <sheetName val="Мат 6"/>
      <sheetName val="Мат 7"/>
      <sheetName val="Мат 8"/>
      <sheetName val="Мат 9"/>
      <sheetName val="Мат 10"/>
      <sheetName val="Мат 11"/>
      <sheetName val="Мат 12"/>
      <sheetName val="Мат 13"/>
      <sheetName val="Мат 14"/>
      <sheetName val="Мат Тов-15"/>
      <sheetName val="Мат Тов-16"/>
      <sheetName val="Мат Тов-17"/>
      <sheetName val="Мат Тов-18"/>
      <sheetName val="Мат Тов-19"/>
      <sheetName val="Мат Тов-20"/>
      <sheetName val="№ 5 Энерго"/>
      <sheetName val="Персонал"/>
      <sheetName val="Налоги"/>
      <sheetName val="№ 6-1 Свод затрат без НДС"/>
      <sheetName val="№ 6-2 Свод затрат с НДС"/>
      <sheetName val="№ 7 КАЛЬКУЛ 1-2"/>
      <sheetName val="№ 7 КАЛЬКУЛ 3-4"/>
      <sheetName val="КАЛЬКУЛ 5"/>
      <sheetName val="Затраты по месяцам"/>
      <sheetName val="Нал на трансп"/>
      <sheetName val="Ставки соц"/>
      <sheetName val="Ставки под.физ"/>
      <sheetName val="ГСМ"/>
      <sheetName val="Граф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"/>
      <sheetName val="П1-ГП"/>
      <sheetName val="План пр"/>
      <sheetName val="П4-ППер"/>
      <sheetName val="П5-РКВ"/>
      <sheetName val="П8-Выр"/>
      <sheetName val="П9-ЗатУМ"/>
      <sheetName val="П10-ОБК"/>
      <sheetName val="РИ"/>
      <sheetName val="П14-ГИ"/>
      <sheetName val="ЗатЭн"/>
      <sheetName val="П11-Эн"/>
      <sheetName val="П12-Перс"/>
      <sheetName val="П13-ТР"/>
      <sheetName val="П15-Ф"/>
      <sheetName val="П16-Нал"/>
      <sheetName val="П17-ОПУ"/>
      <sheetName val="П18-ДДС"/>
      <sheetName val="П19-ЭИ"/>
      <sheetName val="П20-БЕЗ"/>
      <sheetName val="Графики"/>
      <sheetName val="АЧ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 постуления свинок"/>
      <sheetName val="Компания"/>
      <sheetName val="Оборудование и СМР"/>
      <sheetName val="График реконструкции"/>
      <sheetName val="Проект"/>
      <sheetName val="Сумм"/>
      <sheetName val="Анализ"/>
      <sheetName val="Отчет"/>
      <sheetName val="Опции"/>
      <sheetName val="Язы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мпания"/>
      <sheetName val="Диаграмма1"/>
      <sheetName val="Диаграмма2"/>
      <sheetName val="Ставка дисконт"/>
      <sheetName val="Инвестиции"/>
      <sheetName val="Нормы амортизации"/>
      <sheetName val="Ремонт"/>
      <sheetName val="Расходы на сырье и материалы"/>
      <sheetName val="Персонал"/>
      <sheetName val="Общие расходы"/>
      <sheetName val="Проект"/>
      <sheetName val="Ключевые показатели"/>
      <sheetName val="Сумм"/>
      <sheetName val="Анализ"/>
      <sheetName val="Отчет"/>
      <sheetName val="Опции"/>
      <sheetName val="Язы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"/>
      <sheetName val="П1-ГП"/>
      <sheetName val="План пр"/>
      <sheetName val="П2-Выр"/>
      <sheetName val="ЗатСМ"/>
      <sheetName val="ОБК"/>
      <sheetName val="ЗатЭн"/>
      <sheetName val="П3-Эн"/>
      <sheetName val="П4-Перс"/>
      <sheetName val="П5-ТР"/>
      <sheetName val="РИ"/>
      <sheetName val="П6-ГИ"/>
      <sheetName val="П7-Ф"/>
      <sheetName val="П8-Нал"/>
      <sheetName val="П9-ОПУ"/>
      <sheetName val="П10-ДДС"/>
      <sheetName val="П11-ЭИ"/>
      <sheetName val="П12-Без"/>
      <sheetName val="Графи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"/>
      <sheetName val="Исх докум"/>
      <sheetName val="Указатель"/>
      <sheetName val="Б1"/>
      <sheetName val="О1"/>
      <sheetName val="Б2"/>
      <sheetName val="О2"/>
      <sheetName val="Б3!!!"/>
      <sheetName val="О3!!!"/>
      <sheetName val="Исх.1"/>
      <sheetName val="Исх.2"/>
      <sheetName val="Исх.3!!!"/>
      <sheetName val="Нетто1"/>
      <sheetName val="Нетто2"/>
      <sheetName val="Нетто3!!!"/>
      <sheetName val="Гориз"/>
      <sheetName val="Верт!!!"/>
      <sheetName val="К-ф!!!"/>
      <sheetName val="Активы (размещ)!!!"/>
      <sheetName val="Уровень показателей!!!"/>
      <sheetName val="Фин. ресурсы!!!"/>
      <sheetName val="Наличие об ср-в!!!"/>
      <sheetName val="Кт!!!"/>
      <sheetName val="Дин. оборотн. ср-в!!!"/>
      <sheetName val="Дт"/>
      <sheetName val="Ликв баланса!!!"/>
      <sheetName val="Самофинанс!!!"/>
      <sheetName val="Рынок сырья"/>
      <sheetName val="Вид продукции"/>
      <sheetName val="Справка_НБ"/>
      <sheetName val="Анализ"/>
      <sheetName val="Показатели"/>
      <sheetName val="Модуль2"/>
      <sheetName val="Аванс кап"/>
      <sheetName val="Текс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 постуления свинок"/>
      <sheetName val="Компания"/>
      <sheetName val="Оборудование и СМР"/>
      <sheetName val="График реконструкции"/>
      <sheetName val="Проект"/>
      <sheetName val="Сумм"/>
      <sheetName val="Анализ"/>
      <sheetName val="Отчет"/>
      <sheetName val="Опции"/>
      <sheetName val="Язы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н пр-ва"/>
      <sheetName val="Свод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н. пара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1-Меню"/>
      <sheetName val="П2-Выручка"/>
      <sheetName val="П3-Закупки"/>
      <sheetName val="П4-Персонал"/>
      <sheetName val="Постоянные расходы"/>
      <sheetName val="П5-Налоги"/>
      <sheetName val="П6-Прибыль"/>
      <sheetName val="Инвестиции"/>
      <sheetName val="П7-График инвестиций"/>
      <sheetName val="П8-Финансирование"/>
      <sheetName val="П9-Движение ДС"/>
      <sheetName val="П10-Эффективность инвестиций"/>
      <sheetName val="Показатели"/>
      <sheetName val="Лист1"/>
      <sheetName val="План - граф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2"/>
      <sheetName val="П3"/>
      <sheetName val="П4"/>
      <sheetName val="Постоянные расходы"/>
      <sheetName val="П5"/>
      <sheetName val="П6"/>
      <sheetName val="Инвестиции"/>
      <sheetName val="П7-График инвестиций"/>
      <sheetName val="П8-Финансирование"/>
      <sheetName val="П9-Движение ДС"/>
      <sheetName val="П10-Эффективность инвестиций"/>
      <sheetName val="Показатели"/>
      <sheetName val="Лист1"/>
      <sheetName val="План - график"/>
      <sheetName val="График проект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дажи"/>
      <sheetName val="TITLE"/>
      <sheetName val="Оборудование и СМР"/>
      <sheetName val="Матрица"/>
      <sheetName val="График проекта"/>
      <sheetName val="MAIN"/>
      <sheetName val="SENS"/>
      <sheetName val="REPORT"/>
      <sheetName val="Sales&amp;Costs"/>
      <sheetName val="Working Capital"/>
      <sheetName val="Debt Service"/>
      <sheetName val="Profit"/>
      <sheetName val="Cash Flow"/>
      <sheetName val="Fin.Ratios"/>
      <sheetName val="Net Cash Flow (I)"/>
      <sheetName val="Net Cash Flow (II) "/>
      <sheetName val="Budget"/>
      <sheetName val="Sens(I)"/>
      <sheetName val="Sens(II)"/>
      <sheetName val="MD1"/>
      <sheetName val="MD2"/>
      <sheetName val="CST"/>
      <sheetName val="GOC"/>
      <sheetName val="PR"/>
      <sheetName val="KR"/>
      <sheetName val="REP"/>
      <sheetName val="PRN"/>
      <sheetName val="GOT"/>
      <sheetName val="SAL"/>
      <sheetName val="FXA"/>
      <sheetName val="SE1"/>
      <sheetName val="SE2"/>
      <sheetName val="Ассортимент"/>
      <sheetName val="Выручка "/>
      <sheetName val="Закупки"/>
      <sheetName val="Текущие расходы "/>
      <sheetName val="Постоянные расходы"/>
      <sheetName val="Оборудование"/>
      <sheetName val="Инвестиции"/>
      <sheetName val="Проект"/>
      <sheetName val="Показатели"/>
      <sheetName val="Сумм"/>
      <sheetName val="Анализ"/>
      <sheetName val="Отчет"/>
      <sheetName val="Компания"/>
      <sheetName val="Опции"/>
      <sheetName val="Язы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 проекта"/>
      <sheetName val="Технологические параметры"/>
      <sheetName val="Технологический график"/>
      <sheetName val="Корма График"/>
      <sheetName val="Расход кормов"/>
      <sheetName val="Производство навоза"/>
      <sheetName val="Профилактика"/>
      <sheetName val="Персонал"/>
      <sheetName val="План продаж"/>
      <sheetName val="Расчет инвестиций"/>
      <sheetName val="Проект"/>
      <sheetName val="Показатели проекта"/>
      <sheetName val="Отчет"/>
      <sheetName val="Опции"/>
      <sheetName val="Язык"/>
      <sheetName val="Вспомог."/>
      <sheetName val="Фин  поток"/>
      <sheetName val="График производства"/>
      <sheetName val="Цена"/>
      <sheetName val="Инвестиц"/>
      <sheetName val="Кредит"/>
      <sheetName val="Оборот стада"/>
      <sheetName val="Затраты"/>
      <sheetName val="Профинплан"/>
      <sheetName val="Стоимость кормов"/>
      <sheetName val="Су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 проекта"/>
      <sheetName val="Технологические параметры"/>
      <sheetName val="Технологический график"/>
      <sheetName val="Корма График"/>
      <sheetName val="Расход кормов"/>
      <sheetName val="Производство навоза"/>
      <sheetName val="Профилактика"/>
      <sheetName val="Персонал"/>
      <sheetName val="План продаж"/>
      <sheetName val="Расчет инвестиций"/>
      <sheetName val="Проект"/>
      <sheetName val="Показатели проекта"/>
      <sheetName val="Отчет"/>
      <sheetName val="Опции"/>
      <sheetName val="Язык"/>
      <sheetName val="Вспомог."/>
      <sheetName val="Фин  поток"/>
      <sheetName val="График производства"/>
      <sheetName val="Цена"/>
      <sheetName val="Инвестиц"/>
      <sheetName val="Кредит"/>
      <sheetName val="Оборот стада"/>
      <sheetName val="Затраты"/>
      <sheetName val="Профинплан"/>
      <sheetName val="Стоимость кормов"/>
      <sheetName val="Су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Продажи"/>
      <sheetName val="Оборудование и СМР"/>
      <sheetName val="Матрица"/>
      <sheetName val="График проекта"/>
      <sheetName val="MAIN"/>
      <sheetName val="SENS"/>
      <sheetName val="REPORT"/>
      <sheetName val="Sales&amp;Costs"/>
      <sheetName val="Working Capital"/>
      <sheetName val="Debt Service"/>
      <sheetName val="Profit"/>
      <sheetName val="Cash Flow"/>
      <sheetName val="Fin.Ratios"/>
      <sheetName val="Net Cash Flow (I)"/>
      <sheetName val="Net Cash Flow (II) "/>
      <sheetName val="Budget"/>
      <sheetName val="Sens(I)"/>
      <sheetName val="Sens(II)"/>
      <sheetName val="MD1"/>
      <sheetName val="MD2"/>
      <sheetName val="CST"/>
      <sheetName val="GOC"/>
      <sheetName val="PR"/>
      <sheetName val="KR"/>
      <sheetName val="REP"/>
      <sheetName val="PRN"/>
      <sheetName val="GOT"/>
      <sheetName val="SAL"/>
      <sheetName val="FXA"/>
      <sheetName val="SE1"/>
      <sheetName val="S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ЗА_РАСХОДЫ"/>
      <sheetName val="КАФЕ"/>
      <sheetName val="ИД с доходом"/>
      <sheetName val="Финплан-база-2013-2014"/>
      <sheetName val="Учетные шифры от 24.12.14 "/>
      <sheetName val="дог. аренды (Москва)"/>
      <sheetName val="ИСПОЛНЕНИЕ_2013"/>
      <sheetName val="Справочник"/>
      <sheetName val="Справочники"/>
      <sheetName val="Кодировки_ФП"/>
      <sheetName val="Адреса_объектов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1.1.1.</v>
          </cell>
          <cell r="H2">
            <v>1</v>
          </cell>
        </row>
        <row r="3">
          <cell r="A3" t="str">
            <v>1.1.2.</v>
          </cell>
          <cell r="H3">
            <v>2</v>
          </cell>
        </row>
        <row r="4">
          <cell r="A4" t="str">
            <v>1.1.3.</v>
          </cell>
          <cell r="H4">
            <v>3</v>
          </cell>
        </row>
        <row r="5">
          <cell r="A5" t="str">
            <v>1.2.1.</v>
          </cell>
          <cell r="H5">
            <v>4</v>
          </cell>
        </row>
        <row r="6">
          <cell r="A6" t="str">
            <v>1.2.2.</v>
          </cell>
          <cell r="H6">
            <v>5</v>
          </cell>
        </row>
        <row r="7">
          <cell r="A7" t="str">
            <v>1.2.3.</v>
          </cell>
          <cell r="H7">
            <v>6</v>
          </cell>
        </row>
        <row r="8">
          <cell r="A8" t="str">
            <v>1.2.4.</v>
          </cell>
          <cell r="H8">
            <v>7</v>
          </cell>
        </row>
        <row r="9">
          <cell r="A9" t="str">
            <v>1.2.5.</v>
          </cell>
          <cell r="H9" t="str">
            <v>8.1</v>
          </cell>
        </row>
        <row r="10">
          <cell r="A10" t="str">
            <v>1.2.6.</v>
          </cell>
          <cell r="H10" t="str">
            <v>8.2</v>
          </cell>
        </row>
        <row r="11">
          <cell r="A11" t="str">
            <v>1.3.1.</v>
          </cell>
          <cell r="H11">
            <v>99</v>
          </cell>
        </row>
        <row r="12">
          <cell r="A12" t="str">
            <v>1.3.2.</v>
          </cell>
          <cell r="H12" t="str">
            <v>-</v>
          </cell>
        </row>
        <row r="13">
          <cell r="A13" t="str">
            <v>1.3.3.</v>
          </cell>
        </row>
        <row r="14">
          <cell r="A14" t="str">
            <v>1.3.4.</v>
          </cell>
          <cell r="K14" t="str">
            <v>Дорожная карта 5-100</v>
          </cell>
        </row>
        <row r="15">
          <cell r="A15" t="str">
            <v>1.3.5.</v>
          </cell>
          <cell r="K15" t="str">
            <v>Текущие расходы_подразделения</v>
          </cell>
        </row>
        <row r="16">
          <cell r="A16" t="str">
            <v>1.3.6.</v>
          </cell>
          <cell r="K16" t="str">
            <v>Текущие расходы_филиалы</v>
          </cell>
        </row>
        <row r="17">
          <cell r="A17" t="str">
            <v>1.3.7.</v>
          </cell>
          <cell r="K17" t="str">
            <v>Текущие расходы_ЦБ</v>
          </cell>
        </row>
        <row r="18">
          <cell r="A18" t="str">
            <v>1.4.1.</v>
          </cell>
        </row>
        <row r="19">
          <cell r="A19" t="str">
            <v>1.4.2.</v>
          </cell>
        </row>
        <row r="20">
          <cell r="A20" t="str">
            <v>2.1.1.</v>
          </cell>
        </row>
        <row r="21">
          <cell r="A21" t="str">
            <v>2.1.2.</v>
          </cell>
        </row>
        <row r="22">
          <cell r="A22" t="str">
            <v>2.1.3.</v>
          </cell>
        </row>
        <row r="23">
          <cell r="A23" t="str">
            <v>2.1.4.</v>
          </cell>
        </row>
        <row r="24">
          <cell r="A24" t="str">
            <v>2.2.1.</v>
          </cell>
        </row>
        <row r="25">
          <cell r="A25" t="str">
            <v>2.2.2.</v>
          </cell>
        </row>
        <row r="26">
          <cell r="A26" t="str">
            <v>2.2.3.</v>
          </cell>
        </row>
        <row r="27">
          <cell r="A27" t="str">
            <v>2.3.1.</v>
          </cell>
        </row>
        <row r="28">
          <cell r="A28" t="str">
            <v>2.3.2.</v>
          </cell>
        </row>
        <row r="29">
          <cell r="A29" t="str">
            <v>2.4.1.</v>
          </cell>
        </row>
        <row r="30">
          <cell r="A30" t="str">
            <v>2.4.2.</v>
          </cell>
        </row>
        <row r="31">
          <cell r="A31" t="str">
            <v>2.5.1.</v>
          </cell>
        </row>
        <row r="32">
          <cell r="A32" t="str">
            <v>2.5.2.</v>
          </cell>
        </row>
        <row r="33">
          <cell r="A33" t="str">
            <v>2.5.3.</v>
          </cell>
        </row>
        <row r="34">
          <cell r="A34" t="str">
            <v>3.1.1.</v>
          </cell>
        </row>
        <row r="35">
          <cell r="A35" t="str">
            <v>3.1.2.</v>
          </cell>
        </row>
        <row r="36">
          <cell r="A36" t="str">
            <v>3.1.3.</v>
          </cell>
        </row>
        <row r="37">
          <cell r="A37" t="str">
            <v>3.1.4.</v>
          </cell>
        </row>
        <row r="38">
          <cell r="A38" t="str">
            <v>3.1.5.</v>
          </cell>
        </row>
        <row r="39">
          <cell r="A39" t="str">
            <v>3.2.1.</v>
          </cell>
        </row>
        <row r="40">
          <cell r="A40" t="str">
            <v>3.2.2.</v>
          </cell>
        </row>
        <row r="41">
          <cell r="A41" t="str">
            <v>3.2.3.</v>
          </cell>
        </row>
        <row r="42">
          <cell r="A42" t="str">
            <v>3.2.4.</v>
          </cell>
        </row>
        <row r="43">
          <cell r="A43" t="str">
            <v>3.2.5.</v>
          </cell>
        </row>
        <row r="44">
          <cell r="A44" t="str">
            <v>3.3.1.</v>
          </cell>
        </row>
        <row r="45">
          <cell r="A45" t="str">
            <v>3.3.2.</v>
          </cell>
        </row>
        <row r="46">
          <cell r="A46" t="str">
            <v>3.3.3.</v>
          </cell>
        </row>
        <row r="47">
          <cell r="A47" t="str">
            <v>3.3.4.</v>
          </cell>
        </row>
        <row r="48">
          <cell r="A48" t="str">
            <v>4.1.1.</v>
          </cell>
        </row>
        <row r="49">
          <cell r="A49" t="str">
            <v>4.1.2.</v>
          </cell>
        </row>
        <row r="50">
          <cell r="A50" t="str">
            <v>4.1.3.</v>
          </cell>
        </row>
        <row r="51">
          <cell r="A51" t="str">
            <v>4.1.4.</v>
          </cell>
        </row>
        <row r="52">
          <cell r="A52" t="str">
            <v>4.2.1.</v>
          </cell>
        </row>
        <row r="53">
          <cell r="A53" t="str">
            <v>4.2.3.</v>
          </cell>
        </row>
        <row r="54">
          <cell r="A54" t="str">
            <v>4.2.5.</v>
          </cell>
        </row>
        <row r="55">
          <cell r="A55" t="str">
            <v>4.3.1.</v>
          </cell>
        </row>
        <row r="56">
          <cell r="A56" t="str">
            <v>4.3.2.</v>
          </cell>
        </row>
        <row r="57">
          <cell r="A57" t="str">
            <v>4.3.3.</v>
          </cell>
        </row>
        <row r="58">
          <cell r="A58" t="str">
            <v>4.4.1.</v>
          </cell>
        </row>
        <row r="59">
          <cell r="A59" t="str">
            <v>4.4.2.</v>
          </cell>
        </row>
        <row r="60">
          <cell r="A60" t="str">
            <v>4.4.3.</v>
          </cell>
        </row>
        <row r="61">
          <cell r="A61" t="str">
            <v>4.4.4.</v>
          </cell>
        </row>
        <row r="62">
          <cell r="A62" t="str">
            <v>5.1.1.</v>
          </cell>
        </row>
        <row r="63">
          <cell r="A63" t="str">
            <v>5.1.2.</v>
          </cell>
        </row>
        <row r="64">
          <cell r="A64" t="str">
            <v>5.1.3.</v>
          </cell>
        </row>
        <row r="65">
          <cell r="A65" t="str">
            <v>5.2.1.</v>
          </cell>
        </row>
        <row r="66">
          <cell r="A66" t="str">
            <v>5.2.2.</v>
          </cell>
        </row>
        <row r="67">
          <cell r="A67" t="str">
            <v>5.2.3.</v>
          </cell>
        </row>
        <row r="68">
          <cell r="A68" t="str">
            <v>5.3.1.</v>
          </cell>
        </row>
        <row r="69">
          <cell r="A69" t="str">
            <v>5.3.2.</v>
          </cell>
        </row>
        <row r="70">
          <cell r="A70" t="str">
            <v>5.4.1.</v>
          </cell>
        </row>
        <row r="71">
          <cell r="A71" t="str">
            <v>5.4.2.</v>
          </cell>
        </row>
        <row r="72">
          <cell r="A72" t="str">
            <v>5.5.1.</v>
          </cell>
        </row>
        <row r="73">
          <cell r="A73" t="str">
            <v>6.1.1.</v>
          </cell>
        </row>
        <row r="74">
          <cell r="A74" t="str">
            <v>6.1.2.</v>
          </cell>
        </row>
        <row r="75">
          <cell r="A75" t="str">
            <v>6.1.3.</v>
          </cell>
        </row>
        <row r="76">
          <cell r="A76" t="str">
            <v>6.2.1.</v>
          </cell>
        </row>
        <row r="77">
          <cell r="A77" t="str">
            <v>6.2.2.</v>
          </cell>
        </row>
        <row r="78">
          <cell r="A78" t="str">
            <v>6.2.3.</v>
          </cell>
        </row>
        <row r="79">
          <cell r="A79" t="str">
            <v>6.3.1.</v>
          </cell>
        </row>
        <row r="80">
          <cell r="A80" t="str">
            <v>6.3.2.</v>
          </cell>
        </row>
      </sheetData>
      <sheetData sheetId="8"/>
      <sheetData sheetId="9">
        <row r="2">
          <cell r="A2" t="str">
            <v>АКАДЕМИЧЕСКИЕ НАДБАВКИ</v>
          </cell>
        </row>
        <row r="3">
          <cell r="A3" t="str">
            <v>Надбавки лучшим преподавателям</v>
          </cell>
        </row>
        <row r="4">
          <cell r="A4" t="str">
            <v>Формирование базы данных экспертизы, включая базу данных экспертов</v>
          </cell>
        </row>
        <row r="5">
          <cell r="A5" t="str">
            <v>Формирование и внедрение системы экспертизы результатов научной деятельности по индивидуальным исследовательским проектам, проектам НУГ, академнадбавкам, проектам ИД, стипендиям УА</v>
          </cell>
        </row>
        <row r="6">
          <cell r="A6" t="str">
            <v>Формирование списка журналов/изданий на русском языке, публикации в которых учитываются в качестве отчетных результатов академической деятельности</v>
          </cell>
        </row>
        <row r="7">
          <cell r="A7" t="str">
            <v>Экспертная оценка результатов научной деятельности</v>
          </cell>
        </row>
        <row r="8">
          <cell r="A8" t="str">
            <v xml:space="preserve">Подготовительное отделение и курсы для абитуриентов магистратуры </v>
          </cell>
        </row>
        <row r="9">
          <cell r="A9" t="str">
            <v>Организация конкурса ППС и финансирование отборочных комиссий</v>
          </cell>
        </row>
        <row r="10">
          <cell r="A10" t="str">
            <v>Методическая разработка контента учебных курсов Интернет-школы</v>
          </cell>
        </row>
        <row r="11">
          <cell r="A11" t="str">
            <v xml:space="preserve">Модернизация технологической платформы Интернет-школы (обновление клиент-сервера, переработка сайта, интеграция с LMS) </v>
          </cell>
        </row>
        <row r="12">
          <cell r="A12" t="str">
            <v>Развитие и интеграция новых направлений обучения в Интернет-школе</v>
          </cell>
        </row>
        <row r="13">
          <cell r="A13" t="str">
            <v>Лицей НИУ ВШЭ</v>
          </cell>
        </row>
        <row r="14">
          <cell r="A14" t="str">
            <v>Базовые  школы ВШЭ</v>
          </cell>
        </row>
        <row r="15">
          <cell r="A15" t="str">
            <v>Профессионализация менеджмента научных исследований</v>
          </cell>
        </row>
        <row r="16">
          <cell r="A16" t="str">
            <v>Программа "Новые администраторы"</v>
          </cell>
        </row>
        <row r="17">
          <cell r="A17" t="str">
            <v>Увеличение количества и размеров индивидуальных трудовых контрактов с ППС</v>
          </cell>
        </row>
        <row r="18">
          <cell r="A18" t="str">
            <v>Увеличение доплат молодым преподавателям и ассистентам, работающим на условиях внешнего совместительства</v>
          </cell>
        </row>
        <row r="19">
          <cell r="A19" t="str">
            <v>Программа кадрового резерва (стартовые гранты)</v>
          </cell>
        </row>
        <row r="20">
          <cell r="A20" t="str">
            <v>Мероприятия программы "Кадровый резерв"</v>
          </cell>
        </row>
        <row r="21">
          <cell r="A21" t="str">
            <v>Финансирование учебных ассистентов</v>
          </cell>
        </row>
        <row r="22">
          <cell r="A22" t="str">
            <v>Увеличение оплаты труда ординарных профессоров</v>
          </cell>
        </row>
        <row r="23">
          <cell r="A23" t="str">
            <v>Материальная помощь к  отпуску ординарных профессоров</v>
          </cell>
        </row>
        <row r="24">
          <cell r="A24" t="str">
            <v>Доплаты за руководство аспирантами и ученым секретарям диссертационных советов</v>
          </cell>
        </row>
        <row r="25">
          <cell r="A25" t="str">
            <v>ППС</v>
          </cell>
        </row>
        <row r="26">
          <cell r="A26" t="str">
            <v>Увеличение доплат за административные обязанности</v>
          </cell>
        </row>
        <row r="27">
          <cell r="A27" t="str">
            <v>Творческие отпуска</v>
          </cell>
        </row>
        <row r="28">
          <cell r="A28" t="str">
            <v>Финансирование обучения в ведущих университетах</v>
          </cell>
        </row>
        <row r="29">
          <cell r="A29" t="str">
            <v>Развитие программы "Академическая аспирантура" (Structured PhD program)</v>
          </cell>
        </row>
        <row r="30">
          <cell r="A30" t="str">
            <v xml:space="preserve">Интернационализация аспирантуры ВШЭ </v>
          </cell>
        </row>
        <row r="31">
          <cell r="A31" t="str">
            <v>Фонд образовательных инноваций</v>
          </cell>
        </row>
        <row r="32">
          <cell r="A32" t="str">
            <v>Повторное  преподавание курсов на английском языке</v>
          </cell>
        </row>
        <row r="33">
          <cell r="A33" t="str">
            <v>ПРОГРАММА "НАУЧНЫЙ ФОНД"</v>
          </cell>
        </row>
        <row r="34">
          <cell r="A34" t="str">
            <v>Фонд академического развития Санкт-Петербургского филиала</v>
          </cell>
        </row>
        <row r="35">
          <cell r="A35" t="str">
            <v>ПОВЫШЕНИЕ КВАЛИФИКАЦИИ РАБОТНИКОВ УНИВЕРСИТЕТА</v>
          </cell>
        </row>
        <row r="36">
          <cell r="A36" t="str">
            <v>Создание международных лабораторий в рамках программы фундаментальных исследований</v>
          </cell>
        </row>
        <row r="37">
          <cell r="A37" t="str">
            <v>Грант Правительства РФ для господдержки научных исследований (лаборатория Богомолова Ф.А.)</v>
          </cell>
        </row>
        <row r="38">
          <cell r="A38" t="str">
            <v>Грант Правительства РФ для господдержки научных исследований (лаборатория Р. Инглхарта)</v>
          </cell>
        </row>
        <row r="39">
          <cell r="A39" t="str">
            <v>Грант Правительства РФ для господдержки научных исследований (лаборатория Ж.Ф.Тисса)</v>
          </cell>
        </row>
        <row r="40">
          <cell r="A40" t="str">
            <v>Грант Правительства РФ для господдержки научных исследований (лаборатория космических систем)</v>
          </cell>
        </row>
        <row r="41">
          <cell r="A41" t="str">
            <v>Грант Правительства РФ для господдержки научных исследований (Лаборатория Кабанов Ю.М.)</v>
          </cell>
        </row>
        <row r="42">
          <cell r="A42" t="str">
            <v>Грант Правительства РФ для господдержки научных исследований (лаборатория П.Парадалоса)</v>
          </cell>
        </row>
        <row r="43">
          <cell r="A43" t="str">
            <v>Финансирование Центра креативного производства НИУ ВШЭ</v>
          </cell>
        </row>
        <row r="44">
          <cell r="A44" t="str">
            <v>Исходящая студенческая мобильность</v>
          </cell>
        </row>
        <row r="45">
          <cell r="A45" t="str">
            <v>Входящая студенческая мобильность</v>
          </cell>
        </row>
        <row r="46">
          <cell r="A46" t="str">
            <v>Входящая международная академическая мобильность</v>
          </cell>
        </row>
        <row r="47">
          <cell r="A47" t="str">
            <v>Организация краткосрочных визитов международных специалистов</v>
          </cell>
        </row>
        <row r="48">
          <cell r="A48" t="str">
            <v>Развитие международных партнерств и продвижение участия НИУ ВШЭ в деятельности  ассоциаций и сетей</v>
          </cell>
        </row>
        <row r="49">
          <cell r="A49" t="str">
            <v>Совместные научно-учебные проекты</v>
          </cell>
        </row>
        <row r="50">
          <cell r="A50" t="str">
            <v>Изучение лучшего международного опыта развития зарубежных университетов</v>
          </cell>
        </row>
        <row r="51">
          <cell r="A51" t="str">
            <v>Информационно-аналитическая поддержка  сотрудничества в регионах мира</v>
          </cell>
        </row>
        <row r="52">
          <cell r="A52" t="str">
            <v>Организация работы Международного консультационного комитета (МКК)</v>
          </cell>
        </row>
        <row r="53">
          <cell r="A53" t="str">
            <v>Совместные мероприятия с РЭШ</v>
          </cell>
        </row>
        <row r="54">
          <cell r="A54" t="str">
            <v>ФИНАНСИРОВАНИЕ МЕЖДУНАРОДНОЙ ДЕЯТЕЛЬНОСТИ</v>
          </cell>
        </row>
        <row r="55">
          <cell r="A55" t="str">
            <v>Зарплата внештатных сотрудников (раздел международная деятельность)</v>
          </cell>
        </row>
        <row r="56">
          <cell r="A56" t="str">
            <v>Поддержка сотрудничества факультетов с зарубежными  вузами</v>
          </cell>
        </row>
        <row r="57">
          <cell r="A57" t="str">
            <v>Поддержка участия ГУ-ВШЭ в деятельности международных организаций</v>
          </cell>
        </row>
        <row r="58">
          <cell r="A58" t="str">
            <v>Развитие институциональных партнерств с западными университетами</v>
          </cell>
        </row>
        <row r="59">
          <cell r="A59" t="str">
            <v>Софинансирование международных проектов</v>
          </cell>
        </row>
        <row r="60">
          <cell r="A60" t="str">
            <v>Тренинги и семинары</v>
          </cell>
        </row>
        <row r="61">
          <cell r="A61" t="str">
            <v>Проведение ориентационных и адаптационных мероприятий для иностранных студентов</v>
          </cell>
        </row>
        <row r="62">
          <cell r="A62" t="str">
            <v>Создание Летнего университета</v>
          </cell>
        </row>
        <row r="63">
          <cell r="A63" t="str">
            <v>Участие в международных образовательных ярмарках и выставках, международный образовательный маркетинг, партнерства с международными организациями</v>
          </cell>
        </row>
        <row r="64">
          <cell r="A64" t="str">
            <v>Оплата труда вновь принимаемых международных специалистов (PhD)</v>
          </cell>
        </row>
        <row r="65">
          <cell r="A65" t="str">
            <v>Оплата труда международных специалистов (PhD), принятых в предшествующие периоды</v>
          </cell>
        </row>
        <row r="66">
          <cell r="A66" t="str">
            <v>Финансирование деятельности молодых исследователей - обладателей международно-признанной степени PhD, работающих   в НИУ ВШЭ на условиях краткосрочного трудового договора в рамках программы PosDoc Felowship</v>
          </cell>
        </row>
        <row r="67">
          <cell r="A67" t="str">
            <v>Найм новых PhD</v>
          </cell>
        </row>
        <row r="68">
          <cell r="A68" t="str">
            <v>Компенсация расходов по контрактам международных специалистов PhD и пост-доков (подъемные, переезд и т.п.)</v>
          </cell>
        </row>
        <row r="69">
          <cell r="A69" t="str">
            <v>Организация международного рекрутинга и поддержка академической мобильности международных специалистов PhD и пост-доков</v>
          </cell>
        </row>
        <row r="70">
          <cell r="A70" t="str">
            <v>Реализация программы международного рекрутинга</v>
          </cell>
        </row>
        <row r="71">
          <cell r="A71" t="str">
            <v>ФИНАНСИРОВАНИЕ МЕРОПРИЯТИЙ ИФМИ, УАР</v>
          </cell>
        </row>
        <row r="72">
          <cell r="A72" t="str">
            <v>Финансирование проектно-учебных групп</v>
          </cell>
        </row>
        <row r="73">
          <cell r="A73" t="str">
            <v>Мероприятия Бизнес-инкубатора</v>
          </cell>
        </row>
        <row r="74">
          <cell r="A74" t="str">
            <v>Программа "Фонд поддержки инновационного предпринимательства"</v>
          </cell>
        </row>
        <row r="75">
          <cell r="A75" t="str">
            <v>ПРОГРАММА РАЗВИТИЯ ИННОВАЦИОННОЙ ИНФРАСТРУКТУРЫ</v>
          </cell>
        </row>
        <row r="76">
          <cell r="A76" t="str">
            <v>Прочие расходы по программе предпринимательства</v>
          </cell>
        </row>
        <row r="77">
          <cell r="A77" t="str">
            <v>РАЗВИТИЕ ИННОВАЦИОННОЙ ИНФРАСТРУКТУРЫ</v>
          </cell>
        </row>
        <row r="78">
          <cell r="A78" t="str">
            <v xml:space="preserve">Проведение ежегодной Международной конференции </v>
          </cell>
        </row>
        <row r="79">
          <cell r="A79" t="str">
            <v>Проведение конференций и семинаров</v>
          </cell>
        </row>
        <row r="80">
          <cell r="A80" t="str">
            <v>Организация  практикумов и методических  семинаров  ("летние" школы)</v>
          </cell>
        </row>
        <row r="81">
          <cell r="A81" t="str">
            <v>Зимние школы для студентов и выпускников</v>
          </cell>
        </row>
        <row r="82">
          <cell r="A82" t="str">
            <v>Организация  практикумов и методических  семинаров  ("летние" и "зимние" школы)</v>
          </cell>
        </row>
        <row r="83">
          <cell r="A83" t="str">
            <v>Софинансирование мероприятий Российского совета развития образования (РОСРО)</v>
          </cell>
        </row>
        <row r="84">
          <cell r="A84" t="str">
            <v>Проведение мероприятий по присуждению Национальной премии по прикладной экономике</v>
          </cell>
        </row>
        <row r="85">
          <cell r="A85" t="str">
            <v>Всероссийская олимпиада школьников по экономике</v>
          </cell>
        </row>
        <row r="86">
          <cell r="A86" t="str">
            <v>Всероссийские олимпиады школьников</v>
          </cell>
        </row>
        <row r="87">
          <cell r="A87" t="str">
            <v xml:space="preserve">Студенческая олимпиада </v>
          </cell>
        </row>
        <row r="88">
          <cell r="A88" t="str">
            <v>Многопрофильная олимпиада школьников</v>
          </cell>
        </row>
        <row r="89">
          <cell r="A89" t="str">
            <v>Всероссийская олимпиада школьников по обществознанию</v>
          </cell>
        </row>
        <row r="90">
          <cell r="A90" t="str">
            <v>Профориентационные проекты по работе со школами ("Посланники науки", "Пригласи ученого", "Школьникам о Вышке" и т.п.)</v>
          </cell>
        </row>
        <row r="91">
          <cell r="A91" t="str">
            <v>Профориентационные школы Дирекции по работе с одаренными школьниками</v>
          </cell>
        </row>
        <row r="92">
          <cell r="A92" t="str">
            <v>Организация программ повышения квалификации для учителей</v>
          </cell>
        </row>
        <row r="93">
          <cell r="A93" t="str">
            <v>Работа ФМШ МИЭМ</v>
          </cell>
        </row>
        <row r="94">
          <cell r="A94" t="str">
            <v>ИЗДАТЕЛЬСКАЯ ДЕЯТЕЛЬНОСТЬ</v>
          </cell>
        </row>
        <row r="95">
          <cell r="A95" t="str">
            <v>Финансирование журналов, издаваемых в ГУ-ВШЭ</v>
          </cell>
        </row>
        <row r="96">
          <cell r="A96" t="str">
            <v>Финансирование издания книг , препринтов, монографий</v>
          </cell>
        </row>
        <row r="97">
          <cell r="A97" t="str">
            <v>Издание информационного бюллетеня "Окна роста"</v>
          </cell>
        </row>
        <row r="98">
          <cell r="A98" t="str">
            <v>Общая издательская деятельность</v>
          </cell>
        </row>
        <row r="99">
          <cell r="A99" t="str">
            <v>Журнал "Форсайт"</v>
          </cell>
        </row>
        <row r="100">
          <cell r="A100" t="str">
            <v>Проектного управления СНГ</v>
          </cell>
        </row>
        <row r="101">
          <cell r="A101" t="str">
            <v xml:space="preserve">Мероприятия центра по работе с выпускниками </v>
          </cell>
        </row>
        <row r="102">
          <cell r="A102" t="str">
            <v>Программа "Фонд развития Ассоциации выпускников"</v>
          </cell>
        </row>
        <row r="103">
          <cell r="A103" t="str">
            <v>Программа "Фонд развития студенческих инициатив"</v>
          </cell>
        </row>
        <row r="104">
          <cell r="A104" t="str">
            <v>Конкурс научно-исследовательских работ студентов</v>
          </cell>
        </row>
        <row r="105">
          <cell r="A105" t="str">
            <v>Студенческие сервисы</v>
          </cell>
        </row>
        <row r="106">
          <cell r="A106" t="str">
            <v>Студенческие досуговые мероприятия</v>
          </cell>
        </row>
        <row r="107">
          <cell r="A107" t="str">
            <v>Мероприятия Культурного центра</v>
          </cell>
        </row>
        <row r="108">
          <cell r="A108" t="str">
            <v>Совместный бакалавриат с РЭШ (сопроводительные мероприятия)</v>
          </cell>
        </row>
        <row r="109">
          <cell r="A109" t="str">
            <v>Внешняя экспертиза программ дополнительного профессионального образования</v>
          </cell>
        </row>
        <row r="110">
          <cell r="A110" t="str">
            <v>Укрупнение и развитие конкурентоспособных Школ непрерывного образования</v>
          </cell>
        </row>
        <row r="111">
          <cell r="A111" t="str">
            <v>Развитие новых программ дополнительного образования</v>
          </cell>
        </row>
        <row r="112">
          <cell r="A112" t="str">
            <v>Финансирование развития образовательных программ</v>
          </cell>
        </row>
        <row r="113">
          <cell r="A113" t="str">
            <v>Разработка открытых он-лайн курсов (MOOC's)</v>
          </cell>
        </row>
        <row r="114">
          <cell r="A114" t="str">
            <v>Мероприятия внутреннего рекрутинга</v>
          </cell>
        </row>
        <row r="115">
          <cell r="A115" t="str">
            <v>Партнерства ВШЭ с региональными центрами, образовательными учреждениями, вузами России</v>
          </cell>
        </row>
        <row r="116">
          <cell r="A116" t="str">
            <v>Партнерства ВШЭ с региональными центрами, образовательными учреждениями, вузами России</v>
          </cell>
        </row>
        <row r="117">
          <cell r="A117" t="str">
            <v>Мероприятия Дирекции программы развития</v>
          </cell>
        </row>
        <row r="118">
          <cell r="A118" t="str">
            <v>Общеуниверситетские мероприятия</v>
          </cell>
        </row>
        <row r="119">
          <cell r="A119" t="str">
            <v>Внутренние социологические и маркетинговые исследования</v>
          </cell>
        </row>
        <row r="120">
          <cell r="A120" t="str">
            <v>Реклама и полиграфия</v>
          </cell>
        </row>
        <row r="121">
          <cell r="A121" t="str">
            <v>Проведение информационной работы (мероприятия пресс-службы)</v>
          </cell>
        </row>
        <row r="122">
          <cell r="A122" t="str">
            <v>Проект "Повышение качества журналов НИУ ВШЭ"</v>
          </cell>
        </row>
        <row r="123">
          <cell r="A123" t="str">
            <v>Лингвистическая поддержка публикаций на иностранном языке (выпуск препринтов фундаментальных исследований)</v>
          </cell>
        </row>
        <row r="124">
          <cell r="A124" t="str">
            <v>Формирование системы поддержки публикаций на иностранном языке</v>
          </cell>
        </row>
        <row r="125">
          <cell r="A125" t="str">
            <v>Система оценки научного потенциала и результативности</v>
          </cell>
        </row>
        <row r="126">
          <cell r="A126" t="str">
            <v>Финансирование программы фундаментальных исследований</v>
          </cell>
        </row>
        <row r="127">
          <cell r="A127" t="str">
            <v>ДОГОВОРА ГРАЖДАНСКО-ПРАВОВОГО ХАРАКТЕРА ПО ВЫПОЛНЕНИЮ ФУНДАМЕНТАЛЬНЫХ ИССЛЕДОВАНИЙ</v>
          </cell>
        </row>
        <row r="128">
          <cell r="A128" t="str">
            <v>ДОГОВОРА С ЮРИДИЧЕСКИМИ ЛИЦАМИ НА ВЫПОЛНЕНИЕ РАБОТ ПО ТЕМАТИЧЕСКОМУ ПЛАНУ ФИ</v>
          </cell>
        </row>
        <row r="129">
          <cell r="A129" t="str">
            <v>ОПЛАТА ТРУДА РАБОТНИКОВ, ОБЕСПЕЧИВАЮЩИХ ВЫПОЛНЕНИЕ ФУНДАМЕНТАЛЬНЫХ ИССЛЕДОВАНИЙ</v>
          </cell>
        </row>
        <row r="130">
          <cell r="A130" t="str">
            <v>Поддержка международных научных партнерств</v>
          </cell>
        </row>
        <row r="131">
          <cell r="A131" t="str">
            <v>Фонд развития прикладных исследований</v>
          </cell>
        </row>
        <row r="132">
          <cell r="A132" t="str">
            <v>Финансирование проектов по экспертно-аналитической работе</v>
          </cell>
        </row>
        <row r="133">
          <cell r="A133" t="str">
            <v>Мероприятия Дирекции по экспертно-аналитической работе</v>
          </cell>
        </row>
        <row r="134">
          <cell r="A134" t="str">
            <v>Мероприятия Дирекции по информационно-аналитической работе</v>
          </cell>
        </row>
        <row r="135">
          <cell r="A135" t="str">
            <v>Проект "Развитие национальной системы квалификаций и профессиональных стандартов"</v>
          </cell>
        </row>
        <row r="136">
          <cell r="A136" t="str">
            <v>Прирост фонда оплаты труда ординарных профессоров</v>
          </cell>
        </row>
        <row r="137">
          <cell r="A137" t="str">
            <v>ППС и УВП факультетов</v>
          </cell>
        </row>
        <row r="138">
          <cell r="A138" t="str">
            <v>УВП факультетов</v>
          </cell>
        </row>
        <row r="139">
          <cell r="A139" t="str">
            <v>ВОЕННАЯ КАФЕДРА</v>
          </cell>
        </row>
        <row r="140">
          <cell r="A140" t="str">
            <v>ФОНД ЗАВЕДУЮЩИХ ОБЩЕУНИВЕРСИТЕТСКИХ КАФЕДР</v>
          </cell>
        </row>
        <row r="141">
          <cell r="A141" t="str">
            <v>УЧЕБНО-ВСПОМОГАТЕЛЬНЫЕ ПОДРАЗДЕЛЕНИЯ</v>
          </cell>
        </row>
        <row r="142">
          <cell r="A142" t="str">
            <v>АУП</v>
          </cell>
        </row>
        <row r="143">
          <cell r="A143" t="str">
            <v>АХО</v>
          </cell>
        </row>
        <row r="144">
          <cell r="A144" t="str">
            <v>АУП НАУЧНЫХ ПОДРАЗДЕЛЕНИЙ</v>
          </cell>
        </row>
        <row r="145">
          <cell r="A145" t="str">
            <v>СТИМУЛИРУЮЩИЕ НАДБАВКИ, МАТЕРИАЛЬНАЯ ПОМОЩЬ, ЮБИЛЕЙНЫЕ ПРЕМИИ</v>
          </cell>
        </row>
        <row r="146">
          <cell r="A146" t="str">
            <v>ПРОЧИЕ РАСХОДЫ ПО ОПЛАТЕ ТРУДА</v>
          </cell>
        </row>
        <row r="147">
          <cell r="A147" t="str">
            <v>Система надбавок тьюторам из числа административно-управленческого персонала и учебно-вспомогательного персонала научно-образовательных подразделений</v>
          </cell>
        </row>
        <row r="148">
          <cell r="A148" t="str">
            <v>Установление доплат руководителям аспирантских школ</v>
          </cell>
        </row>
        <row r="149">
          <cell r="A149" t="str">
            <v>Установление доплат руководителям образовательных программ</v>
          </cell>
        </row>
        <row r="150">
          <cell r="A150" t="str">
            <v>Отчисления в страховые фонды</v>
          </cell>
        </row>
        <row r="151">
          <cell r="A151" t="str">
            <v>ФИНАНСИРОВАНИЕ НАУЧНЫХ ПОДРАЗДЕЛЕНИЙ</v>
          </cell>
        </row>
        <row r="152">
          <cell r="A152" t="str">
            <v>ФИНАНСИРОВАНИЕ ПОДРАЗДЕЛЕНИЙ ДПО</v>
          </cell>
        </row>
        <row r="153">
          <cell r="A153" t="str">
            <v>Приобретение учебной и научной литературы,информационных ресурсов</v>
          </cell>
        </row>
        <row r="154">
          <cell r="A154" t="str">
            <v>Закупка и использование библиотечных и информационных ресурсов</v>
          </cell>
        </row>
        <row r="155">
          <cell r="A155" t="str">
            <v>Приобретение и освоение баз статистических и финансовых данных</v>
          </cell>
        </row>
        <row r="156">
          <cell r="A156" t="str">
            <v>Проведение спортивных мероприятий</v>
          </cell>
        </row>
        <row r="157">
          <cell r="A157" t="str">
            <v>Проведение практики факультета психологии</v>
          </cell>
        </row>
        <row r="158">
          <cell r="A158" t="str">
            <v>Проведение практики и экспедиций в рамках РУП (рабочих учебных планов)</v>
          </cell>
        </row>
        <row r="159">
          <cell r="A159" t="str">
            <v>Финансирование деятельности диссертационных советов</v>
          </cell>
        </row>
        <row r="160">
          <cell r="A160" t="str">
            <v>Проведение экзаменов на получение сертификата по английскому языку</v>
          </cell>
        </row>
        <row r="161">
          <cell r="A161" t="str">
            <v>Возмещение командировочных расходов Санкт-Петербургским филиалом</v>
          </cell>
        </row>
        <row r="162">
          <cell r="A162" t="str">
            <v>Возмещение командировочных расходов Нижегородским филиалом</v>
          </cell>
        </row>
        <row r="163">
          <cell r="A163" t="str">
            <v>Возмещение командировочных расходов Пермским филиалом</v>
          </cell>
        </row>
        <row r="164">
          <cell r="A164" t="str">
            <v>КОМАНДИРОВКИ и СЛУЖЕБНЫЕ РАЗЪЕЗДЫ</v>
          </cell>
        </row>
        <row r="165">
          <cell r="A165" t="str">
            <v>Приобретение предметов снабжения, медикаментов и проч.материалов</v>
          </cell>
        </row>
        <row r="166">
          <cell r="A166" t="str">
            <v>Расходы по ДИТ</v>
          </cell>
        </row>
        <row r="167">
          <cell r="A167" t="str">
            <v>Приобретение оборудования и предметов длительного пользования</v>
          </cell>
        </row>
        <row r="168">
          <cell r="A168" t="str">
            <v>Приобретение вычислительной и копировальной техники, сетевого оборудования, оборудования для связи</v>
          </cell>
        </row>
        <row r="169">
          <cell r="A169" t="str">
            <v>Оплата текущего ремонта оборудования и инвентаря</v>
          </cell>
        </row>
        <row r="170">
          <cell r="A170" t="str">
            <v>Учебное  и офисное программное обеспечение</v>
          </cell>
        </row>
        <row r="171">
          <cell r="A171" t="str">
            <v>Оплата коммунальных услуг</v>
          </cell>
        </row>
        <row r="172">
          <cell r="A172" t="str">
            <v>Расходы на обслуживание зданий и общежитий</v>
          </cell>
        </row>
        <row r="173">
          <cell r="A173" t="str">
            <v>Капитальный ремонт зданий и сооружений</v>
          </cell>
        </row>
        <row r="174">
          <cell r="A174" t="str">
            <v>Финансирование проектных работ</v>
          </cell>
        </row>
        <row r="175">
          <cell r="A175" t="str">
            <v>Текущий ремонт зданий и сооружений</v>
          </cell>
        </row>
        <row r="176">
          <cell r="A176" t="str">
            <v>Содержание инженерно-технических сетей</v>
          </cell>
        </row>
        <row r="177">
          <cell r="A177" t="str">
            <v>Расходы на охрану зданий и на антитеррористические мероприятия</v>
          </cell>
        </row>
        <row r="178">
          <cell r="A178" t="str">
            <v>Расходы на противопожарные мероприятия и пожарную охрану</v>
          </cell>
        </row>
        <row r="179">
          <cell r="A179" t="str">
            <v xml:space="preserve">Оплата проживания в общежитиях </v>
          </cell>
        </row>
        <row r="180">
          <cell r="A180" t="str">
            <v>Телекоммуникации</v>
          </cell>
        </row>
        <row r="181">
          <cell r="A181" t="str">
            <v>Связь</v>
          </cell>
        </row>
        <row r="182">
          <cell r="A182" t="str">
            <v>Мобильная связь</v>
          </cell>
        </row>
        <row r="183">
          <cell r="A183" t="str">
            <v>Оплата горюче-смазочных материалов</v>
          </cell>
        </row>
        <row r="184">
          <cell r="A184" t="str">
            <v>Транспортные услуги (включая перевозки студентов)</v>
          </cell>
        </row>
        <row r="185">
          <cell r="A185" t="str">
            <v>Обслуживание автотранспорта (мойка, стоянка, страховка)</v>
          </cell>
        </row>
        <row r="186">
          <cell r="A186" t="str">
            <v>Приобретение автотранспорта</v>
          </cell>
        </row>
        <row r="187">
          <cell r="A187" t="str">
            <v>Софинансирование ЖСК</v>
          </cell>
        </row>
        <row r="188">
          <cell r="A188" t="str">
            <v>Расходы на охрану труда и технику безопасности</v>
          </cell>
        </row>
        <row r="189">
          <cell r="A189" t="str">
            <v>Расходы на медобслуживание</v>
          </cell>
        </row>
        <row r="190">
          <cell r="A190" t="str">
            <v>Оздоровительные мероприятия для студентов</v>
          </cell>
        </row>
        <row r="191">
          <cell r="A191" t="str">
            <v>ПРЕДСТАВИТЕЛЬСКИЕ РАСХОДЫ</v>
          </cell>
        </row>
        <row r="192">
          <cell r="A192" t="str">
            <v>Аренда имущества</v>
          </cell>
        </row>
        <row r="193">
          <cell r="A193" t="str">
            <v>РАСХОДЫ НА ТИПОГРАФИЮ</v>
          </cell>
        </row>
        <row r="194">
          <cell r="A194" t="str">
            <v>Оплата по договорам подряда с начислениями</v>
          </cell>
        </row>
        <row r="195">
          <cell r="A195" t="str">
            <v>Оплата по договорам с организациями</v>
          </cell>
        </row>
        <row r="196">
          <cell r="A196" t="str">
            <v>Расходы по делопроизводству</v>
          </cell>
        </row>
        <row r="197">
          <cell r="A197" t="str">
            <v>Услуги банка</v>
          </cell>
        </row>
        <row r="198">
          <cell r="A198" t="str">
            <v>Информационное обслуживание</v>
          </cell>
        </row>
        <row r="199">
          <cell r="A199" t="str">
            <v>Проекты НФПК (доля НИУ ВШЭ)</v>
          </cell>
        </row>
        <row r="200">
          <cell r="A200" t="str">
            <v>Прочие расходы</v>
          </cell>
        </row>
        <row r="201">
          <cell r="A201" t="str">
            <v>ФИНАНСИРОВАНИЕ МЕРОПРИЯТИЙ ПРИЕМНОЙ КАМПАНИИ</v>
          </cell>
        </row>
        <row r="202">
          <cell r="A202" t="str">
            <v>Развитие корпоративной информационной системы Университета (Регламенты и КИС)</v>
          </cell>
        </row>
        <row r="203">
          <cell r="A203" t="str">
            <v>Развитие порталов</v>
          </cell>
        </row>
        <row r="204">
          <cell r="A204" t="str">
            <v>СТИПЕНДИИ</v>
          </cell>
        </row>
        <row r="205">
          <cell r="A205" t="str">
            <v>ИМЕННЫЕ СТИПЕНДИИ</v>
          </cell>
        </row>
        <row r="206">
          <cell r="A206" t="str">
            <v>Грантовая поддержка талантливых зарубежных и российских студентов (обучающимся на платной основе)</v>
          </cell>
        </row>
        <row r="207">
          <cell r="A207" t="str">
            <v>Стипендии от организаций  (фонд Оксфорда)</v>
          </cell>
        </row>
        <row r="208">
          <cell r="A208" t="str">
            <v>Прочие трансферты населению</v>
          </cell>
        </row>
        <row r="209">
          <cell r="A209" t="str">
            <v>РЕЗЕРВНЫЙ ФОНД НИУ ВШЭ</v>
          </cell>
        </row>
        <row r="210">
          <cell r="A210" t="str">
            <v>Фонд резервных ставок</v>
          </cell>
        </row>
        <row r="211">
          <cell r="A211" t="str">
            <v>Резерв ректора</v>
          </cell>
        </row>
        <row r="212">
          <cell r="A212" t="str">
            <v>НДС  (по договорам оказания услуг)</v>
          </cell>
        </row>
        <row r="213">
          <cell r="A213" t="str">
            <v>Налог на имущество и земельный налог</v>
          </cell>
        </row>
        <row r="214">
          <cell r="A214" t="str">
            <v>9.  КАПИТАЛЬНЫЕ ВЛОЖЕНИЯ И ИНВЕСТИЦИИ</v>
          </cell>
        </row>
        <row r="215">
          <cell r="A215" t="str">
            <v>Функционирование учебно-научных лабораторий</v>
          </cell>
        </row>
        <row r="216">
          <cell r="A216" t="str">
            <v>Программа "Академическое развитие"</v>
          </cell>
        </row>
        <row r="217">
          <cell r="A217" t="str">
            <v>Мониторинг перспективных рынков прикладных научных исследований и разработок НИУ ВШЭ, в т.ч. на основе форсайта</v>
          </cell>
        </row>
        <row r="218">
          <cell r="A218" t="str">
            <v>Научные электронные препринты на английском языке</v>
          </cell>
        </row>
        <row r="219">
          <cell r="A219" t="str">
            <v>Развитие мониторинговых и сопоставительных исследований</v>
          </cell>
        </row>
        <row r="220">
          <cell r="A220" t="str">
            <v>Создание инфраструктуры международного представления проектов и результатов (включая систему франдрайзинга для проектов)</v>
          </cell>
        </row>
        <row r="221">
          <cell r="A221" t="str">
            <v>Оплата труда работников самостоятельных научных подразделений</v>
          </cell>
        </row>
        <row r="222">
          <cell r="A222" t="str">
            <v>Финансирование программы прикладных исследований</v>
          </cell>
        </row>
        <row r="223">
          <cell r="A223" t="str">
            <v>Расходы подразделений дополнительного образования</v>
          </cell>
        </row>
        <row r="224">
          <cell r="A224" t="str">
            <v>Оплата труда работников подразделений ДПО</v>
          </cell>
        </row>
        <row r="225">
          <cell r="A225" t="str">
            <v>Капитальные вложения и инвестиции</v>
          </cell>
        </row>
        <row r="226">
          <cell r="A226" t="str">
            <v>Развитие центров передовых исследований</v>
          </cell>
        </row>
        <row r="227">
          <cell r="A227" t="str">
            <v>Центры перспективных исследований по актуальным научным направлениям</v>
          </cell>
        </row>
        <row r="228">
          <cell r="A228" t="str">
            <v>Поддержка сотрудничества факультетов с зарубежными  вузами (не стратегическими партнерами)</v>
          </cell>
        </row>
        <row r="229">
          <cell r="A229" t="str">
            <v>Проведение международных экспертиз</v>
          </cell>
        </row>
        <row r="230">
          <cell r="A230" t="str">
            <v>Остатки по субсидиям</v>
          </cell>
        </row>
        <row r="231">
          <cell r="A231" t="str">
            <v>Перечисления вышестоящей организации</v>
          </cell>
        </row>
      </sheetData>
      <sheetData sheetId="10">
        <row r="2">
          <cell r="A2" t="str">
            <v>АУК "Покровка"</v>
          </cell>
        </row>
        <row r="3">
          <cell r="A3" t="str">
            <v>АУК "Измайловский"</v>
          </cell>
        </row>
        <row r="4">
          <cell r="A4" t="str">
            <v>АУК "Мясницкий"</v>
          </cell>
        </row>
        <row r="5">
          <cell r="A5" t="str">
            <v>АУК "Трифоновский"</v>
          </cell>
        </row>
        <row r="6">
          <cell r="A6" t="str">
            <v>Б.Переяславская, 50, стр.1</v>
          </cell>
        </row>
        <row r="7">
          <cell r="A7" t="str">
            <v>Б.Трехсвятительский пер.,3, стр.4</v>
          </cell>
        </row>
        <row r="8">
          <cell r="A8" t="str">
            <v>Б.Трехсвятительский пер.,3, стр.2</v>
          </cell>
        </row>
        <row r="9">
          <cell r="A9" t="str">
            <v>Б.Трехсвятительский пер.,3, стр.3</v>
          </cell>
        </row>
        <row r="10">
          <cell r="A10" t="str">
            <v>Б.Трехсвятительский пер.,3</v>
          </cell>
        </row>
        <row r="11">
          <cell r="A11" t="str">
            <v>Б.Трехсвятительский пер.,3, стр.3 и стр.4</v>
          </cell>
        </row>
        <row r="12">
          <cell r="A12" t="str">
            <v xml:space="preserve">Б.Трехсвятительский пер.,3, стр.2,3,4 </v>
          </cell>
        </row>
        <row r="13">
          <cell r="A13" t="str">
            <v>Б.Трехсвятительский пер.,3  и 3 стр.3</v>
          </cell>
        </row>
        <row r="14">
          <cell r="A14" t="str">
            <v>Б.Харитоньевский пер. д.4 стр.1</v>
          </cell>
        </row>
        <row r="15">
          <cell r="A15" t="str">
            <v>Вавилова, 7</v>
          </cell>
        </row>
        <row r="16">
          <cell r="A16" t="str">
            <v>Варшавское ш., 44а</v>
          </cell>
        </row>
        <row r="17">
          <cell r="A17" t="str">
            <v>Волгоградский пр-т, 46б</v>
          </cell>
        </row>
        <row r="18">
          <cell r="A18" t="str">
            <v>Волоколамское ш., д.52</v>
          </cell>
        </row>
        <row r="19">
          <cell r="A19" t="str">
            <v>Волоколамское ш., д.52, стр.1</v>
          </cell>
        </row>
        <row r="20">
          <cell r="A20" t="str">
            <v>Волоколамское ш., д.52, стр.8</v>
          </cell>
        </row>
        <row r="21">
          <cell r="A21" t="str">
            <v>Волоколамское ш., д.52, стр.11</v>
          </cell>
        </row>
        <row r="22">
          <cell r="A22" t="str">
            <v>Воронцово поле, 5а</v>
          </cell>
        </row>
        <row r="23">
          <cell r="A23" t="str">
            <v>Воронцово поле, 5а, к.1-К</v>
          </cell>
        </row>
        <row r="24">
          <cell r="A24" t="str">
            <v>Воронцово поле, 5а, стр.13</v>
          </cell>
        </row>
        <row r="25">
          <cell r="A25" t="str">
            <v>ГАСИС</v>
          </cell>
        </row>
        <row r="26">
          <cell r="A26" t="str">
            <v>Измайловское ш., 44,стр.1</v>
          </cell>
        </row>
        <row r="27">
          <cell r="A27" t="str">
            <v>Измайловское ш, 44,стр.2</v>
          </cell>
        </row>
        <row r="28">
          <cell r="A28" t="str">
            <v>Измайловское ш., 44,стр.1,2</v>
          </cell>
        </row>
        <row r="29">
          <cell r="A29" t="str">
            <v>Ильинка, 13</v>
          </cell>
        </row>
        <row r="30">
          <cell r="A30" t="str">
            <v>Кантемировская,3, г. Санкт-Петербург</v>
          </cell>
        </row>
        <row r="31">
          <cell r="A31" t="str">
            <v>Кибальчича, 7</v>
          </cell>
        </row>
        <row r="32">
          <cell r="A32" t="str">
            <v>Кирпичная, 33</v>
          </cell>
        </row>
        <row r="33">
          <cell r="A33" t="str">
            <v>Кирпичная, 33, Измайловское ш., 44,стр.1</v>
          </cell>
        </row>
        <row r="34">
          <cell r="A34" t="str">
            <v>Кирпичная, 33, Измайловское ш., 44,стр.2</v>
          </cell>
        </row>
        <row r="35">
          <cell r="A35" t="str">
            <v>Кривоколенный пер., 3а</v>
          </cell>
        </row>
        <row r="36">
          <cell r="A36" t="str">
            <v>Космонавта Волкова, 18</v>
          </cell>
        </row>
        <row r="37">
          <cell r="A37" t="str">
            <v>Кочновский пр-д, 3</v>
          </cell>
        </row>
        <row r="38">
          <cell r="A38" t="str">
            <v>Ленинградский проспект, 47</v>
          </cell>
        </row>
        <row r="39">
          <cell r="A39" t="str">
            <v>МАМИ</v>
          </cell>
        </row>
        <row r="40">
          <cell r="A40" t="str">
            <v>М.Гнездниковский пер., 4</v>
          </cell>
        </row>
        <row r="41">
          <cell r="A41" t="str">
            <v>Маршала Катукова д.24</v>
          </cell>
        </row>
        <row r="42">
          <cell r="A42" t="str">
            <v>М.Ордынка, 17, стр.1</v>
          </cell>
        </row>
        <row r="43">
          <cell r="A43" t="str">
            <v>Малая Пионерская, 12</v>
          </cell>
        </row>
        <row r="44">
          <cell r="A44" t="str">
            <v>М.Трехсвятительский, 8/2</v>
          </cell>
        </row>
        <row r="45">
          <cell r="A45" t="str">
            <v>М.Трехсвятительский, 8/2, стр.1</v>
          </cell>
        </row>
        <row r="46">
          <cell r="A46" t="str">
            <v>М.Трехсвятительский, 8/2, стр.2</v>
          </cell>
        </row>
        <row r="47">
          <cell r="A47" t="str">
            <v>Михайлова, 34</v>
          </cell>
        </row>
        <row r="48">
          <cell r="A48" t="str">
            <v>Милютинский пер., д.13 стр.1</v>
          </cell>
        </row>
        <row r="49">
          <cell r="A49" t="str">
            <v>МИЭМ</v>
          </cell>
        </row>
        <row r="50">
          <cell r="A50" t="str">
            <v>МИЭМ: Б.Трехсвятительский, 3, стр.2, Б.Трехсвятительский, 3, стр.3, Б.Трехсвятительский, 3, стр.4, Покровский б-р, 12, стр.1, Покровский б-р, 8, стр.2А, Покровский б-р, 16/10, стр.1, Покровка, 31, стр.3, Окружной проезд, 11, к.6</v>
          </cell>
        </row>
        <row r="51">
          <cell r="A51" t="str">
            <v>МО, Волоколамский р-н, д. Шульгино, дом 36</v>
          </cell>
        </row>
        <row r="52">
          <cell r="A52" t="str">
            <v>МО Одинцовский р-н, Мамоновский с.о., дер. Измалково, дом 70</v>
          </cell>
        </row>
        <row r="53">
          <cell r="A53" t="str">
            <v>МО, Подольский р-н, УЦ "Вороново"</v>
          </cell>
        </row>
        <row r="54">
          <cell r="A54" t="str">
            <v>Москва-Н.Новгород-Пермь</v>
          </cell>
        </row>
        <row r="55">
          <cell r="A55" t="str">
            <v>Мытная, 46/2, стр.5</v>
          </cell>
        </row>
        <row r="56">
          <cell r="A56" t="str">
            <v>Мясницкая,вл.9-11</v>
          </cell>
        </row>
        <row r="57">
          <cell r="A57" t="str">
            <v>Мясницкая, 18, стр.1</v>
          </cell>
        </row>
        <row r="58">
          <cell r="A58" t="str">
            <v>Мясницкая, 18, стр.1 4 этаж</v>
          </cell>
        </row>
        <row r="59">
          <cell r="A59" t="str">
            <v>Мясницкая, 18, стр.1, Мясницкая, 20</v>
          </cell>
        </row>
        <row r="60">
          <cell r="A60" t="str">
            <v>Мясницкая, 20</v>
          </cell>
        </row>
        <row r="61">
          <cell r="A61" t="str">
            <v>Мясницкая, 20, Кривоколеный пер. д.3а</v>
          </cell>
        </row>
        <row r="62">
          <cell r="A62" t="str">
            <v>Мясницкая, 20, Мясницкая, 18 стр.1, Кривоколеный пер. д.3а</v>
          </cell>
        </row>
        <row r="63">
          <cell r="A63" t="str">
            <v>Мясницкая, 20, Кирпичная, 33</v>
          </cell>
        </row>
        <row r="64">
          <cell r="A64" t="str">
            <v>Мясницкая, 22, стр.1</v>
          </cell>
        </row>
        <row r="65">
          <cell r="A65" t="str">
            <v>Мясницкая, 24/7, стр.3</v>
          </cell>
        </row>
        <row r="66">
          <cell r="A66" t="str">
            <v>Мясницкая 40/7 стр.1</v>
          </cell>
        </row>
        <row r="67">
          <cell r="A67" t="str">
            <v>Н.Новгород, ул.Львовская, 1"В"</v>
          </cell>
        </row>
        <row r="68">
          <cell r="A68" t="str">
            <v>Одинцово, Дениса Давыдова, 1</v>
          </cell>
        </row>
        <row r="69">
          <cell r="A69" t="str">
            <v>Одинцово, Дениса Давыдова, 3</v>
          </cell>
        </row>
        <row r="70">
          <cell r="A70" t="str">
            <v>Одинцово, Дениса Давыдова, 9</v>
          </cell>
        </row>
        <row r="71">
          <cell r="A71" t="str">
            <v>Одинцово, Дениса Давыдова, 3,9</v>
          </cell>
        </row>
        <row r="72">
          <cell r="A72" t="str">
            <v>Одинцово, Дениса Давыдова, 1,3,9</v>
          </cell>
        </row>
        <row r="73">
          <cell r="A73" t="str">
            <v>Одинцово, Комсомольская, 1</v>
          </cell>
        </row>
        <row r="74">
          <cell r="A74" t="str">
            <v>Одинцово, Маковского, 2</v>
          </cell>
        </row>
        <row r="75">
          <cell r="A75" t="str">
            <v>Озерковская наб. д.24</v>
          </cell>
        </row>
        <row r="76">
          <cell r="A76" t="str">
            <v>Окружной проезд, 11, к.6</v>
          </cell>
        </row>
        <row r="77">
          <cell r="A77" t="str">
            <v>Пантелеевская, 53</v>
          </cell>
        </row>
        <row r="78">
          <cell r="A78" t="str">
            <v>Пермь</v>
          </cell>
        </row>
        <row r="79">
          <cell r="A79" t="str">
            <v>Петровка, 12, стр.1</v>
          </cell>
        </row>
        <row r="80">
          <cell r="A80" t="str">
            <v>Подольский р-н с.о.Вороновский</v>
          </cell>
        </row>
        <row r="81">
          <cell r="A81" t="str">
            <v>Покровка, 31, стр.3</v>
          </cell>
        </row>
        <row r="82">
          <cell r="A82" t="str">
            <v>Покровский б-р, 8, стр.1</v>
          </cell>
        </row>
        <row r="83">
          <cell r="A83" t="str">
            <v>Покровский б-р, 8, стр.2А</v>
          </cell>
        </row>
        <row r="84">
          <cell r="A84" t="str">
            <v>Покровский б-р, 11</v>
          </cell>
        </row>
        <row r="85">
          <cell r="A85" t="str">
            <v>Покровский б-р, 11, стр.4</v>
          </cell>
        </row>
        <row r="86">
          <cell r="A86" t="str">
            <v>Покровский б-р, 11, стр.5</v>
          </cell>
        </row>
        <row r="87">
          <cell r="A87" t="str">
            <v>Покровский б-р, д.11, корп. 7</v>
          </cell>
        </row>
        <row r="88">
          <cell r="A88" t="str">
            <v>Покровский б-р, 11, стр.8</v>
          </cell>
        </row>
        <row r="89">
          <cell r="A89" t="str">
            <v>Покровский б-р, 11, к. 1-А</v>
          </cell>
        </row>
        <row r="90">
          <cell r="A90" t="str">
            <v>Покровский б-р, 11, к. 1-Б</v>
          </cell>
        </row>
        <row r="91">
          <cell r="A91" t="str">
            <v>Покровский б-р, 11, к. 1-В</v>
          </cell>
        </row>
        <row r="92">
          <cell r="A92" t="str">
            <v>Покровский б-р, 11, к. 2-Г</v>
          </cell>
        </row>
        <row r="93">
          <cell r="A93" t="str">
            <v>Покровский б-р, 11, к.2-Е</v>
          </cell>
        </row>
        <row r="94">
          <cell r="A94" t="str">
            <v>Покровский б-р, 11, к.1-Д</v>
          </cell>
        </row>
        <row r="95">
          <cell r="A95" t="str">
            <v>Покровский б-р, 12, стр.1</v>
          </cell>
        </row>
        <row r="96">
          <cell r="A96" t="str">
            <v>Покровский б-р, 16/10, стр.1</v>
          </cell>
        </row>
        <row r="97">
          <cell r="A97" t="str">
            <v>Потаповский пер. д.16 стр.10</v>
          </cell>
        </row>
        <row r="98">
          <cell r="A98" t="str">
            <v>Славянская пл., 4, стр.2</v>
          </cell>
        </row>
        <row r="99">
          <cell r="A99" t="str">
            <v>С-Петербург</v>
          </cell>
        </row>
        <row r="100">
          <cell r="A100" t="str">
            <v>С-Петербург ул.Промышленная 14а</v>
          </cell>
        </row>
        <row r="101">
          <cell r="A101" t="str">
            <v>С-Петербург, г.Пушкин, Радищева, 4</v>
          </cell>
        </row>
        <row r="102">
          <cell r="A102" t="str">
            <v>Старая Басманная ул. д21/4 стр.1</v>
          </cell>
        </row>
        <row r="103">
          <cell r="A103" t="str">
            <v>Строгино, ул. Таллинская, 34</v>
          </cell>
        </row>
        <row r="104">
          <cell r="A104" t="str">
            <v>Студенческая, 33, корп.1</v>
          </cell>
        </row>
        <row r="105">
          <cell r="A105" t="str">
            <v>Трифоновская, 57, стр.1</v>
          </cell>
        </row>
        <row r="106">
          <cell r="A106" t="str">
            <v>Трифоновская, 57, стр.2</v>
          </cell>
        </row>
        <row r="107">
          <cell r="A107" t="str">
            <v>Трифоновская, 57</v>
          </cell>
        </row>
        <row r="108">
          <cell r="A108" t="str">
            <v>Троицк МО</v>
          </cell>
        </row>
        <row r="109">
          <cell r="A109" t="str">
            <v>Усачева, 6</v>
          </cell>
        </row>
        <row r="110">
          <cell r="A110" t="str">
            <v>Хитровский пер., 2/8,кор.5</v>
          </cell>
        </row>
        <row r="111">
          <cell r="A111" t="str">
            <v>Хитровский пер., 4, корп.10</v>
          </cell>
        </row>
        <row r="112">
          <cell r="A112" t="str">
            <v>Хитровский пер., 2/8,корп.6</v>
          </cell>
        </row>
        <row r="113">
          <cell r="A113" t="str">
            <v>Хитровский пер., 2/8,кор.5, кор.6</v>
          </cell>
        </row>
        <row r="114">
          <cell r="A114" t="str">
            <v>Хитровский пер.,д.4, корп.10, д.2/8,кор.5</v>
          </cell>
        </row>
        <row r="115">
          <cell r="A115" t="str">
            <v>АУК "Шаболовка"</v>
          </cell>
        </row>
        <row r="116">
          <cell r="A116" t="str">
            <v>Шаболовка, 26</v>
          </cell>
        </row>
        <row r="117">
          <cell r="A117" t="str">
            <v>Шаболовка, 26, стр.1</v>
          </cell>
        </row>
        <row r="118">
          <cell r="A118" t="str">
            <v>Шаболовка, 26, стр.2</v>
          </cell>
        </row>
        <row r="119">
          <cell r="A119" t="str">
            <v>Шаболовка, 26, стр.3</v>
          </cell>
        </row>
        <row r="120">
          <cell r="A120" t="str">
            <v>Шаболовка, 26, стр.4</v>
          </cell>
        </row>
        <row r="121">
          <cell r="A121" t="str">
            <v>Шаболовка,26,стр.3,4</v>
          </cell>
        </row>
        <row r="122">
          <cell r="A122" t="str">
            <v>Шаболовка,26,стр.3,4,5</v>
          </cell>
        </row>
        <row r="123">
          <cell r="A123" t="str">
            <v>Шаболовка, 26, стр.5</v>
          </cell>
        </row>
        <row r="124">
          <cell r="A124" t="str">
            <v>Шаболовка, 26, стр.7</v>
          </cell>
        </row>
        <row r="125">
          <cell r="A125" t="str">
            <v>Шаболовка, 26, стр.8</v>
          </cell>
        </row>
        <row r="126">
          <cell r="A126" t="str">
            <v>Шаболовка, 26, стр.9</v>
          </cell>
        </row>
        <row r="127">
          <cell r="A127" t="str">
            <v>Шаболовка, 26, стр. 11</v>
          </cell>
        </row>
        <row r="128">
          <cell r="A128" t="str">
            <v>Шаболовка, 26, стр. 16</v>
          </cell>
        </row>
        <row r="129">
          <cell r="A129" t="str">
            <v>Шаболовка, 26, стр.17</v>
          </cell>
        </row>
        <row r="130">
          <cell r="A130" t="str">
            <v>Шаболовка, 26, стр.23</v>
          </cell>
        </row>
        <row r="131">
          <cell r="A131" t="str">
            <v>Шаболовка,26,стр.1,2,3,4,5,8,9</v>
          </cell>
        </row>
        <row r="132">
          <cell r="A132" t="str">
            <v>Шаболовка, 28/11</v>
          </cell>
        </row>
        <row r="133">
          <cell r="A133" t="str">
            <v>Шаболовка, 28/11, стр.2</v>
          </cell>
        </row>
        <row r="134">
          <cell r="A134" t="str">
            <v>Шаболовка, 28/11, стр.3</v>
          </cell>
        </row>
        <row r="135">
          <cell r="A135" t="str">
            <v>Шаболовка, 28/11, стр.4</v>
          </cell>
        </row>
        <row r="136">
          <cell r="A136" t="str">
            <v>Шаболовка, 28/11, стр.2,4</v>
          </cell>
        </row>
        <row r="137">
          <cell r="A137" t="str">
            <v>Шаболовка, 28/11, стр.9</v>
          </cell>
        </row>
        <row r="138">
          <cell r="A138" t="str">
            <v>Шаболовка, 28/11, стр.2,3,4,9</v>
          </cell>
        </row>
        <row r="139">
          <cell r="A139" t="str">
            <v>Шаболовка,д.26,стр.2,, д.28/11,стр.3,4,9</v>
          </cell>
        </row>
        <row r="140">
          <cell r="A140" t="str">
            <v>Шаболовка,д.26,стр.2,, д.28/11,стр.2,3,4,9</v>
          </cell>
        </row>
        <row r="141">
          <cell r="A141" t="str">
            <v>Шаболовка,д.26,стр.2,7, д.28/11,стр.3,4,9</v>
          </cell>
        </row>
        <row r="142">
          <cell r="A142" t="str">
            <v>Шаболовка, 31 стр. 23</v>
          </cell>
        </row>
        <row r="143">
          <cell r="A143" t="str">
            <v>Шаболовка, 31Г</v>
          </cell>
        </row>
        <row r="144">
          <cell r="A144" t="str">
            <v>Шаболовка,31Г</v>
          </cell>
        </row>
        <row r="145">
          <cell r="A145" t="str">
            <v>Шаболовка, 31 стр.Б</v>
          </cell>
        </row>
        <row r="146">
          <cell r="A146" t="str">
            <v>Шаболовка, 31 стр. 23, Шаболовка, 31Г, 31 стр.Б</v>
          </cell>
        </row>
        <row r="147">
          <cell r="A147" t="str">
            <v>Шаболовка, 31 стр. 23, Шаболовка, 31Г</v>
          </cell>
        </row>
        <row r="148">
          <cell r="A148" t="str">
            <v>Электродная, 1</v>
          </cell>
        </row>
        <row r="149">
          <cell r="A149" t="str">
            <v>Энергетическая, 10, к.2</v>
          </cell>
        </row>
        <row r="150">
          <cell r="A150" t="str">
            <v>Москва</v>
          </cell>
        </row>
        <row r="151">
          <cell r="A151" t="str">
            <v>Санкт-Петербург</v>
          </cell>
        </row>
        <row r="152">
          <cell r="A152" t="str">
            <v>Сибирский ф-л ГАСИС г.Иркутск</v>
          </cell>
        </row>
        <row r="153">
          <cell r="A153" t="str">
            <v>Пензенский ф-л ГАСИС г.Пенза</v>
          </cell>
        </row>
        <row r="154">
          <cell r="A154" t="str">
            <v>Орликов пер. д.8 (аренда квартиры для PhD)</v>
          </cell>
        </row>
        <row r="155">
          <cell r="A155" t="str">
            <v>Новосибирский ф-л ГАСИС, г.Новосибирск</v>
          </cell>
        </row>
      </sheetData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ъекты обществаКокшетау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ин. пок-ли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ЗА_2014"/>
      <sheetName val="СВОД"/>
      <sheetName val="Справочники"/>
      <sheetName val="Кодировки_ФП"/>
      <sheetName val="Адреса_объектов"/>
      <sheetName val="Справочник"/>
      <sheetName val="СИ по руковод"/>
      <sheetName val="Лист1"/>
    </sheetNames>
    <sheetDataSet>
      <sheetData sheetId="0"/>
      <sheetData sheetId="1"/>
      <sheetData sheetId="2">
        <row r="33">
          <cell r="A33" t="str">
            <v>А/О</v>
          </cell>
        </row>
        <row r="34">
          <cell r="A34" t="str">
            <v>Д</v>
          </cell>
        </row>
        <row r="35">
          <cell r="A35" t="str">
            <v>Д/С</v>
          </cell>
        </row>
        <row r="36">
          <cell r="A36" t="str">
            <v>ЕП</v>
          </cell>
        </row>
        <row r="37">
          <cell r="A37" t="str">
            <v>С</v>
          </cell>
        </row>
        <row r="38">
          <cell r="A38" t="str">
            <v>УП</v>
          </cell>
        </row>
      </sheetData>
      <sheetData sheetId="3">
        <row r="2">
          <cell r="A2" t="str">
            <v>АКАДЕМИЧЕСКИЕ НАДБАВКИ</v>
          </cell>
        </row>
      </sheetData>
      <sheetData sheetId="4">
        <row r="2">
          <cell r="A2" t="str">
            <v>АУК "Покровка"</v>
          </cell>
        </row>
      </sheetData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Д+"/>
      <sheetName val="Нетто3!!!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н.показ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араметры"/>
      <sheetName val="Производство и сбыт"/>
      <sheetName val="Персонал"/>
      <sheetName val="Амортизация"/>
      <sheetName val="Приобретение ОС"/>
      <sheetName val="Временные расходы"/>
      <sheetName val="Пост расходы"/>
      <sheetName val="График"/>
      <sheetName val="Прямые затраты"/>
      <sheetName val="ГСМ Налоги"/>
      <sheetName val="Адмрасходы"/>
      <sheetName val="NPV"/>
      <sheetName val="ОПиУ"/>
      <sheetName val="ОДДС"/>
      <sheetName val="Баланс"/>
      <sheetName val="Эффективност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ст. пар.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  2012"/>
      <sheetName val="Свод-филиалы"/>
      <sheetName val="Свод Москва"/>
      <sheetName val="ПОУ"/>
      <sheetName val="ДПО"/>
      <sheetName val="НИР "/>
      <sheetName val="Прочие доходы"/>
      <sheetName val="Целевые, гранты"/>
      <sheetName val="Расходы "/>
      <sheetName val="2012-проректоры"/>
      <sheetName val="2011-2012"/>
      <sheetName val="Источники"/>
      <sheetName val="Расходы 2012"/>
      <sheetName val="Справочники"/>
      <sheetName val="ПЛАН ФХД"/>
      <sheetName val="Численность контингента"/>
      <sheetName val="Стоимость обучения"/>
      <sheetName val="Численность работников"/>
      <sheetName val="Площади"/>
      <sheetName val="Тарифы"/>
      <sheetName val="Эффективный контракт"/>
      <sheetName val="Нет смет в нормальном виде"/>
      <sheetName val="Кодировки ФП"/>
      <sheetName val="БАЗА -новая 2011"/>
      <sheetName val="ФОТ-свод"/>
      <sheetName val="Свод  2012-2014"/>
      <sheetName val="Свод Москва2012-2014"/>
      <sheetName val="Свод-филиалы2012-2014"/>
      <sheetName val="ПОУ2012-2014"/>
      <sheetName val="ДПО 2012-2014"/>
      <sheetName val="НИР2012-2014"/>
      <sheetName val="Прочие доходы2012-2014"/>
      <sheetName val="Целевые, гранты 2012-2014"/>
      <sheetName val="Расходы 2012-2014"/>
      <sheetName val="Лист4"/>
      <sheetName val="График встреч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>
        <row r="1">
          <cell r="BK1">
            <v>0.25</v>
          </cell>
        </row>
        <row r="2">
          <cell r="BK2">
            <v>0.17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1">
          <cell r="G1" t="str">
            <v>Мероприятия ФП</v>
          </cell>
        </row>
        <row r="48">
          <cell r="G48" t="str">
            <v xml:space="preserve">Артемов Е.К. </v>
          </cell>
        </row>
        <row r="49">
          <cell r="G49" t="str">
            <v xml:space="preserve">Гохберг Л.М. </v>
          </cell>
        </row>
        <row r="50">
          <cell r="G50" t="str">
            <v>Директор филиала</v>
          </cell>
        </row>
        <row r="51">
          <cell r="G51" t="str">
            <v xml:space="preserve">Добрякова М.С. </v>
          </cell>
        </row>
        <row r="52">
          <cell r="G52" t="str">
            <v xml:space="preserve">Дубова Т.Ф. </v>
          </cell>
        </row>
        <row r="53">
          <cell r="G53" t="str">
            <v>Жулин А.Б.</v>
          </cell>
        </row>
        <row r="54">
          <cell r="G54" t="str">
            <v xml:space="preserve">Канторович Г.Г. </v>
          </cell>
        </row>
        <row r="55">
          <cell r="G55" t="str">
            <v>Карелина И.Г.</v>
          </cell>
        </row>
        <row r="56">
          <cell r="G56" t="str">
            <v xml:space="preserve">Касамара В.А. </v>
          </cell>
        </row>
        <row r="57">
          <cell r="G57" t="str">
            <v xml:space="preserve">Коваль Е.А. </v>
          </cell>
        </row>
        <row r="58">
          <cell r="G58" t="str">
            <v xml:space="preserve">Кондрашова Н.М. </v>
          </cell>
        </row>
        <row r="59">
          <cell r="G59" t="str">
            <v xml:space="preserve">Кузьминов Я.И. </v>
          </cell>
        </row>
        <row r="60">
          <cell r="G60" t="str">
            <v>Литвинцева М.И.</v>
          </cell>
        </row>
        <row r="61">
          <cell r="G61" t="str">
            <v>Мошкова О.А.</v>
          </cell>
        </row>
        <row r="62">
          <cell r="G62" t="str">
            <v>Новосельцев А.В.</v>
          </cell>
        </row>
        <row r="63">
          <cell r="G63" t="str">
            <v xml:space="preserve">Протасевич Т.А. </v>
          </cell>
        </row>
        <row r="64">
          <cell r="G64" t="str">
            <v>Радаев В.В.</v>
          </cell>
        </row>
        <row r="65">
          <cell r="G65" t="str">
            <v xml:space="preserve">Рощин С.Ю. </v>
          </cell>
        </row>
        <row r="66">
          <cell r="G66" t="str">
            <v xml:space="preserve">Савельева Н.Ю. </v>
          </cell>
        </row>
        <row r="67">
          <cell r="G67" t="str">
            <v xml:space="preserve">Самойленко В.А. </v>
          </cell>
        </row>
        <row r="68">
          <cell r="G68" t="str">
            <v xml:space="preserve">Фрумин И.Д. </v>
          </cell>
        </row>
        <row r="69">
          <cell r="G69" t="str">
            <v xml:space="preserve">Черновол Е.Н. </v>
          </cell>
        </row>
        <row r="70">
          <cell r="G70" t="str">
            <v xml:space="preserve">Четвернина Т.Я. </v>
          </cell>
        </row>
        <row r="71">
          <cell r="G71" t="str">
            <v xml:space="preserve">Шамрин А.Т. </v>
          </cell>
        </row>
        <row r="72">
          <cell r="G72" t="str">
            <v>Шишкин С.В.</v>
          </cell>
        </row>
        <row r="73">
          <cell r="G73" t="str">
            <v xml:space="preserve">Щербаков О.М. </v>
          </cell>
        </row>
        <row r="74">
          <cell r="G74" t="str">
            <v>Юдина Е.М.</v>
          </cell>
        </row>
        <row r="75">
          <cell r="G75" t="str">
            <v xml:space="preserve">Юдкевич М.М. </v>
          </cell>
        </row>
        <row r="76">
          <cell r="G76" t="str">
            <v xml:space="preserve">Якобсон Л.И. 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тырарПлощадьОПиФА"/>
      <sheetName val="ОтырарПлощадьОПродаж"/>
      <sheetName val="объекты общества"/>
      <sheetName val="ОбъектыОбществаПрочиеХвосты"/>
      <sheetName val="ПрочиеОбъектыХвосты"/>
      <sheetName val="объекты обществаКокшетау"/>
      <sheetName val="БалансСебест"/>
      <sheetName val="РеализацияБухгалтерия"/>
      <sheetName val="Штуки"/>
      <sheetName val="Стоимость"/>
      <sheetName val="Поступления"/>
      <sheetName val="ВозвратДебиторки"/>
      <sheetName val="Итого Потоки"/>
      <sheetName val="Цен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"/>
      <sheetName val="ДДС_без 4,5"/>
      <sheetName val="ф3"/>
      <sheetName val="ф2"/>
      <sheetName val="кр"/>
      <sheetName val="Натур пок-л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_Д"/>
      <sheetName val="Дох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иобретение О.С."/>
      <sheetName val="Перем. затраты"/>
    </sheet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урсы"/>
      <sheetName val="БТА"/>
      <sheetName val="ККБ"/>
      <sheetName val="год"/>
      <sheetName val="деньги"/>
      <sheetName val="объекты общества"/>
      <sheetName val="расторжения"/>
      <sheetName val="констан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инпоки1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ИТУЛЬНЫЙ СВОД"/>
      <sheetName val="Свод  2013"/>
      <sheetName val="Свод-филиалы"/>
      <sheetName val="Свод Москва"/>
      <sheetName val="ПОУ"/>
      <sheetName val="Кросссубс2013"/>
      <sheetName val="ДПО"/>
      <sheetName val="НИР внб"/>
      <sheetName val="НИР  (Презид гранты молод учен)"/>
      <sheetName val="Программа прикладных НИР"/>
      <sheetName val="Аналитика по НИР внб"/>
      <sheetName val="Целевые, гранты"/>
      <sheetName val="Прочие доходы"/>
      <sheetName val="Наука в филиалах - справочно"/>
      <sheetName val="Кодировки ФП"/>
      <sheetName val="Расходы"/>
      <sheetName val="Лист2"/>
      <sheetName val="Расходы на УС_СПб и УЦПР"/>
      <sheetName val="Расходы на УС_НН"/>
      <sheetName val="Расходы на УС_П"/>
      <sheetName val="СИ по руковод"/>
      <sheetName val="по СИ"/>
      <sheetName val="2013-2014ФП"/>
      <sheetName val="по источникам"/>
      <sheetName val="База-2013-2014"/>
      <sheetName val="База-максимум"/>
      <sheetName val="Справочники"/>
      <sheetName val="Бюджет развития"/>
      <sheetName val="ФОТ"/>
      <sheetName val="БАЗА_РАСХОДЫ"/>
      <sheetName val="Аренда"/>
      <sheetName val="Справочник"/>
      <sheetName val="2020"/>
      <sheetName val="АН"/>
      <sheetName val="Кадровый резерв"/>
      <sheetName val="Ассистенты"/>
      <sheetName val="Рекрутинг+Постдоки"/>
      <sheetName val="Аспиранты"/>
      <sheetName val="Лучшие преподаватели"/>
      <sheetName val="Награды"/>
      <sheetName val="Ординары"/>
      <sheetName val=" НФ"/>
      <sheetName val="PHD"/>
      <sheetName val="ПОСТ-ДОКи"/>
      <sheetName val="English"/>
      <sheetName val="Золотая Вышка и Чугунное яйцо"/>
      <sheetName val="Молодые преподаватели"/>
      <sheetName val="Новые администраторы"/>
      <sheetName val="Лучшие преподаватели (2)"/>
      <sheetName val="Лучшие преподаватели (3)"/>
      <sheetName val="Лучшие преподаватели (4)"/>
      <sheetName val="Таблица"/>
      <sheetName val="Таблица наука 2"/>
      <sheetName val="Справочник признак ПДД подр"/>
      <sheetName val="Реструктуризация АХО"/>
      <sheetName val="Справочник_рабочий "/>
      <sheetName val="ПРоект нового справочни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">
          <cell r="G1" t="str">
            <v>Мероприятия ФП</v>
          </cell>
        </row>
        <row r="2">
          <cell r="G2" t="str">
            <v>РЕЗЕРВЫ</v>
          </cell>
          <cell r="K2" t="str">
            <v>АКАДЕМИЧЕСКИЕ НАДБАВКИ</v>
          </cell>
        </row>
        <row r="3">
          <cell r="G3" t="str">
            <v>ОПЛАТА ТРУДА</v>
          </cell>
          <cell r="K3" t="str">
            <v>Отчисления в страховые фонды</v>
          </cell>
        </row>
        <row r="4">
          <cell r="G4" t="str">
            <v xml:space="preserve">ФОНД ОПЛАТЫ ТРУДА </v>
          </cell>
          <cell r="K4" t="str">
            <v>ППС и УВП факультетов</v>
          </cell>
        </row>
        <row r="5">
          <cell r="G5" t="str">
            <v>УЧЕБНО-НАУЧНЫЙ ПРОЦЕСС</v>
          </cell>
          <cell r="K5" t="str">
            <v>ППС</v>
          </cell>
        </row>
        <row r="6">
          <cell r="G6" t="str">
            <v>РАСХОДЫ НА БИБЛИОТЕКУ</v>
          </cell>
          <cell r="K6" t="str">
            <v>Увеличение доплат за административные обязанности</v>
          </cell>
        </row>
        <row r="7">
          <cell r="G7" t="str">
            <v>КОМАНДИРОВКИ и СЛУЖЕБНЫЕ РАЗЪЕЗДЫ</v>
          </cell>
          <cell r="K7" t="str">
            <v>Увеличение доплат за исполнение административных обязанностей</v>
          </cell>
        </row>
        <row r="8">
          <cell r="G8" t="str">
            <v>ПРИОБРЕТЕНИЕ ОБОРУДОВАНИЯ И РАСХОДНЫХ МАТЕРИАЛОВ</v>
          </cell>
          <cell r="K8" t="str">
            <v>Увеличение доплат молодым преподавателям и ассистентам, работающим на условиях внешнего совместительства</v>
          </cell>
        </row>
        <row r="9">
          <cell r="G9" t="str">
            <v>СОДЕРЖАНИЕ ЗДАНИЙ и ОБЩЕЖИТИЙ</v>
          </cell>
          <cell r="K9" t="str">
            <v>Увеличение количества и размеров индивидуальных трудовых контрактов с ППС</v>
          </cell>
        </row>
        <row r="10">
          <cell r="G10" t="str">
            <v>УСЛУГИ СВЯЗИ и ИНТЕРНЕТ</v>
          </cell>
          <cell r="K10" t="str">
            <v>Прирост фонда оплаты труда ординарных профессоров</v>
          </cell>
        </row>
        <row r="11">
          <cell r="G11" t="str">
            <v>ТРАНСПОРТНЫЕ РАСХОДЫ И ГОРЮЧЕ-СМАЗОЧНЫЕ МАТЕРИАЛЫ</v>
          </cell>
          <cell r="K11" t="str">
            <v>УВП факультетов</v>
          </cell>
        </row>
        <row r="12">
          <cell r="G12" t="str">
            <v>ОХРАНА ТРУДА и СОЦИАЛЬНЫЙ БЛОК</v>
          </cell>
          <cell r="K12" t="str">
            <v>АУП</v>
          </cell>
        </row>
        <row r="13">
          <cell r="G13" t="str">
            <v>ПРЕДСТАВИТЕЛЬСКИЕ РАСХОДЫ</v>
          </cell>
          <cell r="K13" t="str">
            <v>УЧЕБНО-ВСПОМОГАТЕЛЬНЫЕ ПОДРАЗДЕЛЕНИЯ</v>
          </cell>
        </row>
        <row r="14">
          <cell r="G14" t="str">
            <v>АРЕНДА ИМУЩЕСТВА</v>
          </cell>
          <cell r="K14" t="str">
            <v>АХО</v>
          </cell>
        </row>
        <row r="15">
          <cell r="G15" t="str">
            <v>ПРОЧИЕ ТЕКУЩИЕ РАСХОДЫ</v>
          </cell>
          <cell r="K15" t="str">
            <v>АУП НАУЧНЫХ ПОДРАЗДЕЛЕНИЙ</v>
          </cell>
        </row>
        <row r="16">
          <cell r="G16" t="str">
            <v>ТЕКУЩИЕ ОПЕРАЦИОННЫЕ РАСХОДЫ</v>
          </cell>
          <cell r="K16" t="str">
            <v>ВОЕННАЯ КАФЕДРА</v>
          </cell>
        </row>
        <row r="17">
          <cell r="G17" t="str">
            <v>РАСХОДЫ НА ТИПОГРАФИЮ</v>
          </cell>
          <cell r="K17" t="str">
            <v>Приемная комиссия</v>
          </cell>
        </row>
        <row r="18">
          <cell r="G18" t="str">
            <v>СТИПЕНДИИ</v>
          </cell>
          <cell r="K18" t="str">
            <v>ФИНАНСИРОВАНИЕ МЕРОПРИЯТИЙ ПРИЕМНОЙ КАМПАНИИ</v>
          </cell>
        </row>
        <row r="19">
          <cell r="G19" t="str">
            <v>ПРОЧИЕ ТРАНСФЕРТЫ НАСЕЛЕНИЮ</v>
          </cell>
          <cell r="K19" t="str">
            <v>Материальная помощь к  отпуску ординарных профессоров</v>
          </cell>
        </row>
        <row r="20">
          <cell r="G20" t="str">
            <v>ИМЕННЫЕ СТИПЕНДИИ</v>
          </cell>
          <cell r="K20" t="str">
            <v>ПРОЧИЕ РАСХОДЫ ПО ОПЛАТЕ ТРУДА</v>
          </cell>
        </row>
        <row r="21">
          <cell r="G21" t="str">
            <v>РЕЗЕРВНЫЙ ФОНД НИУ ВШЭ</v>
          </cell>
          <cell r="K21" t="str">
            <v>СТИМУЛИРУЮЩИЕ НАДБАВКИ, МАТЕРИАЛЬНАЯ ПОМОЩЬ, ЮБИЛЕЙНЫЕ ПРЕМИИ</v>
          </cell>
        </row>
        <row r="22">
          <cell r="G22" t="str">
            <v>ФОНД РЕЗЕРВНЫХ СТАВОК</v>
          </cell>
          <cell r="K22" t="str">
            <v>Система надбавок тьюторам из числа административно-управленческого персонала и учебно-вспомогательного персонала научно-образовательных подразделений</v>
          </cell>
        </row>
        <row r="23">
          <cell r="G23" t="str">
            <v>РЕЗЕРВ РЕКТОРА</v>
          </cell>
          <cell r="K23" t="str">
            <v>Установление доплат руководителям аспирантских школ</v>
          </cell>
        </row>
        <row r="24">
          <cell r="G24" t="str">
            <v>ПРОВЕДЕНИЕ СЕМИНАРОВ и КОНФЕРЕНЦИЙ</v>
          </cell>
          <cell r="K24" t="str">
            <v>Установление доплат руководителям образовательных программ</v>
          </cell>
        </row>
        <row r="25">
          <cell r="G25" t="str">
            <v>ФИНАНСИРОВАНИЕ МЕРОПРИЯТИЙ ПРИЕМНОЙ КАМПАНИИ</v>
          </cell>
          <cell r="K25" t="str">
            <v>ФИНАНСИРОВАНИЕ НАУЧНЫХ ПОДРАЗДЕЛЕНИЙ</v>
          </cell>
        </row>
        <row r="26">
          <cell r="G26" t="str">
            <v>ПРОВЕДЕНИЕ ОЛИМПИАД</v>
          </cell>
          <cell r="K26" t="str">
            <v>ФИНАНСИРОВАНИЕ ПОДРАЗДЕЛЕНИЙ ДПО</v>
          </cell>
        </row>
        <row r="27">
          <cell r="G27" t="str">
            <v>РАЗВИТИЕ ИНФОРМАЦИОННЫХ ТЕХНОЛОГИЙ</v>
          </cell>
          <cell r="K27" t="str">
            <v>Финансирование обучения в ведущих университетах</v>
          </cell>
        </row>
        <row r="28">
          <cell r="G28" t="str">
            <v>ИЗДАТЕЛЬСКАЯ ДЕЯТЕЛЬНОСТЬ</v>
          </cell>
          <cell r="K28" t="str">
            <v>Надбавки лучшим преподавателям</v>
          </cell>
        </row>
        <row r="29">
          <cell r="G29" t="str">
            <v>МЕРОПРИЯТИЯ УПРАВЛЕНИЯ ПО СОТРУДНИЧЕСТВУ СО СТРАНАМИ СНГ И БАЛТИИ</v>
          </cell>
          <cell r="K29" t="str">
            <v>Развитие программы "Академическая аспирантура" (Structured PhD program)</v>
          </cell>
        </row>
        <row r="30">
          <cell r="G30" t="str">
            <v>ФИНАНСИРОВАНИЕ МЕЖДУНАРОДНОЙ ДЕЯТЕЛЬНОСТИ</v>
          </cell>
          <cell r="K30" t="str">
            <v xml:space="preserve">Интернационализация аспирантуры ВШЭ </v>
          </cell>
        </row>
        <row r="31">
          <cell r="G31" t="str">
            <v>МЕРОПРИЯТИЯ ДЛЯ СТУДЕНТОВ И ВЫПУСКНИКОВ</v>
          </cell>
          <cell r="K31" t="str">
            <v>Компенсация расходов по контрактам международных специалистов PhD и пост-доков (подъемные, переезд и т.п.)</v>
          </cell>
        </row>
        <row r="32">
          <cell r="G32" t="str">
            <v>УНИВЕРСИТЕТСКИЕ МЕРОПРИЯТИЯ И ИНФОРМАЦИОННОЕ ОБЕСПЕЧЕНИЕ</v>
          </cell>
          <cell r="K32" t="str">
            <v>Найм новых PhD</v>
          </cell>
        </row>
        <row r="33">
          <cell r="G33" t="str">
            <v>ПРОЧИЕ ПРОЕКТЫ УНИВЕРСИТЕТА</v>
          </cell>
          <cell r="K33" t="str">
            <v>Оплата труда вновь принимаемых международных специалистов (PhD)</v>
          </cell>
        </row>
        <row r="34">
          <cell r="G34" t="str">
            <v>ФИНАНСИРОВАНИЕ ЭКСПЕРТНО-АНАЛИТИЧЕСКОЙ РАБОТЫ</v>
          </cell>
          <cell r="K34" t="str">
            <v>Оплата труда международных специалистов (PhD), принятых в предшествующие периоды</v>
          </cell>
        </row>
        <row r="35">
          <cell r="G35" t="str">
            <v>РАСХОДЫ ФАКУЛЬТЕТОВ</v>
          </cell>
          <cell r="K35" t="str">
            <v>Финансирование учебных ассистентов</v>
          </cell>
        </row>
        <row r="36">
          <cell r="G36" t="str">
            <v>МЕЖДУНАРОДНЫЕ ЛАБОРАТОРИИ</v>
          </cell>
          <cell r="K36" t="str">
            <v>Финансирование деятельности молодых исследователей - обладателей международно-признанной степени PhD, работающих   в НИУ ВШЭ на условиях краткосрочного трудового договора в рамках программы PostDoc Felowship</v>
          </cell>
        </row>
        <row r="37">
          <cell r="G37" t="str">
            <v>НАЛОГИ</v>
          </cell>
          <cell r="K37" t="str">
            <v>Приобретение учебной и научной литературы,информационных ресурсов</v>
          </cell>
        </row>
        <row r="38">
          <cell r="G38" t="str">
            <v>МЕЖДУНАРОДНЫЕ ТРУДОВЫЕ КОНТРАКТЫ И ИХ ОБСЛУЖИВАНИЕ</v>
          </cell>
          <cell r="K38" t="str">
            <v>Проведение спортивных мероприятий</v>
          </cell>
        </row>
        <row r="39">
          <cell r="G39" t="str">
            <v>Отчисления в страховые фонды</v>
          </cell>
          <cell r="K39" t="str">
            <v xml:space="preserve">Проведение ежегодной Международной конференции </v>
          </cell>
        </row>
        <row r="40">
          <cell r="G40" t="str">
            <v>ПОВЫШЕНИЕ КВАЛИФИКАЦИИ РАБОТНИКОВ ГУ-ВШЭ</v>
          </cell>
          <cell r="K40" t="str">
            <v>Проведение конференций и семинаров</v>
          </cell>
        </row>
        <row r="41">
          <cell r="G41" t="str">
            <v>ФИНАНСИРОВАНИЕ И АВАНСИРОВАНИЕ ЗАРАБАТЫВАЮЩИХ ПОДРАЗДЕЛЕНИЙ</v>
          </cell>
          <cell r="K41" t="str">
            <v>Проведение мероприятий по присуждению Национальной премии по прикладной экономике</v>
          </cell>
        </row>
        <row r="42">
          <cell r="G42" t="str">
            <v>ФИНАНСИРОВАНИЕ НАУЧНЫХ ИССЛЕДОВАНИЙ</v>
          </cell>
          <cell r="K42" t="str">
            <v>Финансирование деятельности диссертационных советов</v>
          </cell>
        </row>
        <row r="43">
          <cell r="G43" t="str">
            <v>ОРГАНИЗАЦИЯ И ПРОВЕДЕНИЕ ЭКСПЕРТИЗЫ АКАДЕМИЧЕСКИХ ПРОЕКТОВ</v>
          </cell>
          <cell r="K43" t="str">
            <v>КОМАНДИРОВКИ и СЛУЖЕБНЫЕ РАЗЪЕЗДЫ</v>
          </cell>
        </row>
        <row r="44">
          <cell r="G44" t="str">
            <v>ИНСТРУМЕНТЫ АКАДЕМИЧЕСКОГО РАЗВИТИЯ</v>
          </cell>
          <cell r="K44" t="str">
            <v>Проведение практики и экспедиций в рамках РУП (рабочих учебных планов)</v>
          </cell>
        </row>
        <row r="45">
          <cell r="G45" t="str">
            <v>НАУЧНЫЕ ИССЛЕДОВАНИЯ</v>
          </cell>
          <cell r="K45" t="str">
            <v>Проведение практики факультета психологии</v>
          </cell>
        </row>
        <row r="46">
          <cell r="G46" t="str">
            <v>Развитие инновационной инфраструктуры</v>
          </cell>
          <cell r="K46" t="str">
            <v>Приобретение предметов снабжения, медикаментов и проч.материалов</v>
          </cell>
        </row>
        <row r="47">
          <cell r="G47" t="str">
            <v>СОЗДАНИЕ ЛАБОРАТОРИЙ</v>
          </cell>
          <cell r="K47" t="str">
            <v>Расходы по ДИТ</v>
          </cell>
        </row>
        <row r="48">
          <cell r="G48" t="str">
            <v>ПРОГРАММА РАЗВИТИЯ НИУ</v>
          </cell>
          <cell r="K48" t="str">
            <v>Приобретение оборудования и предметов длительного пользования</v>
          </cell>
        </row>
        <row r="49">
          <cell r="K49" t="str">
            <v>Приобретение вычислительной и копировальной техники, сетевого оборудования, оборудования для связи</v>
          </cell>
        </row>
        <row r="50">
          <cell r="K50" t="str">
            <v>Оплата текущего ремонта оборудования и инвентаря</v>
          </cell>
        </row>
        <row r="51">
          <cell r="K51" t="str">
            <v>Учебное  и офисное программное обеспечение</v>
          </cell>
        </row>
        <row r="52">
          <cell r="K52" t="str">
            <v>Оплата коммунальных услуг</v>
          </cell>
        </row>
        <row r="53">
          <cell r="K53" t="str">
            <v>Капитальный ремонт зданий и сооружений</v>
          </cell>
        </row>
        <row r="54">
          <cell r="K54" t="str">
            <v>Финансирование проектных работ</v>
          </cell>
        </row>
        <row r="55">
          <cell r="K55" t="str">
            <v>Текущий ремонт зданий и сооружений</v>
          </cell>
        </row>
        <row r="56">
          <cell r="K56" t="str">
            <v>Расходы на охрану зданий и на антитеррористические мероприятия</v>
          </cell>
        </row>
        <row r="57">
          <cell r="K57" t="str">
            <v>Расходы на противопожарные мероприятия и пожарную охрану</v>
          </cell>
        </row>
        <row r="58">
          <cell r="K58" t="str">
            <v xml:space="preserve">Оплата проживания в общежитиях </v>
          </cell>
        </row>
        <row r="59">
          <cell r="K59" t="str">
            <v>Замена ковровых покрытий</v>
          </cell>
        </row>
        <row r="60">
          <cell r="K60" t="str">
            <v>Расходы на обслуживание зданий и общежитий</v>
          </cell>
        </row>
        <row r="61">
          <cell r="K61" t="str">
            <v>Содержание инженерно-технических сетей</v>
          </cell>
        </row>
        <row r="62">
          <cell r="K62" t="str">
            <v>Связь</v>
          </cell>
        </row>
        <row r="63">
          <cell r="K63" t="str">
            <v>Мобильная связь</v>
          </cell>
        </row>
        <row r="64">
          <cell r="K64" t="str">
            <v>Телекоммуникации</v>
          </cell>
        </row>
        <row r="65">
          <cell r="K65" t="str">
            <v>Оплата горюче-смазочных материалов</v>
          </cell>
        </row>
        <row r="66">
          <cell r="K66" t="str">
            <v>Транспортные услуги (включая перевозки студентов)</v>
          </cell>
        </row>
        <row r="67">
          <cell r="K67" t="str">
            <v>Обслуживание автотранспорта (мойка, стоянка, страховка)</v>
          </cell>
        </row>
        <row r="68">
          <cell r="K68" t="str">
            <v>Приобретение автотранспорта</v>
          </cell>
        </row>
        <row r="69">
          <cell r="K69" t="str">
            <v>Расходы на охрану труда и технику безопасности</v>
          </cell>
        </row>
        <row r="70">
          <cell r="K70" t="str">
            <v>Расходы на медобслуживание</v>
          </cell>
        </row>
        <row r="71">
          <cell r="K71" t="str">
            <v>Оздоровительные мероприятия для студентов</v>
          </cell>
        </row>
        <row r="72">
          <cell r="K72" t="str">
            <v>Софинансирование ЖСК</v>
          </cell>
        </row>
        <row r="73">
          <cell r="K73" t="str">
            <v>ПРЕДСТАВИТЕЛЬСКИЕ РАСХОДЫ</v>
          </cell>
        </row>
        <row r="74">
          <cell r="K74" t="str">
            <v>Оплата по договорам подряда с начислениями</v>
          </cell>
        </row>
        <row r="75">
          <cell r="K75" t="str">
            <v>Оплата по договорам с организациями</v>
          </cell>
        </row>
        <row r="76">
          <cell r="K76" t="str">
            <v>Расходы по делопроизводству</v>
          </cell>
        </row>
        <row r="77">
          <cell r="K77" t="str">
            <v>Услуги банка</v>
          </cell>
        </row>
        <row r="78">
          <cell r="K78" t="str">
            <v>ПОВЫШЕНИЕ КВАЛИФИКАЦИИ РАБОТНИКОВ УНИВЕРСИТЕТА</v>
          </cell>
        </row>
        <row r="79">
          <cell r="K79" t="str">
            <v>Информационное обслуживание</v>
          </cell>
        </row>
        <row r="80">
          <cell r="K80" t="str">
            <v>НДС  (по договорам оказания услуг)</v>
          </cell>
        </row>
        <row r="81">
          <cell r="K81" t="str">
            <v>Налог на имущество и земельный налог</v>
          </cell>
        </row>
        <row r="82">
          <cell r="K82" t="str">
            <v>Налог на прибыль</v>
          </cell>
        </row>
        <row r="83">
          <cell r="K83" t="str">
            <v>Проекты НФПК (доля НИУ ВШЭ)</v>
          </cell>
        </row>
        <row r="84">
          <cell r="K84" t="str">
            <v>Аренда земли в г.Троицке</v>
          </cell>
        </row>
        <row r="85">
          <cell r="K85" t="str">
            <v>АРЕНДА ИМУЩЕСТВА</v>
          </cell>
        </row>
        <row r="86">
          <cell r="K86" t="str">
            <v>Аренда имущества</v>
          </cell>
        </row>
        <row r="87">
          <cell r="K87" t="str">
            <v>Аренда общежитий</v>
          </cell>
        </row>
        <row r="88">
          <cell r="K88" t="str">
            <v>Аренда опоры освещения</v>
          </cell>
        </row>
        <row r="89">
          <cell r="K89" t="str">
            <v>Аренда учебных и административных корпусов</v>
          </cell>
        </row>
        <row r="90">
          <cell r="K90" t="str">
            <v>Прочие расходы</v>
          </cell>
        </row>
        <row r="91">
          <cell r="K91" t="str">
            <v>Стипендии бюджетным студентам</v>
          </cell>
        </row>
        <row r="92">
          <cell r="K92" t="str">
            <v>СТИПЕНДИИ</v>
          </cell>
        </row>
        <row r="93">
          <cell r="K93" t="str">
            <v>Прочие трансферты населению</v>
          </cell>
        </row>
        <row r="94">
          <cell r="K94" t="str">
            <v>ИМЕННЫЕ СТИПЕНДИИ</v>
          </cell>
        </row>
        <row r="95">
          <cell r="K95" t="str">
            <v>Стипендии от организаций  (фонд Оксфорда)</v>
          </cell>
        </row>
        <row r="96">
          <cell r="K96" t="str">
            <v>Грантовая поддержка талантливых зарубежных и российских студентов (обучающимся на платной основе)</v>
          </cell>
        </row>
        <row r="97">
          <cell r="K97" t="str">
            <v>РЕЗЕРВНЫЙ ФОНД НИУ ВШЭ</v>
          </cell>
        </row>
        <row r="98">
          <cell r="K98" t="str">
            <v>ФОНД ЗАВЕДУЮЩИХ ОБЩЕУНИВЕРСИТЕТСКИХ КАФЕДР</v>
          </cell>
        </row>
        <row r="99">
          <cell r="K99" t="str">
            <v>Фонд резервных ставок</v>
          </cell>
        </row>
        <row r="100">
          <cell r="K100" t="str">
            <v>РЕЗЕРВ РЕКТОРА</v>
          </cell>
        </row>
        <row r="101">
          <cell r="K101" t="str">
            <v>Резерв ректора</v>
          </cell>
        </row>
        <row r="102">
          <cell r="K102" t="str">
            <v>Фонд развития прикладных исследований</v>
          </cell>
        </row>
        <row r="103">
          <cell r="K103" t="str">
            <v>Остатки по субсидиям</v>
          </cell>
        </row>
        <row r="104">
          <cell r="K104" t="str">
            <v>ПРОГРАММА "НАУЧНЫЙ ФОНД"</v>
          </cell>
        </row>
        <row r="105">
          <cell r="K105" t="str">
            <v>Доплаты за руководство аспирантами и ученым секретарям диссертационных советов</v>
          </cell>
        </row>
        <row r="106">
          <cell r="K106" t="str">
            <v>Творческие отпуска</v>
          </cell>
        </row>
        <row r="107">
          <cell r="K107" t="str">
            <v>Функционирование учебно-научных лабораторий</v>
          </cell>
        </row>
        <row r="108">
          <cell r="K108" t="str">
            <v>Мероприятия программы "Кадровый резерв"</v>
          </cell>
        </row>
        <row r="109">
          <cell r="K109" t="str">
            <v>Программа кадрового резерва (стартовые гранты)</v>
          </cell>
        </row>
        <row r="110">
          <cell r="K110" t="str">
            <v>Финансирование развития образовательных программ</v>
          </cell>
        </row>
        <row r="111">
          <cell r="K111" t="str">
            <v>Развитие корпоративной информационной системы Университета (Регламенты и КИС)</v>
          </cell>
        </row>
        <row r="112">
          <cell r="K112" t="str">
            <v>Развитие порталов</v>
          </cell>
        </row>
        <row r="113">
          <cell r="K113" t="str">
            <v>Внутренние социологические и маркетинговые исследования</v>
          </cell>
        </row>
        <row r="114">
          <cell r="K114" t="str">
            <v>Фонд образовательных инноваций</v>
          </cell>
        </row>
        <row r="115">
          <cell r="K115" t="str">
            <v>Повторное  преподавание курсов на английском языке</v>
          </cell>
        </row>
        <row r="116">
          <cell r="K116" t="str">
            <v>Закупка и использование библиотечных и информационных ресурсов</v>
          </cell>
        </row>
        <row r="117">
          <cell r="K117" t="str">
            <v>Приобретение и освоение баз статистических и финансовых данных</v>
          </cell>
        </row>
        <row r="118">
          <cell r="K118" t="str">
            <v>Мероприятия Бизнес-инкубатора</v>
          </cell>
        </row>
        <row r="119">
          <cell r="K119" t="str">
            <v>Организация международного рекрутинга и поддержка академической мобильности международных специалистов PhD и пост-доков</v>
          </cell>
        </row>
        <row r="120">
          <cell r="K120" t="str">
            <v>Реализация программы международного рекрутинга</v>
          </cell>
        </row>
        <row r="121">
          <cell r="K121" t="str">
            <v>ФИНАНСИРОВАНИЕ МЕРОПРИЯТИЙ ИФМИ, УАР</v>
          </cell>
        </row>
        <row r="122">
          <cell r="K122" t="str">
            <v>Организация  практикумов и методических  семинаров  ("летние" школы)</v>
          </cell>
        </row>
        <row r="123">
          <cell r="K123" t="str">
            <v>Зимние школы для студентов и выпускников</v>
          </cell>
        </row>
        <row r="124">
          <cell r="K124" t="str">
            <v>Журнал "Форсайт"</v>
          </cell>
        </row>
        <row r="125">
          <cell r="K125" t="str">
            <v>Финансирование журналов, издаваемых в НИУ ВШЭ</v>
          </cell>
        </row>
        <row r="126">
          <cell r="K126" t="str">
            <v>Финансирование издания книг, препринтов, монографий</v>
          </cell>
        </row>
        <row r="127">
          <cell r="K127" t="str">
            <v>ИЗДАТЕЛЬСКАЯ ДЕЯТЕЛЬНОСТЬ</v>
          </cell>
        </row>
        <row r="128">
          <cell r="K128" t="str">
            <v>Общая издательская деятельность</v>
          </cell>
        </row>
        <row r="129">
          <cell r="K129" t="str">
            <v>Издание информационного бюллетеня "Окна роста"</v>
          </cell>
        </row>
        <row r="130">
          <cell r="K130" t="str">
            <v>Реклама и полиграфия</v>
          </cell>
        </row>
        <row r="131">
          <cell r="K131" t="str">
            <v>Проведение информационной работы (мероприятия пресс-службы)</v>
          </cell>
        </row>
        <row r="132">
          <cell r="K132" t="str">
            <v>Общеуниверситетские мероприятия</v>
          </cell>
        </row>
        <row r="133">
          <cell r="K133" t="str">
            <v>Мероприятия Культурного центра</v>
          </cell>
        </row>
        <row r="134">
          <cell r="K134" t="str">
            <v>Перечисления вышестоящей организации</v>
          </cell>
        </row>
        <row r="135">
          <cell r="K135" t="str">
            <v>Фонд академического развития Санкт-Петербургского филиала</v>
          </cell>
        </row>
        <row r="136">
          <cell r="K136" t="str">
            <v xml:space="preserve">Мероприятия центра по работе с выпускниками </v>
          </cell>
        </row>
        <row r="137">
          <cell r="K137" t="str">
            <v>Программа "Фонд развития Ассоциации выпускников"</v>
          </cell>
        </row>
        <row r="138">
          <cell r="K138" t="str">
            <v>Студенческие мероприятия</v>
          </cell>
        </row>
        <row r="139">
          <cell r="K139" t="str">
            <v>Студенческие досуговые мероприятия</v>
          </cell>
        </row>
        <row r="140">
          <cell r="K140" t="str">
            <v>Студенческие сервисы</v>
          </cell>
        </row>
        <row r="141">
          <cell r="K141" t="str">
            <v>Программа "Фонд развития студенческих инициатив"</v>
          </cell>
        </row>
        <row r="142">
          <cell r="K142" t="str">
            <v>Финансирование Центра креативного производства НИУ ВШЭ</v>
          </cell>
        </row>
        <row r="143">
          <cell r="K143" t="str">
            <v>Конкурс научно-исследовательских работ студентов</v>
          </cell>
        </row>
        <row r="144">
          <cell r="K144" t="str">
            <v>Входящая международная академическая мобильность</v>
          </cell>
        </row>
        <row r="145">
          <cell r="K145" t="str">
            <v>Входящая студенческая мобильность</v>
          </cell>
        </row>
        <row r="146">
          <cell r="K146" t="str">
            <v>Зарплата внештатных сотрудников (раздел международная деятельность)</v>
          </cell>
        </row>
        <row r="147">
          <cell r="K147" t="str">
            <v>Изучение лучшего международного опыта развития зарубежных университетов</v>
          </cell>
        </row>
        <row r="148">
          <cell r="K148" t="str">
            <v>Информационно-аналитическая поддержка  сотрудничества в регионах мира</v>
          </cell>
        </row>
        <row r="149">
          <cell r="K149" t="str">
            <v>Исходящая студенческая мобильность</v>
          </cell>
        </row>
        <row r="150">
          <cell r="K150" t="str">
            <v>Организация краткосрочных визитов международных специалистов</v>
          </cell>
        </row>
        <row r="151">
          <cell r="K151" t="str">
            <v>Организация работы Международного консультационного комитета (МКК)</v>
          </cell>
        </row>
        <row r="152">
          <cell r="K152" t="str">
            <v>Поддержка сотрудничества факультетов с зарубежными  вузами</v>
          </cell>
        </row>
        <row r="153">
          <cell r="K153" t="str">
            <v>Поддержка участия ГУ-ВШЭ в деятельности международных организаций</v>
          </cell>
        </row>
        <row r="154">
          <cell r="K154" t="str">
            <v>Развитие институциональных партнерств с западными университетами</v>
          </cell>
        </row>
        <row r="155">
          <cell r="K155" t="str">
            <v>Развитие международных партнерств и продвижение участия НИУ ВШЭ в деятельности  ассоциаций и сетей</v>
          </cell>
        </row>
        <row r="156">
          <cell r="K156" t="str">
            <v>Совместные научно-учебные проекты</v>
          </cell>
        </row>
        <row r="157">
          <cell r="K157" t="str">
            <v>Софинансирование международных проектов</v>
          </cell>
        </row>
        <row r="158">
          <cell r="K158" t="str">
            <v>Тренинги и семинары</v>
          </cell>
        </row>
        <row r="159">
          <cell r="K159" t="str">
            <v>ФИНАНСИРОВАНИЕ МЕЖДУНАРОДНОЙ ДЕЯТЕЛЬНОСТИ</v>
          </cell>
        </row>
        <row r="160">
          <cell r="K160" t="str">
            <v>Проведение ориентационных и адаптационных мероприятий для иностранных студентов</v>
          </cell>
        </row>
        <row r="161">
          <cell r="K161" t="str">
            <v>Создание Летнего университета</v>
          </cell>
        </row>
        <row r="162">
          <cell r="K162" t="str">
            <v>Участие в международных образовательных ярмарках и выставках, международный образовательный маркетинг, партнерства с международными организациями</v>
          </cell>
        </row>
        <row r="163">
          <cell r="K163" t="str">
            <v>Совместный бакалавриат с РЭШ (сопроводительные мероприятия)</v>
          </cell>
        </row>
        <row r="164">
          <cell r="K164" t="str">
            <v>Совместные мероприятия с РЭШ</v>
          </cell>
        </row>
        <row r="165">
          <cell r="K165" t="str">
            <v>Всероссийские олимпиады школьников</v>
          </cell>
        </row>
        <row r="166">
          <cell r="K166" t="str">
            <v>Всероссийская олимпиада школьников по экономике</v>
          </cell>
        </row>
        <row r="167">
          <cell r="K167" t="str">
            <v>Всероссийская олимпиада школьников по экономике</v>
          </cell>
        </row>
        <row r="168">
          <cell r="K168" t="str">
            <v>Многопрофильная олимпиада школьников</v>
          </cell>
        </row>
        <row r="169">
          <cell r="K169" t="str">
            <v>Многопрофильная олимпиада школьников</v>
          </cell>
        </row>
        <row r="170">
          <cell r="K170" t="str">
            <v>Проведение студенческой олимпиады</v>
          </cell>
        </row>
        <row r="171">
          <cell r="K171" t="str">
            <v xml:space="preserve">Студенческая олимпиада </v>
          </cell>
        </row>
        <row r="172">
          <cell r="K172" t="str">
            <v>Всероссийская олимпиада школьников по обществознанию</v>
          </cell>
        </row>
        <row r="173">
          <cell r="K173" t="str">
            <v>Всероссийская олимпиада школьников по обществознанию</v>
          </cell>
        </row>
        <row r="174">
          <cell r="K174" t="str">
            <v>Организация и проведение летних и зимних школ для школьников</v>
          </cell>
        </row>
        <row r="175">
          <cell r="K175" t="str">
            <v>Организация программ повышения квалификации для учителей</v>
          </cell>
        </row>
        <row r="176">
          <cell r="K176" t="str">
            <v>Работа ФМШ МИЭМ</v>
          </cell>
        </row>
        <row r="177">
          <cell r="K177" t="str">
            <v>Организация и проведение симпозиума  школьников  в рамках Всероссийского форума научной молодежи  "Шаг в будущее"</v>
          </cell>
        </row>
        <row r="178">
          <cell r="K178" t="str">
            <v>Профориентационные проекты по работе со школами ("Посланники науки", "Пригласи ученого", "Школьникам о Вышке" и т.п.)</v>
          </cell>
        </row>
        <row r="179">
          <cell r="K179" t="str">
            <v>Профориентационные школы Дирекции по работе с одаренными школьниками</v>
          </cell>
        </row>
        <row r="180">
          <cell r="K180" t="str">
            <v>Софинансирование мероприятий Российского совета развития образования (РОСРО)</v>
          </cell>
        </row>
        <row r="181">
          <cell r="K181" t="str">
            <v>Развитие новых программ дополнительного образования</v>
          </cell>
        </row>
        <row r="182">
          <cell r="K182" t="str">
            <v>Внешняя экспертиза программ дополнительного профессионального образования</v>
          </cell>
        </row>
        <row r="183">
          <cell r="K183" t="str">
            <v>Укрупнение и развитие конкурентоспособных Школ непрерывного образования</v>
          </cell>
        </row>
        <row r="184">
          <cell r="K184" t="str">
            <v>Программа "Академическое развитие"</v>
          </cell>
        </row>
        <row r="185">
          <cell r="K185" t="str">
            <v>Проектного управления СНГ</v>
          </cell>
        </row>
        <row r="186">
          <cell r="K186" t="str">
            <v>Партнерства ВШЭ с региональными центрами, образовательными учреждениями, вузами России</v>
          </cell>
        </row>
        <row r="187">
          <cell r="K187" t="str">
            <v>Мероприятия Дирекции программы развития</v>
          </cell>
        </row>
        <row r="188">
          <cell r="K188" t="str">
            <v>Мероприятия Дирекции по экспертно-аналитической работе</v>
          </cell>
        </row>
        <row r="189">
          <cell r="K189" t="str">
            <v>Финансирование проектов по экспертно-аналитической работе</v>
          </cell>
        </row>
        <row r="190">
          <cell r="K190" t="str">
            <v>Мероприятия Дирекции по информационно-аналитической работе</v>
          </cell>
        </row>
        <row r="191">
          <cell r="K191" t="str">
            <v>РАСХОДЫ НА ТИПОГРАФИЮ</v>
          </cell>
        </row>
        <row r="192">
          <cell r="K192" t="str">
            <v>Расходы на типографию</v>
          </cell>
        </row>
        <row r="193">
          <cell r="K193" t="str">
            <v>Проведение экзаменов на получение сертификата по английскому языку</v>
          </cell>
        </row>
        <row r="194">
          <cell r="K194" t="str">
            <v>Проект "Развитие национальной системы квалификаций и профессиональных стандартов"</v>
          </cell>
        </row>
        <row r="195">
          <cell r="K195" t="str">
            <v>Поддержка международных научных партнерств</v>
          </cell>
        </row>
        <row r="196">
          <cell r="K196" t="str">
            <v>Проект "Повышение качества журналов НИУ ВШЭ"</v>
          </cell>
        </row>
        <row r="197">
          <cell r="K197" t="str">
            <v>Разработка открытых он-лайн курсов (MOOC's)</v>
          </cell>
        </row>
        <row r="198">
          <cell r="K198" t="str">
            <v>Мероприятия внутреннего рекрутинга</v>
          </cell>
        </row>
        <row r="199">
          <cell r="K199" t="str">
            <v>Программа "Новые администраторы"</v>
          </cell>
        </row>
        <row r="200">
          <cell r="K200" t="str">
            <v>Профессионализация менеджмента научных исследований</v>
          </cell>
        </row>
        <row r="201">
          <cell r="K201" t="str">
            <v>Базовые  школы ВШЭ</v>
          </cell>
        </row>
        <row r="202">
          <cell r="K202" t="str">
            <v>Лицей НИУ ВШЭ</v>
          </cell>
        </row>
        <row r="203">
          <cell r="K203" t="str">
            <v>Методическая разработка контента учебных курсов Интернет-школы</v>
          </cell>
        </row>
        <row r="204">
          <cell r="K204" t="str">
            <v xml:space="preserve">Модернизация технологической платформы Интернет-школы (обновление клиент-сервера, переработка сайта, интеграция с LMS) </v>
          </cell>
        </row>
        <row r="205">
          <cell r="K205" t="str">
            <v>Развитие и интеграция новых направлений обучения в Интернет-школе</v>
          </cell>
        </row>
        <row r="206">
          <cell r="K206" t="str">
            <v>Организация конкурса ППС и финансирование отборочных комиссий</v>
          </cell>
        </row>
        <row r="207">
          <cell r="K207" t="str">
            <v xml:space="preserve">Подготовительное отделение и курсы для абитуриентов магистратуры </v>
          </cell>
        </row>
        <row r="208">
          <cell r="K208" t="str">
            <v>Формирование базы данных экспертизы, включая базу данных экспертов</v>
          </cell>
        </row>
        <row r="209">
          <cell r="K209" t="str">
            <v>Формирование и внедрение системы экспертизы результатов научной деятельности по индивидуальным исследовательским проектам, проектам НУГ, академнадбавкам, проектам ИД, стипендиям УА</v>
          </cell>
        </row>
        <row r="210">
          <cell r="K210" t="str">
            <v>Формирование списка журналов/изданий на русском языке, публикации в которых учитываются в качестве отчетных результатов академической деятельности</v>
          </cell>
        </row>
        <row r="211">
          <cell r="K211" t="str">
            <v>Экспертная оценка результатов научной деятельности</v>
          </cell>
        </row>
        <row r="212">
          <cell r="K212" t="str">
            <v>ДОГОВОРА ГРАЖДАНСКО-ПРАВОВОГО ХАРАКТЕРА ПО ВЫПОЛНЕНИЮ ФУНДАМЕНТАЛЬНЫХ ИССЛЕДОВАНИЙ</v>
          </cell>
        </row>
        <row r="213">
          <cell r="K213" t="str">
            <v>ДОГОВОРА С ЮРИДИЧЕСКИМИ ЛИЦАМИ НА ВЫПОЛНЕНИЕ РАБОТ ПО ТЕМАТИЧЕСКОМУ ПЛАНУ ФИ</v>
          </cell>
        </row>
        <row r="214">
          <cell r="K214" t="str">
            <v>ОПЛАТА ТРУДА РАБОТНИКОВ, ОБЕСПЕЧИВАЮЩИХ ВЫПОЛНЕНИЕ ФУНДАМЕНТАЛЬНЫХ ИССЛЕДОВАНИЙ</v>
          </cell>
        </row>
        <row r="215">
          <cell r="K215" t="str">
            <v>Оплата труда работников самостоятельных научных подразделений</v>
          </cell>
        </row>
        <row r="216">
          <cell r="K216" t="str">
            <v>Финансирование программы прикладных исследований</v>
          </cell>
        </row>
        <row r="217">
          <cell r="K217" t="str">
            <v>Расходы подразделений дополнительного образования</v>
          </cell>
        </row>
        <row r="218">
          <cell r="K218" t="str">
            <v>Оплата труда работников подразделений ДПО</v>
          </cell>
        </row>
        <row r="219">
          <cell r="K219" t="str">
            <v>Финансирование программы фундаментальных исследований</v>
          </cell>
        </row>
        <row r="220">
          <cell r="K220" t="str">
            <v>Лингвистическая поддержка публикаций на иностранном языке (выпуск препринтов фундаментальных исследований)</v>
          </cell>
        </row>
        <row r="221">
          <cell r="K221" t="str">
            <v>Формирование системы поддержки публикаций на иностранном языке</v>
          </cell>
        </row>
        <row r="222">
          <cell r="K222" t="str">
            <v>Система оценки научного потенциала и результативности</v>
          </cell>
        </row>
        <row r="223">
          <cell r="K223" t="str">
            <v>Мониторинг перспективных рынков прикладных научных исследований и разработок НИУ ВШЭ, в т.ч. на основе форсайта</v>
          </cell>
        </row>
        <row r="224">
          <cell r="K224" t="str">
            <v>Научные электронные препринты на английском языке</v>
          </cell>
        </row>
        <row r="225">
          <cell r="K225" t="str">
            <v>Развитие мониторинговых и сопоставительных исследований</v>
          </cell>
        </row>
        <row r="226">
          <cell r="K226" t="str">
            <v>Создание инфраструктуры международного представления проектов и результатов (включая систему франдрайзинга для проектов)</v>
          </cell>
        </row>
        <row r="227">
          <cell r="K227" t="str">
            <v>Поддержка сотрудничества факультетов с зарубежными  вузами (не стратегическими партнерами)</v>
          </cell>
        </row>
        <row r="228">
          <cell r="K228" t="str">
            <v>Проведение международных экспертиз</v>
          </cell>
        </row>
        <row r="229">
          <cell r="K229" t="str">
            <v>Программа "Фонд поддержки инновационного предпринимательства"</v>
          </cell>
        </row>
        <row r="230">
          <cell r="K230" t="str">
            <v>ПРОГРАММА РАЗВИТИЯ ИННОВАЦИОННОЙ ИНФРАСТРУКТУРЫ</v>
          </cell>
        </row>
        <row r="231">
          <cell r="K231" t="str">
            <v>Прочие расходы по программе предпринимательства</v>
          </cell>
        </row>
        <row r="232">
          <cell r="K232" t="str">
            <v>РАЗВИТИЕ ИННОВАЦИОННОЙ ИНФРАСТРУКТУРЫ</v>
          </cell>
        </row>
      </sheetData>
      <sheetData sheetId="27" refreshError="1"/>
      <sheetData sheetId="28">
        <row r="1">
          <cell r="AM1">
            <v>1.181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н.показ"/>
      <sheetName val="ОС"/>
      <sheetName val="Аморт"/>
      <sheetName val="Налоги"/>
      <sheetName val="Оборотка"/>
      <sheetName val="Пост"/>
      <sheetName val="Перем."/>
      <sheetName val="Штат до ввода"/>
      <sheetName val="Штат пос ввода"/>
      <sheetName val="Оценка"/>
      <sheetName val="кредит"/>
      <sheetName val="График стр."/>
      <sheetName val="ФХД АФ"/>
      <sheetName val="Cash пр"/>
      <sheetName val="IRR NPV"/>
      <sheetName val="Torn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араметры"/>
      <sheetName val="Производство и сбыт"/>
      <sheetName val="Прямые затраты"/>
      <sheetName val="Персонал"/>
      <sheetName val="ГСМ Налоги"/>
      <sheetName val="Амортизация"/>
      <sheetName val="Приобретение ОС"/>
      <sheetName val="Временные расходы"/>
      <sheetName val="Пост расходы"/>
      <sheetName val="График"/>
      <sheetName val="ОПиУ"/>
      <sheetName val="ОДДС"/>
      <sheetName val="Эффективност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 для ож. доход. внб"/>
      <sheetName val="Ожидаемые дох. внб (оперативн.)"/>
      <sheetName val="Свод для ож. д (Пр. Гр)"/>
      <sheetName val="Ожид дох. (Пр. Гр)"/>
      <sheetName val="Свод для ож. д (ФЦП нп кадры)"/>
      <sheetName val="Ожид дох. (ФЦП нп кадры)"/>
      <sheetName val="сверка дохода"/>
      <sheetName val="Проверка доли ВШЭ 2013 (перех)"/>
      <sheetName val="Пров ВШЭ 2013 (перех. норматив)"/>
      <sheetName val="Лист1"/>
      <sheetName val="Доля ВШЭ РФФИ РГНФ"/>
      <sheetName val="Проверка доли ВШЭ (35% соб.сил)"/>
      <sheetName val="Движение 2013"/>
      <sheetName val="Доход по договорам"/>
      <sheetName val="Ст. КОСГУ-ФЦП"/>
      <sheetName val="Ст. КОСГУ-През. гранты"/>
      <sheetName val="список всех подразд. ВШЭ"/>
      <sheetName val="список научн. хозр. подр."/>
      <sheetName val="Расход из Прибыли"/>
      <sheetName val="Расходы подр. (договоры) "/>
      <sheetName val="ФИН.сост. СВОД"/>
      <sheetName val="сводная для фин. сост."/>
      <sheetName val="Фин.сост. подр. РАЗВЕРН. "/>
      <sheetName val="Договоры подразделения"/>
      <sheetName val="контроль минусовых"/>
      <sheetName val="Комментарии к доле ВШЭ"/>
      <sheetName val="Доход с долей ЦБ"/>
      <sheetName val="Остатки по Хозрасчетным"/>
      <sheetName val="Остатки на РС по всем подр."/>
      <sheetName val=" ост. на РС по переход. дог."/>
      <sheetName val="ФЦП 55200НПК "/>
      <sheetName val="ФЦП остальные"/>
      <sheetName val="заказчики"/>
      <sheetName val="МИЭМ"/>
      <sheetName val="БАЗА (исходные сметы) 2013 г."/>
      <sheetName val="ПЕРЕЧЕНЬ осн. дог. для проверки"/>
      <sheetName val="Командировка"/>
      <sheetName val="Статьи ЭКР (все)"/>
      <sheetName val="статьи Финплана 2013"/>
      <sheetName val="Памятка"/>
      <sheetName val="Наклейка "/>
      <sheetName val="счета в ис-про"/>
      <sheetName val="Лист3"/>
      <sheetName val="Ожидаемые дох. внб"/>
      <sheetName val="БИ 02.07"/>
      <sheetName val="ф. математики 02.15"/>
      <sheetName val="свод для расходов в исп ФП"/>
      <sheetName val="РФФИ"/>
      <sheetName val="статотчет - сводные"/>
      <sheetName val="статотчет - сводные уточнение н"/>
      <sheetName val="БАЗА (для статотчет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  2011"/>
      <sheetName val="Свод Москва"/>
      <sheetName val="Свод-филиалы"/>
      <sheetName val="ПОУ-65-кросс"/>
      <sheetName val="ДПО"/>
      <sheetName val="НИР "/>
      <sheetName val="Целевые, гранты"/>
      <sheetName val="Прочие доходы"/>
      <sheetName val="Расходы на УС"/>
      <sheetName val="Буфер"/>
      <sheetName val="БАЗА -новая 2011"/>
      <sheetName val="Кодировки ФП"/>
      <sheetName val="Справочники"/>
      <sheetName val="ФОТ-свод"/>
      <sheetName val="Лимиты"/>
      <sheetName val="Лимиты (2)"/>
      <sheetName val="экр"/>
      <sheetName val="Лимиты (3)_ЭКР"/>
      <sheetName val="Лист1"/>
      <sheetName val="список научн. хозр. подр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G1" t="str">
            <v>Мероприятия ФП</v>
          </cell>
        </row>
        <row r="3">
          <cell r="O3" t="str">
            <v>1. Приобретение учебно-лабораторного и научного оборудования</v>
          </cell>
          <cell r="P3" t="str">
            <v xml:space="preserve">1.1: Разработка и внедрение новых образовательных форм, продуктов и технологий </v>
          </cell>
        </row>
        <row r="4">
          <cell r="O4" t="str">
            <v>2. Повышение квалификации и профессиональной переподготовки научно-педагогических работников университета</v>
          </cell>
          <cell r="P4" t="str">
            <v xml:space="preserve">1.3: Обеспечение конкурентоспособности непрерывного образования в сфере социально-экономических наук и практик </v>
          </cell>
        </row>
        <row r="5">
          <cell r="O5" t="str">
            <v>3. Разработка учебных программ</v>
          </cell>
          <cell r="P5" t="str">
            <v>2.1: Обеспечение проведения фундаментальных исследований (в т.ч. Междисциплинарных) на мировом уровне качества</v>
          </cell>
        </row>
        <row r="6">
          <cell r="O6" t="str">
            <v>4. Развитие информационных ресурсов</v>
          </cell>
          <cell r="P6" t="str">
            <v xml:space="preserve">3.1: Продвижение лучших практик социально-экономического образования, содействие развитию профессиональных сообществ и сетей </v>
          </cell>
        </row>
        <row r="7">
          <cell r="O7" t="str">
            <v>5. Совершенствование системы управления качеством образования и научных исследований</v>
          </cell>
          <cell r="P7" t="str">
            <v>3.2: Развитие научно-образовательных электронных ресурсов и распространение знаний через издательскую деятельность</v>
          </cell>
        </row>
        <row r="8">
          <cell r="P8" t="str">
            <v>4.1: Кадровое обновление и привлечение лучших преподавателей, исследователей и профессионалов-практиков с мирового и отечественного рынка труда</v>
          </cell>
        </row>
        <row r="9">
          <cell r="P9" t="str">
            <v>4.2: Повышение квалификации и поддержка академической мобильности научно-педагогических работников</v>
          </cell>
        </row>
        <row r="10">
          <cell r="P10" t="str">
            <v>5.1: Развитие современной материально-технической базы университета</v>
          </cell>
        </row>
        <row r="11">
          <cell r="P11" t="str">
            <v>5.2: Развитие информационной инфраструктуры университета</v>
          </cell>
        </row>
        <row r="12">
          <cell r="P12" t="str">
            <v>5.3: Совершенствование системы управления качеством образования и научных исследований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сн. пара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аланс"/>
      <sheetName val="Риски"/>
      <sheetName val="Осн. пара"/>
      <sheetName val="Оценка "/>
      <sheetName val="Модель"/>
      <sheetName val="IRR NPV"/>
      <sheetName val="фин пок СК 1"/>
      <sheetName val="фин пок 1"/>
      <sheetName val="Осн пар Свод"/>
      <sheetName val="2Ф"/>
      <sheetName val="3Ф"/>
      <sheetName val="Граф стр"/>
      <sheetName val="кредит с БРК"/>
      <sheetName val="Норм"/>
      <sheetName val="Пост Рх"/>
      <sheetName val="Глины"/>
      <sheetName val="Рас по тр-ту"/>
      <sheetName val="ЗП"/>
      <sheetName val="Амор"/>
      <sheetName val="Стр. фин"/>
      <sheetName val="Свод кредиты"/>
      <sheetName val="Об пр-ва"/>
      <sheetName val="влиян топл"/>
      <sheetName val="кредит"/>
      <sheetName val="ОС"/>
      <sheetName val="констр"/>
      <sheetName val="под"/>
      <sheetName val="График кредит"/>
      <sheetName val="Лист1"/>
      <sheetName val="Себест-ть"/>
      <sheetName val="Граф строит"/>
      <sheetName val="обоснование"/>
      <sheetName val="цены"/>
      <sheetName val="Ф3 для АФ"/>
      <sheetName val="3A для АФ"/>
      <sheetName val="Ф2 для А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-1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Затраты на оборудование"/>
      <sheetName val="MAIN"/>
      <sheetName val="Прайс на оборудование"/>
      <sheetName val="SENS"/>
      <sheetName val="REPORT"/>
      <sheetName val="Sales&amp;Costs"/>
      <sheetName val="Working Capital"/>
      <sheetName val="Debt Service"/>
      <sheetName val="Profit"/>
      <sheetName val="Cash Flow"/>
      <sheetName val="Fin.Ratios"/>
      <sheetName val="Net Cash Flow (I)"/>
      <sheetName val="Net Cash Flow (II) "/>
      <sheetName val="Budget"/>
      <sheetName val="Sens(I)"/>
      <sheetName val="Sens(II)"/>
      <sheetName val="Расчет_мощности (2)"/>
      <sheetName val="Плотность_древесин (2)"/>
      <sheetName val="MD1"/>
      <sheetName val="MD2"/>
      <sheetName val="CST"/>
      <sheetName val="GOC"/>
      <sheetName val="PR"/>
      <sheetName val="KR"/>
      <sheetName val="REP"/>
      <sheetName val="PRN"/>
      <sheetName val="GOT"/>
      <sheetName val="SAL"/>
      <sheetName val="FXA"/>
      <sheetName val="SE1"/>
      <sheetName val="S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XFC148"/>
  <sheetViews>
    <sheetView topLeftCell="A132" zoomScale="110" zoomScaleNormal="110" workbookViewId="0">
      <selection activeCell="D17" sqref="D17"/>
    </sheetView>
  </sheetViews>
  <sheetFormatPr baseColWidth="10" defaultColWidth="9.1640625" defaultRowHeight="14" outlineLevelRow="1" x14ac:dyDescent="0.15"/>
  <cols>
    <col min="1" max="1" width="11.5" style="3" customWidth="1"/>
    <col min="2" max="2" width="59" style="4" customWidth="1"/>
    <col min="3" max="3" width="12.1640625" style="4" customWidth="1"/>
    <col min="4" max="10" width="14.5" style="4" customWidth="1"/>
    <col min="11" max="14" width="14.5" style="3" customWidth="1"/>
    <col min="15" max="15" width="9.1640625" style="3"/>
    <col min="16" max="16" width="11" style="3" bestFit="1" customWidth="1"/>
    <col min="17" max="16384" width="9.1640625" style="3"/>
  </cols>
  <sheetData>
    <row r="1" spans="1:16383" s="63" customFormat="1" ht="17" thickBot="1" x14ac:dyDescent="0.25">
      <c r="A1" s="7" t="s">
        <v>12</v>
      </c>
      <c r="B1" s="7"/>
      <c r="C1" s="8"/>
      <c r="D1" s="9"/>
      <c r="E1" s="9"/>
      <c r="F1" s="9"/>
      <c r="G1" s="9"/>
      <c r="H1" s="7"/>
      <c r="I1" s="9"/>
      <c r="J1" s="9"/>
      <c r="K1" s="9"/>
      <c r="L1" s="9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</row>
    <row r="2" spans="1:16383" ht="13.5" hidden="1" customHeight="1" thickBot="1" x14ac:dyDescent="0.2"/>
    <row r="3" spans="1:16383" s="64" customFormat="1" ht="15" thickBot="1" x14ac:dyDescent="0.2">
      <c r="A3" s="69" t="s">
        <v>8</v>
      </c>
      <c r="B3" s="70"/>
      <c r="C3" s="71"/>
      <c r="D3" s="72"/>
      <c r="E3" s="72"/>
      <c r="F3" s="72"/>
      <c r="G3" s="72"/>
      <c r="H3" s="70"/>
      <c r="I3" s="72"/>
      <c r="J3" s="72"/>
      <c r="K3" s="72"/>
      <c r="L3" s="72"/>
      <c r="M3" s="70"/>
      <c r="N3" s="7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</row>
    <row r="4" spans="1:16383" collapsed="1" x14ac:dyDescent="0.15">
      <c r="A4" s="60" t="s">
        <v>151</v>
      </c>
      <c r="B4" s="60"/>
      <c r="C4" s="61"/>
      <c r="D4" s="62"/>
      <c r="E4" s="62"/>
      <c r="F4" s="62"/>
      <c r="G4" s="62"/>
      <c r="H4" s="60"/>
      <c r="I4" s="62"/>
      <c r="J4" s="62"/>
      <c r="K4" s="62"/>
      <c r="L4" s="62"/>
      <c r="M4" s="60"/>
      <c r="N4" s="62"/>
    </row>
    <row r="5" spans="1:16383" x14ac:dyDescent="0.15">
      <c r="B5" s="37" t="s">
        <v>152</v>
      </c>
      <c r="C5" s="107" t="s">
        <v>199</v>
      </c>
      <c r="D5" s="105"/>
      <c r="E5" s="81"/>
      <c r="F5" s="81"/>
      <c r="G5" s="81"/>
      <c r="H5" s="81"/>
      <c r="I5" s="81"/>
      <c r="J5" s="81"/>
      <c r="K5" s="81"/>
      <c r="L5" s="81"/>
      <c r="M5" s="81"/>
      <c r="N5" s="81"/>
    </row>
    <row r="6" spans="1:16383" x14ac:dyDescent="0.15">
      <c r="B6" s="37" t="s">
        <v>194</v>
      </c>
      <c r="C6" s="107" t="s">
        <v>198</v>
      </c>
      <c r="D6" s="105"/>
      <c r="E6" s="81"/>
      <c r="F6" s="81"/>
      <c r="G6" s="81"/>
      <c r="H6" s="81"/>
      <c r="I6" s="81"/>
      <c r="J6" s="81"/>
      <c r="K6" s="81"/>
      <c r="L6" s="81"/>
      <c r="M6" s="81"/>
      <c r="N6" s="81"/>
    </row>
    <row r="7" spans="1:16383" collapsed="1" x14ac:dyDescent="0.15">
      <c r="B7" s="37" t="s">
        <v>153</v>
      </c>
      <c r="C7" s="107" t="s">
        <v>199</v>
      </c>
      <c r="D7" s="106"/>
      <c r="E7" s="81"/>
      <c r="F7" s="81"/>
      <c r="G7" s="81"/>
      <c r="H7" s="81"/>
      <c r="I7" s="81"/>
      <c r="J7" s="81"/>
      <c r="K7" s="81"/>
      <c r="L7" s="81"/>
      <c r="M7" s="81"/>
      <c r="N7" s="81"/>
    </row>
    <row r="8" spans="1:16383" ht="15" thickBot="1" x14ac:dyDescent="0.2">
      <c r="B8" s="37" t="s">
        <v>222</v>
      </c>
      <c r="C8" s="107" t="s">
        <v>199</v>
      </c>
      <c r="D8" s="106"/>
      <c r="E8" s="81"/>
      <c r="F8" s="81"/>
      <c r="G8" s="81"/>
      <c r="H8" s="81"/>
      <c r="I8" s="81"/>
      <c r="J8" s="81"/>
      <c r="K8" s="81"/>
      <c r="L8" s="81"/>
      <c r="M8" s="81"/>
      <c r="N8" s="81"/>
    </row>
    <row r="9" spans="1:16383" s="64" customFormat="1" ht="15" thickBot="1" x14ac:dyDescent="0.2">
      <c r="A9" s="65" t="s">
        <v>134</v>
      </c>
      <c r="B9" s="66"/>
      <c r="C9" s="67"/>
      <c r="D9" s="68"/>
      <c r="E9" s="68"/>
      <c r="F9" s="68"/>
      <c r="G9" s="68"/>
      <c r="H9" s="66"/>
      <c r="I9" s="68"/>
      <c r="J9" s="68"/>
      <c r="K9" s="68"/>
      <c r="L9" s="68"/>
      <c r="M9" s="66"/>
      <c r="N9" s="68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/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/>
      <c r="AUZ9" s="3"/>
      <c r="AVA9" s="3"/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/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/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3"/>
      <c r="CCI9" s="3"/>
      <c r="CCJ9" s="3"/>
      <c r="CCK9" s="3"/>
      <c r="CCL9" s="3"/>
      <c r="CCM9" s="3"/>
      <c r="CCN9" s="3"/>
      <c r="CCO9" s="3"/>
      <c r="CCP9" s="3"/>
      <c r="CCQ9" s="3"/>
      <c r="CCR9" s="3"/>
      <c r="CCS9" s="3"/>
      <c r="CCT9" s="3"/>
      <c r="CCU9" s="3"/>
      <c r="CCV9" s="3"/>
      <c r="CCW9" s="3"/>
      <c r="CCX9" s="3"/>
      <c r="CCY9" s="3"/>
      <c r="CCZ9" s="3"/>
      <c r="CDA9" s="3"/>
      <c r="CDB9" s="3"/>
      <c r="CDC9" s="3"/>
      <c r="CDD9" s="3"/>
      <c r="CDE9" s="3"/>
      <c r="CDF9" s="3"/>
      <c r="CDG9" s="3"/>
      <c r="CDH9" s="3"/>
      <c r="CDI9" s="3"/>
      <c r="CDJ9" s="3"/>
      <c r="CDK9" s="3"/>
      <c r="CDL9" s="3"/>
      <c r="CDM9" s="3"/>
      <c r="CDN9" s="3"/>
      <c r="CDO9" s="3"/>
      <c r="CDP9" s="3"/>
      <c r="CDQ9" s="3"/>
      <c r="CDR9" s="3"/>
      <c r="CDS9" s="3"/>
      <c r="CDT9" s="3"/>
      <c r="CDU9" s="3"/>
      <c r="CDV9" s="3"/>
      <c r="CDW9" s="3"/>
      <c r="CDX9" s="3"/>
      <c r="CDY9" s="3"/>
      <c r="CDZ9" s="3"/>
      <c r="CEA9" s="3"/>
      <c r="CEB9" s="3"/>
      <c r="CEC9" s="3"/>
      <c r="CED9" s="3"/>
      <c r="CEE9" s="3"/>
      <c r="CEF9" s="3"/>
      <c r="CEG9" s="3"/>
      <c r="CEH9" s="3"/>
      <c r="CEI9" s="3"/>
      <c r="CEJ9" s="3"/>
      <c r="CEK9" s="3"/>
      <c r="CEL9" s="3"/>
      <c r="CEM9" s="3"/>
      <c r="CEN9" s="3"/>
      <c r="CEO9" s="3"/>
      <c r="CEP9" s="3"/>
      <c r="CEQ9" s="3"/>
      <c r="CER9" s="3"/>
      <c r="CES9" s="3"/>
      <c r="CET9" s="3"/>
      <c r="CEU9" s="3"/>
      <c r="CEV9" s="3"/>
      <c r="CEW9" s="3"/>
      <c r="CEX9" s="3"/>
      <c r="CEY9" s="3"/>
      <c r="CEZ9" s="3"/>
      <c r="CFA9" s="3"/>
      <c r="CFB9" s="3"/>
      <c r="CFC9" s="3"/>
      <c r="CFD9" s="3"/>
      <c r="CFE9" s="3"/>
      <c r="CFF9" s="3"/>
      <c r="CFG9" s="3"/>
      <c r="CFH9" s="3"/>
      <c r="CFI9" s="3"/>
      <c r="CFJ9" s="3"/>
      <c r="CFK9" s="3"/>
      <c r="CFL9" s="3"/>
      <c r="CFM9" s="3"/>
      <c r="CFN9" s="3"/>
      <c r="CFO9" s="3"/>
      <c r="CFP9" s="3"/>
      <c r="CFQ9" s="3"/>
      <c r="CFR9" s="3"/>
      <c r="CFS9" s="3"/>
      <c r="CFT9" s="3"/>
      <c r="CFU9" s="3"/>
      <c r="CFV9" s="3"/>
      <c r="CFW9" s="3"/>
      <c r="CFX9" s="3"/>
      <c r="CFY9" s="3"/>
      <c r="CFZ9" s="3"/>
      <c r="CGA9" s="3"/>
      <c r="CGB9" s="3"/>
      <c r="CGC9" s="3"/>
      <c r="CGD9" s="3"/>
      <c r="CGE9" s="3"/>
      <c r="CGF9" s="3"/>
      <c r="CGG9" s="3"/>
      <c r="CGH9" s="3"/>
      <c r="CGI9" s="3"/>
      <c r="CGJ9" s="3"/>
      <c r="CGK9" s="3"/>
      <c r="CGL9" s="3"/>
      <c r="CGM9" s="3"/>
      <c r="CGN9" s="3"/>
      <c r="CGO9" s="3"/>
      <c r="CGP9" s="3"/>
      <c r="CGQ9" s="3"/>
      <c r="CGR9" s="3"/>
      <c r="CGS9" s="3"/>
      <c r="CGT9" s="3"/>
      <c r="CGU9" s="3"/>
      <c r="CGV9" s="3"/>
      <c r="CGW9" s="3"/>
      <c r="CGX9" s="3"/>
      <c r="CGY9" s="3"/>
      <c r="CGZ9" s="3"/>
      <c r="CHA9" s="3"/>
      <c r="CHB9" s="3"/>
      <c r="CHC9" s="3"/>
      <c r="CHD9" s="3"/>
      <c r="CHE9" s="3"/>
      <c r="CHF9" s="3"/>
      <c r="CHG9" s="3"/>
      <c r="CHH9" s="3"/>
      <c r="CHI9" s="3"/>
      <c r="CHJ9" s="3"/>
      <c r="CHK9" s="3"/>
      <c r="CHL9" s="3"/>
      <c r="CHM9" s="3"/>
      <c r="CHN9" s="3"/>
      <c r="CHO9" s="3"/>
      <c r="CHP9" s="3"/>
      <c r="CHQ9" s="3"/>
      <c r="CHR9" s="3"/>
      <c r="CHS9" s="3"/>
      <c r="CHT9" s="3"/>
      <c r="CHU9" s="3"/>
      <c r="CHV9" s="3"/>
      <c r="CHW9" s="3"/>
      <c r="CHX9" s="3"/>
      <c r="CHY9" s="3"/>
      <c r="CHZ9" s="3"/>
      <c r="CIA9" s="3"/>
      <c r="CIB9" s="3"/>
      <c r="CIC9" s="3"/>
      <c r="CID9" s="3"/>
      <c r="CIE9" s="3"/>
      <c r="CIF9" s="3"/>
      <c r="CIG9" s="3"/>
      <c r="CIH9" s="3"/>
      <c r="CII9" s="3"/>
      <c r="CIJ9" s="3"/>
      <c r="CIK9" s="3"/>
      <c r="CIL9" s="3"/>
      <c r="CIM9" s="3"/>
      <c r="CIN9" s="3"/>
      <c r="CIO9" s="3"/>
      <c r="CIP9" s="3"/>
      <c r="CIQ9" s="3"/>
      <c r="CIR9" s="3"/>
      <c r="CIS9" s="3"/>
      <c r="CIT9" s="3"/>
      <c r="CIU9" s="3"/>
      <c r="CIV9" s="3"/>
      <c r="CIW9" s="3"/>
      <c r="CIX9" s="3"/>
      <c r="CIY9" s="3"/>
      <c r="CIZ9" s="3"/>
      <c r="CJA9" s="3"/>
      <c r="CJB9" s="3"/>
      <c r="CJC9" s="3"/>
      <c r="CJD9" s="3"/>
      <c r="CJE9" s="3"/>
      <c r="CJF9" s="3"/>
      <c r="CJG9" s="3"/>
      <c r="CJH9" s="3"/>
      <c r="CJI9" s="3"/>
      <c r="CJJ9" s="3"/>
      <c r="CJK9" s="3"/>
      <c r="CJL9" s="3"/>
      <c r="CJM9" s="3"/>
      <c r="CJN9" s="3"/>
      <c r="CJO9" s="3"/>
      <c r="CJP9" s="3"/>
      <c r="CJQ9" s="3"/>
      <c r="CJR9" s="3"/>
      <c r="CJS9" s="3"/>
      <c r="CJT9" s="3"/>
      <c r="CJU9" s="3"/>
      <c r="CJV9" s="3"/>
      <c r="CJW9" s="3"/>
      <c r="CJX9" s="3"/>
      <c r="CJY9" s="3"/>
      <c r="CJZ9" s="3"/>
      <c r="CKA9" s="3"/>
      <c r="CKB9" s="3"/>
      <c r="CKC9" s="3"/>
      <c r="CKD9" s="3"/>
      <c r="CKE9" s="3"/>
      <c r="CKF9" s="3"/>
      <c r="CKG9" s="3"/>
      <c r="CKH9" s="3"/>
      <c r="CKI9" s="3"/>
      <c r="CKJ9" s="3"/>
      <c r="CKK9" s="3"/>
      <c r="CKL9" s="3"/>
      <c r="CKM9" s="3"/>
      <c r="CKN9" s="3"/>
      <c r="CKO9" s="3"/>
      <c r="CKP9" s="3"/>
      <c r="CKQ9" s="3"/>
      <c r="CKR9" s="3"/>
      <c r="CKS9" s="3"/>
      <c r="CKT9" s="3"/>
      <c r="CKU9" s="3"/>
      <c r="CKV9" s="3"/>
      <c r="CKW9" s="3"/>
      <c r="CKX9" s="3"/>
      <c r="CKY9" s="3"/>
      <c r="CKZ9" s="3"/>
      <c r="CLA9" s="3"/>
      <c r="CLB9" s="3"/>
      <c r="CLC9" s="3"/>
      <c r="CLD9" s="3"/>
      <c r="CLE9" s="3"/>
      <c r="CLF9" s="3"/>
      <c r="CLG9" s="3"/>
      <c r="CLH9" s="3"/>
      <c r="CLI9" s="3"/>
      <c r="CLJ9" s="3"/>
      <c r="CLK9" s="3"/>
      <c r="CLL9" s="3"/>
      <c r="CLM9" s="3"/>
      <c r="CLN9" s="3"/>
      <c r="CLO9" s="3"/>
      <c r="CLP9" s="3"/>
      <c r="CLQ9" s="3"/>
      <c r="CLR9" s="3"/>
      <c r="CLS9" s="3"/>
      <c r="CLT9" s="3"/>
      <c r="CLU9" s="3"/>
      <c r="CLV9" s="3"/>
      <c r="CLW9" s="3"/>
      <c r="CLX9" s="3"/>
      <c r="CLY9" s="3"/>
      <c r="CLZ9" s="3"/>
      <c r="CMA9" s="3"/>
      <c r="CMB9" s="3"/>
      <c r="CMC9" s="3"/>
      <c r="CMD9" s="3"/>
      <c r="CME9" s="3"/>
      <c r="CMF9" s="3"/>
      <c r="CMG9" s="3"/>
      <c r="CMH9" s="3"/>
      <c r="CMI9" s="3"/>
      <c r="CMJ9" s="3"/>
      <c r="CMK9" s="3"/>
      <c r="CML9" s="3"/>
      <c r="CMM9" s="3"/>
      <c r="CMN9" s="3"/>
      <c r="CMO9" s="3"/>
      <c r="CMP9" s="3"/>
      <c r="CMQ9" s="3"/>
      <c r="CMR9" s="3"/>
      <c r="CMS9" s="3"/>
      <c r="CMT9" s="3"/>
      <c r="CMU9" s="3"/>
      <c r="CMV9" s="3"/>
      <c r="CMW9" s="3"/>
      <c r="CMX9" s="3"/>
      <c r="CMY9" s="3"/>
      <c r="CMZ9" s="3"/>
      <c r="CNA9" s="3"/>
      <c r="CNB9" s="3"/>
      <c r="CNC9" s="3"/>
      <c r="CND9" s="3"/>
      <c r="CNE9" s="3"/>
      <c r="CNF9" s="3"/>
      <c r="CNG9" s="3"/>
      <c r="CNH9" s="3"/>
      <c r="CNI9" s="3"/>
      <c r="CNJ9" s="3"/>
      <c r="CNK9" s="3"/>
      <c r="CNL9" s="3"/>
      <c r="CNM9" s="3"/>
      <c r="CNN9" s="3"/>
      <c r="CNO9" s="3"/>
      <c r="CNP9" s="3"/>
      <c r="CNQ9" s="3"/>
      <c r="CNR9" s="3"/>
      <c r="CNS9" s="3"/>
      <c r="CNT9" s="3"/>
      <c r="CNU9" s="3"/>
      <c r="CNV9" s="3"/>
      <c r="CNW9" s="3"/>
      <c r="CNX9" s="3"/>
      <c r="CNY9" s="3"/>
      <c r="CNZ9" s="3"/>
      <c r="COA9" s="3"/>
      <c r="COB9" s="3"/>
      <c r="COC9" s="3"/>
      <c r="COD9" s="3"/>
      <c r="COE9" s="3"/>
      <c r="COF9" s="3"/>
      <c r="COG9" s="3"/>
      <c r="COH9" s="3"/>
      <c r="COI9" s="3"/>
      <c r="COJ9" s="3"/>
      <c r="COK9" s="3"/>
      <c r="COL9" s="3"/>
      <c r="COM9" s="3"/>
      <c r="CON9" s="3"/>
      <c r="COO9" s="3"/>
      <c r="COP9" s="3"/>
      <c r="COQ9" s="3"/>
      <c r="COR9" s="3"/>
      <c r="COS9" s="3"/>
      <c r="COT9" s="3"/>
      <c r="COU9" s="3"/>
      <c r="COV9" s="3"/>
      <c r="COW9" s="3"/>
      <c r="COX9" s="3"/>
      <c r="COY9" s="3"/>
      <c r="COZ9" s="3"/>
      <c r="CPA9" s="3"/>
      <c r="CPB9" s="3"/>
      <c r="CPC9" s="3"/>
      <c r="CPD9" s="3"/>
      <c r="CPE9" s="3"/>
      <c r="CPF9" s="3"/>
      <c r="CPG9" s="3"/>
      <c r="CPH9" s="3"/>
      <c r="CPI9" s="3"/>
      <c r="CPJ9" s="3"/>
      <c r="CPK9" s="3"/>
      <c r="CPL9" s="3"/>
      <c r="CPM9" s="3"/>
      <c r="CPN9" s="3"/>
      <c r="CPO9" s="3"/>
      <c r="CPP9" s="3"/>
      <c r="CPQ9" s="3"/>
      <c r="CPR9" s="3"/>
      <c r="CPS9" s="3"/>
      <c r="CPT9" s="3"/>
      <c r="CPU9" s="3"/>
      <c r="CPV9" s="3"/>
      <c r="CPW9" s="3"/>
      <c r="CPX9" s="3"/>
      <c r="CPY9" s="3"/>
      <c r="CPZ9" s="3"/>
      <c r="CQA9" s="3"/>
      <c r="CQB9" s="3"/>
      <c r="CQC9" s="3"/>
      <c r="CQD9" s="3"/>
      <c r="CQE9" s="3"/>
      <c r="CQF9" s="3"/>
      <c r="CQG9" s="3"/>
      <c r="CQH9" s="3"/>
      <c r="CQI9" s="3"/>
      <c r="CQJ9" s="3"/>
      <c r="CQK9" s="3"/>
      <c r="CQL9" s="3"/>
      <c r="CQM9" s="3"/>
      <c r="CQN9" s="3"/>
      <c r="CQO9" s="3"/>
      <c r="CQP9" s="3"/>
      <c r="CQQ9" s="3"/>
      <c r="CQR9" s="3"/>
      <c r="CQS9" s="3"/>
      <c r="CQT9" s="3"/>
      <c r="CQU9" s="3"/>
      <c r="CQV9" s="3"/>
      <c r="CQW9" s="3"/>
      <c r="CQX9" s="3"/>
      <c r="CQY9" s="3"/>
      <c r="CQZ9" s="3"/>
      <c r="CRA9" s="3"/>
      <c r="CRB9" s="3"/>
      <c r="CRC9" s="3"/>
      <c r="CRD9" s="3"/>
      <c r="CRE9" s="3"/>
      <c r="CRF9" s="3"/>
      <c r="CRG9" s="3"/>
      <c r="CRH9" s="3"/>
      <c r="CRI9" s="3"/>
      <c r="CRJ9" s="3"/>
      <c r="CRK9" s="3"/>
      <c r="CRL9" s="3"/>
      <c r="CRM9" s="3"/>
      <c r="CRN9" s="3"/>
      <c r="CRO9" s="3"/>
      <c r="CRP9" s="3"/>
      <c r="CRQ9" s="3"/>
      <c r="CRR9" s="3"/>
      <c r="CRS9" s="3"/>
      <c r="CRT9" s="3"/>
      <c r="CRU9" s="3"/>
      <c r="CRV9" s="3"/>
      <c r="CRW9" s="3"/>
      <c r="CRX9" s="3"/>
      <c r="CRY9" s="3"/>
      <c r="CRZ9" s="3"/>
      <c r="CSA9" s="3"/>
      <c r="CSB9" s="3"/>
      <c r="CSC9" s="3"/>
      <c r="CSD9" s="3"/>
      <c r="CSE9" s="3"/>
      <c r="CSF9" s="3"/>
      <c r="CSG9" s="3"/>
      <c r="CSH9" s="3"/>
      <c r="CSI9" s="3"/>
      <c r="CSJ9" s="3"/>
      <c r="CSK9" s="3"/>
      <c r="CSL9" s="3"/>
      <c r="CSM9" s="3"/>
      <c r="CSN9" s="3"/>
      <c r="CSO9" s="3"/>
      <c r="CSP9" s="3"/>
      <c r="CSQ9" s="3"/>
      <c r="CSR9" s="3"/>
      <c r="CSS9" s="3"/>
      <c r="CST9" s="3"/>
      <c r="CSU9" s="3"/>
      <c r="CSV9" s="3"/>
      <c r="CSW9" s="3"/>
      <c r="CSX9" s="3"/>
      <c r="CSY9" s="3"/>
      <c r="CSZ9" s="3"/>
      <c r="CTA9" s="3"/>
      <c r="CTB9" s="3"/>
      <c r="CTC9" s="3"/>
      <c r="CTD9" s="3"/>
      <c r="CTE9" s="3"/>
      <c r="CTF9" s="3"/>
      <c r="CTG9" s="3"/>
      <c r="CTH9" s="3"/>
      <c r="CTI9" s="3"/>
      <c r="CTJ9" s="3"/>
      <c r="CTK9" s="3"/>
      <c r="CTL9" s="3"/>
      <c r="CTM9" s="3"/>
      <c r="CTN9" s="3"/>
      <c r="CTO9" s="3"/>
      <c r="CTP9" s="3"/>
      <c r="CTQ9" s="3"/>
      <c r="CTR9" s="3"/>
      <c r="CTS9" s="3"/>
      <c r="CTT9" s="3"/>
      <c r="CTU9" s="3"/>
      <c r="CTV9" s="3"/>
      <c r="CTW9" s="3"/>
      <c r="CTX9" s="3"/>
      <c r="CTY9" s="3"/>
      <c r="CTZ9" s="3"/>
      <c r="CUA9" s="3"/>
      <c r="CUB9" s="3"/>
      <c r="CUC9" s="3"/>
      <c r="CUD9" s="3"/>
      <c r="CUE9" s="3"/>
      <c r="CUF9" s="3"/>
      <c r="CUG9" s="3"/>
      <c r="CUH9" s="3"/>
      <c r="CUI9" s="3"/>
      <c r="CUJ9" s="3"/>
      <c r="CUK9" s="3"/>
      <c r="CUL9" s="3"/>
      <c r="CUM9" s="3"/>
      <c r="CUN9" s="3"/>
      <c r="CUO9" s="3"/>
      <c r="CUP9" s="3"/>
      <c r="CUQ9" s="3"/>
      <c r="CUR9" s="3"/>
      <c r="CUS9" s="3"/>
      <c r="CUT9" s="3"/>
      <c r="CUU9" s="3"/>
      <c r="CUV9" s="3"/>
      <c r="CUW9" s="3"/>
      <c r="CUX9" s="3"/>
      <c r="CUY9" s="3"/>
      <c r="CUZ9" s="3"/>
      <c r="CVA9" s="3"/>
      <c r="CVB9" s="3"/>
      <c r="CVC9" s="3"/>
      <c r="CVD9" s="3"/>
      <c r="CVE9" s="3"/>
      <c r="CVF9" s="3"/>
      <c r="CVG9" s="3"/>
      <c r="CVH9" s="3"/>
      <c r="CVI9" s="3"/>
      <c r="CVJ9" s="3"/>
      <c r="CVK9" s="3"/>
      <c r="CVL9" s="3"/>
      <c r="CVM9" s="3"/>
      <c r="CVN9" s="3"/>
      <c r="CVO9" s="3"/>
      <c r="CVP9" s="3"/>
      <c r="CVQ9" s="3"/>
      <c r="CVR9" s="3"/>
      <c r="CVS9" s="3"/>
      <c r="CVT9" s="3"/>
      <c r="CVU9" s="3"/>
      <c r="CVV9" s="3"/>
      <c r="CVW9" s="3"/>
      <c r="CVX9" s="3"/>
      <c r="CVY9" s="3"/>
      <c r="CVZ9" s="3"/>
      <c r="CWA9" s="3"/>
      <c r="CWB9" s="3"/>
      <c r="CWC9" s="3"/>
      <c r="CWD9" s="3"/>
      <c r="CWE9" s="3"/>
      <c r="CWF9" s="3"/>
      <c r="CWG9" s="3"/>
      <c r="CWH9" s="3"/>
      <c r="CWI9" s="3"/>
      <c r="CWJ9" s="3"/>
      <c r="CWK9" s="3"/>
      <c r="CWL9" s="3"/>
      <c r="CWM9" s="3"/>
      <c r="CWN9" s="3"/>
      <c r="CWO9" s="3"/>
      <c r="CWP9" s="3"/>
      <c r="CWQ9" s="3"/>
      <c r="CWR9" s="3"/>
      <c r="CWS9" s="3"/>
      <c r="CWT9" s="3"/>
      <c r="CWU9" s="3"/>
      <c r="CWV9" s="3"/>
      <c r="CWW9" s="3"/>
      <c r="CWX9" s="3"/>
      <c r="CWY9" s="3"/>
      <c r="CWZ9" s="3"/>
      <c r="CXA9" s="3"/>
      <c r="CXB9" s="3"/>
      <c r="CXC9" s="3"/>
      <c r="CXD9" s="3"/>
      <c r="CXE9" s="3"/>
      <c r="CXF9" s="3"/>
      <c r="CXG9" s="3"/>
      <c r="CXH9" s="3"/>
      <c r="CXI9" s="3"/>
      <c r="CXJ9" s="3"/>
      <c r="CXK9" s="3"/>
      <c r="CXL9" s="3"/>
      <c r="CXM9" s="3"/>
      <c r="CXN9" s="3"/>
      <c r="CXO9" s="3"/>
      <c r="CXP9" s="3"/>
      <c r="CXQ9" s="3"/>
      <c r="CXR9" s="3"/>
      <c r="CXS9" s="3"/>
      <c r="CXT9" s="3"/>
      <c r="CXU9" s="3"/>
      <c r="CXV9" s="3"/>
      <c r="CXW9" s="3"/>
      <c r="CXX9" s="3"/>
      <c r="CXY9" s="3"/>
      <c r="CXZ9" s="3"/>
      <c r="CYA9" s="3"/>
      <c r="CYB9" s="3"/>
      <c r="CYC9" s="3"/>
      <c r="CYD9" s="3"/>
      <c r="CYE9" s="3"/>
      <c r="CYF9" s="3"/>
      <c r="CYG9" s="3"/>
      <c r="CYH9" s="3"/>
      <c r="CYI9" s="3"/>
      <c r="CYJ9" s="3"/>
      <c r="CYK9" s="3"/>
      <c r="CYL9" s="3"/>
      <c r="CYM9" s="3"/>
      <c r="CYN9" s="3"/>
      <c r="CYO9" s="3"/>
      <c r="CYP9" s="3"/>
      <c r="CYQ9" s="3"/>
      <c r="CYR9" s="3"/>
      <c r="CYS9" s="3"/>
      <c r="CYT9" s="3"/>
      <c r="CYU9" s="3"/>
      <c r="CYV9" s="3"/>
      <c r="CYW9" s="3"/>
      <c r="CYX9" s="3"/>
      <c r="CYY9" s="3"/>
      <c r="CYZ9" s="3"/>
      <c r="CZA9" s="3"/>
      <c r="CZB9" s="3"/>
      <c r="CZC9" s="3"/>
      <c r="CZD9" s="3"/>
      <c r="CZE9" s="3"/>
      <c r="CZF9" s="3"/>
      <c r="CZG9" s="3"/>
      <c r="CZH9" s="3"/>
      <c r="CZI9" s="3"/>
      <c r="CZJ9" s="3"/>
      <c r="CZK9" s="3"/>
      <c r="CZL9" s="3"/>
      <c r="CZM9" s="3"/>
      <c r="CZN9" s="3"/>
      <c r="CZO9" s="3"/>
      <c r="CZP9" s="3"/>
      <c r="CZQ9" s="3"/>
      <c r="CZR9" s="3"/>
      <c r="CZS9" s="3"/>
      <c r="CZT9" s="3"/>
      <c r="CZU9" s="3"/>
      <c r="CZV9" s="3"/>
      <c r="CZW9" s="3"/>
      <c r="CZX9" s="3"/>
      <c r="CZY9" s="3"/>
      <c r="CZZ9" s="3"/>
      <c r="DAA9" s="3"/>
      <c r="DAB9" s="3"/>
      <c r="DAC9" s="3"/>
      <c r="DAD9" s="3"/>
      <c r="DAE9" s="3"/>
      <c r="DAF9" s="3"/>
      <c r="DAG9" s="3"/>
      <c r="DAH9" s="3"/>
      <c r="DAI9" s="3"/>
      <c r="DAJ9" s="3"/>
      <c r="DAK9" s="3"/>
      <c r="DAL9" s="3"/>
      <c r="DAM9" s="3"/>
      <c r="DAN9" s="3"/>
      <c r="DAO9" s="3"/>
      <c r="DAP9" s="3"/>
      <c r="DAQ9" s="3"/>
      <c r="DAR9" s="3"/>
      <c r="DAS9" s="3"/>
      <c r="DAT9" s="3"/>
      <c r="DAU9" s="3"/>
      <c r="DAV9" s="3"/>
      <c r="DAW9" s="3"/>
      <c r="DAX9" s="3"/>
      <c r="DAY9" s="3"/>
      <c r="DAZ9" s="3"/>
      <c r="DBA9" s="3"/>
      <c r="DBB9" s="3"/>
      <c r="DBC9" s="3"/>
      <c r="DBD9" s="3"/>
      <c r="DBE9" s="3"/>
      <c r="DBF9" s="3"/>
      <c r="DBG9" s="3"/>
      <c r="DBH9" s="3"/>
      <c r="DBI9" s="3"/>
      <c r="DBJ9" s="3"/>
      <c r="DBK9" s="3"/>
      <c r="DBL9" s="3"/>
      <c r="DBM9" s="3"/>
      <c r="DBN9" s="3"/>
      <c r="DBO9" s="3"/>
      <c r="DBP9" s="3"/>
      <c r="DBQ9" s="3"/>
      <c r="DBR9" s="3"/>
      <c r="DBS9" s="3"/>
      <c r="DBT9" s="3"/>
      <c r="DBU9" s="3"/>
      <c r="DBV9" s="3"/>
      <c r="DBW9" s="3"/>
      <c r="DBX9" s="3"/>
      <c r="DBY9" s="3"/>
      <c r="DBZ9" s="3"/>
      <c r="DCA9" s="3"/>
      <c r="DCB9" s="3"/>
      <c r="DCC9" s="3"/>
      <c r="DCD9" s="3"/>
      <c r="DCE9" s="3"/>
      <c r="DCF9" s="3"/>
      <c r="DCG9" s="3"/>
      <c r="DCH9" s="3"/>
      <c r="DCI9" s="3"/>
      <c r="DCJ9" s="3"/>
      <c r="DCK9" s="3"/>
      <c r="DCL9" s="3"/>
      <c r="DCM9" s="3"/>
      <c r="DCN9" s="3"/>
      <c r="DCO9" s="3"/>
      <c r="DCP9" s="3"/>
      <c r="DCQ9" s="3"/>
      <c r="DCR9" s="3"/>
      <c r="DCS9" s="3"/>
      <c r="DCT9" s="3"/>
      <c r="DCU9" s="3"/>
      <c r="DCV9" s="3"/>
      <c r="DCW9" s="3"/>
      <c r="DCX9" s="3"/>
      <c r="DCY9" s="3"/>
      <c r="DCZ9" s="3"/>
      <c r="DDA9" s="3"/>
      <c r="DDB9" s="3"/>
      <c r="DDC9" s="3"/>
      <c r="DDD9" s="3"/>
      <c r="DDE9" s="3"/>
      <c r="DDF9" s="3"/>
      <c r="DDG9" s="3"/>
      <c r="DDH9" s="3"/>
      <c r="DDI9" s="3"/>
      <c r="DDJ9" s="3"/>
      <c r="DDK9" s="3"/>
      <c r="DDL9" s="3"/>
      <c r="DDM9" s="3"/>
      <c r="DDN9" s="3"/>
      <c r="DDO9" s="3"/>
      <c r="DDP9" s="3"/>
      <c r="DDQ9" s="3"/>
      <c r="DDR9" s="3"/>
      <c r="DDS9" s="3"/>
      <c r="DDT9" s="3"/>
      <c r="DDU9" s="3"/>
      <c r="DDV9" s="3"/>
      <c r="DDW9" s="3"/>
      <c r="DDX9" s="3"/>
      <c r="DDY9" s="3"/>
      <c r="DDZ9" s="3"/>
      <c r="DEA9" s="3"/>
      <c r="DEB9" s="3"/>
      <c r="DEC9" s="3"/>
      <c r="DED9" s="3"/>
      <c r="DEE9" s="3"/>
      <c r="DEF9" s="3"/>
      <c r="DEG9" s="3"/>
      <c r="DEH9" s="3"/>
      <c r="DEI9" s="3"/>
      <c r="DEJ9" s="3"/>
      <c r="DEK9" s="3"/>
      <c r="DEL9" s="3"/>
      <c r="DEM9" s="3"/>
      <c r="DEN9" s="3"/>
      <c r="DEO9" s="3"/>
      <c r="DEP9" s="3"/>
      <c r="DEQ9" s="3"/>
      <c r="DER9" s="3"/>
      <c r="DES9" s="3"/>
      <c r="DET9" s="3"/>
      <c r="DEU9" s="3"/>
      <c r="DEV9" s="3"/>
      <c r="DEW9" s="3"/>
      <c r="DEX9" s="3"/>
      <c r="DEY9" s="3"/>
      <c r="DEZ9" s="3"/>
      <c r="DFA9" s="3"/>
      <c r="DFB9" s="3"/>
      <c r="DFC9" s="3"/>
      <c r="DFD9" s="3"/>
      <c r="DFE9" s="3"/>
      <c r="DFF9" s="3"/>
      <c r="DFG9" s="3"/>
      <c r="DFH9" s="3"/>
      <c r="DFI9" s="3"/>
      <c r="DFJ9" s="3"/>
      <c r="DFK9" s="3"/>
      <c r="DFL9" s="3"/>
      <c r="DFM9" s="3"/>
      <c r="DFN9" s="3"/>
      <c r="DFO9" s="3"/>
      <c r="DFP9" s="3"/>
      <c r="DFQ9" s="3"/>
      <c r="DFR9" s="3"/>
      <c r="DFS9" s="3"/>
      <c r="DFT9" s="3"/>
      <c r="DFU9" s="3"/>
      <c r="DFV9" s="3"/>
      <c r="DFW9" s="3"/>
      <c r="DFX9" s="3"/>
      <c r="DFY9" s="3"/>
      <c r="DFZ9" s="3"/>
      <c r="DGA9" s="3"/>
      <c r="DGB9" s="3"/>
      <c r="DGC9" s="3"/>
      <c r="DGD9" s="3"/>
      <c r="DGE9" s="3"/>
      <c r="DGF9" s="3"/>
      <c r="DGG9" s="3"/>
      <c r="DGH9" s="3"/>
      <c r="DGI9" s="3"/>
      <c r="DGJ9" s="3"/>
      <c r="DGK9" s="3"/>
      <c r="DGL9" s="3"/>
      <c r="DGM9" s="3"/>
      <c r="DGN9" s="3"/>
      <c r="DGO9" s="3"/>
      <c r="DGP9" s="3"/>
      <c r="DGQ9" s="3"/>
      <c r="DGR9" s="3"/>
      <c r="DGS9" s="3"/>
      <c r="DGT9" s="3"/>
      <c r="DGU9" s="3"/>
      <c r="DGV9" s="3"/>
      <c r="DGW9" s="3"/>
      <c r="DGX9" s="3"/>
      <c r="DGY9" s="3"/>
      <c r="DGZ9" s="3"/>
      <c r="DHA9" s="3"/>
      <c r="DHB9" s="3"/>
      <c r="DHC9" s="3"/>
      <c r="DHD9" s="3"/>
      <c r="DHE9" s="3"/>
      <c r="DHF9" s="3"/>
      <c r="DHG9" s="3"/>
      <c r="DHH9" s="3"/>
      <c r="DHI9" s="3"/>
      <c r="DHJ9" s="3"/>
      <c r="DHK9" s="3"/>
      <c r="DHL9" s="3"/>
      <c r="DHM9" s="3"/>
      <c r="DHN9" s="3"/>
      <c r="DHO9" s="3"/>
      <c r="DHP9" s="3"/>
      <c r="DHQ9" s="3"/>
      <c r="DHR9" s="3"/>
      <c r="DHS9" s="3"/>
      <c r="DHT9" s="3"/>
      <c r="DHU9" s="3"/>
      <c r="DHV9" s="3"/>
      <c r="DHW9" s="3"/>
      <c r="DHX9" s="3"/>
      <c r="DHY9" s="3"/>
      <c r="DHZ9" s="3"/>
      <c r="DIA9" s="3"/>
      <c r="DIB9" s="3"/>
      <c r="DIC9" s="3"/>
      <c r="DID9" s="3"/>
      <c r="DIE9" s="3"/>
      <c r="DIF9" s="3"/>
      <c r="DIG9" s="3"/>
      <c r="DIH9" s="3"/>
      <c r="DII9" s="3"/>
      <c r="DIJ9" s="3"/>
      <c r="DIK9" s="3"/>
      <c r="DIL9" s="3"/>
      <c r="DIM9" s="3"/>
      <c r="DIN9" s="3"/>
      <c r="DIO9" s="3"/>
      <c r="DIP9" s="3"/>
      <c r="DIQ9" s="3"/>
      <c r="DIR9" s="3"/>
      <c r="DIS9" s="3"/>
      <c r="DIT9" s="3"/>
      <c r="DIU9" s="3"/>
      <c r="DIV9" s="3"/>
      <c r="DIW9" s="3"/>
      <c r="DIX9" s="3"/>
      <c r="DIY9" s="3"/>
      <c r="DIZ9" s="3"/>
      <c r="DJA9" s="3"/>
      <c r="DJB9" s="3"/>
      <c r="DJC9" s="3"/>
      <c r="DJD9" s="3"/>
      <c r="DJE9" s="3"/>
      <c r="DJF9" s="3"/>
      <c r="DJG9" s="3"/>
      <c r="DJH9" s="3"/>
      <c r="DJI9" s="3"/>
      <c r="DJJ9" s="3"/>
      <c r="DJK9" s="3"/>
      <c r="DJL9" s="3"/>
      <c r="DJM9" s="3"/>
      <c r="DJN9" s="3"/>
      <c r="DJO9" s="3"/>
      <c r="DJP9" s="3"/>
      <c r="DJQ9" s="3"/>
      <c r="DJR9" s="3"/>
      <c r="DJS9" s="3"/>
      <c r="DJT9" s="3"/>
      <c r="DJU9" s="3"/>
      <c r="DJV9" s="3"/>
      <c r="DJW9" s="3"/>
      <c r="DJX9" s="3"/>
      <c r="DJY9" s="3"/>
      <c r="DJZ9" s="3"/>
      <c r="DKA9" s="3"/>
      <c r="DKB9" s="3"/>
      <c r="DKC9" s="3"/>
      <c r="DKD9" s="3"/>
      <c r="DKE9" s="3"/>
      <c r="DKF9" s="3"/>
      <c r="DKG9" s="3"/>
      <c r="DKH9" s="3"/>
      <c r="DKI9" s="3"/>
      <c r="DKJ9" s="3"/>
      <c r="DKK9" s="3"/>
      <c r="DKL9" s="3"/>
      <c r="DKM9" s="3"/>
      <c r="DKN9" s="3"/>
      <c r="DKO9" s="3"/>
      <c r="DKP9" s="3"/>
      <c r="DKQ9" s="3"/>
      <c r="DKR9" s="3"/>
      <c r="DKS9" s="3"/>
      <c r="DKT9" s="3"/>
      <c r="DKU9" s="3"/>
      <c r="DKV9" s="3"/>
      <c r="DKW9" s="3"/>
      <c r="DKX9" s="3"/>
      <c r="DKY9" s="3"/>
      <c r="DKZ9" s="3"/>
      <c r="DLA9" s="3"/>
      <c r="DLB9" s="3"/>
      <c r="DLC9" s="3"/>
      <c r="DLD9" s="3"/>
      <c r="DLE9" s="3"/>
      <c r="DLF9" s="3"/>
      <c r="DLG9" s="3"/>
      <c r="DLH9" s="3"/>
      <c r="DLI9" s="3"/>
      <c r="DLJ9" s="3"/>
      <c r="DLK9" s="3"/>
      <c r="DLL9" s="3"/>
      <c r="DLM9" s="3"/>
      <c r="DLN9" s="3"/>
      <c r="DLO9" s="3"/>
      <c r="DLP9" s="3"/>
      <c r="DLQ9" s="3"/>
      <c r="DLR9" s="3"/>
      <c r="DLS9" s="3"/>
      <c r="DLT9" s="3"/>
      <c r="DLU9" s="3"/>
      <c r="DLV9" s="3"/>
      <c r="DLW9" s="3"/>
      <c r="DLX9" s="3"/>
      <c r="DLY9" s="3"/>
      <c r="DLZ9" s="3"/>
      <c r="DMA9" s="3"/>
      <c r="DMB9" s="3"/>
      <c r="DMC9" s="3"/>
      <c r="DMD9" s="3"/>
      <c r="DME9" s="3"/>
      <c r="DMF9" s="3"/>
      <c r="DMG9" s="3"/>
      <c r="DMH9" s="3"/>
      <c r="DMI9" s="3"/>
      <c r="DMJ9" s="3"/>
      <c r="DMK9" s="3"/>
      <c r="DML9" s="3"/>
      <c r="DMM9" s="3"/>
      <c r="DMN9" s="3"/>
      <c r="DMO9" s="3"/>
      <c r="DMP9" s="3"/>
      <c r="DMQ9" s="3"/>
      <c r="DMR9" s="3"/>
      <c r="DMS9" s="3"/>
      <c r="DMT9" s="3"/>
      <c r="DMU9" s="3"/>
      <c r="DMV9" s="3"/>
      <c r="DMW9" s="3"/>
      <c r="DMX9" s="3"/>
      <c r="DMY9" s="3"/>
      <c r="DMZ9" s="3"/>
      <c r="DNA9" s="3"/>
      <c r="DNB9" s="3"/>
      <c r="DNC9" s="3"/>
      <c r="DND9" s="3"/>
      <c r="DNE9" s="3"/>
      <c r="DNF9" s="3"/>
      <c r="DNG9" s="3"/>
      <c r="DNH9" s="3"/>
      <c r="DNI9" s="3"/>
      <c r="DNJ9" s="3"/>
      <c r="DNK9" s="3"/>
      <c r="DNL9" s="3"/>
      <c r="DNM9" s="3"/>
      <c r="DNN9" s="3"/>
      <c r="DNO9" s="3"/>
      <c r="DNP9" s="3"/>
      <c r="DNQ9" s="3"/>
      <c r="DNR9" s="3"/>
      <c r="DNS9" s="3"/>
      <c r="DNT9" s="3"/>
      <c r="DNU9" s="3"/>
      <c r="DNV9" s="3"/>
      <c r="DNW9" s="3"/>
      <c r="DNX9" s="3"/>
      <c r="DNY9" s="3"/>
      <c r="DNZ9" s="3"/>
      <c r="DOA9" s="3"/>
      <c r="DOB9" s="3"/>
      <c r="DOC9" s="3"/>
      <c r="DOD9" s="3"/>
      <c r="DOE9" s="3"/>
      <c r="DOF9" s="3"/>
      <c r="DOG9" s="3"/>
      <c r="DOH9" s="3"/>
      <c r="DOI9" s="3"/>
      <c r="DOJ9" s="3"/>
      <c r="DOK9" s="3"/>
      <c r="DOL9" s="3"/>
      <c r="DOM9" s="3"/>
      <c r="DON9" s="3"/>
      <c r="DOO9" s="3"/>
      <c r="DOP9" s="3"/>
      <c r="DOQ9" s="3"/>
      <c r="DOR9" s="3"/>
      <c r="DOS9" s="3"/>
      <c r="DOT9" s="3"/>
      <c r="DOU9" s="3"/>
      <c r="DOV9" s="3"/>
      <c r="DOW9" s="3"/>
      <c r="DOX9" s="3"/>
      <c r="DOY9" s="3"/>
      <c r="DOZ9" s="3"/>
      <c r="DPA9" s="3"/>
      <c r="DPB9" s="3"/>
      <c r="DPC9" s="3"/>
      <c r="DPD9" s="3"/>
      <c r="DPE9" s="3"/>
      <c r="DPF9" s="3"/>
      <c r="DPG9" s="3"/>
      <c r="DPH9" s="3"/>
      <c r="DPI9" s="3"/>
      <c r="DPJ9" s="3"/>
      <c r="DPK9" s="3"/>
      <c r="DPL9" s="3"/>
      <c r="DPM9" s="3"/>
      <c r="DPN9" s="3"/>
      <c r="DPO9" s="3"/>
      <c r="DPP9" s="3"/>
      <c r="DPQ9" s="3"/>
      <c r="DPR9" s="3"/>
      <c r="DPS9" s="3"/>
      <c r="DPT9" s="3"/>
      <c r="DPU9" s="3"/>
      <c r="DPV9" s="3"/>
      <c r="DPW9" s="3"/>
      <c r="DPX9" s="3"/>
      <c r="DPY9" s="3"/>
      <c r="DPZ9" s="3"/>
      <c r="DQA9" s="3"/>
      <c r="DQB9" s="3"/>
      <c r="DQC9" s="3"/>
      <c r="DQD9" s="3"/>
      <c r="DQE9" s="3"/>
      <c r="DQF9" s="3"/>
      <c r="DQG9" s="3"/>
      <c r="DQH9" s="3"/>
      <c r="DQI9" s="3"/>
      <c r="DQJ9" s="3"/>
      <c r="DQK9" s="3"/>
      <c r="DQL9" s="3"/>
      <c r="DQM9" s="3"/>
      <c r="DQN9" s="3"/>
      <c r="DQO9" s="3"/>
      <c r="DQP9" s="3"/>
      <c r="DQQ9" s="3"/>
      <c r="DQR9" s="3"/>
      <c r="DQS9" s="3"/>
      <c r="DQT9" s="3"/>
      <c r="DQU9" s="3"/>
      <c r="DQV9" s="3"/>
      <c r="DQW9" s="3"/>
      <c r="DQX9" s="3"/>
      <c r="DQY9" s="3"/>
      <c r="DQZ9" s="3"/>
      <c r="DRA9" s="3"/>
      <c r="DRB9" s="3"/>
      <c r="DRC9" s="3"/>
      <c r="DRD9" s="3"/>
      <c r="DRE9" s="3"/>
      <c r="DRF9" s="3"/>
      <c r="DRG9" s="3"/>
      <c r="DRH9" s="3"/>
      <c r="DRI9" s="3"/>
      <c r="DRJ9" s="3"/>
      <c r="DRK9" s="3"/>
      <c r="DRL9" s="3"/>
      <c r="DRM9" s="3"/>
      <c r="DRN9" s="3"/>
      <c r="DRO9" s="3"/>
      <c r="DRP9" s="3"/>
      <c r="DRQ9" s="3"/>
      <c r="DRR9" s="3"/>
      <c r="DRS9" s="3"/>
      <c r="DRT9" s="3"/>
      <c r="DRU9" s="3"/>
      <c r="DRV9" s="3"/>
      <c r="DRW9" s="3"/>
      <c r="DRX9" s="3"/>
      <c r="DRY9" s="3"/>
      <c r="DRZ9" s="3"/>
      <c r="DSA9" s="3"/>
      <c r="DSB9" s="3"/>
      <c r="DSC9" s="3"/>
      <c r="DSD9" s="3"/>
      <c r="DSE9" s="3"/>
      <c r="DSF9" s="3"/>
      <c r="DSG9" s="3"/>
      <c r="DSH9" s="3"/>
      <c r="DSI9" s="3"/>
      <c r="DSJ9" s="3"/>
      <c r="DSK9" s="3"/>
      <c r="DSL9" s="3"/>
      <c r="DSM9" s="3"/>
      <c r="DSN9" s="3"/>
      <c r="DSO9" s="3"/>
      <c r="DSP9" s="3"/>
      <c r="DSQ9" s="3"/>
      <c r="DSR9" s="3"/>
      <c r="DSS9" s="3"/>
      <c r="DST9" s="3"/>
      <c r="DSU9" s="3"/>
      <c r="DSV9" s="3"/>
      <c r="DSW9" s="3"/>
      <c r="DSX9" s="3"/>
      <c r="DSY9" s="3"/>
      <c r="DSZ9" s="3"/>
      <c r="DTA9" s="3"/>
      <c r="DTB9" s="3"/>
      <c r="DTC9" s="3"/>
      <c r="DTD9" s="3"/>
      <c r="DTE9" s="3"/>
      <c r="DTF9" s="3"/>
      <c r="DTG9" s="3"/>
      <c r="DTH9" s="3"/>
      <c r="DTI9" s="3"/>
      <c r="DTJ9" s="3"/>
      <c r="DTK9" s="3"/>
      <c r="DTL9" s="3"/>
      <c r="DTM9" s="3"/>
      <c r="DTN9" s="3"/>
      <c r="DTO9" s="3"/>
      <c r="DTP9" s="3"/>
      <c r="DTQ9" s="3"/>
      <c r="DTR9" s="3"/>
      <c r="DTS9" s="3"/>
      <c r="DTT9" s="3"/>
      <c r="DTU9" s="3"/>
      <c r="DTV9" s="3"/>
      <c r="DTW9" s="3"/>
      <c r="DTX9" s="3"/>
      <c r="DTY9" s="3"/>
      <c r="DTZ9" s="3"/>
      <c r="DUA9" s="3"/>
      <c r="DUB9" s="3"/>
      <c r="DUC9" s="3"/>
      <c r="DUD9" s="3"/>
      <c r="DUE9" s="3"/>
      <c r="DUF9" s="3"/>
      <c r="DUG9" s="3"/>
      <c r="DUH9" s="3"/>
      <c r="DUI9" s="3"/>
      <c r="DUJ9" s="3"/>
      <c r="DUK9" s="3"/>
      <c r="DUL9" s="3"/>
      <c r="DUM9" s="3"/>
      <c r="DUN9" s="3"/>
      <c r="DUO9" s="3"/>
      <c r="DUP9" s="3"/>
      <c r="DUQ9" s="3"/>
      <c r="DUR9" s="3"/>
      <c r="DUS9" s="3"/>
      <c r="DUT9" s="3"/>
      <c r="DUU9" s="3"/>
      <c r="DUV9" s="3"/>
      <c r="DUW9" s="3"/>
      <c r="DUX9" s="3"/>
      <c r="DUY9" s="3"/>
      <c r="DUZ9" s="3"/>
      <c r="DVA9" s="3"/>
      <c r="DVB9" s="3"/>
      <c r="DVC9" s="3"/>
      <c r="DVD9" s="3"/>
      <c r="DVE9" s="3"/>
      <c r="DVF9" s="3"/>
      <c r="DVG9" s="3"/>
      <c r="DVH9" s="3"/>
      <c r="DVI9" s="3"/>
      <c r="DVJ9" s="3"/>
      <c r="DVK9" s="3"/>
      <c r="DVL9" s="3"/>
      <c r="DVM9" s="3"/>
      <c r="DVN9" s="3"/>
      <c r="DVO9" s="3"/>
      <c r="DVP9" s="3"/>
      <c r="DVQ9" s="3"/>
      <c r="DVR9" s="3"/>
      <c r="DVS9" s="3"/>
      <c r="DVT9" s="3"/>
      <c r="DVU9" s="3"/>
      <c r="DVV9" s="3"/>
      <c r="DVW9" s="3"/>
      <c r="DVX9" s="3"/>
      <c r="DVY9" s="3"/>
      <c r="DVZ9" s="3"/>
      <c r="DWA9" s="3"/>
      <c r="DWB9" s="3"/>
      <c r="DWC9" s="3"/>
      <c r="DWD9" s="3"/>
      <c r="DWE9" s="3"/>
      <c r="DWF9" s="3"/>
      <c r="DWG9" s="3"/>
      <c r="DWH9" s="3"/>
      <c r="DWI9" s="3"/>
      <c r="DWJ9" s="3"/>
      <c r="DWK9" s="3"/>
      <c r="DWL9" s="3"/>
      <c r="DWM9" s="3"/>
      <c r="DWN9" s="3"/>
      <c r="DWO9" s="3"/>
      <c r="DWP9" s="3"/>
      <c r="DWQ9" s="3"/>
      <c r="DWR9" s="3"/>
      <c r="DWS9" s="3"/>
      <c r="DWT9" s="3"/>
      <c r="DWU9" s="3"/>
      <c r="DWV9" s="3"/>
      <c r="DWW9" s="3"/>
      <c r="DWX9" s="3"/>
      <c r="DWY9" s="3"/>
      <c r="DWZ9" s="3"/>
      <c r="DXA9" s="3"/>
      <c r="DXB9" s="3"/>
      <c r="DXC9" s="3"/>
      <c r="DXD9" s="3"/>
      <c r="DXE9" s="3"/>
      <c r="DXF9" s="3"/>
      <c r="DXG9" s="3"/>
      <c r="DXH9" s="3"/>
      <c r="DXI9" s="3"/>
      <c r="DXJ9" s="3"/>
      <c r="DXK9" s="3"/>
      <c r="DXL9" s="3"/>
      <c r="DXM9" s="3"/>
      <c r="DXN9" s="3"/>
      <c r="DXO9" s="3"/>
      <c r="DXP9" s="3"/>
      <c r="DXQ9" s="3"/>
      <c r="DXR9" s="3"/>
      <c r="DXS9" s="3"/>
      <c r="DXT9" s="3"/>
      <c r="DXU9" s="3"/>
      <c r="DXV9" s="3"/>
      <c r="DXW9" s="3"/>
      <c r="DXX9" s="3"/>
      <c r="DXY9" s="3"/>
      <c r="DXZ9" s="3"/>
      <c r="DYA9" s="3"/>
      <c r="DYB9" s="3"/>
      <c r="DYC9" s="3"/>
      <c r="DYD9" s="3"/>
      <c r="DYE9" s="3"/>
      <c r="DYF9" s="3"/>
      <c r="DYG9" s="3"/>
      <c r="DYH9" s="3"/>
      <c r="DYI9" s="3"/>
      <c r="DYJ9" s="3"/>
      <c r="DYK9" s="3"/>
      <c r="DYL9" s="3"/>
      <c r="DYM9" s="3"/>
      <c r="DYN9" s="3"/>
      <c r="DYO9" s="3"/>
      <c r="DYP9" s="3"/>
      <c r="DYQ9" s="3"/>
      <c r="DYR9" s="3"/>
      <c r="DYS9" s="3"/>
      <c r="DYT9" s="3"/>
      <c r="DYU9" s="3"/>
      <c r="DYV9" s="3"/>
      <c r="DYW9" s="3"/>
      <c r="DYX9" s="3"/>
      <c r="DYY9" s="3"/>
      <c r="DYZ9" s="3"/>
      <c r="DZA9" s="3"/>
      <c r="DZB9" s="3"/>
      <c r="DZC9" s="3"/>
      <c r="DZD9" s="3"/>
      <c r="DZE9" s="3"/>
      <c r="DZF9" s="3"/>
      <c r="DZG9" s="3"/>
      <c r="DZH9" s="3"/>
      <c r="DZI9" s="3"/>
      <c r="DZJ9" s="3"/>
      <c r="DZK9" s="3"/>
      <c r="DZL9" s="3"/>
      <c r="DZM9" s="3"/>
      <c r="DZN9" s="3"/>
      <c r="DZO9" s="3"/>
      <c r="DZP9" s="3"/>
      <c r="DZQ9" s="3"/>
      <c r="DZR9" s="3"/>
      <c r="DZS9" s="3"/>
      <c r="DZT9" s="3"/>
      <c r="DZU9" s="3"/>
      <c r="DZV9" s="3"/>
      <c r="DZW9" s="3"/>
      <c r="DZX9" s="3"/>
      <c r="DZY9" s="3"/>
      <c r="DZZ9" s="3"/>
      <c r="EAA9" s="3"/>
      <c r="EAB9" s="3"/>
      <c r="EAC9" s="3"/>
      <c r="EAD9" s="3"/>
      <c r="EAE9" s="3"/>
      <c r="EAF9" s="3"/>
      <c r="EAG9" s="3"/>
      <c r="EAH9" s="3"/>
      <c r="EAI9" s="3"/>
      <c r="EAJ9" s="3"/>
      <c r="EAK9" s="3"/>
      <c r="EAL9" s="3"/>
      <c r="EAM9" s="3"/>
      <c r="EAN9" s="3"/>
      <c r="EAO9" s="3"/>
      <c r="EAP9" s="3"/>
      <c r="EAQ9" s="3"/>
      <c r="EAR9" s="3"/>
      <c r="EAS9" s="3"/>
      <c r="EAT9" s="3"/>
      <c r="EAU9" s="3"/>
      <c r="EAV9" s="3"/>
      <c r="EAW9" s="3"/>
      <c r="EAX9" s="3"/>
      <c r="EAY9" s="3"/>
      <c r="EAZ9" s="3"/>
      <c r="EBA9" s="3"/>
      <c r="EBB9" s="3"/>
      <c r="EBC9" s="3"/>
      <c r="EBD9" s="3"/>
      <c r="EBE9" s="3"/>
      <c r="EBF9" s="3"/>
      <c r="EBG9" s="3"/>
      <c r="EBH9" s="3"/>
      <c r="EBI9" s="3"/>
      <c r="EBJ9" s="3"/>
      <c r="EBK9" s="3"/>
      <c r="EBL9" s="3"/>
      <c r="EBM9" s="3"/>
      <c r="EBN9" s="3"/>
      <c r="EBO9" s="3"/>
      <c r="EBP9" s="3"/>
      <c r="EBQ9" s="3"/>
      <c r="EBR9" s="3"/>
      <c r="EBS9" s="3"/>
      <c r="EBT9" s="3"/>
      <c r="EBU9" s="3"/>
      <c r="EBV9" s="3"/>
      <c r="EBW9" s="3"/>
      <c r="EBX9" s="3"/>
      <c r="EBY9" s="3"/>
      <c r="EBZ9" s="3"/>
      <c r="ECA9" s="3"/>
      <c r="ECB9" s="3"/>
      <c r="ECC9" s="3"/>
      <c r="ECD9" s="3"/>
      <c r="ECE9" s="3"/>
      <c r="ECF9" s="3"/>
      <c r="ECG9" s="3"/>
      <c r="ECH9" s="3"/>
      <c r="ECI9" s="3"/>
      <c r="ECJ9" s="3"/>
      <c r="ECK9" s="3"/>
      <c r="ECL9" s="3"/>
      <c r="ECM9" s="3"/>
      <c r="ECN9" s="3"/>
      <c r="ECO9" s="3"/>
      <c r="ECP9" s="3"/>
      <c r="ECQ9" s="3"/>
      <c r="ECR9" s="3"/>
      <c r="ECS9" s="3"/>
      <c r="ECT9" s="3"/>
      <c r="ECU9" s="3"/>
      <c r="ECV9" s="3"/>
      <c r="ECW9" s="3"/>
      <c r="ECX9" s="3"/>
      <c r="ECY9" s="3"/>
      <c r="ECZ9" s="3"/>
      <c r="EDA9" s="3"/>
      <c r="EDB9" s="3"/>
      <c r="EDC9" s="3"/>
      <c r="EDD9" s="3"/>
      <c r="EDE9" s="3"/>
      <c r="EDF9" s="3"/>
      <c r="EDG9" s="3"/>
      <c r="EDH9" s="3"/>
      <c r="EDI9" s="3"/>
      <c r="EDJ9" s="3"/>
      <c r="EDK9" s="3"/>
      <c r="EDL9" s="3"/>
      <c r="EDM9" s="3"/>
      <c r="EDN9" s="3"/>
      <c r="EDO9" s="3"/>
      <c r="EDP9" s="3"/>
      <c r="EDQ9" s="3"/>
      <c r="EDR9" s="3"/>
      <c r="EDS9" s="3"/>
      <c r="EDT9" s="3"/>
      <c r="EDU9" s="3"/>
      <c r="EDV9" s="3"/>
      <c r="EDW9" s="3"/>
      <c r="EDX9" s="3"/>
      <c r="EDY9" s="3"/>
      <c r="EDZ9" s="3"/>
      <c r="EEA9" s="3"/>
      <c r="EEB9" s="3"/>
      <c r="EEC9" s="3"/>
      <c r="EED9" s="3"/>
      <c r="EEE9" s="3"/>
      <c r="EEF9" s="3"/>
      <c r="EEG9" s="3"/>
      <c r="EEH9" s="3"/>
      <c r="EEI9" s="3"/>
      <c r="EEJ9" s="3"/>
      <c r="EEK9" s="3"/>
      <c r="EEL9" s="3"/>
      <c r="EEM9" s="3"/>
      <c r="EEN9" s="3"/>
      <c r="EEO9" s="3"/>
      <c r="EEP9" s="3"/>
      <c r="EEQ9" s="3"/>
      <c r="EER9" s="3"/>
      <c r="EES9" s="3"/>
      <c r="EET9" s="3"/>
      <c r="EEU9" s="3"/>
      <c r="EEV9" s="3"/>
      <c r="EEW9" s="3"/>
      <c r="EEX9" s="3"/>
      <c r="EEY9" s="3"/>
      <c r="EEZ9" s="3"/>
      <c r="EFA9" s="3"/>
      <c r="EFB9" s="3"/>
      <c r="EFC9" s="3"/>
      <c r="EFD9" s="3"/>
      <c r="EFE9" s="3"/>
      <c r="EFF9" s="3"/>
      <c r="EFG9" s="3"/>
      <c r="EFH9" s="3"/>
      <c r="EFI9" s="3"/>
      <c r="EFJ9" s="3"/>
      <c r="EFK9" s="3"/>
      <c r="EFL9" s="3"/>
      <c r="EFM9" s="3"/>
      <c r="EFN9" s="3"/>
      <c r="EFO9" s="3"/>
      <c r="EFP9" s="3"/>
      <c r="EFQ9" s="3"/>
      <c r="EFR9" s="3"/>
      <c r="EFS9" s="3"/>
      <c r="EFT9" s="3"/>
      <c r="EFU9" s="3"/>
      <c r="EFV9" s="3"/>
      <c r="EFW9" s="3"/>
      <c r="EFX9" s="3"/>
      <c r="EFY9" s="3"/>
      <c r="EFZ9" s="3"/>
      <c r="EGA9" s="3"/>
      <c r="EGB9" s="3"/>
      <c r="EGC9" s="3"/>
      <c r="EGD9" s="3"/>
      <c r="EGE9" s="3"/>
      <c r="EGF9" s="3"/>
      <c r="EGG9" s="3"/>
      <c r="EGH9" s="3"/>
      <c r="EGI9" s="3"/>
      <c r="EGJ9" s="3"/>
      <c r="EGK9" s="3"/>
      <c r="EGL9" s="3"/>
      <c r="EGM9" s="3"/>
      <c r="EGN9" s="3"/>
      <c r="EGO9" s="3"/>
      <c r="EGP9" s="3"/>
      <c r="EGQ9" s="3"/>
      <c r="EGR9" s="3"/>
      <c r="EGS9" s="3"/>
      <c r="EGT9" s="3"/>
      <c r="EGU9" s="3"/>
      <c r="EGV9" s="3"/>
      <c r="EGW9" s="3"/>
      <c r="EGX9" s="3"/>
      <c r="EGY9" s="3"/>
      <c r="EGZ9" s="3"/>
      <c r="EHA9" s="3"/>
      <c r="EHB9" s="3"/>
      <c r="EHC9" s="3"/>
      <c r="EHD9" s="3"/>
      <c r="EHE9" s="3"/>
      <c r="EHF9" s="3"/>
      <c r="EHG9" s="3"/>
      <c r="EHH9" s="3"/>
      <c r="EHI9" s="3"/>
      <c r="EHJ9" s="3"/>
      <c r="EHK9" s="3"/>
      <c r="EHL9" s="3"/>
      <c r="EHM9" s="3"/>
      <c r="EHN9" s="3"/>
      <c r="EHO9" s="3"/>
      <c r="EHP9" s="3"/>
      <c r="EHQ9" s="3"/>
      <c r="EHR9" s="3"/>
      <c r="EHS9" s="3"/>
      <c r="EHT9" s="3"/>
      <c r="EHU9" s="3"/>
      <c r="EHV9" s="3"/>
      <c r="EHW9" s="3"/>
      <c r="EHX9" s="3"/>
      <c r="EHY9" s="3"/>
      <c r="EHZ9" s="3"/>
      <c r="EIA9" s="3"/>
      <c r="EIB9" s="3"/>
      <c r="EIC9" s="3"/>
      <c r="EID9" s="3"/>
      <c r="EIE9" s="3"/>
      <c r="EIF9" s="3"/>
      <c r="EIG9" s="3"/>
      <c r="EIH9" s="3"/>
      <c r="EII9" s="3"/>
      <c r="EIJ9" s="3"/>
      <c r="EIK9" s="3"/>
      <c r="EIL9" s="3"/>
      <c r="EIM9" s="3"/>
      <c r="EIN9" s="3"/>
      <c r="EIO9" s="3"/>
      <c r="EIP9" s="3"/>
      <c r="EIQ9" s="3"/>
      <c r="EIR9" s="3"/>
      <c r="EIS9" s="3"/>
      <c r="EIT9" s="3"/>
      <c r="EIU9" s="3"/>
      <c r="EIV9" s="3"/>
      <c r="EIW9" s="3"/>
      <c r="EIX9" s="3"/>
      <c r="EIY9" s="3"/>
      <c r="EIZ9" s="3"/>
      <c r="EJA9" s="3"/>
      <c r="EJB9" s="3"/>
      <c r="EJC9" s="3"/>
      <c r="EJD9" s="3"/>
      <c r="EJE9" s="3"/>
      <c r="EJF9" s="3"/>
      <c r="EJG9" s="3"/>
      <c r="EJH9" s="3"/>
      <c r="EJI9" s="3"/>
      <c r="EJJ9" s="3"/>
      <c r="EJK9" s="3"/>
      <c r="EJL9" s="3"/>
      <c r="EJM9" s="3"/>
      <c r="EJN9" s="3"/>
      <c r="EJO9" s="3"/>
      <c r="EJP9" s="3"/>
      <c r="EJQ9" s="3"/>
      <c r="EJR9" s="3"/>
      <c r="EJS9" s="3"/>
      <c r="EJT9" s="3"/>
      <c r="EJU9" s="3"/>
      <c r="EJV9" s="3"/>
      <c r="EJW9" s="3"/>
      <c r="EJX9" s="3"/>
      <c r="EJY9" s="3"/>
      <c r="EJZ9" s="3"/>
      <c r="EKA9" s="3"/>
      <c r="EKB9" s="3"/>
      <c r="EKC9" s="3"/>
      <c r="EKD9" s="3"/>
      <c r="EKE9" s="3"/>
      <c r="EKF9" s="3"/>
      <c r="EKG9" s="3"/>
      <c r="EKH9" s="3"/>
      <c r="EKI9" s="3"/>
      <c r="EKJ9" s="3"/>
      <c r="EKK9" s="3"/>
      <c r="EKL9" s="3"/>
      <c r="EKM9" s="3"/>
      <c r="EKN9" s="3"/>
      <c r="EKO9" s="3"/>
      <c r="EKP9" s="3"/>
      <c r="EKQ9" s="3"/>
      <c r="EKR9" s="3"/>
      <c r="EKS9" s="3"/>
      <c r="EKT9" s="3"/>
      <c r="EKU9" s="3"/>
      <c r="EKV9" s="3"/>
      <c r="EKW9" s="3"/>
      <c r="EKX9" s="3"/>
      <c r="EKY9" s="3"/>
      <c r="EKZ9" s="3"/>
      <c r="ELA9" s="3"/>
      <c r="ELB9" s="3"/>
      <c r="ELC9" s="3"/>
      <c r="ELD9" s="3"/>
      <c r="ELE9" s="3"/>
      <c r="ELF9" s="3"/>
      <c r="ELG9" s="3"/>
      <c r="ELH9" s="3"/>
      <c r="ELI9" s="3"/>
      <c r="ELJ9" s="3"/>
      <c r="ELK9" s="3"/>
      <c r="ELL9" s="3"/>
      <c r="ELM9" s="3"/>
      <c r="ELN9" s="3"/>
      <c r="ELO9" s="3"/>
      <c r="ELP9" s="3"/>
      <c r="ELQ9" s="3"/>
      <c r="ELR9" s="3"/>
      <c r="ELS9" s="3"/>
      <c r="ELT9" s="3"/>
      <c r="ELU9" s="3"/>
      <c r="ELV9" s="3"/>
      <c r="ELW9" s="3"/>
      <c r="ELX9" s="3"/>
      <c r="ELY9" s="3"/>
      <c r="ELZ9" s="3"/>
      <c r="EMA9" s="3"/>
      <c r="EMB9" s="3"/>
      <c r="EMC9" s="3"/>
      <c r="EMD9" s="3"/>
      <c r="EME9" s="3"/>
      <c r="EMF9" s="3"/>
      <c r="EMG9" s="3"/>
      <c r="EMH9" s="3"/>
      <c r="EMI9" s="3"/>
      <c r="EMJ9" s="3"/>
      <c r="EMK9" s="3"/>
      <c r="EML9" s="3"/>
      <c r="EMM9" s="3"/>
      <c r="EMN9" s="3"/>
      <c r="EMO9" s="3"/>
      <c r="EMP9" s="3"/>
      <c r="EMQ9" s="3"/>
      <c r="EMR9" s="3"/>
      <c r="EMS9" s="3"/>
      <c r="EMT9" s="3"/>
      <c r="EMU9" s="3"/>
      <c r="EMV9" s="3"/>
      <c r="EMW9" s="3"/>
      <c r="EMX9" s="3"/>
      <c r="EMY9" s="3"/>
      <c r="EMZ9" s="3"/>
      <c r="ENA9" s="3"/>
      <c r="ENB9" s="3"/>
      <c r="ENC9" s="3"/>
      <c r="END9" s="3"/>
      <c r="ENE9" s="3"/>
      <c r="ENF9" s="3"/>
      <c r="ENG9" s="3"/>
      <c r="ENH9" s="3"/>
      <c r="ENI9" s="3"/>
      <c r="ENJ9" s="3"/>
      <c r="ENK9" s="3"/>
      <c r="ENL9" s="3"/>
      <c r="ENM9" s="3"/>
      <c r="ENN9" s="3"/>
      <c r="ENO9" s="3"/>
      <c r="ENP9" s="3"/>
      <c r="ENQ9" s="3"/>
      <c r="ENR9" s="3"/>
      <c r="ENS9" s="3"/>
      <c r="ENT9" s="3"/>
      <c r="ENU9" s="3"/>
      <c r="ENV9" s="3"/>
      <c r="ENW9" s="3"/>
      <c r="ENX9" s="3"/>
      <c r="ENY9" s="3"/>
      <c r="ENZ9" s="3"/>
      <c r="EOA9" s="3"/>
      <c r="EOB9" s="3"/>
      <c r="EOC9" s="3"/>
      <c r="EOD9" s="3"/>
      <c r="EOE9" s="3"/>
      <c r="EOF9" s="3"/>
      <c r="EOG9" s="3"/>
      <c r="EOH9" s="3"/>
      <c r="EOI9" s="3"/>
      <c r="EOJ9" s="3"/>
      <c r="EOK9" s="3"/>
      <c r="EOL9" s="3"/>
      <c r="EOM9" s="3"/>
      <c r="EON9" s="3"/>
      <c r="EOO9" s="3"/>
      <c r="EOP9" s="3"/>
      <c r="EOQ9" s="3"/>
      <c r="EOR9" s="3"/>
      <c r="EOS9" s="3"/>
      <c r="EOT9" s="3"/>
      <c r="EOU9" s="3"/>
      <c r="EOV9" s="3"/>
      <c r="EOW9" s="3"/>
      <c r="EOX9" s="3"/>
      <c r="EOY9" s="3"/>
      <c r="EOZ9" s="3"/>
      <c r="EPA9" s="3"/>
      <c r="EPB9" s="3"/>
      <c r="EPC9" s="3"/>
      <c r="EPD9" s="3"/>
      <c r="EPE9" s="3"/>
      <c r="EPF9" s="3"/>
      <c r="EPG9" s="3"/>
      <c r="EPH9" s="3"/>
      <c r="EPI9" s="3"/>
      <c r="EPJ9" s="3"/>
      <c r="EPK9" s="3"/>
      <c r="EPL9" s="3"/>
      <c r="EPM9" s="3"/>
      <c r="EPN9" s="3"/>
      <c r="EPO9" s="3"/>
      <c r="EPP9" s="3"/>
      <c r="EPQ9" s="3"/>
      <c r="EPR9" s="3"/>
      <c r="EPS9" s="3"/>
      <c r="EPT9" s="3"/>
      <c r="EPU9" s="3"/>
      <c r="EPV9" s="3"/>
      <c r="EPW9" s="3"/>
      <c r="EPX9" s="3"/>
      <c r="EPY9" s="3"/>
      <c r="EPZ9" s="3"/>
      <c r="EQA9" s="3"/>
      <c r="EQB9" s="3"/>
      <c r="EQC9" s="3"/>
      <c r="EQD9" s="3"/>
      <c r="EQE9" s="3"/>
      <c r="EQF9" s="3"/>
      <c r="EQG9" s="3"/>
      <c r="EQH9" s="3"/>
      <c r="EQI9" s="3"/>
      <c r="EQJ9" s="3"/>
      <c r="EQK9" s="3"/>
      <c r="EQL9" s="3"/>
      <c r="EQM9" s="3"/>
      <c r="EQN9" s="3"/>
      <c r="EQO9" s="3"/>
      <c r="EQP9" s="3"/>
      <c r="EQQ9" s="3"/>
      <c r="EQR9" s="3"/>
      <c r="EQS9" s="3"/>
      <c r="EQT9" s="3"/>
      <c r="EQU9" s="3"/>
      <c r="EQV9" s="3"/>
      <c r="EQW9" s="3"/>
      <c r="EQX9" s="3"/>
      <c r="EQY9" s="3"/>
      <c r="EQZ9" s="3"/>
      <c r="ERA9" s="3"/>
      <c r="ERB9" s="3"/>
      <c r="ERC9" s="3"/>
      <c r="ERD9" s="3"/>
      <c r="ERE9" s="3"/>
      <c r="ERF9" s="3"/>
      <c r="ERG9" s="3"/>
      <c r="ERH9" s="3"/>
      <c r="ERI9" s="3"/>
      <c r="ERJ9" s="3"/>
      <c r="ERK9" s="3"/>
      <c r="ERL9" s="3"/>
      <c r="ERM9" s="3"/>
      <c r="ERN9" s="3"/>
      <c r="ERO9" s="3"/>
      <c r="ERP9" s="3"/>
      <c r="ERQ9" s="3"/>
      <c r="ERR9" s="3"/>
      <c r="ERS9" s="3"/>
      <c r="ERT9" s="3"/>
      <c r="ERU9" s="3"/>
      <c r="ERV9" s="3"/>
      <c r="ERW9" s="3"/>
      <c r="ERX9" s="3"/>
      <c r="ERY9" s="3"/>
      <c r="ERZ9" s="3"/>
      <c r="ESA9" s="3"/>
      <c r="ESB9" s="3"/>
      <c r="ESC9" s="3"/>
      <c r="ESD9" s="3"/>
      <c r="ESE9" s="3"/>
      <c r="ESF9" s="3"/>
      <c r="ESG9" s="3"/>
      <c r="ESH9" s="3"/>
      <c r="ESI9" s="3"/>
      <c r="ESJ9" s="3"/>
      <c r="ESK9" s="3"/>
      <c r="ESL9" s="3"/>
      <c r="ESM9" s="3"/>
      <c r="ESN9" s="3"/>
      <c r="ESO9" s="3"/>
      <c r="ESP9" s="3"/>
      <c r="ESQ9" s="3"/>
      <c r="ESR9" s="3"/>
      <c r="ESS9" s="3"/>
      <c r="EST9" s="3"/>
      <c r="ESU9" s="3"/>
      <c r="ESV9" s="3"/>
      <c r="ESW9" s="3"/>
      <c r="ESX9" s="3"/>
      <c r="ESY9" s="3"/>
      <c r="ESZ9" s="3"/>
      <c r="ETA9" s="3"/>
      <c r="ETB9" s="3"/>
      <c r="ETC9" s="3"/>
      <c r="ETD9" s="3"/>
      <c r="ETE9" s="3"/>
      <c r="ETF9" s="3"/>
      <c r="ETG9" s="3"/>
      <c r="ETH9" s="3"/>
      <c r="ETI9" s="3"/>
      <c r="ETJ9" s="3"/>
      <c r="ETK9" s="3"/>
      <c r="ETL9" s="3"/>
      <c r="ETM9" s="3"/>
      <c r="ETN9" s="3"/>
      <c r="ETO9" s="3"/>
      <c r="ETP9" s="3"/>
      <c r="ETQ9" s="3"/>
      <c r="ETR9" s="3"/>
      <c r="ETS9" s="3"/>
      <c r="ETT9" s="3"/>
      <c r="ETU9" s="3"/>
      <c r="ETV9" s="3"/>
      <c r="ETW9" s="3"/>
      <c r="ETX9" s="3"/>
      <c r="ETY9" s="3"/>
      <c r="ETZ9" s="3"/>
      <c r="EUA9" s="3"/>
      <c r="EUB9" s="3"/>
      <c r="EUC9" s="3"/>
      <c r="EUD9" s="3"/>
      <c r="EUE9" s="3"/>
      <c r="EUF9" s="3"/>
      <c r="EUG9" s="3"/>
      <c r="EUH9" s="3"/>
      <c r="EUI9" s="3"/>
      <c r="EUJ9" s="3"/>
      <c r="EUK9" s="3"/>
      <c r="EUL9" s="3"/>
      <c r="EUM9" s="3"/>
      <c r="EUN9" s="3"/>
      <c r="EUO9" s="3"/>
      <c r="EUP9" s="3"/>
      <c r="EUQ9" s="3"/>
      <c r="EUR9" s="3"/>
      <c r="EUS9" s="3"/>
      <c r="EUT9" s="3"/>
      <c r="EUU9" s="3"/>
      <c r="EUV9" s="3"/>
      <c r="EUW9" s="3"/>
      <c r="EUX9" s="3"/>
      <c r="EUY9" s="3"/>
      <c r="EUZ9" s="3"/>
      <c r="EVA9" s="3"/>
      <c r="EVB9" s="3"/>
      <c r="EVC9" s="3"/>
      <c r="EVD9" s="3"/>
      <c r="EVE9" s="3"/>
      <c r="EVF9" s="3"/>
      <c r="EVG9" s="3"/>
      <c r="EVH9" s="3"/>
      <c r="EVI9" s="3"/>
      <c r="EVJ9" s="3"/>
      <c r="EVK9" s="3"/>
      <c r="EVL9" s="3"/>
      <c r="EVM9" s="3"/>
      <c r="EVN9" s="3"/>
      <c r="EVO9" s="3"/>
      <c r="EVP9" s="3"/>
      <c r="EVQ9" s="3"/>
      <c r="EVR9" s="3"/>
      <c r="EVS9" s="3"/>
      <c r="EVT9" s="3"/>
      <c r="EVU9" s="3"/>
      <c r="EVV9" s="3"/>
      <c r="EVW9" s="3"/>
      <c r="EVX9" s="3"/>
      <c r="EVY9" s="3"/>
      <c r="EVZ9" s="3"/>
      <c r="EWA9" s="3"/>
      <c r="EWB9" s="3"/>
      <c r="EWC9" s="3"/>
      <c r="EWD9" s="3"/>
      <c r="EWE9" s="3"/>
      <c r="EWF9" s="3"/>
      <c r="EWG9" s="3"/>
      <c r="EWH9" s="3"/>
      <c r="EWI9" s="3"/>
      <c r="EWJ9" s="3"/>
      <c r="EWK9" s="3"/>
      <c r="EWL9" s="3"/>
      <c r="EWM9" s="3"/>
      <c r="EWN9" s="3"/>
      <c r="EWO9" s="3"/>
      <c r="EWP9" s="3"/>
      <c r="EWQ9" s="3"/>
      <c r="EWR9" s="3"/>
      <c r="EWS9" s="3"/>
      <c r="EWT9" s="3"/>
      <c r="EWU9" s="3"/>
      <c r="EWV9" s="3"/>
      <c r="EWW9" s="3"/>
      <c r="EWX9" s="3"/>
      <c r="EWY9" s="3"/>
      <c r="EWZ9" s="3"/>
      <c r="EXA9" s="3"/>
      <c r="EXB9" s="3"/>
      <c r="EXC9" s="3"/>
      <c r="EXD9" s="3"/>
      <c r="EXE9" s="3"/>
      <c r="EXF9" s="3"/>
      <c r="EXG9" s="3"/>
      <c r="EXH9" s="3"/>
      <c r="EXI9" s="3"/>
      <c r="EXJ9" s="3"/>
      <c r="EXK9" s="3"/>
      <c r="EXL9" s="3"/>
      <c r="EXM9" s="3"/>
      <c r="EXN9" s="3"/>
      <c r="EXO9" s="3"/>
      <c r="EXP9" s="3"/>
      <c r="EXQ9" s="3"/>
      <c r="EXR9" s="3"/>
      <c r="EXS9" s="3"/>
      <c r="EXT9" s="3"/>
      <c r="EXU9" s="3"/>
      <c r="EXV9" s="3"/>
      <c r="EXW9" s="3"/>
      <c r="EXX9" s="3"/>
      <c r="EXY9" s="3"/>
      <c r="EXZ9" s="3"/>
      <c r="EYA9" s="3"/>
      <c r="EYB9" s="3"/>
      <c r="EYC9" s="3"/>
      <c r="EYD9" s="3"/>
      <c r="EYE9" s="3"/>
      <c r="EYF9" s="3"/>
      <c r="EYG9" s="3"/>
      <c r="EYH9" s="3"/>
      <c r="EYI9" s="3"/>
      <c r="EYJ9" s="3"/>
      <c r="EYK9" s="3"/>
      <c r="EYL9" s="3"/>
      <c r="EYM9" s="3"/>
      <c r="EYN9" s="3"/>
      <c r="EYO9" s="3"/>
      <c r="EYP9" s="3"/>
      <c r="EYQ9" s="3"/>
      <c r="EYR9" s="3"/>
      <c r="EYS9" s="3"/>
      <c r="EYT9" s="3"/>
      <c r="EYU9" s="3"/>
      <c r="EYV9" s="3"/>
      <c r="EYW9" s="3"/>
      <c r="EYX9" s="3"/>
      <c r="EYY9" s="3"/>
      <c r="EYZ9" s="3"/>
      <c r="EZA9" s="3"/>
      <c r="EZB9" s="3"/>
      <c r="EZC9" s="3"/>
      <c r="EZD9" s="3"/>
      <c r="EZE9" s="3"/>
      <c r="EZF9" s="3"/>
      <c r="EZG9" s="3"/>
      <c r="EZH9" s="3"/>
      <c r="EZI9" s="3"/>
      <c r="EZJ9" s="3"/>
      <c r="EZK9" s="3"/>
      <c r="EZL9" s="3"/>
      <c r="EZM9" s="3"/>
      <c r="EZN9" s="3"/>
      <c r="EZO9" s="3"/>
      <c r="EZP9" s="3"/>
      <c r="EZQ9" s="3"/>
      <c r="EZR9" s="3"/>
      <c r="EZS9" s="3"/>
      <c r="EZT9" s="3"/>
      <c r="EZU9" s="3"/>
      <c r="EZV9" s="3"/>
      <c r="EZW9" s="3"/>
      <c r="EZX9" s="3"/>
      <c r="EZY9" s="3"/>
      <c r="EZZ9" s="3"/>
      <c r="FAA9" s="3"/>
      <c r="FAB9" s="3"/>
      <c r="FAC9" s="3"/>
      <c r="FAD9" s="3"/>
      <c r="FAE9" s="3"/>
      <c r="FAF9" s="3"/>
      <c r="FAG9" s="3"/>
      <c r="FAH9" s="3"/>
      <c r="FAI9" s="3"/>
      <c r="FAJ9" s="3"/>
      <c r="FAK9" s="3"/>
      <c r="FAL9" s="3"/>
      <c r="FAM9" s="3"/>
      <c r="FAN9" s="3"/>
      <c r="FAO9" s="3"/>
      <c r="FAP9" s="3"/>
      <c r="FAQ9" s="3"/>
      <c r="FAR9" s="3"/>
      <c r="FAS9" s="3"/>
      <c r="FAT9" s="3"/>
      <c r="FAU9" s="3"/>
      <c r="FAV9" s="3"/>
      <c r="FAW9" s="3"/>
      <c r="FAX9" s="3"/>
      <c r="FAY9" s="3"/>
      <c r="FAZ9" s="3"/>
      <c r="FBA9" s="3"/>
      <c r="FBB9" s="3"/>
      <c r="FBC9" s="3"/>
      <c r="FBD9" s="3"/>
      <c r="FBE9" s="3"/>
      <c r="FBF9" s="3"/>
      <c r="FBG9" s="3"/>
      <c r="FBH9" s="3"/>
      <c r="FBI9" s="3"/>
      <c r="FBJ9" s="3"/>
      <c r="FBK9" s="3"/>
      <c r="FBL9" s="3"/>
      <c r="FBM9" s="3"/>
      <c r="FBN9" s="3"/>
      <c r="FBO9" s="3"/>
      <c r="FBP9" s="3"/>
      <c r="FBQ9" s="3"/>
      <c r="FBR9" s="3"/>
      <c r="FBS9" s="3"/>
      <c r="FBT9" s="3"/>
      <c r="FBU9" s="3"/>
      <c r="FBV9" s="3"/>
      <c r="FBW9" s="3"/>
      <c r="FBX9" s="3"/>
      <c r="FBY9" s="3"/>
      <c r="FBZ9" s="3"/>
      <c r="FCA9" s="3"/>
      <c r="FCB9" s="3"/>
      <c r="FCC9" s="3"/>
      <c r="FCD9" s="3"/>
      <c r="FCE9" s="3"/>
      <c r="FCF9" s="3"/>
      <c r="FCG9" s="3"/>
      <c r="FCH9" s="3"/>
      <c r="FCI9" s="3"/>
      <c r="FCJ9" s="3"/>
      <c r="FCK9" s="3"/>
      <c r="FCL9" s="3"/>
      <c r="FCM9" s="3"/>
      <c r="FCN9" s="3"/>
      <c r="FCO9" s="3"/>
      <c r="FCP9" s="3"/>
      <c r="FCQ9" s="3"/>
      <c r="FCR9" s="3"/>
      <c r="FCS9" s="3"/>
      <c r="FCT9" s="3"/>
      <c r="FCU9" s="3"/>
      <c r="FCV9" s="3"/>
      <c r="FCW9" s="3"/>
      <c r="FCX9" s="3"/>
      <c r="FCY9" s="3"/>
      <c r="FCZ9" s="3"/>
      <c r="FDA9" s="3"/>
      <c r="FDB9" s="3"/>
      <c r="FDC9" s="3"/>
      <c r="FDD9" s="3"/>
      <c r="FDE9" s="3"/>
      <c r="FDF9" s="3"/>
      <c r="FDG9" s="3"/>
      <c r="FDH9" s="3"/>
      <c r="FDI9" s="3"/>
      <c r="FDJ9" s="3"/>
      <c r="FDK9" s="3"/>
      <c r="FDL9" s="3"/>
      <c r="FDM9" s="3"/>
      <c r="FDN9" s="3"/>
      <c r="FDO9" s="3"/>
      <c r="FDP9" s="3"/>
      <c r="FDQ9" s="3"/>
      <c r="FDR9" s="3"/>
      <c r="FDS9" s="3"/>
      <c r="FDT9" s="3"/>
      <c r="FDU9" s="3"/>
      <c r="FDV9" s="3"/>
      <c r="FDW9" s="3"/>
      <c r="FDX9" s="3"/>
      <c r="FDY9" s="3"/>
      <c r="FDZ9" s="3"/>
      <c r="FEA9" s="3"/>
      <c r="FEB9" s="3"/>
      <c r="FEC9" s="3"/>
      <c r="FED9" s="3"/>
      <c r="FEE9" s="3"/>
      <c r="FEF9" s="3"/>
      <c r="FEG9" s="3"/>
      <c r="FEH9" s="3"/>
      <c r="FEI9" s="3"/>
      <c r="FEJ9" s="3"/>
      <c r="FEK9" s="3"/>
      <c r="FEL9" s="3"/>
      <c r="FEM9" s="3"/>
      <c r="FEN9" s="3"/>
      <c r="FEO9" s="3"/>
      <c r="FEP9" s="3"/>
      <c r="FEQ9" s="3"/>
      <c r="FER9" s="3"/>
      <c r="FES9" s="3"/>
      <c r="FET9" s="3"/>
      <c r="FEU9" s="3"/>
      <c r="FEV9" s="3"/>
      <c r="FEW9" s="3"/>
      <c r="FEX9" s="3"/>
      <c r="FEY9" s="3"/>
      <c r="FEZ9" s="3"/>
      <c r="FFA9" s="3"/>
      <c r="FFB9" s="3"/>
      <c r="FFC9" s="3"/>
      <c r="FFD9" s="3"/>
      <c r="FFE9" s="3"/>
      <c r="FFF9" s="3"/>
      <c r="FFG9" s="3"/>
      <c r="FFH9" s="3"/>
      <c r="FFI9" s="3"/>
      <c r="FFJ9" s="3"/>
      <c r="FFK9" s="3"/>
      <c r="FFL9" s="3"/>
      <c r="FFM9" s="3"/>
      <c r="FFN9" s="3"/>
      <c r="FFO9" s="3"/>
      <c r="FFP9" s="3"/>
      <c r="FFQ9" s="3"/>
      <c r="FFR9" s="3"/>
      <c r="FFS9" s="3"/>
      <c r="FFT9" s="3"/>
      <c r="FFU9" s="3"/>
      <c r="FFV9" s="3"/>
      <c r="FFW9" s="3"/>
      <c r="FFX9" s="3"/>
      <c r="FFY9" s="3"/>
      <c r="FFZ9" s="3"/>
      <c r="FGA9" s="3"/>
      <c r="FGB9" s="3"/>
      <c r="FGC9" s="3"/>
      <c r="FGD9" s="3"/>
      <c r="FGE9" s="3"/>
      <c r="FGF9" s="3"/>
      <c r="FGG9" s="3"/>
      <c r="FGH9" s="3"/>
      <c r="FGI9" s="3"/>
      <c r="FGJ9" s="3"/>
      <c r="FGK9" s="3"/>
      <c r="FGL9" s="3"/>
      <c r="FGM9" s="3"/>
      <c r="FGN9" s="3"/>
      <c r="FGO9" s="3"/>
      <c r="FGP9" s="3"/>
      <c r="FGQ9" s="3"/>
      <c r="FGR9" s="3"/>
      <c r="FGS9" s="3"/>
      <c r="FGT9" s="3"/>
      <c r="FGU9" s="3"/>
      <c r="FGV9" s="3"/>
      <c r="FGW9" s="3"/>
      <c r="FGX9" s="3"/>
      <c r="FGY9" s="3"/>
      <c r="FGZ9" s="3"/>
      <c r="FHA9" s="3"/>
      <c r="FHB9" s="3"/>
      <c r="FHC9" s="3"/>
      <c r="FHD9" s="3"/>
      <c r="FHE9" s="3"/>
      <c r="FHF9" s="3"/>
      <c r="FHG9" s="3"/>
      <c r="FHH9" s="3"/>
      <c r="FHI9" s="3"/>
      <c r="FHJ9" s="3"/>
      <c r="FHK9" s="3"/>
      <c r="FHL9" s="3"/>
      <c r="FHM9" s="3"/>
      <c r="FHN9" s="3"/>
      <c r="FHO9" s="3"/>
      <c r="FHP9" s="3"/>
      <c r="FHQ9" s="3"/>
      <c r="FHR9" s="3"/>
      <c r="FHS9" s="3"/>
      <c r="FHT9" s="3"/>
      <c r="FHU9" s="3"/>
      <c r="FHV9" s="3"/>
      <c r="FHW9" s="3"/>
      <c r="FHX9" s="3"/>
      <c r="FHY9" s="3"/>
      <c r="FHZ9" s="3"/>
      <c r="FIA9" s="3"/>
      <c r="FIB9" s="3"/>
      <c r="FIC9" s="3"/>
      <c r="FID9" s="3"/>
      <c r="FIE9" s="3"/>
      <c r="FIF9" s="3"/>
      <c r="FIG9" s="3"/>
      <c r="FIH9" s="3"/>
      <c r="FII9" s="3"/>
      <c r="FIJ9" s="3"/>
      <c r="FIK9" s="3"/>
      <c r="FIL9" s="3"/>
      <c r="FIM9" s="3"/>
      <c r="FIN9" s="3"/>
      <c r="FIO9" s="3"/>
      <c r="FIP9" s="3"/>
      <c r="FIQ9" s="3"/>
      <c r="FIR9" s="3"/>
      <c r="FIS9" s="3"/>
      <c r="FIT9" s="3"/>
      <c r="FIU9" s="3"/>
      <c r="FIV9" s="3"/>
      <c r="FIW9" s="3"/>
      <c r="FIX9" s="3"/>
      <c r="FIY9" s="3"/>
      <c r="FIZ9" s="3"/>
      <c r="FJA9" s="3"/>
      <c r="FJB9" s="3"/>
      <c r="FJC9" s="3"/>
      <c r="FJD9" s="3"/>
      <c r="FJE9" s="3"/>
      <c r="FJF9" s="3"/>
      <c r="FJG9" s="3"/>
      <c r="FJH9" s="3"/>
      <c r="FJI9" s="3"/>
      <c r="FJJ9" s="3"/>
      <c r="FJK9" s="3"/>
      <c r="FJL9" s="3"/>
      <c r="FJM9" s="3"/>
      <c r="FJN9" s="3"/>
      <c r="FJO9" s="3"/>
      <c r="FJP9" s="3"/>
      <c r="FJQ9" s="3"/>
      <c r="FJR9" s="3"/>
      <c r="FJS9" s="3"/>
      <c r="FJT9" s="3"/>
      <c r="FJU9" s="3"/>
      <c r="FJV9" s="3"/>
      <c r="FJW9" s="3"/>
      <c r="FJX9" s="3"/>
      <c r="FJY9" s="3"/>
      <c r="FJZ9" s="3"/>
      <c r="FKA9" s="3"/>
      <c r="FKB9" s="3"/>
      <c r="FKC9" s="3"/>
      <c r="FKD9" s="3"/>
      <c r="FKE9" s="3"/>
      <c r="FKF9" s="3"/>
      <c r="FKG9" s="3"/>
      <c r="FKH9" s="3"/>
      <c r="FKI9" s="3"/>
      <c r="FKJ9" s="3"/>
      <c r="FKK9" s="3"/>
      <c r="FKL9" s="3"/>
      <c r="FKM9" s="3"/>
      <c r="FKN9" s="3"/>
      <c r="FKO9" s="3"/>
      <c r="FKP9" s="3"/>
      <c r="FKQ9" s="3"/>
      <c r="FKR9" s="3"/>
      <c r="FKS9" s="3"/>
      <c r="FKT9" s="3"/>
      <c r="FKU9" s="3"/>
      <c r="FKV9" s="3"/>
      <c r="FKW9" s="3"/>
      <c r="FKX9" s="3"/>
      <c r="FKY9" s="3"/>
      <c r="FKZ9" s="3"/>
      <c r="FLA9" s="3"/>
      <c r="FLB9" s="3"/>
      <c r="FLC9" s="3"/>
      <c r="FLD9" s="3"/>
      <c r="FLE9" s="3"/>
      <c r="FLF9" s="3"/>
      <c r="FLG9" s="3"/>
      <c r="FLH9" s="3"/>
      <c r="FLI9" s="3"/>
      <c r="FLJ9" s="3"/>
      <c r="FLK9" s="3"/>
      <c r="FLL9" s="3"/>
      <c r="FLM9" s="3"/>
      <c r="FLN9" s="3"/>
      <c r="FLO9" s="3"/>
      <c r="FLP9" s="3"/>
      <c r="FLQ9" s="3"/>
      <c r="FLR9" s="3"/>
      <c r="FLS9" s="3"/>
      <c r="FLT9" s="3"/>
      <c r="FLU9" s="3"/>
      <c r="FLV9" s="3"/>
      <c r="FLW9" s="3"/>
      <c r="FLX9" s="3"/>
      <c r="FLY9" s="3"/>
      <c r="FLZ9" s="3"/>
      <c r="FMA9" s="3"/>
      <c r="FMB9" s="3"/>
      <c r="FMC9" s="3"/>
      <c r="FMD9" s="3"/>
      <c r="FME9" s="3"/>
      <c r="FMF9" s="3"/>
      <c r="FMG9" s="3"/>
      <c r="FMH9" s="3"/>
      <c r="FMI9" s="3"/>
      <c r="FMJ9" s="3"/>
      <c r="FMK9" s="3"/>
      <c r="FML9" s="3"/>
      <c r="FMM9" s="3"/>
      <c r="FMN9" s="3"/>
      <c r="FMO9" s="3"/>
      <c r="FMP9" s="3"/>
      <c r="FMQ9" s="3"/>
      <c r="FMR9" s="3"/>
      <c r="FMS9" s="3"/>
      <c r="FMT9" s="3"/>
      <c r="FMU9" s="3"/>
      <c r="FMV9" s="3"/>
      <c r="FMW9" s="3"/>
      <c r="FMX9" s="3"/>
      <c r="FMY9" s="3"/>
      <c r="FMZ9" s="3"/>
      <c r="FNA9" s="3"/>
      <c r="FNB9" s="3"/>
      <c r="FNC9" s="3"/>
      <c r="FND9" s="3"/>
      <c r="FNE9" s="3"/>
      <c r="FNF9" s="3"/>
      <c r="FNG9" s="3"/>
      <c r="FNH9" s="3"/>
      <c r="FNI9" s="3"/>
      <c r="FNJ9" s="3"/>
      <c r="FNK9" s="3"/>
      <c r="FNL9" s="3"/>
      <c r="FNM9" s="3"/>
      <c r="FNN9" s="3"/>
      <c r="FNO9" s="3"/>
      <c r="FNP9" s="3"/>
      <c r="FNQ9" s="3"/>
      <c r="FNR9" s="3"/>
      <c r="FNS9" s="3"/>
      <c r="FNT9" s="3"/>
      <c r="FNU9" s="3"/>
      <c r="FNV9" s="3"/>
      <c r="FNW9" s="3"/>
      <c r="FNX9" s="3"/>
      <c r="FNY9" s="3"/>
      <c r="FNZ9" s="3"/>
      <c r="FOA9" s="3"/>
      <c r="FOB9" s="3"/>
      <c r="FOC9" s="3"/>
      <c r="FOD9" s="3"/>
      <c r="FOE9" s="3"/>
      <c r="FOF9" s="3"/>
      <c r="FOG9" s="3"/>
      <c r="FOH9" s="3"/>
      <c r="FOI9" s="3"/>
      <c r="FOJ9" s="3"/>
      <c r="FOK9" s="3"/>
      <c r="FOL9" s="3"/>
      <c r="FOM9" s="3"/>
      <c r="FON9" s="3"/>
      <c r="FOO9" s="3"/>
      <c r="FOP9" s="3"/>
      <c r="FOQ9" s="3"/>
      <c r="FOR9" s="3"/>
      <c r="FOS9" s="3"/>
      <c r="FOT9" s="3"/>
      <c r="FOU9" s="3"/>
      <c r="FOV9" s="3"/>
      <c r="FOW9" s="3"/>
      <c r="FOX9" s="3"/>
      <c r="FOY9" s="3"/>
      <c r="FOZ9" s="3"/>
      <c r="FPA9" s="3"/>
      <c r="FPB9" s="3"/>
      <c r="FPC9" s="3"/>
      <c r="FPD9" s="3"/>
      <c r="FPE9" s="3"/>
      <c r="FPF9" s="3"/>
      <c r="FPG9" s="3"/>
      <c r="FPH9" s="3"/>
      <c r="FPI9" s="3"/>
      <c r="FPJ9" s="3"/>
      <c r="FPK9" s="3"/>
      <c r="FPL9" s="3"/>
      <c r="FPM9" s="3"/>
      <c r="FPN9" s="3"/>
      <c r="FPO9" s="3"/>
      <c r="FPP9" s="3"/>
      <c r="FPQ9" s="3"/>
      <c r="FPR9" s="3"/>
      <c r="FPS9" s="3"/>
      <c r="FPT9" s="3"/>
      <c r="FPU9" s="3"/>
      <c r="FPV9" s="3"/>
      <c r="FPW9" s="3"/>
      <c r="FPX9" s="3"/>
      <c r="FPY9" s="3"/>
      <c r="FPZ9" s="3"/>
      <c r="FQA9" s="3"/>
      <c r="FQB9" s="3"/>
      <c r="FQC9" s="3"/>
      <c r="FQD9" s="3"/>
      <c r="FQE9" s="3"/>
      <c r="FQF9" s="3"/>
      <c r="FQG9" s="3"/>
      <c r="FQH9" s="3"/>
      <c r="FQI9" s="3"/>
      <c r="FQJ9" s="3"/>
      <c r="FQK9" s="3"/>
      <c r="FQL9" s="3"/>
      <c r="FQM9" s="3"/>
      <c r="FQN9" s="3"/>
      <c r="FQO9" s="3"/>
      <c r="FQP9" s="3"/>
      <c r="FQQ9" s="3"/>
      <c r="FQR9" s="3"/>
      <c r="FQS9" s="3"/>
      <c r="FQT9" s="3"/>
      <c r="FQU9" s="3"/>
      <c r="FQV9" s="3"/>
      <c r="FQW9" s="3"/>
      <c r="FQX9" s="3"/>
      <c r="FQY9" s="3"/>
      <c r="FQZ9" s="3"/>
      <c r="FRA9" s="3"/>
      <c r="FRB9" s="3"/>
      <c r="FRC9" s="3"/>
      <c r="FRD9" s="3"/>
      <c r="FRE9" s="3"/>
      <c r="FRF9" s="3"/>
      <c r="FRG9" s="3"/>
      <c r="FRH9" s="3"/>
      <c r="FRI9" s="3"/>
      <c r="FRJ9" s="3"/>
      <c r="FRK9" s="3"/>
      <c r="FRL9" s="3"/>
      <c r="FRM9" s="3"/>
      <c r="FRN9" s="3"/>
      <c r="FRO9" s="3"/>
      <c r="FRP9" s="3"/>
      <c r="FRQ9" s="3"/>
      <c r="FRR9" s="3"/>
      <c r="FRS9" s="3"/>
      <c r="FRT9" s="3"/>
      <c r="FRU9" s="3"/>
      <c r="FRV9" s="3"/>
      <c r="FRW9" s="3"/>
      <c r="FRX9" s="3"/>
      <c r="FRY9" s="3"/>
      <c r="FRZ9" s="3"/>
      <c r="FSA9" s="3"/>
      <c r="FSB9" s="3"/>
      <c r="FSC9" s="3"/>
      <c r="FSD9" s="3"/>
      <c r="FSE9" s="3"/>
      <c r="FSF9" s="3"/>
      <c r="FSG9" s="3"/>
      <c r="FSH9" s="3"/>
      <c r="FSI9" s="3"/>
      <c r="FSJ9" s="3"/>
      <c r="FSK9" s="3"/>
      <c r="FSL9" s="3"/>
      <c r="FSM9" s="3"/>
      <c r="FSN9" s="3"/>
      <c r="FSO9" s="3"/>
      <c r="FSP9" s="3"/>
      <c r="FSQ9" s="3"/>
      <c r="FSR9" s="3"/>
      <c r="FSS9" s="3"/>
      <c r="FST9" s="3"/>
      <c r="FSU9" s="3"/>
      <c r="FSV9" s="3"/>
      <c r="FSW9" s="3"/>
      <c r="FSX9" s="3"/>
      <c r="FSY9" s="3"/>
      <c r="FSZ9" s="3"/>
      <c r="FTA9" s="3"/>
      <c r="FTB9" s="3"/>
      <c r="FTC9" s="3"/>
      <c r="FTD9" s="3"/>
      <c r="FTE9" s="3"/>
      <c r="FTF9" s="3"/>
      <c r="FTG9" s="3"/>
      <c r="FTH9" s="3"/>
      <c r="FTI9" s="3"/>
      <c r="FTJ9" s="3"/>
      <c r="FTK9" s="3"/>
      <c r="FTL9" s="3"/>
      <c r="FTM9" s="3"/>
      <c r="FTN9" s="3"/>
      <c r="FTO9" s="3"/>
      <c r="FTP9" s="3"/>
      <c r="FTQ9" s="3"/>
      <c r="FTR9" s="3"/>
      <c r="FTS9" s="3"/>
      <c r="FTT9" s="3"/>
      <c r="FTU9" s="3"/>
      <c r="FTV9" s="3"/>
      <c r="FTW9" s="3"/>
      <c r="FTX9" s="3"/>
      <c r="FTY9" s="3"/>
      <c r="FTZ9" s="3"/>
      <c r="FUA9" s="3"/>
      <c r="FUB9" s="3"/>
      <c r="FUC9" s="3"/>
      <c r="FUD9" s="3"/>
      <c r="FUE9" s="3"/>
      <c r="FUF9" s="3"/>
      <c r="FUG9" s="3"/>
      <c r="FUH9" s="3"/>
      <c r="FUI9" s="3"/>
      <c r="FUJ9" s="3"/>
      <c r="FUK9" s="3"/>
      <c r="FUL9" s="3"/>
      <c r="FUM9" s="3"/>
      <c r="FUN9" s="3"/>
      <c r="FUO9" s="3"/>
      <c r="FUP9" s="3"/>
      <c r="FUQ9" s="3"/>
      <c r="FUR9" s="3"/>
      <c r="FUS9" s="3"/>
      <c r="FUT9" s="3"/>
      <c r="FUU9" s="3"/>
      <c r="FUV9" s="3"/>
      <c r="FUW9" s="3"/>
      <c r="FUX9" s="3"/>
      <c r="FUY9" s="3"/>
      <c r="FUZ9" s="3"/>
      <c r="FVA9" s="3"/>
      <c r="FVB9" s="3"/>
      <c r="FVC9" s="3"/>
      <c r="FVD9" s="3"/>
      <c r="FVE9" s="3"/>
      <c r="FVF9" s="3"/>
      <c r="FVG9" s="3"/>
      <c r="FVH9" s="3"/>
      <c r="FVI9" s="3"/>
      <c r="FVJ9" s="3"/>
      <c r="FVK9" s="3"/>
      <c r="FVL9" s="3"/>
      <c r="FVM9" s="3"/>
      <c r="FVN9" s="3"/>
      <c r="FVO9" s="3"/>
      <c r="FVP9" s="3"/>
      <c r="FVQ9" s="3"/>
      <c r="FVR9" s="3"/>
      <c r="FVS9" s="3"/>
      <c r="FVT9" s="3"/>
      <c r="FVU9" s="3"/>
      <c r="FVV9" s="3"/>
      <c r="FVW9" s="3"/>
      <c r="FVX9" s="3"/>
      <c r="FVY9" s="3"/>
      <c r="FVZ9" s="3"/>
      <c r="FWA9" s="3"/>
      <c r="FWB9" s="3"/>
      <c r="FWC9" s="3"/>
      <c r="FWD9" s="3"/>
      <c r="FWE9" s="3"/>
      <c r="FWF9" s="3"/>
      <c r="FWG9" s="3"/>
      <c r="FWH9" s="3"/>
      <c r="FWI9" s="3"/>
      <c r="FWJ9" s="3"/>
      <c r="FWK9" s="3"/>
      <c r="FWL9" s="3"/>
      <c r="FWM9" s="3"/>
      <c r="FWN9" s="3"/>
      <c r="FWO9" s="3"/>
      <c r="FWP9" s="3"/>
      <c r="FWQ9" s="3"/>
      <c r="FWR9" s="3"/>
      <c r="FWS9" s="3"/>
      <c r="FWT9" s="3"/>
      <c r="FWU9" s="3"/>
      <c r="FWV9" s="3"/>
      <c r="FWW9" s="3"/>
      <c r="FWX9" s="3"/>
      <c r="FWY9" s="3"/>
      <c r="FWZ9" s="3"/>
      <c r="FXA9" s="3"/>
      <c r="FXB9" s="3"/>
      <c r="FXC9" s="3"/>
      <c r="FXD9" s="3"/>
      <c r="FXE9" s="3"/>
      <c r="FXF9" s="3"/>
      <c r="FXG9" s="3"/>
      <c r="FXH9" s="3"/>
      <c r="FXI9" s="3"/>
      <c r="FXJ9" s="3"/>
      <c r="FXK9" s="3"/>
      <c r="FXL9" s="3"/>
      <c r="FXM9" s="3"/>
      <c r="FXN9" s="3"/>
      <c r="FXO9" s="3"/>
      <c r="FXP9" s="3"/>
      <c r="FXQ9" s="3"/>
      <c r="FXR9" s="3"/>
      <c r="FXS9" s="3"/>
      <c r="FXT9" s="3"/>
      <c r="FXU9" s="3"/>
      <c r="FXV9" s="3"/>
      <c r="FXW9" s="3"/>
      <c r="FXX9" s="3"/>
      <c r="FXY9" s="3"/>
      <c r="FXZ9" s="3"/>
      <c r="FYA9" s="3"/>
      <c r="FYB9" s="3"/>
      <c r="FYC9" s="3"/>
      <c r="FYD9" s="3"/>
      <c r="FYE9" s="3"/>
      <c r="FYF9" s="3"/>
      <c r="FYG9" s="3"/>
      <c r="FYH9" s="3"/>
      <c r="FYI9" s="3"/>
      <c r="FYJ9" s="3"/>
      <c r="FYK9" s="3"/>
      <c r="FYL9" s="3"/>
      <c r="FYM9" s="3"/>
      <c r="FYN9" s="3"/>
      <c r="FYO9" s="3"/>
      <c r="FYP9" s="3"/>
      <c r="FYQ9" s="3"/>
      <c r="FYR9" s="3"/>
      <c r="FYS9" s="3"/>
      <c r="FYT9" s="3"/>
      <c r="FYU9" s="3"/>
      <c r="FYV9" s="3"/>
      <c r="FYW9" s="3"/>
      <c r="FYX9" s="3"/>
      <c r="FYY9" s="3"/>
      <c r="FYZ9" s="3"/>
      <c r="FZA9" s="3"/>
      <c r="FZB9" s="3"/>
      <c r="FZC9" s="3"/>
      <c r="FZD9" s="3"/>
      <c r="FZE9" s="3"/>
      <c r="FZF9" s="3"/>
      <c r="FZG9" s="3"/>
      <c r="FZH9" s="3"/>
      <c r="FZI9" s="3"/>
      <c r="FZJ9" s="3"/>
      <c r="FZK9" s="3"/>
      <c r="FZL9" s="3"/>
      <c r="FZM9" s="3"/>
      <c r="FZN9" s="3"/>
      <c r="FZO9" s="3"/>
      <c r="FZP9" s="3"/>
      <c r="FZQ9" s="3"/>
      <c r="FZR9" s="3"/>
      <c r="FZS9" s="3"/>
      <c r="FZT9" s="3"/>
      <c r="FZU9" s="3"/>
      <c r="FZV9" s="3"/>
      <c r="FZW9" s="3"/>
      <c r="FZX9" s="3"/>
      <c r="FZY9" s="3"/>
      <c r="FZZ9" s="3"/>
      <c r="GAA9" s="3"/>
      <c r="GAB9" s="3"/>
      <c r="GAC9" s="3"/>
      <c r="GAD9" s="3"/>
      <c r="GAE9" s="3"/>
      <c r="GAF9" s="3"/>
      <c r="GAG9" s="3"/>
      <c r="GAH9" s="3"/>
      <c r="GAI9" s="3"/>
      <c r="GAJ9" s="3"/>
      <c r="GAK9" s="3"/>
      <c r="GAL9" s="3"/>
      <c r="GAM9" s="3"/>
      <c r="GAN9" s="3"/>
      <c r="GAO9" s="3"/>
      <c r="GAP9" s="3"/>
      <c r="GAQ9" s="3"/>
      <c r="GAR9" s="3"/>
      <c r="GAS9" s="3"/>
      <c r="GAT9" s="3"/>
      <c r="GAU9" s="3"/>
      <c r="GAV9" s="3"/>
      <c r="GAW9" s="3"/>
      <c r="GAX9" s="3"/>
      <c r="GAY9" s="3"/>
      <c r="GAZ9" s="3"/>
      <c r="GBA9" s="3"/>
      <c r="GBB9" s="3"/>
      <c r="GBC9" s="3"/>
      <c r="GBD9" s="3"/>
      <c r="GBE9" s="3"/>
      <c r="GBF9" s="3"/>
      <c r="GBG9" s="3"/>
      <c r="GBH9" s="3"/>
      <c r="GBI9" s="3"/>
      <c r="GBJ9" s="3"/>
      <c r="GBK9" s="3"/>
      <c r="GBL9" s="3"/>
      <c r="GBM9" s="3"/>
      <c r="GBN9" s="3"/>
      <c r="GBO9" s="3"/>
      <c r="GBP9" s="3"/>
      <c r="GBQ9" s="3"/>
      <c r="GBR9" s="3"/>
      <c r="GBS9" s="3"/>
      <c r="GBT9" s="3"/>
      <c r="GBU9" s="3"/>
      <c r="GBV9" s="3"/>
      <c r="GBW9" s="3"/>
      <c r="GBX9" s="3"/>
      <c r="GBY9" s="3"/>
      <c r="GBZ9" s="3"/>
      <c r="GCA9" s="3"/>
      <c r="GCB9" s="3"/>
      <c r="GCC9" s="3"/>
      <c r="GCD9" s="3"/>
      <c r="GCE9" s="3"/>
      <c r="GCF9" s="3"/>
      <c r="GCG9" s="3"/>
      <c r="GCH9" s="3"/>
      <c r="GCI9" s="3"/>
      <c r="GCJ9" s="3"/>
      <c r="GCK9" s="3"/>
      <c r="GCL9" s="3"/>
      <c r="GCM9" s="3"/>
      <c r="GCN9" s="3"/>
      <c r="GCO9" s="3"/>
      <c r="GCP9" s="3"/>
      <c r="GCQ9" s="3"/>
      <c r="GCR9" s="3"/>
      <c r="GCS9" s="3"/>
      <c r="GCT9" s="3"/>
      <c r="GCU9" s="3"/>
      <c r="GCV9" s="3"/>
      <c r="GCW9" s="3"/>
      <c r="GCX9" s="3"/>
      <c r="GCY9" s="3"/>
      <c r="GCZ9" s="3"/>
      <c r="GDA9" s="3"/>
      <c r="GDB9" s="3"/>
      <c r="GDC9" s="3"/>
      <c r="GDD9" s="3"/>
      <c r="GDE9" s="3"/>
      <c r="GDF9" s="3"/>
      <c r="GDG9" s="3"/>
      <c r="GDH9" s="3"/>
      <c r="GDI9" s="3"/>
      <c r="GDJ9" s="3"/>
      <c r="GDK9" s="3"/>
      <c r="GDL9" s="3"/>
      <c r="GDM9" s="3"/>
      <c r="GDN9" s="3"/>
      <c r="GDO9" s="3"/>
      <c r="GDP9" s="3"/>
      <c r="GDQ9" s="3"/>
      <c r="GDR9" s="3"/>
      <c r="GDS9" s="3"/>
      <c r="GDT9" s="3"/>
      <c r="GDU9" s="3"/>
      <c r="GDV9" s="3"/>
      <c r="GDW9" s="3"/>
      <c r="GDX9" s="3"/>
      <c r="GDY9" s="3"/>
      <c r="GDZ9" s="3"/>
      <c r="GEA9" s="3"/>
      <c r="GEB9" s="3"/>
      <c r="GEC9" s="3"/>
      <c r="GED9" s="3"/>
      <c r="GEE9" s="3"/>
      <c r="GEF9" s="3"/>
      <c r="GEG9" s="3"/>
      <c r="GEH9" s="3"/>
      <c r="GEI9" s="3"/>
      <c r="GEJ9" s="3"/>
      <c r="GEK9" s="3"/>
      <c r="GEL9" s="3"/>
      <c r="GEM9" s="3"/>
      <c r="GEN9" s="3"/>
      <c r="GEO9" s="3"/>
      <c r="GEP9" s="3"/>
      <c r="GEQ9" s="3"/>
      <c r="GER9" s="3"/>
      <c r="GES9" s="3"/>
      <c r="GET9" s="3"/>
      <c r="GEU9" s="3"/>
      <c r="GEV9" s="3"/>
      <c r="GEW9" s="3"/>
      <c r="GEX9" s="3"/>
      <c r="GEY9" s="3"/>
      <c r="GEZ9" s="3"/>
      <c r="GFA9" s="3"/>
      <c r="GFB9" s="3"/>
      <c r="GFC9" s="3"/>
      <c r="GFD9" s="3"/>
      <c r="GFE9" s="3"/>
      <c r="GFF9" s="3"/>
      <c r="GFG9" s="3"/>
      <c r="GFH9" s="3"/>
      <c r="GFI9" s="3"/>
      <c r="GFJ9" s="3"/>
      <c r="GFK9" s="3"/>
      <c r="GFL9" s="3"/>
      <c r="GFM9" s="3"/>
      <c r="GFN9" s="3"/>
      <c r="GFO9" s="3"/>
      <c r="GFP9" s="3"/>
      <c r="GFQ9" s="3"/>
      <c r="GFR9" s="3"/>
      <c r="GFS9" s="3"/>
      <c r="GFT9" s="3"/>
      <c r="GFU9" s="3"/>
      <c r="GFV9" s="3"/>
      <c r="GFW9" s="3"/>
      <c r="GFX9" s="3"/>
      <c r="GFY9" s="3"/>
      <c r="GFZ9" s="3"/>
      <c r="GGA9" s="3"/>
      <c r="GGB9" s="3"/>
      <c r="GGC9" s="3"/>
      <c r="GGD9" s="3"/>
      <c r="GGE9" s="3"/>
      <c r="GGF9" s="3"/>
      <c r="GGG9" s="3"/>
      <c r="GGH9" s="3"/>
      <c r="GGI9" s="3"/>
      <c r="GGJ9" s="3"/>
      <c r="GGK9" s="3"/>
      <c r="GGL9" s="3"/>
      <c r="GGM9" s="3"/>
      <c r="GGN9" s="3"/>
      <c r="GGO9" s="3"/>
      <c r="GGP9" s="3"/>
      <c r="GGQ9" s="3"/>
      <c r="GGR9" s="3"/>
      <c r="GGS9" s="3"/>
      <c r="GGT9" s="3"/>
      <c r="GGU9" s="3"/>
      <c r="GGV9" s="3"/>
      <c r="GGW9" s="3"/>
      <c r="GGX9" s="3"/>
      <c r="GGY9" s="3"/>
      <c r="GGZ9" s="3"/>
      <c r="GHA9" s="3"/>
      <c r="GHB9" s="3"/>
      <c r="GHC9" s="3"/>
      <c r="GHD9" s="3"/>
      <c r="GHE9" s="3"/>
      <c r="GHF9" s="3"/>
      <c r="GHG9" s="3"/>
      <c r="GHH9" s="3"/>
      <c r="GHI9" s="3"/>
      <c r="GHJ9" s="3"/>
      <c r="GHK9" s="3"/>
      <c r="GHL9" s="3"/>
      <c r="GHM9" s="3"/>
      <c r="GHN9" s="3"/>
      <c r="GHO9" s="3"/>
      <c r="GHP9" s="3"/>
      <c r="GHQ9" s="3"/>
      <c r="GHR9" s="3"/>
      <c r="GHS9" s="3"/>
      <c r="GHT9" s="3"/>
      <c r="GHU9" s="3"/>
      <c r="GHV9" s="3"/>
      <c r="GHW9" s="3"/>
      <c r="GHX9" s="3"/>
      <c r="GHY9" s="3"/>
      <c r="GHZ9" s="3"/>
      <c r="GIA9" s="3"/>
      <c r="GIB9" s="3"/>
      <c r="GIC9" s="3"/>
      <c r="GID9" s="3"/>
      <c r="GIE9" s="3"/>
      <c r="GIF9" s="3"/>
      <c r="GIG9" s="3"/>
      <c r="GIH9" s="3"/>
      <c r="GII9" s="3"/>
      <c r="GIJ9" s="3"/>
      <c r="GIK9" s="3"/>
      <c r="GIL9" s="3"/>
      <c r="GIM9" s="3"/>
      <c r="GIN9" s="3"/>
      <c r="GIO9" s="3"/>
      <c r="GIP9" s="3"/>
      <c r="GIQ9" s="3"/>
      <c r="GIR9" s="3"/>
      <c r="GIS9" s="3"/>
      <c r="GIT9" s="3"/>
      <c r="GIU9" s="3"/>
      <c r="GIV9" s="3"/>
      <c r="GIW9" s="3"/>
      <c r="GIX9" s="3"/>
      <c r="GIY9" s="3"/>
      <c r="GIZ9" s="3"/>
      <c r="GJA9" s="3"/>
      <c r="GJB9" s="3"/>
      <c r="GJC9" s="3"/>
      <c r="GJD9" s="3"/>
      <c r="GJE9" s="3"/>
      <c r="GJF9" s="3"/>
      <c r="GJG9" s="3"/>
      <c r="GJH9" s="3"/>
      <c r="GJI9" s="3"/>
      <c r="GJJ9" s="3"/>
      <c r="GJK9" s="3"/>
      <c r="GJL9" s="3"/>
      <c r="GJM9" s="3"/>
      <c r="GJN9" s="3"/>
      <c r="GJO9" s="3"/>
      <c r="GJP9" s="3"/>
      <c r="GJQ9" s="3"/>
      <c r="GJR9" s="3"/>
      <c r="GJS9" s="3"/>
      <c r="GJT9" s="3"/>
      <c r="GJU9" s="3"/>
      <c r="GJV9" s="3"/>
      <c r="GJW9" s="3"/>
      <c r="GJX9" s="3"/>
      <c r="GJY9" s="3"/>
      <c r="GJZ9" s="3"/>
      <c r="GKA9" s="3"/>
      <c r="GKB9" s="3"/>
      <c r="GKC9" s="3"/>
      <c r="GKD9" s="3"/>
      <c r="GKE9" s="3"/>
      <c r="GKF9" s="3"/>
      <c r="GKG9" s="3"/>
      <c r="GKH9" s="3"/>
      <c r="GKI9" s="3"/>
      <c r="GKJ9" s="3"/>
      <c r="GKK9" s="3"/>
      <c r="GKL9" s="3"/>
      <c r="GKM9" s="3"/>
      <c r="GKN9" s="3"/>
      <c r="GKO9" s="3"/>
      <c r="GKP9" s="3"/>
      <c r="GKQ9" s="3"/>
      <c r="GKR9" s="3"/>
      <c r="GKS9" s="3"/>
      <c r="GKT9" s="3"/>
      <c r="GKU9" s="3"/>
      <c r="GKV9" s="3"/>
      <c r="GKW9" s="3"/>
      <c r="GKX9" s="3"/>
      <c r="GKY9" s="3"/>
      <c r="GKZ9" s="3"/>
      <c r="GLA9" s="3"/>
      <c r="GLB9" s="3"/>
      <c r="GLC9" s="3"/>
      <c r="GLD9" s="3"/>
      <c r="GLE9" s="3"/>
      <c r="GLF9" s="3"/>
      <c r="GLG9" s="3"/>
      <c r="GLH9" s="3"/>
      <c r="GLI9" s="3"/>
      <c r="GLJ9" s="3"/>
      <c r="GLK9" s="3"/>
      <c r="GLL9" s="3"/>
      <c r="GLM9" s="3"/>
      <c r="GLN9" s="3"/>
      <c r="GLO9" s="3"/>
      <c r="GLP9" s="3"/>
      <c r="GLQ9" s="3"/>
      <c r="GLR9" s="3"/>
      <c r="GLS9" s="3"/>
      <c r="GLT9" s="3"/>
      <c r="GLU9" s="3"/>
      <c r="GLV9" s="3"/>
      <c r="GLW9" s="3"/>
      <c r="GLX9" s="3"/>
      <c r="GLY9" s="3"/>
      <c r="GLZ9" s="3"/>
      <c r="GMA9" s="3"/>
      <c r="GMB9" s="3"/>
      <c r="GMC9" s="3"/>
      <c r="GMD9" s="3"/>
      <c r="GME9" s="3"/>
      <c r="GMF9" s="3"/>
      <c r="GMG9" s="3"/>
      <c r="GMH9" s="3"/>
      <c r="GMI9" s="3"/>
      <c r="GMJ9" s="3"/>
      <c r="GMK9" s="3"/>
      <c r="GML9" s="3"/>
      <c r="GMM9" s="3"/>
      <c r="GMN9" s="3"/>
      <c r="GMO9" s="3"/>
      <c r="GMP9" s="3"/>
      <c r="GMQ9" s="3"/>
      <c r="GMR9" s="3"/>
      <c r="GMS9" s="3"/>
      <c r="GMT9" s="3"/>
      <c r="GMU9" s="3"/>
      <c r="GMV9" s="3"/>
      <c r="GMW9" s="3"/>
      <c r="GMX9" s="3"/>
      <c r="GMY9" s="3"/>
      <c r="GMZ9" s="3"/>
      <c r="GNA9" s="3"/>
      <c r="GNB9" s="3"/>
      <c r="GNC9" s="3"/>
      <c r="GND9" s="3"/>
      <c r="GNE9" s="3"/>
      <c r="GNF9" s="3"/>
      <c r="GNG9" s="3"/>
      <c r="GNH9" s="3"/>
      <c r="GNI9" s="3"/>
      <c r="GNJ9" s="3"/>
      <c r="GNK9" s="3"/>
      <c r="GNL9" s="3"/>
      <c r="GNM9" s="3"/>
      <c r="GNN9" s="3"/>
      <c r="GNO9" s="3"/>
      <c r="GNP9" s="3"/>
      <c r="GNQ9" s="3"/>
      <c r="GNR9" s="3"/>
      <c r="GNS9" s="3"/>
      <c r="GNT9" s="3"/>
      <c r="GNU9" s="3"/>
      <c r="GNV9" s="3"/>
      <c r="GNW9" s="3"/>
      <c r="GNX9" s="3"/>
      <c r="GNY9" s="3"/>
      <c r="GNZ9" s="3"/>
      <c r="GOA9" s="3"/>
      <c r="GOB9" s="3"/>
      <c r="GOC9" s="3"/>
      <c r="GOD9" s="3"/>
      <c r="GOE9" s="3"/>
      <c r="GOF9" s="3"/>
      <c r="GOG9" s="3"/>
      <c r="GOH9" s="3"/>
      <c r="GOI9" s="3"/>
      <c r="GOJ9" s="3"/>
      <c r="GOK9" s="3"/>
      <c r="GOL9" s="3"/>
      <c r="GOM9" s="3"/>
      <c r="GON9" s="3"/>
      <c r="GOO9" s="3"/>
      <c r="GOP9" s="3"/>
      <c r="GOQ9" s="3"/>
      <c r="GOR9" s="3"/>
      <c r="GOS9" s="3"/>
      <c r="GOT9" s="3"/>
      <c r="GOU9" s="3"/>
      <c r="GOV9" s="3"/>
      <c r="GOW9" s="3"/>
      <c r="GOX9" s="3"/>
      <c r="GOY9" s="3"/>
      <c r="GOZ9" s="3"/>
      <c r="GPA9" s="3"/>
      <c r="GPB9" s="3"/>
      <c r="GPC9" s="3"/>
      <c r="GPD9" s="3"/>
      <c r="GPE9" s="3"/>
      <c r="GPF9" s="3"/>
      <c r="GPG9" s="3"/>
      <c r="GPH9" s="3"/>
      <c r="GPI9" s="3"/>
      <c r="GPJ9" s="3"/>
      <c r="GPK9" s="3"/>
      <c r="GPL9" s="3"/>
      <c r="GPM9" s="3"/>
      <c r="GPN9" s="3"/>
      <c r="GPO9" s="3"/>
      <c r="GPP9" s="3"/>
      <c r="GPQ9" s="3"/>
      <c r="GPR9" s="3"/>
      <c r="GPS9" s="3"/>
      <c r="GPT9" s="3"/>
      <c r="GPU9" s="3"/>
      <c r="GPV9" s="3"/>
      <c r="GPW9" s="3"/>
      <c r="GPX9" s="3"/>
      <c r="GPY9" s="3"/>
      <c r="GPZ9" s="3"/>
      <c r="GQA9" s="3"/>
      <c r="GQB9" s="3"/>
      <c r="GQC9" s="3"/>
      <c r="GQD9" s="3"/>
      <c r="GQE9" s="3"/>
      <c r="GQF9" s="3"/>
      <c r="GQG9" s="3"/>
      <c r="GQH9" s="3"/>
      <c r="GQI9" s="3"/>
      <c r="GQJ9" s="3"/>
      <c r="GQK9" s="3"/>
      <c r="GQL9" s="3"/>
      <c r="GQM9" s="3"/>
      <c r="GQN9" s="3"/>
      <c r="GQO9" s="3"/>
      <c r="GQP9" s="3"/>
      <c r="GQQ9" s="3"/>
      <c r="GQR9" s="3"/>
      <c r="GQS9" s="3"/>
      <c r="GQT9" s="3"/>
      <c r="GQU9" s="3"/>
      <c r="GQV9" s="3"/>
      <c r="GQW9" s="3"/>
      <c r="GQX9" s="3"/>
      <c r="GQY9" s="3"/>
      <c r="GQZ9" s="3"/>
      <c r="GRA9" s="3"/>
      <c r="GRB9" s="3"/>
      <c r="GRC9" s="3"/>
      <c r="GRD9" s="3"/>
      <c r="GRE9" s="3"/>
      <c r="GRF9" s="3"/>
      <c r="GRG9" s="3"/>
      <c r="GRH9" s="3"/>
      <c r="GRI9" s="3"/>
      <c r="GRJ9" s="3"/>
      <c r="GRK9" s="3"/>
      <c r="GRL9" s="3"/>
      <c r="GRM9" s="3"/>
      <c r="GRN9" s="3"/>
      <c r="GRO9" s="3"/>
      <c r="GRP9" s="3"/>
      <c r="GRQ9" s="3"/>
      <c r="GRR9" s="3"/>
      <c r="GRS9" s="3"/>
      <c r="GRT9" s="3"/>
      <c r="GRU9" s="3"/>
      <c r="GRV9" s="3"/>
      <c r="GRW9" s="3"/>
      <c r="GRX9" s="3"/>
      <c r="GRY9" s="3"/>
      <c r="GRZ9" s="3"/>
      <c r="GSA9" s="3"/>
      <c r="GSB9" s="3"/>
      <c r="GSC9" s="3"/>
      <c r="GSD9" s="3"/>
      <c r="GSE9" s="3"/>
      <c r="GSF9" s="3"/>
      <c r="GSG9" s="3"/>
      <c r="GSH9" s="3"/>
      <c r="GSI9" s="3"/>
      <c r="GSJ9" s="3"/>
      <c r="GSK9" s="3"/>
      <c r="GSL9" s="3"/>
      <c r="GSM9" s="3"/>
      <c r="GSN9" s="3"/>
      <c r="GSO9" s="3"/>
      <c r="GSP9" s="3"/>
      <c r="GSQ9" s="3"/>
      <c r="GSR9" s="3"/>
      <c r="GSS9" s="3"/>
      <c r="GST9" s="3"/>
      <c r="GSU9" s="3"/>
      <c r="GSV9" s="3"/>
      <c r="GSW9" s="3"/>
      <c r="GSX9" s="3"/>
      <c r="GSY9" s="3"/>
      <c r="GSZ9" s="3"/>
      <c r="GTA9" s="3"/>
      <c r="GTB9" s="3"/>
      <c r="GTC9" s="3"/>
      <c r="GTD9" s="3"/>
      <c r="GTE9" s="3"/>
      <c r="GTF9" s="3"/>
      <c r="GTG9" s="3"/>
      <c r="GTH9" s="3"/>
      <c r="GTI9" s="3"/>
      <c r="GTJ9" s="3"/>
      <c r="GTK9" s="3"/>
      <c r="GTL9" s="3"/>
      <c r="GTM9" s="3"/>
      <c r="GTN9" s="3"/>
      <c r="GTO9" s="3"/>
      <c r="GTP9" s="3"/>
      <c r="GTQ9" s="3"/>
      <c r="GTR9" s="3"/>
      <c r="GTS9" s="3"/>
      <c r="GTT9" s="3"/>
      <c r="GTU9" s="3"/>
      <c r="GTV9" s="3"/>
      <c r="GTW9" s="3"/>
      <c r="GTX9" s="3"/>
      <c r="GTY9" s="3"/>
      <c r="GTZ9" s="3"/>
      <c r="GUA9" s="3"/>
      <c r="GUB9" s="3"/>
      <c r="GUC9" s="3"/>
      <c r="GUD9" s="3"/>
      <c r="GUE9" s="3"/>
      <c r="GUF9" s="3"/>
      <c r="GUG9" s="3"/>
      <c r="GUH9" s="3"/>
      <c r="GUI9" s="3"/>
      <c r="GUJ9" s="3"/>
      <c r="GUK9" s="3"/>
      <c r="GUL9" s="3"/>
      <c r="GUM9" s="3"/>
      <c r="GUN9" s="3"/>
      <c r="GUO9" s="3"/>
      <c r="GUP9" s="3"/>
      <c r="GUQ9" s="3"/>
      <c r="GUR9" s="3"/>
      <c r="GUS9" s="3"/>
      <c r="GUT9" s="3"/>
      <c r="GUU9" s="3"/>
      <c r="GUV9" s="3"/>
      <c r="GUW9" s="3"/>
      <c r="GUX9" s="3"/>
      <c r="GUY9" s="3"/>
      <c r="GUZ9" s="3"/>
      <c r="GVA9" s="3"/>
      <c r="GVB9" s="3"/>
      <c r="GVC9" s="3"/>
      <c r="GVD9" s="3"/>
      <c r="GVE9" s="3"/>
      <c r="GVF9" s="3"/>
      <c r="GVG9" s="3"/>
      <c r="GVH9" s="3"/>
      <c r="GVI9" s="3"/>
      <c r="GVJ9" s="3"/>
      <c r="GVK9" s="3"/>
      <c r="GVL9" s="3"/>
      <c r="GVM9" s="3"/>
      <c r="GVN9" s="3"/>
      <c r="GVO9" s="3"/>
      <c r="GVP9" s="3"/>
      <c r="GVQ9" s="3"/>
      <c r="GVR9" s="3"/>
      <c r="GVS9" s="3"/>
      <c r="GVT9" s="3"/>
      <c r="GVU9" s="3"/>
      <c r="GVV9" s="3"/>
      <c r="GVW9" s="3"/>
      <c r="GVX9" s="3"/>
      <c r="GVY9" s="3"/>
      <c r="GVZ9" s="3"/>
      <c r="GWA9" s="3"/>
      <c r="GWB9" s="3"/>
      <c r="GWC9" s="3"/>
      <c r="GWD9" s="3"/>
      <c r="GWE9" s="3"/>
      <c r="GWF9" s="3"/>
      <c r="GWG9" s="3"/>
      <c r="GWH9" s="3"/>
      <c r="GWI9" s="3"/>
      <c r="GWJ9" s="3"/>
      <c r="GWK9" s="3"/>
      <c r="GWL9" s="3"/>
      <c r="GWM9" s="3"/>
      <c r="GWN9" s="3"/>
      <c r="GWO9" s="3"/>
      <c r="GWP9" s="3"/>
      <c r="GWQ9" s="3"/>
      <c r="GWR9" s="3"/>
      <c r="GWS9" s="3"/>
      <c r="GWT9" s="3"/>
      <c r="GWU9" s="3"/>
      <c r="GWV9" s="3"/>
      <c r="GWW9" s="3"/>
      <c r="GWX9" s="3"/>
      <c r="GWY9" s="3"/>
      <c r="GWZ9" s="3"/>
      <c r="GXA9" s="3"/>
      <c r="GXB9" s="3"/>
      <c r="GXC9" s="3"/>
      <c r="GXD9" s="3"/>
      <c r="GXE9" s="3"/>
      <c r="GXF9" s="3"/>
      <c r="GXG9" s="3"/>
      <c r="GXH9" s="3"/>
      <c r="GXI9" s="3"/>
      <c r="GXJ9" s="3"/>
      <c r="GXK9" s="3"/>
      <c r="GXL9" s="3"/>
      <c r="GXM9" s="3"/>
      <c r="GXN9" s="3"/>
      <c r="GXO9" s="3"/>
      <c r="GXP9" s="3"/>
      <c r="GXQ9" s="3"/>
      <c r="GXR9" s="3"/>
      <c r="GXS9" s="3"/>
      <c r="GXT9" s="3"/>
      <c r="GXU9" s="3"/>
      <c r="GXV9" s="3"/>
      <c r="GXW9" s="3"/>
      <c r="GXX9" s="3"/>
      <c r="GXY9" s="3"/>
      <c r="GXZ9" s="3"/>
      <c r="GYA9" s="3"/>
      <c r="GYB9" s="3"/>
      <c r="GYC9" s="3"/>
      <c r="GYD9" s="3"/>
      <c r="GYE9" s="3"/>
      <c r="GYF9" s="3"/>
      <c r="GYG9" s="3"/>
      <c r="GYH9" s="3"/>
      <c r="GYI9" s="3"/>
      <c r="GYJ9" s="3"/>
      <c r="GYK9" s="3"/>
      <c r="GYL9" s="3"/>
      <c r="GYM9" s="3"/>
      <c r="GYN9" s="3"/>
      <c r="GYO9" s="3"/>
      <c r="GYP9" s="3"/>
      <c r="GYQ9" s="3"/>
      <c r="GYR9" s="3"/>
      <c r="GYS9" s="3"/>
      <c r="GYT9" s="3"/>
      <c r="GYU9" s="3"/>
      <c r="GYV9" s="3"/>
      <c r="GYW9" s="3"/>
      <c r="GYX9" s="3"/>
      <c r="GYY9" s="3"/>
      <c r="GYZ9" s="3"/>
      <c r="GZA9" s="3"/>
      <c r="GZB9" s="3"/>
      <c r="GZC9" s="3"/>
      <c r="GZD9" s="3"/>
      <c r="GZE9" s="3"/>
      <c r="GZF9" s="3"/>
      <c r="GZG9" s="3"/>
      <c r="GZH9" s="3"/>
      <c r="GZI9" s="3"/>
      <c r="GZJ9" s="3"/>
      <c r="GZK9" s="3"/>
      <c r="GZL9" s="3"/>
      <c r="GZM9" s="3"/>
      <c r="GZN9" s="3"/>
      <c r="GZO9" s="3"/>
      <c r="GZP9" s="3"/>
      <c r="GZQ9" s="3"/>
      <c r="GZR9" s="3"/>
      <c r="GZS9" s="3"/>
      <c r="GZT9" s="3"/>
      <c r="GZU9" s="3"/>
      <c r="GZV9" s="3"/>
      <c r="GZW9" s="3"/>
      <c r="GZX9" s="3"/>
      <c r="GZY9" s="3"/>
      <c r="GZZ9" s="3"/>
      <c r="HAA9" s="3"/>
      <c r="HAB9" s="3"/>
      <c r="HAC9" s="3"/>
      <c r="HAD9" s="3"/>
      <c r="HAE9" s="3"/>
      <c r="HAF9" s="3"/>
      <c r="HAG9" s="3"/>
      <c r="HAH9" s="3"/>
      <c r="HAI9" s="3"/>
      <c r="HAJ9" s="3"/>
      <c r="HAK9" s="3"/>
      <c r="HAL9" s="3"/>
      <c r="HAM9" s="3"/>
      <c r="HAN9" s="3"/>
      <c r="HAO9" s="3"/>
      <c r="HAP9" s="3"/>
      <c r="HAQ9" s="3"/>
      <c r="HAR9" s="3"/>
      <c r="HAS9" s="3"/>
      <c r="HAT9" s="3"/>
      <c r="HAU9" s="3"/>
      <c r="HAV9" s="3"/>
      <c r="HAW9" s="3"/>
      <c r="HAX9" s="3"/>
      <c r="HAY9" s="3"/>
      <c r="HAZ9" s="3"/>
      <c r="HBA9" s="3"/>
      <c r="HBB9" s="3"/>
      <c r="HBC9" s="3"/>
      <c r="HBD9" s="3"/>
      <c r="HBE9" s="3"/>
      <c r="HBF9" s="3"/>
      <c r="HBG9" s="3"/>
      <c r="HBH9" s="3"/>
      <c r="HBI9" s="3"/>
      <c r="HBJ9" s="3"/>
      <c r="HBK9" s="3"/>
      <c r="HBL9" s="3"/>
      <c r="HBM9" s="3"/>
      <c r="HBN9" s="3"/>
      <c r="HBO9" s="3"/>
      <c r="HBP9" s="3"/>
      <c r="HBQ9" s="3"/>
      <c r="HBR9" s="3"/>
      <c r="HBS9" s="3"/>
      <c r="HBT9" s="3"/>
      <c r="HBU9" s="3"/>
      <c r="HBV9" s="3"/>
      <c r="HBW9" s="3"/>
      <c r="HBX9" s="3"/>
      <c r="HBY9" s="3"/>
      <c r="HBZ9" s="3"/>
      <c r="HCA9" s="3"/>
      <c r="HCB9" s="3"/>
      <c r="HCC9" s="3"/>
      <c r="HCD9" s="3"/>
      <c r="HCE9" s="3"/>
      <c r="HCF9" s="3"/>
      <c r="HCG9" s="3"/>
      <c r="HCH9" s="3"/>
      <c r="HCI9" s="3"/>
      <c r="HCJ9" s="3"/>
      <c r="HCK9" s="3"/>
      <c r="HCL9" s="3"/>
      <c r="HCM9" s="3"/>
      <c r="HCN9" s="3"/>
      <c r="HCO9" s="3"/>
      <c r="HCP9" s="3"/>
      <c r="HCQ9" s="3"/>
      <c r="HCR9" s="3"/>
      <c r="HCS9" s="3"/>
      <c r="HCT9" s="3"/>
      <c r="HCU9" s="3"/>
      <c r="HCV9" s="3"/>
      <c r="HCW9" s="3"/>
      <c r="HCX9" s="3"/>
      <c r="HCY9" s="3"/>
      <c r="HCZ9" s="3"/>
      <c r="HDA9" s="3"/>
      <c r="HDB9" s="3"/>
      <c r="HDC9" s="3"/>
      <c r="HDD9" s="3"/>
      <c r="HDE9" s="3"/>
      <c r="HDF9" s="3"/>
      <c r="HDG9" s="3"/>
      <c r="HDH9" s="3"/>
      <c r="HDI9" s="3"/>
      <c r="HDJ9" s="3"/>
      <c r="HDK9" s="3"/>
      <c r="HDL9" s="3"/>
      <c r="HDM9" s="3"/>
      <c r="HDN9" s="3"/>
      <c r="HDO9" s="3"/>
      <c r="HDP9" s="3"/>
      <c r="HDQ9" s="3"/>
      <c r="HDR9" s="3"/>
      <c r="HDS9" s="3"/>
      <c r="HDT9" s="3"/>
      <c r="HDU9" s="3"/>
      <c r="HDV9" s="3"/>
      <c r="HDW9" s="3"/>
      <c r="HDX9" s="3"/>
      <c r="HDY9" s="3"/>
      <c r="HDZ9" s="3"/>
      <c r="HEA9" s="3"/>
      <c r="HEB9" s="3"/>
      <c r="HEC9" s="3"/>
      <c r="HED9" s="3"/>
      <c r="HEE9" s="3"/>
      <c r="HEF9" s="3"/>
      <c r="HEG9" s="3"/>
      <c r="HEH9" s="3"/>
      <c r="HEI9" s="3"/>
      <c r="HEJ9" s="3"/>
      <c r="HEK9" s="3"/>
      <c r="HEL9" s="3"/>
      <c r="HEM9" s="3"/>
      <c r="HEN9" s="3"/>
      <c r="HEO9" s="3"/>
      <c r="HEP9" s="3"/>
      <c r="HEQ9" s="3"/>
      <c r="HER9" s="3"/>
      <c r="HES9" s="3"/>
      <c r="HET9" s="3"/>
      <c r="HEU9" s="3"/>
      <c r="HEV9" s="3"/>
      <c r="HEW9" s="3"/>
      <c r="HEX9" s="3"/>
      <c r="HEY9" s="3"/>
      <c r="HEZ9" s="3"/>
      <c r="HFA9" s="3"/>
      <c r="HFB9" s="3"/>
      <c r="HFC9" s="3"/>
      <c r="HFD9" s="3"/>
      <c r="HFE9" s="3"/>
      <c r="HFF9" s="3"/>
      <c r="HFG9" s="3"/>
      <c r="HFH9" s="3"/>
      <c r="HFI9" s="3"/>
      <c r="HFJ9" s="3"/>
      <c r="HFK9" s="3"/>
      <c r="HFL9" s="3"/>
      <c r="HFM9" s="3"/>
      <c r="HFN9" s="3"/>
      <c r="HFO9" s="3"/>
      <c r="HFP9" s="3"/>
      <c r="HFQ9" s="3"/>
      <c r="HFR9" s="3"/>
      <c r="HFS9" s="3"/>
      <c r="HFT9" s="3"/>
      <c r="HFU9" s="3"/>
      <c r="HFV9" s="3"/>
      <c r="HFW9" s="3"/>
      <c r="HFX9" s="3"/>
      <c r="HFY9" s="3"/>
      <c r="HFZ9" s="3"/>
      <c r="HGA9" s="3"/>
      <c r="HGB9" s="3"/>
      <c r="HGC9" s="3"/>
      <c r="HGD9" s="3"/>
      <c r="HGE9" s="3"/>
      <c r="HGF9" s="3"/>
      <c r="HGG9" s="3"/>
      <c r="HGH9" s="3"/>
      <c r="HGI9" s="3"/>
      <c r="HGJ9" s="3"/>
      <c r="HGK9" s="3"/>
      <c r="HGL9" s="3"/>
      <c r="HGM9" s="3"/>
      <c r="HGN9" s="3"/>
      <c r="HGO9" s="3"/>
      <c r="HGP9" s="3"/>
      <c r="HGQ9" s="3"/>
      <c r="HGR9" s="3"/>
      <c r="HGS9" s="3"/>
      <c r="HGT9" s="3"/>
      <c r="HGU9" s="3"/>
      <c r="HGV9" s="3"/>
      <c r="HGW9" s="3"/>
      <c r="HGX9" s="3"/>
      <c r="HGY9" s="3"/>
      <c r="HGZ9" s="3"/>
      <c r="HHA9" s="3"/>
      <c r="HHB9" s="3"/>
      <c r="HHC9" s="3"/>
      <c r="HHD9" s="3"/>
      <c r="HHE9" s="3"/>
      <c r="HHF9" s="3"/>
      <c r="HHG9" s="3"/>
      <c r="HHH9" s="3"/>
      <c r="HHI9" s="3"/>
      <c r="HHJ9" s="3"/>
      <c r="HHK9" s="3"/>
      <c r="HHL9" s="3"/>
      <c r="HHM9" s="3"/>
      <c r="HHN9" s="3"/>
      <c r="HHO9" s="3"/>
      <c r="HHP9" s="3"/>
      <c r="HHQ9" s="3"/>
      <c r="HHR9" s="3"/>
      <c r="HHS9" s="3"/>
      <c r="HHT9" s="3"/>
      <c r="HHU9" s="3"/>
      <c r="HHV9" s="3"/>
      <c r="HHW9" s="3"/>
      <c r="HHX9" s="3"/>
      <c r="HHY9" s="3"/>
      <c r="HHZ9" s="3"/>
      <c r="HIA9" s="3"/>
      <c r="HIB9" s="3"/>
      <c r="HIC9" s="3"/>
      <c r="HID9" s="3"/>
      <c r="HIE9" s="3"/>
      <c r="HIF9" s="3"/>
      <c r="HIG9" s="3"/>
      <c r="HIH9" s="3"/>
      <c r="HII9" s="3"/>
      <c r="HIJ9" s="3"/>
      <c r="HIK9" s="3"/>
      <c r="HIL9" s="3"/>
      <c r="HIM9" s="3"/>
      <c r="HIN9" s="3"/>
      <c r="HIO9" s="3"/>
      <c r="HIP9" s="3"/>
      <c r="HIQ9" s="3"/>
      <c r="HIR9" s="3"/>
      <c r="HIS9" s="3"/>
      <c r="HIT9" s="3"/>
      <c r="HIU9" s="3"/>
      <c r="HIV9" s="3"/>
      <c r="HIW9" s="3"/>
      <c r="HIX9" s="3"/>
      <c r="HIY9" s="3"/>
      <c r="HIZ9" s="3"/>
      <c r="HJA9" s="3"/>
      <c r="HJB9" s="3"/>
      <c r="HJC9" s="3"/>
      <c r="HJD9" s="3"/>
      <c r="HJE9" s="3"/>
      <c r="HJF9" s="3"/>
      <c r="HJG9" s="3"/>
      <c r="HJH9" s="3"/>
      <c r="HJI9" s="3"/>
      <c r="HJJ9" s="3"/>
      <c r="HJK9" s="3"/>
      <c r="HJL9" s="3"/>
      <c r="HJM9" s="3"/>
      <c r="HJN9" s="3"/>
      <c r="HJO9" s="3"/>
      <c r="HJP9" s="3"/>
      <c r="HJQ9" s="3"/>
      <c r="HJR9" s="3"/>
      <c r="HJS9" s="3"/>
      <c r="HJT9" s="3"/>
      <c r="HJU9" s="3"/>
      <c r="HJV9" s="3"/>
      <c r="HJW9" s="3"/>
      <c r="HJX9" s="3"/>
      <c r="HJY9" s="3"/>
      <c r="HJZ9" s="3"/>
      <c r="HKA9" s="3"/>
      <c r="HKB9" s="3"/>
      <c r="HKC9" s="3"/>
      <c r="HKD9" s="3"/>
      <c r="HKE9" s="3"/>
      <c r="HKF9" s="3"/>
      <c r="HKG9" s="3"/>
      <c r="HKH9" s="3"/>
      <c r="HKI9" s="3"/>
      <c r="HKJ9" s="3"/>
      <c r="HKK9" s="3"/>
      <c r="HKL9" s="3"/>
      <c r="HKM9" s="3"/>
      <c r="HKN9" s="3"/>
      <c r="HKO9" s="3"/>
      <c r="HKP9" s="3"/>
      <c r="HKQ9" s="3"/>
      <c r="HKR9" s="3"/>
      <c r="HKS9" s="3"/>
      <c r="HKT9" s="3"/>
      <c r="HKU9" s="3"/>
      <c r="HKV9" s="3"/>
      <c r="HKW9" s="3"/>
      <c r="HKX9" s="3"/>
      <c r="HKY9" s="3"/>
      <c r="HKZ9" s="3"/>
      <c r="HLA9" s="3"/>
      <c r="HLB9" s="3"/>
      <c r="HLC9" s="3"/>
      <c r="HLD9" s="3"/>
      <c r="HLE9" s="3"/>
      <c r="HLF9" s="3"/>
      <c r="HLG9" s="3"/>
      <c r="HLH9" s="3"/>
      <c r="HLI9" s="3"/>
      <c r="HLJ9" s="3"/>
      <c r="HLK9" s="3"/>
      <c r="HLL9" s="3"/>
      <c r="HLM9" s="3"/>
      <c r="HLN9" s="3"/>
      <c r="HLO9" s="3"/>
      <c r="HLP9" s="3"/>
      <c r="HLQ9" s="3"/>
      <c r="HLR9" s="3"/>
      <c r="HLS9" s="3"/>
      <c r="HLT9" s="3"/>
      <c r="HLU9" s="3"/>
      <c r="HLV9" s="3"/>
      <c r="HLW9" s="3"/>
      <c r="HLX9" s="3"/>
      <c r="HLY9" s="3"/>
      <c r="HLZ9" s="3"/>
      <c r="HMA9" s="3"/>
      <c r="HMB9" s="3"/>
      <c r="HMC9" s="3"/>
      <c r="HMD9" s="3"/>
      <c r="HME9" s="3"/>
      <c r="HMF9" s="3"/>
      <c r="HMG9" s="3"/>
      <c r="HMH9" s="3"/>
      <c r="HMI9" s="3"/>
      <c r="HMJ9" s="3"/>
      <c r="HMK9" s="3"/>
      <c r="HML9" s="3"/>
      <c r="HMM9" s="3"/>
      <c r="HMN9" s="3"/>
      <c r="HMO9" s="3"/>
      <c r="HMP9" s="3"/>
      <c r="HMQ9" s="3"/>
      <c r="HMR9" s="3"/>
      <c r="HMS9" s="3"/>
      <c r="HMT9" s="3"/>
      <c r="HMU9" s="3"/>
      <c r="HMV9" s="3"/>
      <c r="HMW9" s="3"/>
      <c r="HMX9" s="3"/>
      <c r="HMY9" s="3"/>
      <c r="HMZ9" s="3"/>
      <c r="HNA9" s="3"/>
      <c r="HNB9" s="3"/>
      <c r="HNC9" s="3"/>
      <c r="HND9" s="3"/>
      <c r="HNE9" s="3"/>
      <c r="HNF9" s="3"/>
      <c r="HNG9" s="3"/>
      <c r="HNH9" s="3"/>
      <c r="HNI9" s="3"/>
      <c r="HNJ9" s="3"/>
      <c r="HNK9" s="3"/>
      <c r="HNL9" s="3"/>
      <c r="HNM9" s="3"/>
      <c r="HNN9" s="3"/>
      <c r="HNO9" s="3"/>
      <c r="HNP9" s="3"/>
      <c r="HNQ9" s="3"/>
      <c r="HNR9" s="3"/>
      <c r="HNS9" s="3"/>
      <c r="HNT9" s="3"/>
      <c r="HNU9" s="3"/>
      <c r="HNV9" s="3"/>
      <c r="HNW9" s="3"/>
      <c r="HNX9" s="3"/>
      <c r="HNY9" s="3"/>
      <c r="HNZ9" s="3"/>
      <c r="HOA9" s="3"/>
      <c r="HOB9" s="3"/>
      <c r="HOC9" s="3"/>
      <c r="HOD9" s="3"/>
      <c r="HOE9" s="3"/>
      <c r="HOF9" s="3"/>
      <c r="HOG9" s="3"/>
      <c r="HOH9" s="3"/>
      <c r="HOI9" s="3"/>
      <c r="HOJ9" s="3"/>
      <c r="HOK9" s="3"/>
      <c r="HOL9" s="3"/>
      <c r="HOM9" s="3"/>
      <c r="HON9" s="3"/>
      <c r="HOO9" s="3"/>
      <c r="HOP9" s="3"/>
      <c r="HOQ9" s="3"/>
      <c r="HOR9" s="3"/>
      <c r="HOS9" s="3"/>
      <c r="HOT9" s="3"/>
      <c r="HOU9" s="3"/>
      <c r="HOV9" s="3"/>
      <c r="HOW9" s="3"/>
      <c r="HOX9" s="3"/>
      <c r="HOY9" s="3"/>
      <c r="HOZ9" s="3"/>
      <c r="HPA9" s="3"/>
      <c r="HPB9" s="3"/>
      <c r="HPC9" s="3"/>
      <c r="HPD9" s="3"/>
      <c r="HPE9" s="3"/>
      <c r="HPF9" s="3"/>
      <c r="HPG9" s="3"/>
      <c r="HPH9" s="3"/>
      <c r="HPI9" s="3"/>
      <c r="HPJ9" s="3"/>
      <c r="HPK9" s="3"/>
      <c r="HPL9" s="3"/>
      <c r="HPM9" s="3"/>
      <c r="HPN9" s="3"/>
      <c r="HPO9" s="3"/>
      <c r="HPP9" s="3"/>
      <c r="HPQ9" s="3"/>
      <c r="HPR9" s="3"/>
      <c r="HPS9" s="3"/>
      <c r="HPT9" s="3"/>
      <c r="HPU9" s="3"/>
      <c r="HPV9" s="3"/>
      <c r="HPW9" s="3"/>
      <c r="HPX9" s="3"/>
      <c r="HPY9" s="3"/>
      <c r="HPZ9" s="3"/>
      <c r="HQA9" s="3"/>
      <c r="HQB9" s="3"/>
      <c r="HQC9" s="3"/>
      <c r="HQD9" s="3"/>
      <c r="HQE9" s="3"/>
      <c r="HQF9" s="3"/>
      <c r="HQG9" s="3"/>
      <c r="HQH9" s="3"/>
      <c r="HQI9" s="3"/>
      <c r="HQJ9" s="3"/>
      <c r="HQK9" s="3"/>
      <c r="HQL9" s="3"/>
      <c r="HQM9" s="3"/>
      <c r="HQN9" s="3"/>
      <c r="HQO9" s="3"/>
      <c r="HQP9" s="3"/>
      <c r="HQQ9" s="3"/>
      <c r="HQR9" s="3"/>
      <c r="HQS9" s="3"/>
      <c r="HQT9" s="3"/>
      <c r="HQU9" s="3"/>
      <c r="HQV9" s="3"/>
      <c r="HQW9" s="3"/>
      <c r="HQX9" s="3"/>
      <c r="HQY9" s="3"/>
      <c r="HQZ9" s="3"/>
      <c r="HRA9" s="3"/>
      <c r="HRB9" s="3"/>
      <c r="HRC9" s="3"/>
      <c r="HRD9" s="3"/>
      <c r="HRE9" s="3"/>
      <c r="HRF9" s="3"/>
      <c r="HRG9" s="3"/>
      <c r="HRH9" s="3"/>
      <c r="HRI9" s="3"/>
      <c r="HRJ9" s="3"/>
      <c r="HRK9" s="3"/>
      <c r="HRL9" s="3"/>
      <c r="HRM9" s="3"/>
      <c r="HRN9" s="3"/>
      <c r="HRO9" s="3"/>
      <c r="HRP9" s="3"/>
      <c r="HRQ9" s="3"/>
      <c r="HRR9" s="3"/>
      <c r="HRS9" s="3"/>
      <c r="HRT9" s="3"/>
      <c r="HRU9" s="3"/>
      <c r="HRV9" s="3"/>
      <c r="HRW9" s="3"/>
      <c r="HRX9" s="3"/>
      <c r="HRY9" s="3"/>
      <c r="HRZ9" s="3"/>
      <c r="HSA9" s="3"/>
      <c r="HSB9" s="3"/>
      <c r="HSC9" s="3"/>
      <c r="HSD9" s="3"/>
      <c r="HSE9" s="3"/>
      <c r="HSF9" s="3"/>
      <c r="HSG9" s="3"/>
      <c r="HSH9" s="3"/>
      <c r="HSI9" s="3"/>
      <c r="HSJ9" s="3"/>
      <c r="HSK9" s="3"/>
      <c r="HSL9" s="3"/>
      <c r="HSM9" s="3"/>
      <c r="HSN9" s="3"/>
      <c r="HSO9" s="3"/>
      <c r="HSP9" s="3"/>
      <c r="HSQ9" s="3"/>
      <c r="HSR9" s="3"/>
      <c r="HSS9" s="3"/>
      <c r="HST9" s="3"/>
      <c r="HSU9" s="3"/>
      <c r="HSV9" s="3"/>
      <c r="HSW9" s="3"/>
      <c r="HSX9" s="3"/>
      <c r="HSY9" s="3"/>
      <c r="HSZ9" s="3"/>
      <c r="HTA9" s="3"/>
      <c r="HTB9" s="3"/>
      <c r="HTC9" s="3"/>
      <c r="HTD9" s="3"/>
      <c r="HTE9" s="3"/>
      <c r="HTF9" s="3"/>
      <c r="HTG9" s="3"/>
      <c r="HTH9" s="3"/>
      <c r="HTI9" s="3"/>
      <c r="HTJ9" s="3"/>
      <c r="HTK9" s="3"/>
      <c r="HTL9" s="3"/>
      <c r="HTM9" s="3"/>
      <c r="HTN9" s="3"/>
      <c r="HTO9" s="3"/>
      <c r="HTP9" s="3"/>
      <c r="HTQ9" s="3"/>
      <c r="HTR9" s="3"/>
      <c r="HTS9" s="3"/>
      <c r="HTT9" s="3"/>
      <c r="HTU9" s="3"/>
      <c r="HTV9" s="3"/>
      <c r="HTW9" s="3"/>
      <c r="HTX9" s="3"/>
      <c r="HTY9" s="3"/>
      <c r="HTZ9" s="3"/>
      <c r="HUA9" s="3"/>
      <c r="HUB9" s="3"/>
      <c r="HUC9" s="3"/>
      <c r="HUD9" s="3"/>
      <c r="HUE9" s="3"/>
      <c r="HUF9" s="3"/>
      <c r="HUG9" s="3"/>
      <c r="HUH9" s="3"/>
      <c r="HUI9" s="3"/>
      <c r="HUJ9" s="3"/>
      <c r="HUK9" s="3"/>
      <c r="HUL9" s="3"/>
      <c r="HUM9" s="3"/>
      <c r="HUN9" s="3"/>
      <c r="HUO9" s="3"/>
      <c r="HUP9" s="3"/>
      <c r="HUQ9" s="3"/>
      <c r="HUR9" s="3"/>
      <c r="HUS9" s="3"/>
      <c r="HUT9" s="3"/>
      <c r="HUU9" s="3"/>
      <c r="HUV9" s="3"/>
      <c r="HUW9" s="3"/>
      <c r="HUX9" s="3"/>
      <c r="HUY9" s="3"/>
      <c r="HUZ9" s="3"/>
      <c r="HVA9" s="3"/>
      <c r="HVB9" s="3"/>
      <c r="HVC9" s="3"/>
      <c r="HVD9" s="3"/>
      <c r="HVE9" s="3"/>
      <c r="HVF9" s="3"/>
      <c r="HVG9" s="3"/>
      <c r="HVH9" s="3"/>
      <c r="HVI9" s="3"/>
      <c r="HVJ9" s="3"/>
      <c r="HVK9" s="3"/>
      <c r="HVL9" s="3"/>
      <c r="HVM9" s="3"/>
      <c r="HVN9" s="3"/>
      <c r="HVO9" s="3"/>
      <c r="HVP9" s="3"/>
      <c r="HVQ9" s="3"/>
      <c r="HVR9" s="3"/>
      <c r="HVS9" s="3"/>
      <c r="HVT9" s="3"/>
      <c r="HVU9" s="3"/>
      <c r="HVV9" s="3"/>
      <c r="HVW9" s="3"/>
      <c r="HVX9" s="3"/>
      <c r="HVY9" s="3"/>
      <c r="HVZ9" s="3"/>
      <c r="HWA9" s="3"/>
      <c r="HWB9" s="3"/>
      <c r="HWC9" s="3"/>
      <c r="HWD9" s="3"/>
      <c r="HWE9" s="3"/>
      <c r="HWF9" s="3"/>
      <c r="HWG9" s="3"/>
      <c r="HWH9" s="3"/>
      <c r="HWI9" s="3"/>
      <c r="HWJ9" s="3"/>
      <c r="HWK9" s="3"/>
      <c r="HWL9" s="3"/>
      <c r="HWM9" s="3"/>
      <c r="HWN9" s="3"/>
      <c r="HWO9" s="3"/>
      <c r="HWP9" s="3"/>
      <c r="HWQ9" s="3"/>
      <c r="HWR9" s="3"/>
      <c r="HWS9" s="3"/>
      <c r="HWT9" s="3"/>
      <c r="HWU9" s="3"/>
      <c r="HWV9" s="3"/>
      <c r="HWW9" s="3"/>
      <c r="HWX9" s="3"/>
      <c r="HWY9" s="3"/>
      <c r="HWZ9" s="3"/>
      <c r="HXA9" s="3"/>
      <c r="HXB9" s="3"/>
      <c r="HXC9" s="3"/>
      <c r="HXD9" s="3"/>
      <c r="HXE9" s="3"/>
      <c r="HXF9" s="3"/>
      <c r="HXG9" s="3"/>
      <c r="HXH9" s="3"/>
      <c r="HXI9" s="3"/>
      <c r="HXJ9" s="3"/>
      <c r="HXK9" s="3"/>
      <c r="HXL9" s="3"/>
      <c r="HXM9" s="3"/>
      <c r="HXN9" s="3"/>
      <c r="HXO9" s="3"/>
      <c r="HXP9" s="3"/>
      <c r="HXQ9" s="3"/>
      <c r="HXR9" s="3"/>
      <c r="HXS9" s="3"/>
      <c r="HXT9" s="3"/>
      <c r="HXU9" s="3"/>
      <c r="HXV9" s="3"/>
      <c r="HXW9" s="3"/>
      <c r="HXX9" s="3"/>
      <c r="HXY9" s="3"/>
      <c r="HXZ9" s="3"/>
      <c r="HYA9" s="3"/>
      <c r="HYB9" s="3"/>
      <c r="HYC9" s="3"/>
      <c r="HYD9" s="3"/>
      <c r="HYE9" s="3"/>
      <c r="HYF9" s="3"/>
      <c r="HYG9" s="3"/>
      <c r="HYH9" s="3"/>
      <c r="HYI9" s="3"/>
      <c r="HYJ9" s="3"/>
      <c r="HYK9" s="3"/>
      <c r="HYL9" s="3"/>
      <c r="HYM9" s="3"/>
      <c r="HYN9" s="3"/>
      <c r="HYO9" s="3"/>
      <c r="HYP9" s="3"/>
      <c r="HYQ9" s="3"/>
      <c r="HYR9" s="3"/>
      <c r="HYS9" s="3"/>
      <c r="HYT9" s="3"/>
      <c r="HYU9" s="3"/>
      <c r="HYV9" s="3"/>
      <c r="HYW9" s="3"/>
      <c r="HYX9" s="3"/>
      <c r="HYY9" s="3"/>
      <c r="HYZ9" s="3"/>
      <c r="HZA9" s="3"/>
      <c r="HZB9" s="3"/>
      <c r="HZC9" s="3"/>
      <c r="HZD9" s="3"/>
      <c r="HZE9" s="3"/>
      <c r="HZF9" s="3"/>
      <c r="HZG9" s="3"/>
      <c r="HZH9" s="3"/>
      <c r="HZI9" s="3"/>
      <c r="HZJ9" s="3"/>
      <c r="HZK9" s="3"/>
      <c r="HZL9" s="3"/>
      <c r="HZM9" s="3"/>
      <c r="HZN9" s="3"/>
      <c r="HZO9" s="3"/>
      <c r="HZP9" s="3"/>
      <c r="HZQ9" s="3"/>
      <c r="HZR9" s="3"/>
      <c r="HZS9" s="3"/>
      <c r="HZT9" s="3"/>
      <c r="HZU9" s="3"/>
      <c r="HZV9" s="3"/>
      <c r="HZW9" s="3"/>
      <c r="HZX9" s="3"/>
      <c r="HZY9" s="3"/>
      <c r="HZZ9" s="3"/>
      <c r="IAA9" s="3"/>
      <c r="IAB9" s="3"/>
      <c r="IAC9" s="3"/>
      <c r="IAD9" s="3"/>
      <c r="IAE9" s="3"/>
      <c r="IAF9" s="3"/>
      <c r="IAG9" s="3"/>
      <c r="IAH9" s="3"/>
      <c r="IAI9" s="3"/>
      <c r="IAJ9" s="3"/>
      <c r="IAK9" s="3"/>
      <c r="IAL9" s="3"/>
      <c r="IAM9" s="3"/>
      <c r="IAN9" s="3"/>
      <c r="IAO9" s="3"/>
      <c r="IAP9" s="3"/>
      <c r="IAQ9" s="3"/>
      <c r="IAR9" s="3"/>
      <c r="IAS9" s="3"/>
      <c r="IAT9" s="3"/>
      <c r="IAU9" s="3"/>
      <c r="IAV9" s="3"/>
      <c r="IAW9" s="3"/>
      <c r="IAX9" s="3"/>
      <c r="IAY9" s="3"/>
      <c r="IAZ9" s="3"/>
      <c r="IBA9" s="3"/>
      <c r="IBB9" s="3"/>
      <c r="IBC9" s="3"/>
      <c r="IBD9" s="3"/>
      <c r="IBE9" s="3"/>
      <c r="IBF9" s="3"/>
      <c r="IBG9" s="3"/>
      <c r="IBH9" s="3"/>
      <c r="IBI9" s="3"/>
      <c r="IBJ9" s="3"/>
      <c r="IBK9" s="3"/>
      <c r="IBL9" s="3"/>
      <c r="IBM9" s="3"/>
      <c r="IBN9" s="3"/>
      <c r="IBO9" s="3"/>
      <c r="IBP9" s="3"/>
      <c r="IBQ9" s="3"/>
      <c r="IBR9" s="3"/>
      <c r="IBS9" s="3"/>
      <c r="IBT9" s="3"/>
      <c r="IBU9" s="3"/>
      <c r="IBV9" s="3"/>
      <c r="IBW9" s="3"/>
      <c r="IBX9" s="3"/>
      <c r="IBY9" s="3"/>
      <c r="IBZ9" s="3"/>
      <c r="ICA9" s="3"/>
      <c r="ICB9" s="3"/>
      <c r="ICC9" s="3"/>
      <c r="ICD9" s="3"/>
      <c r="ICE9" s="3"/>
      <c r="ICF9" s="3"/>
      <c r="ICG9" s="3"/>
      <c r="ICH9" s="3"/>
      <c r="ICI9" s="3"/>
      <c r="ICJ9" s="3"/>
      <c r="ICK9" s="3"/>
      <c r="ICL9" s="3"/>
      <c r="ICM9" s="3"/>
      <c r="ICN9" s="3"/>
      <c r="ICO9" s="3"/>
      <c r="ICP9" s="3"/>
      <c r="ICQ9" s="3"/>
      <c r="ICR9" s="3"/>
      <c r="ICS9" s="3"/>
      <c r="ICT9" s="3"/>
      <c r="ICU9" s="3"/>
      <c r="ICV9" s="3"/>
      <c r="ICW9" s="3"/>
      <c r="ICX9" s="3"/>
      <c r="ICY9" s="3"/>
      <c r="ICZ9" s="3"/>
      <c r="IDA9" s="3"/>
      <c r="IDB9" s="3"/>
      <c r="IDC9" s="3"/>
      <c r="IDD9" s="3"/>
      <c r="IDE9" s="3"/>
      <c r="IDF9" s="3"/>
      <c r="IDG9" s="3"/>
      <c r="IDH9" s="3"/>
      <c r="IDI9" s="3"/>
      <c r="IDJ9" s="3"/>
      <c r="IDK9" s="3"/>
      <c r="IDL9" s="3"/>
      <c r="IDM9" s="3"/>
      <c r="IDN9" s="3"/>
      <c r="IDO9" s="3"/>
      <c r="IDP9" s="3"/>
      <c r="IDQ9" s="3"/>
      <c r="IDR9" s="3"/>
      <c r="IDS9" s="3"/>
      <c r="IDT9" s="3"/>
      <c r="IDU9" s="3"/>
      <c r="IDV9" s="3"/>
      <c r="IDW9" s="3"/>
      <c r="IDX9" s="3"/>
      <c r="IDY9" s="3"/>
      <c r="IDZ9" s="3"/>
      <c r="IEA9" s="3"/>
      <c r="IEB9" s="3"/>
      <c r="IEC9" s="3"/>
      <c r="IED9" s="3"/>
      <c r="IEE9" s="3"/>
      <c r="IEF9" s="3"/>
      <c r="IEG9" s="3"/>
      <c r="IEH9" s="3"/>
      <c r="IEI9" s="3"/>
      <c r="IEJ9" s="3"/>
      <c r="IEK9" s="3"/>
      <c r="IEL9" s="3"/>
      <c r="IEM9" s="3"/>
      <c r="IEN9" s="3"/>
      <c r="IEO9" s="3"/>
      <c r="IEP9" s="3"/>
      <c r="IEQ9" s="3"/>
      <c r="IER9" s="3"/>
      <c r="IES9" s="3"/>
      <c r="IET9" s="3"/>
      <c r="IEU9" s="3"/>
      <c r="IEV9" s="3"/>
      <c r="IEW9" s="3"/>
      <c r="IEX9" s="3"/>
      <c r="IEY9" s="3"/>
      <c r="IEZ9" s="3"/>
      <c r="IFA9" s="3"/>
      <c r="IFB9" s="3"/>
      <c r="IFC9" s="3"/>
      <c r="IFD9" s="3"/>
      <c r="IFE9" s="3"/>
      <c r="IFF9" s="3"/>
      <c r="IFG9" s="3"/>
      <c r="IFH9" s="3"/>
      <c r="IFI9" s="3"/>
      <c r="IFJ9" s="3"/>
      <c r="IFK9" s="3"/>
      <c r="IFL9" s="3"/>
      <c r="IFM9" s="3"/>
      <c r="IFN9" s="3"/>
      <c r="IFO9" s="3"/>
      <c r="IFP9" s="3"/>
      <c r="IFQ9" s="3"/>
      <c r="IFR9" s="3"/>
      <c r="IFS9" s="3"/>
      <c r="IFT9" s="3"/>
      <c r="IFU9" s="3"/>
      <c r="IFV9" s="3"/>
      <c r="IFW9" s="3"/>
      <c r="IFX9" s="3"/>
      <c r="IFY9" s="3"/>
      <c r="IFZ9" s="3"/>
      <c r="IGA9" s="3"/>
      <c r="IGB9" s="3"/>
      <c r="IGC9" s="3"/>
      <c r="IGD9" s="3"/>
      <c r="IGE9" s="3"/>
      <c r="IGF9" s="3"/>
      <c r="IGG9" s="3"/>
      <c r="IGH9" s="3"/>
      <c r="IGI9" s="3"/>
      <c r="IGJ9" s="3"/>
      <c r="IGK9" s="3"/>
      <c r="IGL9" s="3"/>
      <c r="IGM9" s="3"/>
      <c r="IGN9" s="3"/>
      <c r="IGO9" s="3"/>
      <c r="IGP9" s="3"/>
      <c r="IGQ9" s="3"/>
      <c r="IGR9" s="3"/>
      <c r="IGS9" s="3"/>
      <c r="IGT9" s="3"/>
      <c r="IGU9" s="3"/>
      <c r="IGV9" s="3"/>
      <c r="IGW9" s="3"/>
      <c r="IGX9" s="3"/>
      <c r="IGY9" s="3"/>
      <c r="IGZ9" s="3"/>
      <c r="IHA9" s="3"/>
      <c r="IHB9" s="3"/>
      <c r="IHC9" s="3"/>
      <c r="IHD9" s="3"/>
      <c r="IHE9" s="3"/>
      <c r="IHF9" s="3"/>
      <c r="IHG9" s="3"/>
      <c r="IHH9" s="3"/>
      <c r="IHI9" s="3"/>
      <c r="IHJ9" s="3"/>
      <c r="IHK9" s="3"/>
      <c r="IHL9" s="3"/>
      <c r="IHM9" s="3"/>
      <c r="IHN9" s="3"/>
      <c r="IHO9" s="3"/>
      <c r="IHP9" s="3"/>
      <c r="IHQ9" s="3"/>
      <c r="IHR9" s="3"/>
      <c r="IHS9" s="3"/>
      <c r="IHT9" s="3"/>
      <c r="IHU9" s="3"/>
      <c r="IHV9" s="3"/>
      <c r="IHW9" s="3"/>
      <c r="IHX9" s="3"/>
      <c r="IHY9" s="3"/>
      <c r="IHZ9" s="3"/>
      <c r="IIA9" s="3"/>
      <c r="IIB9" s="3"/>
      <c r="IIC9" s="3"/>
      <c r="IID9" s="3"/>
      <c r="IIE9" s="3"/>
      <c r="IIF9" s="3"/>
      <c r="IIG9" s="3"/>
      <c r="IIH9" s="3"/>
      <c r="III9" s="3"/>
      <c r="IIJ9" s="3"/>
      <c r="IIK9" s="3"/>
      <c r="IIL9" s="3"/>
      <c r="IIM9" s="3"/>
      <c r="IIN9" s="3"/>
      <c r="IIO9" s="3"/>
      <c r="IIP9" s="3"/>
      <c r="IIQ9" s="3"/>
      <c r="IIR9" s="3"/>
      <c r="IIS9" s="3"/>
      <c r="IIT9" s="3"/>
      <c r="IIU9" s="3"/>
      <c r="IIV9" s="3"/>
      <c r="IIW9" s="3"/>
      <c r="IIX9" s="3"/>
      <c r="IIY9" s="3"/>
      <c r="IIZ9" s="3"/>
      <c r="IJA9" s="3"/>
      <c r="IJB9" s="3"/>
      <c r="IJC9" s="3"/>
      <c r="IJD9" s="3"/>
      <c r="IJE9" s="3"/>
      <c r="IJF9" s="3"/>
      <c r="IJG9" s="3"/>
      <c r="IJH9" s="3"/>
      <c r="IJI9" s="3"/>
      <c r="IJJ9" s="3"/>
      <c r="IJK9" s="3"/>
      <c r="IJL9" s="3"/>
      <c r="IJM9" s="3"/>
      <c r="IJN9" s="3"/>
      <c r="IJO9" s="3"/>
      <c r="IJP9" s="3"/>
      <c r="IJQ9" s="3"/>
      <c r="IJR9" s="3"/>
      <c r="IJS9" s="3"/>
      <c r="IJT9" s="3"/>
      <c r="IJU9" s="3"/>
      <c r="IJV9" s="3"/>
      <c r="IJW9" s="3"/>
      <c r="IJX9" s="3"/>
      <c r="IJY9" s="3"/>
      <c r="IJZ9" s="3"/>
      <c r="IKA9" s="3"/>
      <c r="IKB9" s="3"/>
      <c r="IKC9" s="3"/>
      <c r="IKD9" s="3"/>
      <c r="IKE9" s="3"/>
      <c r="IKF9" s="3"/>
      <c r="IKG9" s="3"/>
      <c r="IKH9" s="3"/>
      <c r="IKI9" s="3"/>
      <c r="IKJ9" s="3"/>
      <c r="IKK9" s="3"/>
      <c r="IKL9" s="3"/>
      <c r="IKM9" s="3"/>
      <c r="IKN9" s="3"/>
      <c r="IKO9" s="3"/>
      <c r="IKP9" s="3"/>
      <c r="IKQ9" s="3"/>
      <c r="IKR9" s="3"/>
      <c r="IKS9" s="3"/>
      <c r="IKT9" s="3"/>
      <c r="IKU9" s="3"/>
      <c r="IKV9" s="3"/>
      <c r="IKW9" s="3"/>
      <c r="IKX9" s="3"/>
      <c r="IKY9" s="3"/>
      <c r="IKZ9" s="3"/>
      <c r="ILA9" s="3"/>
      <c r="ILB9" s="3"/>
      <c r="ILC9" s="3"/>
      <c r="ILD9" s="3"/>
      <c r="ILE9" s="3"/>
      <c r="ILF9" s="3"/>
      <c r="ILG9" s="3"/>
      <c r="ILH9" s="3"/>
      <c r="ILI9" s="3"/>
      <c r="ILJ9" s="3"/>
      <c r="ILK9" s="3"/>
      <c r="ILL9" s="3"/>
      <c r="ILM9" s="3"/>
      <c r="ILN9" s="3"/>
      <c r="ILO9" s="3"/>
      <c r="ILP9" s="3"/>
      <c r="ILQ9" s="3"/>
      <c r="ILR9" s="3"/>
      <c r="ILS9" s="3"/>
      <c r="ILT9" s="3"/>
      <c r="ILU9" s="3"/>
      <c r="ILV9" s="3"/>
      <c r="ILW9" s="3"/>
      <c r="ILX9" s="3"/>
      <c r="ILY9" s="3"/>
      <c r="ILZ9" s="3"/>
      <c r="IMA9" s="3"/>
      <c r="IMB9" s="3"/>
      <c r="IMC9" s="3"/>
      <c r="IMD9" s="3"/>
      <c r="IME9" s="3"/>
      <c r="IMF9" s="3"/>
      <c r="IMG9" s="3"/>
      <c r="IMH9" s="3"/>
      <c r="IMI9" s="3"/>
      <c r="IMJ9" s="3"/>
      <c r="IMK9" s="3"/>
      <c r="IML9" s="3"/>
      <c r="IMM9" s="3"/>
      <c r="IMN9" s="3"/>
      <c r="IMO9" s="3"/>
      <c r="IMP9" s="3"/>
      <c r="IMQ9" s="3"/>
      <c r="IMR9" s="3"/>
      <c r="IMS9" s="3"/>
      <c r="IMT9" s="3"/>
      <c r="IMU9" s="3"/>
      <c r="IMV9" s="3"/>
      <c r="IMW9" s="3"/>
      <c r="IMX9" s="3"/>
      <c r="IMY9" s="3"/>
      <c r="IMZ9" s="3"/>
      <c r="INA9" s="3"/>
      <c r="INB9" s="3"/>
      <c r="INC9" s="3"/>
      <c r="IND9" s="3"/>
      <c r="INE9" s="3"/>
      <c r="INF9" s="3"/>
      <c r="ING9" s="3"/>
      <c r="INH9" s="3"/>
      <c r="INI9" s="3"/>
      <c r="INJ9" s="3"/>
      <c r="INK9" s="3"/>
      <c r="INL9" s="3"/>
      <c r="INM9" s="3"/>
      <c r="INN9" s="3"/>
      <c r="INO9" s="3"/>
      <c r="INP9" s="3"/>
      <c r="INQ9" s="3"/>
      <c r="INR9" s="3"/>
      <c r="INS9" s="3"/>
      <c r="INT9" s="3"/>
      <c r="INU9" s="3"/>
      <c r="INV9" s="3"/>
      <c r="INW9" s="3"/>
      <c r="INX9" s="3"/>
      <c r="INY9" s="3"/>
      <c r="INZ9" s="3"/>
      <c r="IOA9" s="3"/>
      <c r="IOB9" s="3"/>
      <c r="IOC9" s="3"/>
      <c r="IOD9" s="3"/>
      <c r="IOE9" s="3"/>
      <c r="IOF9" s="3"/>
      <c r="IOG9" s="3"/>
      <c r="IOH9" s="3"/>
      <c r="IOI9" s="3"/>
      <c r="IOJ9" s="3"/>
      <c r="IOK9" s="3"/>
      <c r="IOL9" s="3"/>
      <c r="IOM9" s="3"/>
      <c r="ION9" s="3"/>
      <c r="IOO9" s="3"/>
      <c r="IOP9" s="3"/>
      <c r="IOQ9" s="3"/>
      <c r="IOR9" s="3"/>
      <c r="IOS9" s="3"/>
      <c r="IOT9" s="3"/>
      <c r="IOU9" s="3"/>
      <c r="IOV9" s="3"/>
      <c r="IOW9" s="3"/>
      <c r="IOX9" s="3"/>
      <c r="IOY9" s="3"/>
      <c r="IOZ9" s="3"/>
      <c r="IPA9" s="3"/>
      <c r="IPB9" s="3"/>
      <c r="IPC9" s="3"/>
      <c r="IPD9" s="3"/>
      <c r="IPE9" s="3"/>
      <c r="IPF9" s="3"/>
      <c r="IPG9" s="3"/>
      <c r="IPH9" s="3"/>
      <c r="IPI9" s="3"/>
      <c r="IPJ9" s="3"/>
      <c r="IPK9" s="3"/>
      <c r="IPL9" s="3"/>
      <c r="IPM9" s="3"/>
      <c r="IPN9" s="3"/>
      <c r="IPO9" s="3"/>
      <c r="IPP9" s="3"/>
      <c r="IPQ9" s="3"/>
      <c r="IPR9" s="3"/>
      <c r="IPS9" s="3"/>
      <c r="IPT9" s="3"/>
      <c r="IPU9" s="3"/>
      <c r="IPV9" s="3"/>
      <c r="IPW9" s="3"/>
      <c r="IPX9" s="3"/>
      <c r="IPY9" s="3"/>
      <c r="IPZ9" s="3"/>
      <c r="IQA9" s="3"/>
      <c r="IQB9" s="3"/>
      <c r="IQC9" s="3"/>
      <c r="IQD9" s="3"/>
      <c r="IQE9" s="3"/>
      <c r="IQF9" s="3"/>
      <c r="IQG9" s="3"/>
      <c r="IQH9" s="3"/>
      <c r="IQI9" s="3"/>
      <c r="IQJ9" s="3"/>
      <c r="IQK9" s="3"/>
      <c r="IQL9" s="3"/>
      <c r="IQM9" s="3"/>
      <c r="IQN9" s="3"/>
      <c r="IQO9" s="3"/>
      <c r="IQP9" s="3"/>
      <c r="IQQ9" s="3"/>
      <c r="IQR9" s="3"/>
      <c r="IQS9" s="3"/>
      <c r="IQT9" s="3"/>
      <c r="IQU9" s="3"/>
      <c r="IQV9" s="3"/>
      <c r="IQW9" s="3"/>
      <c r="IQX9" s="3"/>
      <c r="IQY9" s="3"/>
      <c r="IQZ9" s="3"/>
      <c r="IRA9" s="3"/>
      <c r="IRB9" s="3"/>
      <c r="IRC9" s="3"/>
      <c r="IRD9" s="3"/>
      <c r="IRE9" s="3"/>
      <c r="IRF9" s="3"/>
      <c r="IRG9" s="3"/>
      <c r="IRH9" s="3"/>
      <c r="IRI9" s="3"/>
      <c r="IRJ9" s="3"/>
      <c r="IRK9" s="3"/>
      <c r="IRL9" s="3"/>
      <c r="IRM9" s="3"/>
      <c r="IRN9" s="3"/>
      <c r="IRO9" s="3"/>
      <c r="IRP9" s="3"/>
      <c r="IRQ9" s="3"/>
      <c r="IRR9" s="3"/>
      <c r="IRS9" s="3"/>
      <c r="IRT9" s="3"/>
      <c r="IRU9" s="3"/>
      <c r="IRV9" s="3"/>
      <c r="IRW9" s="3"/>
      <c r="IRX9" s="3"/>
      <c r="IRY9" s="3"/>
      <c r="IRZ9" s="3"/>
      <c r="ISA9" s="3"/>
      <c r="ISB9" s="3"/>
      <c r="ISC9" s="3"/>
      <c r="ISD9" s="3"/>
      <c r="ISE9" s="3"/>
      <c r="ISF9" s="3"/>
      <c r="ISG9" s="3"/>
      <c r="ISH9" s="3"/>
      <c r="ISI9" s="3"/>
      <c r="ISJ9" s="3"/>
      <c r="ISK9" s="3"/>
      <c r="ISL9" s="3"/>
      <c r="ISM9" s="3"/>
      <c r="ISN9" s="3"/>
      <c r="ISO9" s="3"/>
      <c r="ISP9" s="3"/>
      <c r="ISQ9" s="3"/>
      <c r="ISR9" s="3"/>
      <c r="ISS9" s="3"/>
      <c r="IST9" s="3"/>
      <c r="ISU9" s="3"/>
      <c r="ISV9" s="3"/>
      <c r="ISW9" s="3"/>
      <c r="ISX9" s="3"/>
      <c r="ISY9" s="3"/>
      <c r="ISZ9" s="3"/>
      <c r="ITA9" s="3"/>
      <c r="ITB9" s="3"/>
      <c r="ITC9" s="3"/>
      <c r="ITD9" s="3"/>
      <c r="ITE9" s="3"/>
      <c r="ITF9" s="3"/>
      <c r="ITG9" s="3"/>
      <c r="ITH9" s="3"/>
      <c r="ITI9" s="3"/>
      <c r="ITJ9" s="3"/>
      <c r="ITK9" s="3"/>
      <c r="ITL9" s="3"/>
      <c r="ITM9" s="3"/>
      <c r="ITN9" s="3"/>
      <c r="ITO9" s="3"/>
      <c r="ITP9" s="3"/>
      <c r="ITQ9" s="3"/>
      <c r="ITR9" s="3"/>
      <c r="ITS9" s="3"/>
      <c r="ITT9" s="3"/>
      <c r="ITU9" s="3"/>
      <c r="ITV9" s="3"/>
      <c r="ITW9" s="3"/>
      <c r="ITX9" s="3"/>
      <c r="ITY9" s="3"/>
      <c r="ITZ9" s="3"/>
      <c r="IUA9" s="3"/>
      <c r="IUB9" s="3"/>
      <c r="IUC9" s="3"/>
      <c r="IUD9" s="3"/>
      <c r="IUE9" s="3"/>
      <c r="IUF9" s="3"/>
      <c r="IUG9" s="3"/>
      <c r="IUH9" s="3"/>
      <c r="IUI9" s="3"/>
      <c r="IUJ9" s="3"/>
      <c r="IUK9" s="3"/>
      <c r="IUL9" s="3"/>
      <c r="IUM9" s="3"/>
      <c r="IUN9" s="3"/>
      <c r="IUO9" s="3"/>
      <c r="IUP9" s="3"/>
      <c r="IUQ9" s="3"/>
      <c r="IUR9" s="3"/>
      <c r="IUS9" s="3"/>
      <c r="IUT9" s="3"/>
      <c r="IUU9" s="3"/>
      <c r="IUV9" s="3"/>
      <c r="IUW9" s="3"/>
      <c r="IUX9" s="3"/>
      <c r="IUY9" s="3"/>
      <c r="IUZ9" s="3"/>
      <c r="IVA9" s="3"/>
      <c r="IVB9" s="3"/>
      <c r="IVC9" s="3"/>
      <c r="IVD9" s="3"/>
      <c r="IVE9" s="3"/>
      <c r="IVF9" s="3"/>
      <c r="IVG9" s="3"/>
      <c r="IVH9" s="3"/>
      <c r="IVI9" s="3"/>
      <c r="IVJ9" s="3"/>
      <c r="IVK9" s="3"/>
      <c r="IVL9" s="3"/>
      <c r="IVM9" s="3"/>
      <c r="IVN9" s="3"/>
      <c r="IVO9" s="3"/>
      <c r="IVP9" s="3"/>
      <c r="IVQ9" s="3"/>
      <c r="IVR9" s="3"/>
      <c r="IVS9" s="3"/>
      <c r="IVT9" s="3"/>
      <c r="IVU9" s="3"/>
      <c r="IVV9" s="3"/>
      <c r="IVW9" s="3"/>
      <c r="IVX9" s="3"/>
      <c r="IVY9" s="3"/>
      <c r="IVZ9" s="3"/>
      <c r="IWA9" s="3"/>
      <c r="IWB9" s="3"/>
      <c r="IWC9" s="3"/>
      <c r="IWD9" s="3"/>
      <c r="IWE9" s="3"/>
      <c r="IWF9" s="3"/>
      <c r="IWG9" s="3"/>
      <c r="IWH9" s="3"/>
      <c r="IWI9" s="3"/>
      <c r="IWJ9" s="3"/>
      <c r="IWK9" s="3"/>
      <c r="IWL9" s="3"/>
      <c r="IWM9" s="3"/>
      <c r="IWN9" s="3"/>
      <c r="IWO9" s="3"/>
      <c r="IWP9" s="3"/>
      <c r="IWQ9" s="3"/>
      <c r="IWR9" s="3"/>
      <c r="IWS9" s="3"/>
      <c r="IWT9" s="3"/>
      <c r="IWU9" s="3"/>
      <c r="IWV9" s="3"/>
      <c r="IWW9" s="3"/>
      <c r="IWX9" s="3"/>
      <c r="IWY9" s="3"/>
      <c r="IWZ9" s="3"/>
      <c r="IXA9" s="3"/>
      <c r="IXB9" s="3"/>
      <c r="IXC9" s="3"/>
      <c r="IXD9" s="3"/>
      <c r="IXE9" s="3"/>
      <c r="IXF9" s="3"/>
      <c r="IXG9" s="3"/>
      <c r="IXH9" s="3"/>
      <c r="IXI9" s="3"/>
      <c r="IXJ9" s="3"/>
      <c r="IXK9" s="3"/>
      <c r="IXL9" s="3"/>
      <c r="IXM9" s="3"/>
      <c r="IXN9" s="3"/>
      <c r="IXO9" s="3"/>
      <c r="IXP9" s="3"/>
      <c r="IXQ9" s="3"/>
      <c r="IXR9" s="3"/>
      <c r="IXS9" s="3"/>
      <c r="IXT9" s="3"/>
      <c r="IXU9" s="3"/>
      <c r="IXV9" s="3"/>
      <c r="IXW9" s="3"/>
      <c r="IXX9" s="3"/>
      <c r="IXY9" s="3"/>
      <c r="IXZ9" s="3"/>
      <c r="IYA9" s="3"/>
      <c r="IYB9" s="3"/>
      <c r="IYC9" s="3"/>
      <c r="IYD9" s="3"/>
      <c r="IYE9" s="3"/>
      <c r="IYF9" s="3"/>
      <c r="IYG9" s="3"/>
      <c r="IYH9" s="3"/>
      <c r="IYI9" s="3"/>
      <c r="IYJ9" s="3"/>
      <c r="IYK9" s="3"/>
      <c r="IYL9" s="3"/>
      <c r="IYM9" s="3"/>
      <c r="IYN9" s="3"/>
      <c r="IYO9" s="3"/>
      <c r="IYP9" s="3"/>
      <c r="IYQ9" s="3"/>
      <c r="IYR9" s="3"/>
      <c r="IYS9" s="3"/>
      <c r="IYT9" s="3"/>
      <c r="IYU9" s="3"/>
      <c r="IYV9" s="3"/>
      <c r="IYW9" s="3"/>
      <c r="IYX9" s="3"/>
      <c r="IYY9" s="3"/>
      <c r="IYZ9" s="3"/>
      <c r="IZA9" s="3"/>
      <c r="IZB9" s="3"/>
      <c r="IZC9" s="3"/>
      <c r="IZD9" s="3"/>
      <c r="IZE9" s="3"/>
      <c r="IZF9" s="3"/>
      <c r="IZG9" s="3"/>
      <c r="IZH9" s="3"/>
      <c r="IZI9" s="3"/>
      <c r="IZJ9" s="3"/>
      <c r="IZK9" s="3"/>
      <c r="IZL9" s="3"/>
      <c r="IZM9" s="3"/>
      <c r="IZN9" s="3"/>
      <c r="IZO9" s="3"/>
      <c r="IZP9" s="3"/>
      <c r="IZQ9" s="3"/>
      <c r="IZR9" s="3"/>
      <c r="IZS9" s="3"/>
      <c r="IZT9" s="3"/>
      <c r="IZU9" s="3"/>
      <c r="IZV9" s="3"/>
      <c r="IZW9" s="3"/>
      <c r="IZX9" s="3"/>
      <c r="IZY9" s="3"/>
      <c r="IZZ9" s="3"/>
      <c r="JAA9" s="3"/>
      <c r="JAB9" s="3"/>
      <c r="JAC9" s="3"/>
      <c r="JAD9" s="3"/>
      <c r="JAE9" s="3"/>
      <c r="JAF9" s="3"/>
      <c r="JAG9" s="3"/>
      <c r="JAH9" s="3"/>
      <c r="JAI9" s="3"/>
      <c r="JAJ9" s="3"/>
      <c r="JAK9" s="3"/>
      <c r="JAL9" s="3"/>
      <c r="JAM9" s="3"/>
      <c r="JAN9" s="3"/>
      <c r="JAO9" s="3"/>
      <c r="JAP9" s="3"/>
      <c r="JAQ9" s="3"/>
      <c r="JAR9" s="3"/>
      <c r="JAS9" s="3"/>
      <c r="JAT9" s="3"/>
      <c r="JAU9" s="3"/>
      <c r="JAV9" s="3"/>
      <c r="JAW9" s="3"/>
      <c r="JAX9" s="3"/>
      <c r="JAY9" s="3"/>
      <c r="JAZ9" s="3"/>
      <c r="JBA9" s="3"/>
      <c r="JBB9" s="3"/>
      <c r="JBC9" s="3"/>
      <c r="JBD9" s="3"/>
      <c r="JBE9" s="3"/>
      <c r="JBF9" s="3"/>
      <c r="JBG9" s="3"/>
      <c r="JBH9" s="3"/>
      <c r="JBI9" s="3"/>
      <c r="JBJ9" s="3"/>
      <c r="JBK9" s="3"/>
      <c r="JBL9" s="3"/>
      <c r="JBM9" s="3"/>
      <c r="JBN9" s="3"/>
      <c r="JBO9" s="3"/>
      <c r="JBP9" s="3"/>
      <c r="JBQ9" s="3"/>
      <c r="JBR9" s="3"/>
      <c r="JBS9" s="3"/>
      <c r="JBT9" s="3"/>
      <c r="JBU9" s="3"/>
      <c r="JBV9" s="3"/>
      <c r="JBW9" s="3"/>
      <c r="JBX9" s="3"/>
      <c r="JBY9" s="3"/>
      <c r="JBZ9" s="3"/>
      <c r="JCA9" s="3"/>
      <c r="JCB9" s="3"/>
      <c r="JCC9" s="3"/>
      <c r="JCD9" s="3"/>
      <c r="JCE9" s="3"/>
      <c r="JCF9" s="3"/>
      <c r="JCG9" s="3"/>
      <c r="JCH9" s="3"/>
      <c r="JCI9" s="3"/>
      <c r="JCJ9" s="3"/>
      <c r="JCK9" s="3"/>
      <c r="JCL9" s="3"/>
      <c r="JCM9" s="3"/>
      <c r="JCN9" s="3"/>
      <c r="JCO9" s="3"/>
      <c r="JCP9" s="3"/>
      <c r="JCQ9" s="3"/>
      <c r="JCR9" s="3"/>
      <c r="JCS9" s="3"/>
      <c r="JCT9" s="3"/>
      <c r="JCU9" s="3"/>
      <c r="JCV9" s="3"/>
      <c r="JCW9" s="3"/>
      <c r="JCX9" s="3"/>
      <c r="JCY9" s="3"/>
      <c r="JCZ9" s="3"/>
      <c r="JDA9" s="3"/>
      <c r="JDB9" s="3"/>
      <c r="JDC9" s="3"/>
      <c r="JDD9" s="3"/>
      <c r="JDE9" s="3"/>
      <c r="JDF9" s="3"/>
      <c r="JDG9" s="3"/>
      <c r="JDH9" s="3"/>
      <c r="JDI9" s="3"/>
      <c r="JDJ9" s="3"/>
      <c r="JDK9" s="3"/>
      <c r="JDL9" s="3"/>
      <c r="JDM9" s="3"/>
      <c r="JDN9" s="3"/>
      <c r="JDO9" s="3"/>
      <c r="JDP9" s="3"/>
      <c r="JDQ9" s="3"/>
      <c r="JDR9" s="3"/>
      <c r="JDS9" s="3"/>
      <c r="JDT9" s="3"/>
      <c r="JDU9" s="3"/>
      <c r="JDV9" s="3"/>
      <c r="JDW9" s="3"/>
      <c r="JDX9" s="3"/>
      <c r="JDY9" s="3"/>
      <c r="JDZ9" s="3"/>
      <c r="JEA9" s="3"/>
      <c r="JEB9" s="3"/>
      <c r="JEC9" s="3"/>
      <c r="JED9" s="3"/>
      <c r="JEE9" s="3"/>
      <c r="JEF9" s="3"/>
      <c r="JEG9" s="3"/>
      <c r="JEH9" s="3"/>
      <c r="JEI9" s="3"/>
      <c r="JEJ9" s="3"/>
      <c r="JEK9" s="3"/>
      <c r="JEL9" s="3"/>
      <c r="JEM9" s="3"/>
      <c r="JEN9" s="3"/>
      <c r="JEO9" s="3"/>
      <c r="JEP9" s="3"/>
      <c r="JEQ9" s="3"/>
      <c r="JER9" s="3"/>
      <c r="JES9" s="3"/>
      <c r="JET9" s="3"/>
      <c r="JEU9" s="3"/>
      <c r="JEV9" s="3"/>
      <c r="JEW9" s="3"/>
      <c r="JEX9" s="3"/>
      <c r="JEY9" s="3"/>
      <c r="JEZ9" s="3"/>
      <c r="JFA9" s="3"/>
      <c r="JFB9" s="3"/>
      <c r="JFC9" s="3"/>
      <c r="JFD9" s="3"/>
      <c r="JFE9" s="3"/>
      <c r="JFF9" s="3"/>
      <c r="JFG9" s="3"/>
      <c r="JFH9" s="3"/>
      <c r="JFI9" s="3"/>
      <c r="JFJ9" s="3"/>
      <c r="JFK9" s="3"/>
      <c r="JFL9" s="3"/>
      <c r="JFM9" s="3"/>
      <c r="JFN9" s="3"/>
      <c r="JFO9" s="3"/>
      <c r="JFP9" s="3"/>
      <c r="JFQ9" s="3"/>
      <c r="JFR9" s="3"/>
      <c r="JFS9" s="3"/>
      <c r="JFT9" s="3"/>
      <c r="JFU9" s="3"/>
      <c r="JFV9" s="3"/>
      <c r="JFW9" s="3"/>
      <c r="JFX9" s="3"/>
      <c r="JFY9" s="3"/>
      <c r="JFZ9" s="3"/>
      <c r="JGA9" s="3"/>
      <c r="JGB9" s="3"/>
      <c r="JGC9" s="3"/>
      <c r="JGD9" s="3"/>
      <c r="JGE9" s="3"/>
      <c r="JGF9" s="3"/>
      <c r="JGG9" s="3"/>
      <c r="JGH9" s="3"/>
      <c r="JGI9" s="3"/>
      <c r="JGJ9" s="3"/>
      <c r="JGK9" s="3"/>
      <c r="JGL9" s="3"/>
      <c r="JGM9" s="3"/>
      <c r="JGN9" s="3"/>
      <c r="JGO9" s="3"/>
      <c r="JGP9" s="3"/>
      <c r="JGQ9" s="3"/>
      <c r="JGR9" s="3"/>
      <c r="JGS9" s="3"/>
      <c r="JGT9" s="3"/>
      <c r="JGU9" s="3"/>
      <c r="JGV9" s="3"/>
      <c r="JGW9" s="3"/>
      <c r="JGX9" s="3"/>
      <c r="JGY9" s="3"/>
      <c r="JGZ9" s="3"/>
      <c r="JHA9" s="3"/>
      <c r="JHB9" s="3"/>
      <c r="JHC9" s="3"/>
      <c r="JHD9" s="3"/>
      <c r="JHE9" s="3"/>
      <c r="JHF9" s="3"/>
      <c r="JHG9" s="3"/>
      <c r="JHH9" s="3"/>
      <c r="JHI9" s="3"/>
      <c r="JHJ9" s="3"/>
      <c r="JHK9" s="3"/>
      <c r="JHL9" s="3"/>
      <c r="JHM9" s="3"/>
      <c r="JHN9" s="3"/>
      <c r="JHO9" s="3"/>
      <c r="JHP9" s="3"/>
      <c r="JHQ9" s="3"/>
      <c r="JHR9" s="3"/>
      <c r="JHS9" s="3"/>
      <c r="JHT9" s="3"/>
      <c r="JHU9" s="3"/>
      <c r="JHV9" s="3"/>
      <c r="JHW9" s="3"/>
      <c r="JHX9" s="3"/>
      <c r="JHY9" s="3"/>
      <c r="JHZ9" s="3"/>
      <c r="JIA9" s="3"/>
      <c r="JIB9" s="3"/>
      <c r="JIC9" s="3"/>
      <c r="JID9" s="3"/>
      <c r="JIE9" s="3"/>
      <c r="JIF9" s="3"/>
      <c r="JIG9" s="3"/>
      <c r="JIH9" s="3"/>
      <c r="JII9" s="3"/>
      <c r="JIJ9" s="3"/>
      <c r="JIK9" s="3"/>
      <c r="JIL9" s="3"/>
      <c r="JIM9" s="3"/>
      <c r="JIN9" s="3"/>
      <c r="JIO9" s="3"/>
      <c r="JIP9" s="3"/>
      <c r="JIQ9" s="3"/>
      <c r="JIR9" s="3"/>
      <c r="JIS9" s="3"/>
      <c r="JIT9" s="3"/>
      <c r="JIU9" s="3"/>
      <c r="JIV9" s="3"/>
      <c r="JIW9" s="3"/>
      <c r="JIX9" s="3"/>
      <c r="JIY9" s="3"/>
      <c r="JIZ9" s="3"/>
      <c r="JJA9" s="3"/>
      <c r="JJB9" s="3"/>
      <c r="JJC9" s="3"/>
      <c r="JJD9" s="3"/>
      <c r="JJE9" s="3"/>
      <c r="JJF9" s="3"/>
      <c r="JJG9" s="3"/>
      <c r="JJH9" s="3"/>
      <c r="JJI9" s="3"/>
      <c r="JJJ9" s="3"/>
      <c r="JJK9" s="3"/>
      <c r="JJL9" s="3"/>
      <c r="JJM9" s="3"/>
      <c r="JJN9" s="3"/>
      <c r="JJO9" s="3"/>
      <c r="JJP9" s="3"/>
      <c r="JJQ9" s="3"/>
      <c r="JJR9" s="3"/>
      <c r="JJS9" s="3"/>
      <c r="JJT9" s="3"/>
      <c r="JJU9" s="3"/>
      <c r="JJV9" s="3"/>
      <c r="JJW9" s="3"/>
      <c r="JJX9" s="3"/>
      <c r="JJY9" s="3"/>
      <c r="JJZ9" s="3"/>
      <c r="JKA9" s="3"/>
      <c r="JKB9" s="3"/>
      <c r="JKC9" s="3"/>
      <c r="JKD9" s="3"/>
      <c r="JKE9" s="3"/>
      <c r="JKF9" s="3"/>
      <c r="JKG9" s="3"/>
      <c r="JKH9" s="3"/>
      <c r="JKI9" s="3"/>
      <c r="JKJ9" s="3"/>
      <c r="JKK9" s="3"/>
      <c r="JKL9" s="3"/>
      <c r="JKM9" s="3"/>
      <c r="JKN9" s="3"/>
      <c r="JKO9" s="3"/>
      <c r="JKP9" s="3"/>
      <c r="JKQ9" s="3"/>
      <c r="JKR9" s="3"/>
      <c r="JKS9" s="3"/>
      <c r="JKT9" s="3"/>
      <c r="JKU9" s="3"/>
      <c r="JKV9" s="3"/>
      <c r="JKW9" s="3"/>
      <c r="JKX9" s="3"/>
      <c r="JKY9" s="3"/>
      <c r="JKZ9" s="3"/>
      <c r="JLA9" s="3"/>
      <c r="JLB9" s="3"/>
      <c r="JLC9" s="3"/>
      <c r="JLD9" s="3"/>
      <c r="JLE9" s="3"/>
      <c r="JLF9" s="3"/>
      <c r="JLG9" s="3"/>
      <c r="JLH9" s="3"/>
      <c r="JLI9" s="3"/>
      <c r="JLJ9" s="3"/>
      <c r="JLK9" s="3"/>
      <c r="JLL9" s="3"/>
      <c r="JLM9" s="3"/>
      <c r="JLN9" s="3"/>
      <c r="JLO9" s="3"/>
      <c r="JLP9" s="3"/>
      <c r="JLQ9" s="3"/>
      <c r="JLR9" s="3"/>
      <c r="JLS9" s="3"/>
      <c r="JLT9" s="3"/>
      <c r="JLU9" s="3"/>
      <c r="JLV9" s="3"/>
      <c r="JLW9" s="3"/>
      <c r="JLX9" s="3"/>
      <c r="JLY9" s="3"/>
      <c r="JLZ9" s="3"/>
      <c r="JMA9" s="3"/>
      <c r="JMB9" s="3"/>
      <c r="JMC9" s="3"/>
      <c r="JMD9" s="3"/>
      <c r="JME9" s="3"/>
      <c r="JMF9" s="3"/>
      <c r="JMG9" s="3"/>
      <c r="JMH9" s="3"/>
      <c r="JMI9" s="3"/>
      <c r="JMJ9" s="3"/>
      <c r="JMK9" s="3"/>
      <c r="JML9" s="3"/>
      <c r="JMM9" s="3"/>
      <c r="JMN9" s="3"/>
      <c r="JMO9" s="3"/>
      <c r="JMP9" s="3"/>
      <c r="JMQ9" s="3"/>
      <c r="JMR9" s="3"/>
      <c r="JMS9" s="3"/>
      <c r="JMT9" s="3"/>
      <c r="JMU9" s="3"/>
      <c r="JMV9" s="3"/>
      <c r="JMW9" s="3"/>
      <c r="JMX9" s="3"/>
      <c r="JMY9" s="3"/>
      <c r="JMZ9" s="3"/>
      <c r="JNA9" s="3"/>
      <c r="JNB9" s="3"/>
      <c r="JNC9" s="3"/>
      <c r="JND9" s="3"/>
      <c r="JNE9" s="3"/>
      <c r="JNF9" s="3"/>
      <c r="JNG9" s="3"/>
      <c r="JNH9" s="3"/>
      <c r="JNI9" s="3"/>
      <c r="JNJ9" s="3"/>
      <c r="JNK9" s="3"/>
      <c r="JNL9" s="3"/>
      <c r="JNM9" s="3"/>
      <c r="JNN9" s="3"/>
      <c r="JNO9" s="3"/>
      <c r="JNP9" s="3"/>
      <c r="JNQ9" s="3"/>
      <c r="JNR9" s="3"/>
      <c r="JNS9" s="3"/>
      <c r="JNT9" s="3"/>
      <c r="JNU9" s="3"/>
      <c r="JNV9" s="3"/>
      <c r="JNW9" s="3"/>
      <c r="JNX9" s="3"/>
      <c r="JNY9" s="3"/>
      <c r="JNZ9" s="3"/>
      <c r="JOA9" s="3"/>
      <c r="JOB9" s="3"/>
      <c r="JOC9" s="3"/>
      <c r="JOD9" s="3"/>
      <c r="JOE9" s="3"/>
      <c r="JOF9" s="3"/>
      <c r="JOG9" s="3"/>
      <c r="JOH9" s="3"/>
      <c r="JOI9" s="3"/>
      <c r="JOJ9" s="3"/>
      <c r="JOK9" s="3"/>
      <c r="JOL9" s="3"/>
      <c r="JOM9" s="3"/>
      <c r="JON9" s="3"/>
      <c r="JOO9" s="3"/>
      <c r="JOP9" s="3"/>
      <c r="JOQ9" s="3"/>
      <c r="JOR9" s="3"/>
      <c r="JOS9" s="3"/>
      <c r="JOT9" s="3"/>
      <c r="JOU9" s="3"/>
      <c r="JOV9" s="3"/>
      <c r="JOW9" s="3"/>
      <c r="JOX9" s="3"/>
      <c r="JOY9" s="3"/>
      <c r="JOZ9" s="3"/>
      <c r="JPA9" s="3"/>
      <c r="JPB9" s="3"/>
      <c r="JPC9" s="3"/>
      <c r="JPD9" s="3"/>
      <c r="JPE9" s="3"/>
      <c r="JPF9" s="3"/>
      <c r="JPG9" s="3"/>
      <c r="JPH9" s="3"/>
      <c r="JPI9" s="3"/>
      <c r="JPJ9" s="3"/>
      <c r="JPK9" s="3"/>
      <c r="JPL9" s="3"/>
      <c r="JPM9" s="3"/>
      <c r="JPN9" s="3"/>
      <c r="JPO9" s="3"/>
      <c r="JPP9" s="3"/>
      <c r="JPQ9" s="3"/>
      <c r="JPR9" s="3"/>
      <c r="JPS9" s="3"/>
      <c r="JPT9" s="3"/>
      <c r="JPU9" s="3"/>
      <c r="JPV9" s="3"/>
      <c r="JPW9" s="3"/>
      <c r="JPX9" s="3"/>
      <c r="JPY9" s="3"/>
      <c r="JPZ9" s="3"/>
      <c r="JQA9" s="3"/>
      <c r="JQB9" s="3"/>
      <c r="JQC9" s="3"/>
      <c r="JQD9" s="3"/>
      <c r="JQE9" s="3"/>
      <c r="JQF9" s="3"/>
      <c r="JQG9" s="3"/>
      <c r="JQH9" s="3"/>
      <c r="JQI9" s="3"/>
      <c r="JQJ9" s="3"/>
      <c r="JQK9" s="3"/>
      <c r="JQL9" s="3"/>
      <c r="JQM9" s="3"/>
      <c r="JQN9" s="3"/>
      <c r="JQO9" s="3"/>
      <c r="JQP9" s="3"/>
      <c r="JQQ9" s="3"/>
      <c r="JQR9" s="3"/>
      <c r="JQS9" s="3"/>
      <c r="JQT9" s="3"/>
      <c r="JQU9" s="3"/>
      <c r="JQV9" s="3"/>
      <c r="JQW9" s="3"/>
      <c r="JQX9" s="3"/>
      <c r="JQY9" s="3"/>
      <c r="JQZ9" s="3"/>
      <c r="JRA9" s="3"/>
      <c r="JRB9" s="3"/>
      <c r="JRC9" s="3"/>
      <c r="JRD9" s="3"/>
      <c r="JRE9" s="3"/>
      <c r="JRF9" s="3"/>
      <c r="JRG9" s="3"/>
      <c r="JRH9" s="3"/>
      <c r="JRI9" s="3"/>
      <c r="JRJ9" s="3"/>
      <c r="JRK9" s="3"/>
      <c r="JRL9" s="3"/>
      <c r="JRM9" s="3"/>
      <c r="JRN9" s="3"/>
      <c r="JRO9" s="3"/>
      <c r="JRP9" s="3"/>
      <c r="JRQ9" s="3"/>
      <c r="JRR9" s="3"/>
      <c r="JRS9" s="3"/>
      <c r="JRT9" s="3"/>
      <c r="JRU9" s="3"/>
      <c r="JRV9" s="3"/>
      <c r="JRW9" s="3"/>
      <c r="JRX9" s="3"/>
      <c r="JRY9" s="3"/>
      <c r="JRZ9" s="3"/>
      <c r="JSA9" s="3"/>
      <c r="JSB9" s="3"/>
      <c r="JSC9" s="3"/>
      <c r="JSD9" s="3"/>
      <c r="JSE9" s="3"/>
      <c r="JSF9" s="3"/>
      <c r="JSG9" s="3"/>
      <c r="JSH9" s="3"/>
      <c r="JSI9" s="3"/>
      <c r="JSJ9" s="3"/>
      <c r="JSK9" s="3"/>
      <c r="JSL9" s="3"/>
      <c r="JSM9" s="3"/>
      <c r="JSN9" s="3"/>
      <c r="JSO9" s="3"/>
      <c r="JSP9" s="3"/>
      <c r="JSQ9" s="3"/>
      <c r="JSR9" s="3"/>
      <c r="JSS9" s="3"/>
      <c r="JST9" s="3"/>
      <c r="JSU9" s="3"/>
      <c r="JSV9" s="3"/>
      <c r="JSW9" s="3"/>
      <c r="JSX9" s="3"/>
      <c r="JSY9" s="3"/>
      <c r="JSZ9" s="3"/>
      <c r="JTA9" s="3"/>
      <c r="JTB9" s="3"/>
      <c r="JTC9" s="3"/>
      <c r="JTD9" s="3"/>
      <c r="JTE9" s="3"/>
      <c r="JTF9" s="3"/>
      <c r="JTG9" s="3"/>
      <c r="JTH9" s="3"/>
      <c r="JTI9" s="3"/>
      <c r="JTJ9" s="3"/>
      <c r="JTK9" s="3"/>
      <c r="JTL9" s="3"/>
      <c r="JTM9" s="3"/>
      <c r="JTN9" s="3"/>
      <c r="JTO9" s="3"/>
      <c r="JTP9" s="3"/>
      <c r="JTQ9" s="3"/>
      <c r="JTR9" s="3"/>
      <c r="JTS9" s="3"/>
      <c r="JTT9" s="3"/>
      <c r="JTU9" s="3"/>
      <c r="JTV9" s="3"/>
      <c r="JTW9" s="3"/>
      <c r="JTX9" s="3"/>
      <c r="JTY9" s="3"/>
      <c r="JTZ9" s="3"/>
      <c r="JUA9" s="3"/>
      <c r="JUB9" s="3"/>
      <c r="JUC9" s="3"/>
      <c r="JUD9" s="3"/>
      <c r="JUE9" s="3"/>
      <c r="JUF9" s="3"/>
      <c r="JUG9" s="3"/>
      <c r="JUH9" s="3"/>
      <c r="JUI9" s="3"/>
      <c r="JUJ9" s="3"/>
      <c r="JUK9" s="3"/>
      <c r="JUL9" s="3"/>
      <c r="JUM9" s="3"/>
      <c r="JUN9" s="3"/>
      <c r="JUO9" s="3"/>
      <c r="JUP9" s="3"/>
      <c r="JUQ9" s="3"/>
      <c r="JUR9" s="3"/>
      <c r="JUS9" s="3"/>
      <c r="JUT9" s="3"/>
      <c r="JUU9" s="3"/>
      <c r="JUV9" s="3"/>
      <c r="JUW9" s="3"/>
      <c r="JUX9" s="3"/>
      <c r="JUY9" s="3"/>
      <c r="JUZ9" s="3"/>
      <c r="JVA9" s="3"/>
      <c r="JVB9" s="3"/>
      <c r="JVC9" s="3"/>
      <c r="JVD9" s="3"/>
      <c r="JVE9" s="3"/>
      <c r="JVF9" s="3"/>
      <c r="JVG9" s="3"/>
      <c r="JVH9" s="3"/>
      <c r="JVI9" s="3"/>
      <c r="JVJ9" s="3"/>
      <c r="JVK9" s="3"/>
      <c r="JVL9" s="3"/>
      <c r="JVM9" s="3"/>
      <c r="JVN9" s="3"/>
      <c r="JVO9" s="3"/>
      <c r="JVP9" s="3"/>
      <c r="JVQ9" s="3"/>
      <c r="JVR9" s="3"/>
      <c r="JVS9" s="3"/>
      <c r="JVT9" s="3"/>
      <c r="JVU9" s="3"/>
      <c r="JVV9" s="3"/>
      <c r="JVW9" s="3"/>
      <c r="JVX9" s="3"/>
      <c r="JVY9" s="3"/>
      <c r="JVZ9" s="3"/>
      <c r="JWA9" s="3"/>
      <c r="JWB9" s="3"/>
      <c r="JWC9" s="3"/>
      <c r="JWD9" s="3"/>
      <c r="JWE9" s="3"/>
      <c r="JWF9" s="3"/>
      <c r="JWG9" s="3"/>
      <c r="JWH9" s="3"/>
      <c r="JWI9" s="3"/>
      <c r="JWJ9" s="3"/>
      <c r="JWK9" s="3"/>
      <c r="JWL9" s="3"/>
      <c r="JWM9" s="3"/>
      <c r="JWN9" s="3"/>
      <c r="JWO9" s="3"/>
      <c r="JWP9" s="3"/>
      <c r="JWQ9" s="3"/>
      <c r="JWR9" s="3"/>
      <c r="JWS9" s="3"/>
      <c r="JWT9" s="3"/>
      <c r="JWU9" s="3"/>
      <c r="JWV9" s="3"/>
      <c r="JWW9" s="3"/>
      <c r="JWX9" s="3"/>
      <c r="JWY9" s="3"/>
      <c r="JWZ9" s="3"/>
      <c r="JXA9" s="3"/>
      <c r="JXB9" s="3"/>
      <c r="JXC9" s="3"/>
      <c r="JXD9" s="3"/>
      <c r="JXE9" s="3"/>
      <c r="JXF9" s="3"/>
      <c r="JXG9" s="3"/>
      <c r="JXH9" s="3"/>
      <c r="JXI9" s="3"/>
      <c r="JXJ9" s="3"/>
      <c r="JXK9" s="3"/>
      <c r="JXL9" s="3"/>
      <c r="JXM9" s="3"/>
      <c r="JXN9" s="3"/>
      <c r="JXO9" s="3"/>
      <c r="JXP9" s="3"/>
      <c r="JXQ9" s="3"/>
      <c r="JXR9" s="3"/>
      <c r="JXS9" s="3"/>
      <c r="JXT9" s="3"/>
      <c r="JXU9" s="3"/>
      <c r="JXV9" s="3"/>
      <c r="JXW9" s="3"/>
      <c r="JXX9" s="3"/>
      <c r="JXY9" s="3"/>
      <c r="JXZ9" s="3"/>
      <c r="JYA9" s="3"/>
      <c r="JYB9" s="3"/>
      <c r="JYC9" s="3"/>
      <c r="JYD9" s="3"/>
      <c r="JYE9" s="3"/>
      <c r="JYF9" s="3"/>
      <c r="JYG9" s="3"/>
      <c r="JYH9" s="3"/>
      <c r="JYI9" s="3"/>
      <c r="JYJ9" s="3"/>
      <c r="JYK9" s="3"/>
      <c r="JYL9" s="3"/>
      <c r="JYM9" s="3"/>
      <c r="JYN9" s="3"/>
      <c r="JYO9" s="3"/>
      <c r="JYP9" s="3"/>
      <c r="JYQ9" s="3"/>
      <c r="JYR9" s="3"/>
      <c r="JYS9" s="3"/>
      <c r="JYT9" s="3"/>
      <c r="JYU9" s="3"/>
      <c r="JYV9" s="3"/>
      <c r="JYW9" s="3"/>
      <c r="JYX9" s="3"/>
      <c r="JYY9" s="3"/>
      <c r="JYZ9" s="3"/>
      <c r="JZA9" s="3"/>
      <c r="JZB9" s="3"/>
      <c r="JZC9" s="3"/>
      <c r="JZD9" s="3"/>
      <c r="JZE9" s="3"/>
      <c r="JZF9" s="3"/>
      <c r="JZG9" s="3"/>
      <c r="JZH9" s="3"/>
      <c r="JZI9" s="3"/>
      <c r="JZJ9" s="3"/>
      <c r="JZK9" s="3"/>
      <c r="JZL9" s="3"/>
      <c r="JZM9" s="3"/>
      <c r="JZN9" s="3"/>
      <c r="JZO9" s="3"/>
      <c r="JZP9" s="3"/>
      <c r="JZQ9" s="3"/>
      <c r="JZR9" s="3"/>
      <c r="JZS9" s="3"/>
      <c r="JZT9" s="3"/>
      <c r="JZU9" s="3"/>
      <c r="JZV9" s="3"/>
      <c r="JZW9" s="3"/>
      <c r="JZX9" s="3"/>
      <c r="JZY9" s="3"/>
      <c r="JZZ9" s="3"/>
      <c r="KAA9" s="3"/>
      <c r="KAB9" s="3"/>
      <c r="KAC9" s="3"/>
      <c r="KAD9" s="3"/>
      <c r="KAE9" s="3"/>
      <c r="KAF9" s="3"/>
      <c r="KAG9" s="3"/>
      <c r="KAH9" s="3"/>
      <c r="KAI9" s="3"/>
      <c r="KAJ9" s="3"/>
      <c r="KAK9" s="3"/>
      <c r="KAL9" s="3"/>
      <c r="KAM9" s="3"/>
      <c r="KAN9" s="3"/>
      <c r="KAO9" s="3"/>
      <c r="KAP9" s="3"/>
      <c r="KAQ9" s="3"/>
      <c r="KAR9" s="3"/>
      <c r="KAS9" s="3"/>
      <c r="KAT9" s="3"/>
      <c r="KAU9" s="3"/>
      <c r="KAV9" s="3"/>
      <c r="KAW9" s="3"/>
      <c r="KAX9" s="3"/>
      <c r="KAY9" s="3"/>
      <c r="KAZ9" s="3"/>
      <c r="KBA9" s="3"/>
      <c r="KBB9" s="3"/>
      <c r="KBC9" s="3"/>
      <c r="KBD9" s="3"/>
      <c r="KBE9" s="3"/>
      <c r="KBF9" s="3"/>
      <c r="KBG9" s="3"/>
      <c r="KBH9" s="3"/>
      <c r="KBI9" s="3"/>
      <c r="KBJ9" s="3"/>
      <c r="KBK9" s="3"/>
      <c r="KBL9" s="3"/>
      <c r="KBM9" s="3"/>
      <c r="KBN9" s="3"/>
      <c r="KBO9" s="3"/>
      <c r="KBP9" s="3"/>
      <c r="KBQ9" s="3"/>
      <c r="KBR9" s="3"/>
      <c r="KBS9" s="3"/>
      <c r="KBT9" s="3"/>
      <c r="KBU9" s="3"/>
      <c r="KBV9" s="3"/>
      <c r="KBW9" s="3"/>
      <c r="KBX9" s="3"/>
      <c r="KBY9" s="3"/>
      <c r="KBZ9" s="3"/>
      <c r="KCA9" s="3"/>
      <c r="KCB9" s="3"/>
      <c r="KCC9" s="3"/>
      <c r="KCD9" s="3"/>
      <c r="KCE9" s="3"/>
      <c r="KCF9" s="3"/>
      <c r="KCG9" s="3"/>
      <c r="KCH9" s="3"/>
      <c r="KCI9" s="3"/>
      <c r="KCJ9" s="3"/>
      <c r="KCK9" s="3"/>
      <c r="KCL9" s="3"/>
      <c r="KCM9" s="3"/>
      <c r="KCN9" s="3"/>
      <c r="KCO9" s="3"/>
      <c r="KCP9" s="3"/>
      <c r="KCQ9" s="3"/>
      <c r="KCR9" s="3"/>
      <c r="KCS9" s="3"/>
      <c r="KCT9" s="3"/>
      <c r="KCU9" s="3"/>
      <c r="KCV9" s="3"/>
      <c r="KCW9" s="3"/>
      <c r="KCX9" s="3"/>
      <c r="KCY9" s="3"/>
      <c r="KCZ9" s="3"/>
      <c r="KDA9" s="3"/>
      <c r="KDB9" s="3"/>
      <c r="KDC9" s="3"/>
      <c r="KDD9" s="3"/>
      <c r="KDE9" s="3"/>
      <c r="KDF9" s="3"/>
      <c r="KDG9" s="3"/>
      <c r="KDH9" s="3"/>
      <c r="KDI9" s="3"/>
      <c r="KDJ9" s="3"/>
      <c r="KDK9" s="3"/>
      <c r="KDL9" s="3"/>
      <c r="KDM9" s="3"/>
      <c r="KDN9" s="3"/>
      <c r="KDO9" s="3"/>
      <c r="KDP9" s="3"/>
      <c r="KDQ9" s="3"/>
      <c r="KDR9" s="3"/>
      <c r="KDS9" s="3"/>
      <c r="KDT9" s="3"/>
      <c r="KDU9" s="3"/>
      <c r="KDV9" s="3"/>
      <c r="KDW9" s="3"/>
      <c r="KDX9" s="3"/>
      <c r="KDY9" s="3"/>
      <c r="KDZ9" s="3"/>
      <c r="KEA9" s="3"/>
      <c r="KEB9" s="3"/>
      <c r="KEC9" s="3"/>
      <c r="KED9" s="3"/>
      <c r="KEE9" s="3"/>
      <c r="KEF9" s="3"/>
      <c r="KEG9" s="3"/>
      <c r="KEH9" s="3"/>
      <c r="KEI9" s="3"/>
      <c r="KEJ9" s="3"/>
      <c r="KEK9" s="3"/>
      <c r="KEL9" s="3"/>
      <c r="KEM9" s="3"/>
      <c r="KEN9" s="3"/>
      <c r="KEO9" s="3"/>
      <c r="KEP9" s="3"/>
      <c r="KEQ9" s="3"/>
      <c r="KER9" s="3"/>
      <c r="KES9" s="3"/>
      <c r="KET9" s="3"/>
      <c r="KEU9" s="3"/>
      <c r="KEV9" s="3"/>
      <c r="KEW9" s="3"/>
      <c r="KEX9" s="3"/>
      <c r="KEY9" s="3"/>
      <c r="KEZ9" s="3"/>
      <c r="KFA9" s="3"/>
      <c r="KFB9" s="3"/>
      <c r="KFC9" s="3"/>
      <c r="KFD9" s="3"/>
      <c r="KFE9" s="3"/>
      <c r="KFF9" s="3"/>
      <c r="KFG9" s="3"/>
      <c r="KFH9" s="3"/>
      <c r="KFI9" s="3"/>
      <c r="KFJ9" s="3"/>
      <c r="KFK9" s="3"/>
      <c r="KFL9" s="3"/>
      <c r="KFM9" s="3"/>
      <c r="KFN9" s="3"/>
      <c r="KFO9" s="3"/>
      <c r="KFP9" s="3"/>
      <c r="KFQ9" s="3"/>
      <c r="KFR9" s="3"/>
      <c r="KFS9" s="3"/>
      <c r="KFT9" s="3"/>
      <c r="KFU9" s="3"/>
      <c r="KFV9" s="3"/>
      <c r="KFW9" s="3"/>
      <c r="KFX9" s="3"/>
      <c r="KFY9" s="3"/>
      <c r="KFZ9" s="3"/>
      <c r="KGA9" s="3"/>
      <c r="KGB9" s="3"/>
      <c r="KGC9" s="3"/>
      <c r="KGD9" s="3"/>
      <c r="KGE9" s="3"/>
      <c r="KGF9" s="3"/>
      <c r="KGG9" s="3"/>
      <c r="KGH9" s="3"/>
      <c r="KGI9" s="3"/>
      <c r="KGJ9" s="3"/>
      <c r="KGK9" s="3"/>
      <c r="KGL9" s="3"/>
      <c r="KGM9" s="3"/>
      <c r="KGN9" s="3"/>
      <c r="KGO9" s="3"/>
      <c r="KGP9" s="3"/>
      <c r="KGQ9" s="3"/>
      <c r="KGR9" s="3"/>
      <c r="KGS9" s="3"/>
      <c r="KGT9" s="3"/>
      <c r="KGU9" s="3"/>
      <c r="KGV9" s="3"/>
      <c r="KGW9" s="3"/>
      <c r="KGX9" s="3"/>
      <c r="KGY9" s="3"/>
      <c r="KGZ9" s="3"/>
      <c r="KHA9" s="3"/>
      <c r="KHB9" s="3"/>
      <c r="KHC9" s="3"/>
      <c r="KHD9" s="3"/>
      <c r="KHE9" s="3"/>
      <c r="KHF9" s="3"/>
      <c r="KHG9" s="3"/>
      <c r="KHH9" s="3"/>
      <c r="KHI9" s="3"/>
      <c r="KHJ9" s="3"/>
      <c r="KHK9" s="3"/>
      <c r="KHL9" s="3"/>
      <c r="KHM9" s="3"/>
      <c r="KHN9" s="3"/>
      <c r="KHO9" s="3"/>
      <c r="KHP9" s="3"/>
      <c r="KHQ9" s="3"/>
      <c r="KHR9" s="3"/>
      <c r="KHS9" s="3"/>
      <c r="KHT9" s="3"/>
      <c r="KHU9" s="3"/>
      <c r="KHV9" s="3"/>
      <c r="KHW9" s="3"/>
      <c r="KHX9" s="3"/>
      <c r="KHY9" s="3"/>
      <c r="KHZ9" s="3"/>
      <c r="KIA9" s="3"/>
      <c r="KIB9" s="3"/>
      <c r="KIC9" s="3"/>
      <c r="KID9" s="3"/>
      <c r="KIE9" s="3"/>
      <c r="KIF9" s="3"/>
      <c r="KIG9" s="3"/>
      <c r="KIH9" s="3"/>
      <c r="KII9" s="3"/>
      <c r="KIJ9" s="3"/>
      <c r="KIK9" s="3"/>
      <c r="KIL9" s="3"/>
      <c r="KIM9" s="3"/>
      <c r="KIN9" s="3"/>
      <c r="KIO9" s="3"/>
      <c r="KIP9" s="3"/>
      <c r="KIQ9" s="3"/>
      <c r="KIR9" s="3"/>
      <c r="KIS9" s="3"/>
      <c r="KIT9" s="3"/>
      <c r="KIU9" s="3"/>
      <c r="KIV9" s="3"/>
      <c r="KIW9" s="3"/>
      <c r="KIX9" s="3"/>
      <c r="KIY9" s="3"/>
      <c r="KIZ9" s="3"/>
      <c r="KJA9" s="3"/>
      <c r="KJB9" s="3"/>
      <c r="KJC9" s="3"/>
      <c r="KJD9" s="3"/>
      <c r="KJE9" s="3"/>
      <c r="KJF9" s="3"/>
      <c r="KJG9" s="3"/>
      <c r="KJH9" s="3"/>
      <c r="KJI9" s="3"/>
      <c r="KJJ9" s="3"/>
      <c r="KJK9" s="3"/>
      <c r="KJL9" s="3"/>
      <c r="KJM9" s="3"/>
      <c r="KJN9" s="3"/>
      <c r="KJO9" s="3"/>
      <c r="KJP9" s="3"/>
      <c r="KJQ9" s="3"/>
      <c r="KJR9" s="3"/>
      <c r="KJS9" s="3"/>
      <c r="KJT9" s="3"/>
      <c r="KJU9" s="3"/>
      <c r="KJV9" s="3"/>
      <c r="KJW9" s="3"/>
      <c r="KJX9" s="3"/>
      <c r="KJY9" s="3"/>
      <c r="KJZ9" s="3"/>
      <c r="KKA9" s="3"/>
      <c r="KKB9" s="3"/>
      <c r="KKC9" s="3"/>
      <c r="KKD9" s="3"/>
      <c r="KKE9" s="3"/>
      <c r="KKF9" s="3"/>
      <c r="KKG9" s="3"/>
      <c r="KKH9" s="3"/>
      <c r="KKI9" s="3"/>
      <c r="KKJ9" s="3"/>
      <c r="KKK9" s="3"/>
      <c r="KKL9" s="3"/>
      <c r="KKM9" s="3"/>
      <c r="KKN9" s="3"/>
      <c r="KKO9" s="3"/>
      <c r="KKP9" s="3"/>
      <c r="KKQ9" s="3"/>
      <c r="KKR9" s="3"/>
      <c r="KKS9" s="3"/>
      <c r="KKT9" s="3"/>
      <c r="KKU9" s="3"/>
      <c r="KKV9" s="3"/>
      <c r="KKW9" s="3"/>
      <c r="KKX9" s="3"/>
      <c r="KKY9" s="3"/>
      <c r="KKZ9" s="3"/>
      <c r="KLA9" s="3"/>
      <c r="KLB9" s="3"/>
      <c r="KLC9" s="3"/>
      <c r="KLD9" s="3"/>
      <c r="KLE9" s="3"/>
      <c r="KLF9" s="3"/>
      <c r="KLG9" s="3"/>
      <c r="KLH9" s="3"/>
      <c r="KLI9" s="3"/>
      <c r="KLJ9" s="3"/>
      <c r="KLK9" s="3"/>
      <c r="KLL9" s="3"/>
      <c r="KLM9" s="3"/>
      <c r="KLN9" s="3"/>
      <c r="KLO9" s="3"/>
      <c r="KLP9" s="3"/>
      <c r="KLQ9" s="3"/>
      <c r="KLR9" s="3"/>
      <c r="KLS9" s="3"/>
      <c r="KLT9" s="3"/>
      <c r="KLU9" s="3"/>
      <c r="KLV9" s="3"/>
      <c r="KLW9" s="3"/>
      <c r="KLX9" s="3"/>
      <c r="KLY9" s="3"/>
      <c r="KLZ9" s="3"/>
      <c r="KMA9" s="3"/>
      <c r="KMB9" s="3"/>
      <c r="KMC9" s="3"/>
      <c r="KMD9" s="3"/>
      <c r="KME9" s="3"/>
      <c r="KMF9" s="3"/>
      <c r="KMG9" s="3"/>
      <c r="KMH9" s="3"/>
      <c r="KMI9" s="3"/>
      <c r="KMJ9" s="3"/>
      <c r="KMK9" s="3"/>
      <c r="KML9" s="3"/>
      <c r="KMM9" s="3"/>
      <c r="KMN9" s="3"/>
      <c r="KMO9" s="3"/>
      <c r="KMP9" s="3"/>
      <c r="KMQ9" s="3"/>
      <c r="KMR9" s="3"/>
      <c r="KMS9" s="3"/>
      <c r="KMT9" s="3"/>
      <c r="KMU9" s="3"/>
      <c r="KMV9" s="3"/>
      <c r="KMW9" s="3"/>
      <c r="KMX9" s="3"/>
      <c r="KMY9" s="3"/>
      <c r="KMZ9" s="3"/>
      <c r="KNA9" s="3"/>
      <c r="KNB9" s="3"/>
      <c r="KNC9" s="3"/>
      <c r="KND9" s="3"/>
      <c r="KNE9" s="3"/>
      <c r="KNF9" s="3"/>
      <c r="KNG9" s="3"/>
      <c r="KNH9" s="3"/>
      <c r="KNI9" s="3"/>
      <c r="KNJ9" s="3"/>
      <c r="KNK9" s="3"/>
      <c r="KNL9" s="3"/>
      <c r="KNM9" s="3"/>
      <c r="KNN9" s="3"/>
      <c r="KNO9" s="3"/>
      <c r="KNP9" s="3"/>
      <c r="KNQ9" s="3"/>
      <c r="KNR9" s="3"/>
      <c r="KNS9" s="3"/>
      <c r="KNT9" s="3"/>
      <c r="KNU9" s="3"/>
      <c r="KNV9" s="3"/>
      <c r="KNW9" s="3"/>
      <c r="KNX9" s="3"/>
      <c r="KNY9" s="3"/>
      <c r="KNZ9" s="3"/>
      <c r="KOA9" s="3"/>
      <c r="KOB9" s="3"/>
      <c r="KOC9" s="3"/>
      <c r="KOD9" s="3"/>
      <c r="KOE9" s="3"/>
      <c r="KOF9" s="3"/>
      <c r="KOG9" s="3"/>
      <c r="KOH9" s="3"/>
      <c r="KOI9" s="3"/>
      <c r="KOJ9" s="3"/>
      <c r="KOK9" s="3"/>
      <c r="KOL9" s="3"/>
      <c r="KOM9" s="3"/>
      <c r="KON9" s="3"/>
      <c r="KOO9" s="3"/>
      <c r="KOP9" s="3"/>
      <c r="KOQ9" s="3"/>
      <c r="KOR9" s="3"/>
      <c r="KOS9" s="3"/>
      <c r="KOT9" s="3"/>
      <c r="KOU9" s="3"/>
      <c r="KOV9" s="3"/>
      <c r="KOW9" s="3"/>
      <c r="KOX9" s="3"/>
      <c r="KOY9" s="3"/>
      <c r="KOZ9" s="3"/>
      <c r="KPA9" s="3"/>
      <c r="KPB9" s="3"/>
      <c r="KPC9" s="3"/>
      <c r="KPD9" s="3"/>
      <c r="KPE9" s="3"/>
      <c r="KPF9" s="3"/>
      <c r="KPG9" s="3"/>
      <c r="KPH9" s="3"/>
      <c r="KPI9" s="3"/>
      <c r="KPJ9" s="3"/>
      <c r="KPK9" s="3"/>
      <c r="KPL9" s="3"/>
      <c r="KPM9" s="3"/>
      <c r="KPN9" s="3"/>
      <c r="KPO9" s="3"/>
      <c r="KPP9" s="3"/>
      <c r="KPQ9" s="3"/>
      <c r="KPR9" s="3"/>
      <c r="KPS9" s="3"/>
      <c r="KPT9" s="3"/>
      <c r="KPU9" s="3"/>
      <c r="KPV9" s="3"/>
      <c r="KPW9" s="3"/>
      <c r="KPX9" s="3"/>
      <c r="KPY9" s="3"/>
      <c r="KPZ9" s="3"/>
      <c r="KQA9" s="3"/>
      <c r="KQB9" s="3"/>
      <c r="KQC9" s="3"/>
      <c r="KQD9" s="3"/>
      <c r="KQE9" s="3"/>
      <c r="KQF9" s="3"/>
      <c r="KQG9" s="3"/>
      <c r="KQH9" s="3"/>
      <c r="KQI9" s="3"/>
      <c r="KQJ9" s="3"/>
      <c r="KQK9" s="3"/>
      <c r="KQL9" s="3"/>
      <c r="KQM9" s="3"/>
      <c r="KQN9" s="3"/>
      <c r="KQO9" s="3"/>
      <c r="KQP9" s="3"/>
      <c r="KQQ9" s="3"/>
      <c r="KQR9" s="3"/>
      <c r="KQS9" s="3"/>
      <c r="KQT9" s="3"/>
      <c r="KQU9" s="3"/>
      <c r="KQV9" s="3"/>
      <c r="KQW9" s="3"/>
      <c r="KQX9" s="3"/>
      <c r="KQY9" s="3"/>
      <c r="KQZ9" s="3"/>
      <c r="KRA9" s="3"/>
      <c r="KRB9" s="3"/>
      <c r="KRC9" s="3"/>
      <c r="KRD9" s="3"/>
      <c r="KRE9" s="3"/>
      <c r="KRF9" s="3"/>
      <c r="KRG9" s="3"/>
      <c r="KRH9" s="3"/>
      <c r="KRI9" s="3"/>
      <c r="KRJ9" s="3"/>
      <c r="KRK9" s="3"/>
      <c r="KRL9" s="3"/>
      <c r="KRM9" s="3"/>
      <c r="KRN9" s="3"/>
      <c r="KRO9" s="3"/>
      <c r="KRP9" s="3"/>
      <c r="KRQ9" s="3"/>
      <c r="KRR9" s="3"/>
      <c r="KRS9" s="3"/>
      <c r="KRT9" s="3"/>
      <c r="KRU9" s="3"/>
      <c r="KRV9" s="3"/>
      <c r="KRW9" s="3"/>
      <c r="KRX9" s="3"/>
      <c r="KRY9" s="3"/>
      <c r="KRZ9" s="3"/>
      <c r="KSA9" s="3"/>
      <c r="KSB9" s="3"/>
      <c r="KSC9" s="3"/>
      <c r="KSD9" s="3"/>
      <c r="KSE9" s="3"/>
      <c r="KSF9" s="3"/>
      <c r="KSG9" s="3"/>
      <c r="KSH9" s="3"/>
      <c r="KSI9" s="3"/>
      <c r="KSJ9" s="3"/>
      <c r="KSK9" s="3"/>
      <c r="KSL9" s="3"/>
      <c r="KSM9" s="3"/>
      <c r="KSN9" s="3"/>
      <c r="KSO9" s="3"/>
      <c r="KSP9" s="3"/>
      <c r="KSQ9" s="3"/>
      <c r="KSR9" s="3"/>
      <c r="KSS9" s="3"/>
      <c r="KST9" s="3"/>
      <c r="KSU9" s="3"/>
      <c r="KSV9" s="3"/>
      <c r="KSW9" s="3"/>
      <c r="KSX9" s="3"/>
      <c r="KSY9" s="3"/>
      <c r="KSZ9" s="3"/>
      <c r="KTA9" s="3"/>
      <c r="KTB9" s="3"/>
      <c r="KTC9" s="3"/>
      <c r="KTD9" s="3"/>
      <c r="KTE9" s="3"/>
      <c r="KTF9" s="3"/>
      <c r="KTG9" s="3"/>
      <c r="KTH9" s="3"/>
      <c r="KTI9" s="3"/>
      <c r="KTJ9" s="3"/>
      <c r="KTK9" s="3"/>
      <c r="KTL9" s="3"/>
      <c r="KTM9" s="3"/>
      <c r="KTN9" s="3"/>
      <c r="KTO9" s="3"/>
      <c r="KTP9" s="3"/>
      <c r="KTQ9" s="3"/>
      <c r="KTR9" s="3"/>
      <c r="KTS9" s="3"/>
      <c r="KTT9" s="3"/>
      <c r="KTU9" s="3"/>
      <c r="KTV9" s="3"/>
      <c r="KTW9" s="3"/>
      <c r="KTX9" s="3"/>
      <c r="KTY9" s="3"/>
      <c r="KTZ9" s="3"/>
      <c r="KUA9" s="3"/>
      <c r="KUB9" s="3"/>
      <c r="KUC9" s="3"/>
      <c r="KUD9" s="3"/>
      <c r="KUE9" s="3"/>
      <c r="KUF9" s="3"/>
      <c r="KUG9" s="3"/>
      <c r="KUH9" s="3"/>
      <c r="KUI9" s="3"/>
      <c r="KUJ9" s="3"/>
      <c r="KUK9" s="3"/>
      <c r="KUL9" s="3"/>
      <c r="KUM9" s="3"/>
      <c r="KUN9" s="3"/>
      <c r="KUO9" s="3"/>
      <c r="KUP9" s="3"/>
      <c r="KUQ9" s="3"/>
      <c r="KUR9" s="3"/>
      <c r="KUS9" s="3"/>
      <c r="KUT9" s="3"/>
      <c r="KUU9" s="3"/>
      <c r="KUV9" s="3"/>
      <c r="KUW9" s="3"/>
      <c r="KUX9" s="3"/>
      <c r="KUY9" s="3"/>
      <c r="KUZ9" s="3"/>
      <c r="KVA9" s="3"/>
      <c r="KVB9" s="3"/>
      <c r="KVC9" s="3"/>
      <c r="KVD9" s="3"/>
      <c r="KVE9" s="3"/>
      <c r="KVF9" s="3"/>
      <c r="KVG9" s="3"/>
      <c r="KVH9" s="3"/>
      <c r="KVI9" s="3"/>
      <c r="KVJ9" s="3"/>
      <c r="KVK9" s="3"/>
      <c r="KVL9" s="3"/>
      <c r="KVM9" s="3"/>
      <c r="KVN9" s="3"/>
      <c r="KVO9" s="3"/>
      <c r="KVP9" s="3"/>
      <c r="KVQ9" s="3"/>
      <c r="KVR9" s="3"/>
      <c r="KVS9" s="3"/>
      <c r="KVT9" s="3"/>
      <c r="KVU9" s="3"/>
      <c r="KVV9" s="3"/>
      <c r="KVW9" s="3"/>
      <c r="KVX9" s="3"/>
      <c r="KVY9" s="3"/>
      <c r="KVZ9" s="3"/>
      <c r="KWA9" s="3"/>
      <c r="KWB9" s="3"/>
      <c r="KWC9" s="3"/>
      <c r="KWD9" s="3"/>
      <c r="KWE9" s="3"/>
      <c r="KWF9" s="3"/>
      <c r="KWG9" s="3"/>
      <c r="KWH9" s="3"/>
      <c r="KWI9" s="3"/>
      <c r="KWJ9" s="3"/>
      <c r="KWK9" s="3"/>
      <c r="KWL9" s="3"/>
      <c r="KWM9" s="3"/>
      <c r="KWN9" s="3"/>
      <c r="KWO9" s="3"/>
      <c r="KWP9" s="3"/>
      <c r="KWQ9" s="3"/>
      <c r="KWR9" s="3"/>
      <c r="KWS9" s="3"/>
      <c r="KWT9" s="3"/>
      <c r="KWU9" s="3"/>
      <c r="KWV9" s="3"/>
      <c r="KWW9" s="3"/>
      <c r="KWX9" s="3"/>
      <c r="KWY9" s="3"/>
      <c r="KWZ9" s="3"/>
      <c r="KXA9" s="3"/>
      <c r="KXB9" s="3"/>
      <c r="KXC9" s="3"/>
      <c r="KXD9" s="3"/>
      <c r="KXE9" s="3"/>
      <c r="KXF9" s="3"/>
      <c r="KXG9" s="3"/>
      <c r="KXH9" s="3"/>
      <c r="KXI9" s="3"/>
      <c r="KXJ9" s="3"/>
      <c r="KXK9" s="3"/>
      <c r="KXL9" s="3"/>
      <c r="KXM9" s="3"/>
      <c r="KXN9" s="3"/>
      <c r="KXO9" s="3"/>
      <c r="KXP9" s="3"/>
      <c r="KXQ9" s="3"/>
      <c r="KXR9" s="3"/>
      <c r="KXS9" s="3"/>
      <c r="KXT9" s="3"/>
      <c r="KXU9" s="3"/>
      <c r="KXV9" s="3"/>
      <c r="KXW9" s="3"/>
      <c r="KXX9" s="3"/>
      <c r="KXY9" s="3"/>
      <c r="KXZ9" s="3"/>
      <c r="KYA9" s="3"/>
      <c r="KYB9" s="3"/>
      <c r="KYC9" s="3"/>
      <c r="KYD9" s="3"/>
      <c r="KYE9" s="3"/>
      <c r="KYF9" s="3"/>
      <c r="KYG9" s="3"/>
      <c r="KYH9" s="3"/>
      <c r="KYI9" s="3"/>
      <c r="KYJ9" s="3"/>
      <c r="KYK9" s="3"/>
      <c r="KYL9" s="3"/>
      <c r="KYM9" s="3"/>
      <c r="KYN9" s="3"/>
      <c r="KYO9" s="3"/>
      <c r="KYP9" s="3"/>
      <c r="KYQ9" s="3"/>
      <c r="KYR9" s="3"/>
      <c r="KYS9" s="3"/>
      <c r="KYT9" s="3"/>
      <c r="KYU9" s="3"/>
      <c r="KYV9" s="3"/>
      <c r="KYW9" s="3"/>
      <c r="KYX9" s="3"/>
      <c r="KYY9" s="3"/>
      <c r="KYZ9" s="3"/>
      <c r="KZA9" s="3"/>
      <c r="KZB9" s="3"/>
      <c r="KZC9" s="3"/>
      <c r="KZD9" s="3"/>
      <c r="KZE9" s="3"/>
      <c r="KZF9" s="3"/>
      <c r="KZG9" s="3"/>
      <c r="KZH9" s="3"/>
      <c r="KZI9" s="3"/>
      <c r="KZJ9" s="3"/>
      <c r="KZK9" s="3"/>
      <c r="KZL9" s="3"/>
      <c r="KZM9" s="3"/>
      <c r="KZN9" s="3"/>
      <c r="KZO9" s="3"/>
      <c r="KZP9" s="3"/>
      <c r="KZQ9" s="3"/>
      <c r="KZR9" s="3"/>
      <c r="KZS9" s="3"/>
      <c r="KZT9" s="3"/>
      <c r="KZU9" s="3"/>
      <c r="KZV9" s="3"/>
      <c r="KZW9" s="3"/>
      <c r="KZX9" s="3"/>
      <c r="KZY9" s="3"/>
      <c r="KZZ9" s="3"/>
      <c r="LAA9" s="3"/>
      <c r="LAB9" s="3"/>
      <c r="LAC9" s="3"/>
      <c r="LAD9" s="3"/>
      <c r="LAE9" s="3"/>
      <c r="LAF9" s="3"/>
      <c r="LAG9" s="3"/>
      <c r="LAH9" s="3"/>
      <c r="LAI9" s="3"/>
      <c r="LAJ9" s="3"/>
      <c r="LAK9" s="3"/>
      <c r="LAL9" s="3"/>
      <c r="LAM9" s="3"/>
      <c r="LAN9" s="3"/>
      <c r="LAO9" s="3"/>
      <c r="LAP9" s="3"/>
      <c r="LAQ9" s="3"/>
      <c r="LAR9" s="3"/>
      <c r="LAS9" s="3"/>
      <c r="LAT9" s="3"/>
      <c r="LAU9" s="3"/>
      <c r="LAV9" s="3"/>
      <c r="LAW9" s="3"/>
      <c r="LAX9" s="3"/>
      <c r="LAY9" s="3"/>
      <c r="LAZ9" s="3"/>
      <c r="LBA9" s="3"/>
      <c r="LBB9" s="3"/>
      <c r="LBC9" s="3"/>
      <c r="LBD9" s="3"/>
      <c r="LBE9" s="3"/>
      <c r="LBF9" s="3"/>
      <c r="LBG9" s="3"/>
      <c r="LBH9" s="3"/>
      <c r="LBI9" s="3"/>
      <c r="LBJ9" s="3"/>
      <c r="LBK9" s="3"/>
      <c r="LBL9" s="3"/>
      <c r="LBM9" s="3"/>
      <c r="LBN9" s="3"/>
      <c r="LBO9" s="3"/>
      <c r="LBP9" s="3"/>
      <c r="LBQ9" s="3"/>
      <c r="LBR9" s="3"/>
      <c r="LBS9" s="3"/>
      <c r="LBT9" s="3"/>
      <c r="LBU9" s="3"/>
      <c r="LBV9" s="3"/>
      <c r="LBW9" s="3"/>
      <c r="LBX9" s="3"/>
      <c r="LBY9" s="3"/>
      <c r="LBZ9" s="3"/>
      <c r="LCA9" s="3"/>
      <c r="LCB9" s="3"/>
      <c r="LCC9" s="3"/>
      <c r="LCD9" s="3"/>
      <c r="LCE9" s="3"/>
      <c r="LCF9" s="3"/>
      <c r="LCG9" s="3"/>
      <c r="LCH9" s="3"/>
      <c r="LCI9" s="3"/>
      <c r="LCJ9" s="3"/>
      <c r="LCK9" s="3"/>
      <c r="LCL9" s="3"/>
      <c r="LCM9" s="3"/>
      <c r="LCN9" s="3"/>
      <c r="LCO9" s="3"/>
      <c r="LCP9" s="3"/>
      <c r="LCQ9" s="3"/>
      <c r="LCR9" s="3"/>
      <c r="LCS9" s="3"/>
      <c r="LCT9" s="3"/>
      <c r="LCU9" s="3"/>
      <c r="LCV9" s="3"/>
      <c r="LCW9" s="3"/>
      <c r="LCX9" s="3"/>
      <c r="LCY9" s="3"/>
      <c r="LCZ9" s="3"/>
      <c r="LDA9" s="3"/>
      <c r="LDB9" s="3"/>
      <c r="LDC9" s="3"/>
      <c r="LDD9" s="3"/>
      <c r="LDE9" s="3"/>
      <c r="LDF9" s="3"/>
      <c r="LDG9" s="3"/>
      <c r="LDH9" s="3"/>
      <c r="LDI9" s="3"/>
      <c r="LDJ9" s="3"/>
      <c r="LDK9" s="3"/>
      <c r="LDL9" s="3"/>
      <c r="LDM9" s="3"/>
      <c r="LDN9" s="3"/>
      <c r="LDO9" s="3"/>
      <c r="LDP9" s="3"/>
      <c r="LDQ9" s="3"/>
      <c r="LDR9" s="3"/>
      <c r="LDS9" s="3"/>
      <c r="LDT9" s="3"/>
      <c r="LDU9" s="3"/>
      <c r="LDV9" s="3"/>
      <c r="LDW9" s="3"/>
      <c r="LDX9" s="3"/>
      <c r="LDY9" s="3"/>
      <c r="LDZ9" s="3"/>
      <c r="LEA9" s="3"/>
      <c r="LEB9" s="3"/>
      <c r="LEC9" s="3"/>
      <c r="LED9" s="3"/>
      <c r="LEE9" s="3"/>
      <c r="LEF9" s="3"/>
      <c r="LEG9" s="3"/>
      <c r="LEH9" s="3"/>
      <c r="LEI9" s="3"/>
      <c r="LEJ9" s="3"/>
      <c r="LEK9" s="3"/>
      <c r="LEL9" s="3"/>
      <c r="LEM9" s="3"/>
      <c r="LEN9" s="3"/>
      <c r="LEO9" s="3"/>
      <c r="LEP9" s="3"/>
      <c r="LEQ9" s="3"/>
      <c r="LER9" s="3"/>
      <c r="LES9" s="3"/>
      <c r="LET9" s="3"/>
      <c r="LEU9" s="3"/>
      <c r="LEV9" s="3"/>
      <c r="LEW9" s="3"/>
      <c r="LEX9" s="3"/>
      <c r="LEY9" s="3"/>
      <c r="LEZ9" s="3"/>
      <c r="LFA9" s="3"/>
      <c r="LFB9" s="3"/>
      <c r="LFC9" s="3"/>
      <c r="LFD9" s="3"/>
      <c r="LFE9" s="3"/>
      <c r="LFF9" s="3"/>
      <c r="LFG9" s="3"/>
      <c r="LFH9" s="3"/>
      <c r="LFI9" s="3"/>
      <c r="LFJ9" s="3"/>
      <c r="LFK9" s="3"/>
      <c r="LFL9" s="3"/>
      <c r="LFM9" s="3"/>
      <c r="LFN9" s="3"/>
      <c r="LFO9" s="3"/>
      <c r="LFP9" s="3"/>
      <c r="LFQ9" s="3"/>
      <c r="LFR9" s="3"/>
      <c r="LFS9" s="3"/>
      <c r="LFT9" s="3"/>
      <c r="LFU9" s="3"/>
      <c r="LFV9" s="3"/>
      <c r="LFW9" s="3"/>
      <c r="LFX9" s="3"/>
      <c r="LFY9" s="3"/>
      <c r="LFZ9" s="3"/>
      <c r="LGA9" s="3"/>
      <c r="LGB9" s="3"/>
      <c r="LGC9" s="3"/>
      <c r="LGD9" s="3"/>
      <c r="LGE9" s="3"/>
      <c r="LGF9" s="3"/>
      <c r="LGG9" s="3"/>
      <c r="LGH9" s="3"/>
      <c r="LGI9" s="3"/>
      <c r="LGJ9" s="3"/>
      <c r="LGK9" s="3"/>
      <c r="LGL9" s="3"/>
      <c r="LGM9" s="3"/>
      <c r="LGN9" s="3"/>
      <c r="LGO9" s="3"/>
      <c r="LGP9" s="3"/>
      <c r="LGQ9" s="3"/>
      <c r="LGR9" s="3"/>
      <c r="LGS9" s="3"/>
      <c r="LGT9" s="3"/>
      <c r="LGU9" s="3"/>
      <c r="LGV9" s="3"/>
      <c r="LGW9" s="3"/>
      <c r="LGX9" s="3"/>
      <c r="LGY9" s="3"/>
      <c r="LGZ9" s="3"/>
      <c r="LHA9" s="3"/>
      <c r="LHB9" s="3"/>
      <c r="LHC9" s="3"/>
      <c r="LHD9" s="3"/>
      <c r="LHE9" s="3"/>
      <c r="LHF9" s="3"/>
      <c r="LHG9" s="3"/>
      <c r="LHH9" s="3"/>
      <c r="LHI9" s="3"/>
      <c r="LHJ9" s="3"/>
      <c r="LHK9" s="3"/>
      <c r="LHL9" s="3"/>
      <c r="LHM9" s="3"/>
      <c r="LHN9" s="3"/>
      <c r="LHO9" s="3"/>
      <c r="LHP9" s="3"/>
      <c r="LHQ9" s="3"/>
      <c r="LHR9" s="3"/>
      <c r="LHS9" s="3"/>
      <c r="LHT9" s="3"/>
      <c r="LHU9" s="3"/>
      <c r="LHV9" s="3"/>
      <c r="LHW9" s="3"/>
      <c r="LHX9" s="3"/>
      <c r="LHY9" s="3"/>
      <c r="LHZ9" s="3"/>
      <c r="LIA9" s="3"/>
      <c r="LIB9" s="3"/>
      <c r="LIC9" s="3"/>
      <c r="LID9" s="3"/>
      <c r="LIE9" s="3"/>
      <c r="LIF9" s="3"/>
      <c r="LIG9" s="3"/>
      <c r="LIH9" s="3"/>
      <c r="LII9" s="3"/>
      <c r="LIJ9" s="3"/>
      <c r="LIK9" s="3"/>
      <c r="LIL9" s="3"/>
      <c r="LIM9" s="3"/>
      <c r="LIN9" s="3"/>
      <c r="LIO9" s="3"/>
      <c r="LIP9" s="3"/>
      <c r="LIQ9" s="3"/>
      <c r="LIR9" s="3"/>
      <c r="LIS9" s="3"/>
      <c r="LIT9" s="3"/>
      <c r="LIU9" s="3"/>
      <c r="LIV9" s="3"/>
      <c r="LIW9" s="3"/>
      <c r="LIX9" s="3"/>
      <c r="LIY9" s="3"/>
      <c r="LIZ9" s="3"/>
      <c r="LJA9" s="3"/>
      <c r="LJB9" s="3"/>
      <c r="LJC9" s="3"/>
      <c r="LJD9" s="3"/>
      <c r="LJE9" s="3"/>
      <c r="LJF9" s="3"/>
      <c r="LJG9" s="3"/>
      <c r="LJH9" s="3"/>
      <c r="LJI9" s="3"/>
      <c r="LJJ9" s="3"/>
      <c r="LJK9" s="3"/>
      <c r="LJL9" s="3"/>
      <c r="LJM9" s="3"/>
      <c r="LJN9" s="3"/>
      <c r="LJO9" s="3"/>
      <c r="LJP9" s="3"/>
      <c r="LJQ9" s="3"/>
      <c r="LJR9" s="3"/>
      <c r="LJS9" s="3"/>
      <c r="LJT9" s="3"/>
      <c r="LJU9" s="3"/>
      <c r="LJV9" s="3"/>
      <c r="LJW9" s="3"/>
      <c r="LJX9" s="3"/>
      <c r="LJY9" s="3"/>
      <c r="LJZ9" s="3"/>
      <c r="LKA9" s="3"/>
      <c r="LKB9" s="3"/>
      <c r="LKC9" s="3"/>
      <c r="LKD9" s="3"/>
      <c r="LKE9" s="3"/>
      <c r="LKF9" s="3"/>
      <c r="LKG9" s="3"/>
      <c r="LKH9" s="3"/>
      <c r="LKI9" s="3"/>
      <c r="LKJ9" s="3"/>
      <c r="LKK9" s="3"/>
      <c r="LKL9" s="3"/>
      <c r="LKM9" s="3"/>
      <c r="LKN9" s="3"/>
      <c r="LKO9" s="3"/>
      <c r="LKP9" s="3"/>
      <c r="LKQ9" s="3"/>
      <c r="LKR9" s="3"/>
      <c r="LKS9" s="3"/>
      <c r="LKT9" s="3"/>
      <c r="LKU9" s="3"/>
      <c r="LKV9" s="3"/>
      <c r="LKW9" s="3"/>
      <c r="LKX9" s="3"/>
      <c r="LKY9" s="3"/>
      <c r="LKZ9" s="3"/>
      <c r="LLA9" s="3"/>
      <c r="LLB9" s="3"/>
      <c r="LLC9" s="3"/>
      <c r="LLD9" s="3"/>
      <c r="LLE9" s="3"/>
      <c r="LLF9" s="3"/>
      <c r="LLG9" s="3"/>
      <c r="LLH9" s="3"/>
      <c r="LLI9" s="3"/>
      <c r="LLJ9" s="3"/>
      <c r="LLK9" s="3"/>
      <c r="LLL9" s="3"/>
      <c r="LLM9" s="3"/>
      <c r="LLN9" s="3"/>
      <c r="LLO9" s="3"/>
      <c r="LLP9" s="3"/>
      <c r="LLQ9" s="3"/>
      <c r="LLR9" s="3"/>
      <c r="LLS9" s="3"/>
      <c r="LLT9" s="3"/>
      <c r="LLU9" s="3"/>
      <c r="LLV9" s="3"/>
      <c r="LLW9" s="3"/>
      <c r="LLX9" s="3"/>
      <c r="LLY9" s="3"/>
      <c r="LLZ9" s="3"/>
      <c r="LMA9" s="3"/>
      <c r="LMB9" s="3"/>
      <c r="LMC9" s="3"/>
      <c r="LMD9" s="3"/>
      <c r="LME9" s="3"/>
      <c r="LMF9" s="3"/>
      <c r="LMG9" s="3"/>
      <c r="LMH9" s="3"/>
      <c r="LMI9" s="3"/>
      <c r="LMJ9" s="3"/>
      <c r="LMK9" s="3"/>
      <c r="LML9" s="3"/>
      <c r="LMM9" s="3"/>
      <c r="LMN9" s="3"/>
      <c r="LMO9" s="3"/>
      <c r="LMP9" s="3"/>
      <c r="LMQ9" s="3"/>
      <c r="LMR9" s="3"/>
      <c r="LMS9" s="3"/>
      <c r="LMT9" s="3"/>
      <c r="LMU9" s="3"/>
      <c r="LMV9" s="3"/>
      <c r="LMW9" s="3"/>
      <c r="LMX9" s="3"/>
      <c r="LMY9" s="3"/>
      <c r="LMZ9" s="3"/>
      <c r="LNA9" s="3"/>
      <c r="LNB9" s="3"/>
      <c r="LNC9" s="3"/>
      <c r="LND9" s="3"/>
      <c r="LNE9" s="3"/>
      <c r="LNF9" s="3"/>
      <c r="LNG9" s="3"/>
      <c r="LNH9" s="3"/>
      <c r="LNI9" s="3"/>
      <c r="LNJ9" s="3"/>
      <c r="LNK9" s="3"/>
      <c r="LNL9" s="3"/>
      <c r="LNM9" s="3"/>
      <c r="LNN9" s="3"/>
      <c r="LNO9" s="3"/>
      <c r="LNP9" s="3"/>
      <c r="LNQ9" s="3"/>
      <c r="LNR9" s="3"/>
      <c r="LNS9" s="3"/>
      <c r="LNT9" s="3"/>
      <c r="LNU9" s="3"/>
      <c r="LNV9" s="3"/>
      <c r="LNW9" s="3"/>
      <c r="LNX9" s="3"/>
      <c r="LNY9" s="3"/>
      <c r="LNZ9" s="3"/>
      <c r="LOA9" s="3"/>
      <c r="LOB9" s="3"/>
      <c r="LOC9" s="3"/>
      <c r="LOD9" s="3"/>
      <c r="LOE9" s="3"/>
      <c r="LOF9" s="3"/>
      <c r="LOG9" s="3"/>
      <c r="LOH9" s="3"/>
      <c r="LOI9" s="3"/>
      <c r="LOJ9" s="3"/>
      <c r="LOK9" s="3"/>
      <c r="LOL9" s="3"/>
      <c r="LOM9" s="3"/>
      <c r="LON9" s="3"/>
      <c r="LOO9" s="3"/>
      <c r="LOP9" s="3"/>
      <c r="LOQ9" s="3"/>
      <c r="LOR9" s="3"/>
      <c r="LOS9" s="3"/>
      <c r="LOT9" s="3"/>
      <c r="LOU9" s="3"/>
      <c r="LOV9" s="3"/>
      <c r="LOW9" s="3"/>
      <c r="LOX9" s="3"/>
      <c r="LOY9" s="3"/>
      <c r="LOZ9" s="3"/>
      <c r="LPA9" s="3"/>
      <c r="LPB9" s="3"/>
      <c r="LPC9" s="3"/>
      <c r="LPD9" s="3"/>
      <c r="LPE9" s="3"/>
      <c r="LPF9" s="3"/>
      <c r="LPG9" s="3"/>
      <c r="LPH9" s="3"/>
      <c r="LPI9" s="3"/>
      <c r="LPJ9" s="3"/>
      <c r="LPK9" s="3"/>
      <c r="LPL9" s="3"/>
      <c r="LPM9" s="3"/>
      <c r="LPN9" s="3"/>
      <c r="LPO9" s="3"/>
      <c r="LPP9" s="3"/>
      <c r="LPQ9" s="3"/>
      <c r="LPR9" s="3"/>
      <c r="LPS9" s="3"/>
      <c r="LPT9" s="3"/>
      <c r="LPU9" s="3"/>
      <c r="LPV9" s="3"/>
      <c r="LPW9" s="3"/>
      <c r="LPX9" s="3"/>
      <c r="LPY9" s="3"/>
      <c r="LPZ9" s="3"/>
      <c r="LQA9" s="3"/>
      <c r="LQB9" s="3"/>
      <c r="LQC9" s="3"/>
      <c r="LQD9" s="3"/>
      <c r="LQE9" s="3"/>
      <c r="LQF9" s="3"/>
      <c r="LQG9" s="3"/>
      <c r="LQH9" s="3"/>
      <c r="LQI9" s="3"/>
      <c r="LQJ9" s="3"/>
      <c r="LQK9" s="3"/>
      <c r="LQL9" s="3"/>
      <c r="LQM9" s="3"/>
      <c r="LQN9" s="3"/>
      <c r="LQO9" s="3"/>
      <c r="LQP9" s="3"/>
      <c r="LQQ9" s="3"/>
      <c r="LQR9" s="3"/>
      <c r="LQS9" s="3"/>
      <c r="LQT9" s="3"/>
      <c r="LQU9" s="3"/>
      <c r="LQV9" s="3"/>
      <c r="LQW9" s="3"/>
      <c r="LQX9" s="3"/>
      <c r="LQY9" s="3"/>
      <c r="LQZ9" s="3"/>
      <c r="LRA9" s="3"/>
      <c r="LRB9" s="3"/>
      <c r="LRC9" s="3"/>
      <c r="LRD9" s="3"/>
      <c r="LRE9" s="3"/>
      <c r="LRF9" s="3"/>
      <c r="LRG9" s="3"/>
      <c r="LRH9" s="3"/>
      <c r="LRI9" s="3"/>
      <c r="LRJ9" s="3"/>
      <c r="LRK9" s="3"/>
      <c r="LRL9" s="3"/>
      <c r="LRM9" s="3"/>
      <c r="LRN9" s="3"/>
      <c r="LRO9" s="3"/>
      <c r="LRP9" s="3"/>
      <c r="LRQ9" s="3"/>
      <c r="LRR9" s="3"/>
      <c r="LRS9" s="3"/>
      <c r="LRT9" s="3"/>
      <c r="LRU9" s="3"/>
      <c r="LRV9" s="3"/>
      <c r="LRW9" s="3"/>
      <c r="LRX9" s="3"/>
      <c r="LRY9" s="3"/>
      <c r="LRZ9" s="3"/>
      <c r="LSA9" s="3"/>
      <c r="LSB9" s="3"/>
      <c r="LSC9" s="3"/>
      <c r="LSD9" s="3"/>
      <c r="LSE9" s="3"/>
      <c r="LSF9" s="3"/>
      <c r="LSG9" s="3"/>
      <c r="LSH9" s="3"/>
      <c r="LSI9" s="3"/>
      <c r="LSJ9" s="3"/>
      <c r="LSK9" s="3"/>
      <c r="LSL9" s="3"/>
      <c r="LSM9" s="3"/>
      <c r="LSN9" s="3"/>
      <c r="LSO9" s="3"/>
      <c r="LSP9" s="3"/>
      <c r="LSQ9" s="3"/>
      <c r="LSR9" s="3"/>
      <c r="LSS9" s="3"/>
      <c r="LST9" s="3"/>
      <c r="LSU9" s="3"/>
      <c r="LSV9" s="3"/>
      <c r="LSW9" s="3"/>
      <c r="LSX9" s="3"/>
      <c r="LSY9" s="3"/>
      <c r="LSZ9" s="3"/>
      <c r="LTA9" s="3"/>
      <c r="LTB9" s="3"/>
      <c r="LTC9" s="3"/>
      <c r="LTD9" s="3"/>
      <c r="LTE9" s="3"/>
      <c r="LTF9" s="3"/>
      <c r="LTG9" s="3"/>
      <c r="LTH9" s="3"/>
      <c r="LTI9" s="3"/>
      <c r="LTJ9" s="3"/>
      <c r="LTK9" s="3"/>
      <c r="LTL9" s="3"/>
      <c r="LTM9" s="3"/>
      <c r="LTN9" s="3"/>
      <c r="LTO9" s="3"/>
      <c r="LTP9" s="3"/>
      <c r="LTQ9" s="3"/>
      <c r="LTR9" s="3"/>
      <c r="LTS9" s="3"/>
      <c r="LTT9" s="3"/>
      <c r="LTU9" s="3"/>
      <c r="LTV9" s="3"/>
      <c r="LTW9" s="3"/>
      <c r="LTX9" s="3"/>
      <c r="LTY9" s="3"/>
      <c r="LTZ9" s="3"/>
      <c r="LUA9" s="3"/>
      <c r="LUB9" s="3"/>
      <c r="LUC9" s="3"/>
      <c r="LUD9" s="3"/>
      <c r="LUE9" s="3"/>
      <c r="LUF9" s="3"/>
      <c r="LUG9" s="3"/>
      <c r="LUH9" s="3"/>
      <c r="LUI9" s="3"/>
      <c r="LUJ9" s="3"/>
      <c r="LUK9" s="3"/>
      <c r="LUL9" s="3"/>
      <c r="LUM9" s="3"/>
      <c r="LUN9" s="3"/>
      <c r="LUO9" s="3"/>
      <c r="LUP9" s="3"/>
      <c r="LUQ9" s="3"/>
      <c r="LUR9" s="3"/>
      <c r="LUS9" s="3"/>
      <c r="LUT9" s="3"/>
      <c r="LUU9" s="3"/>
      <c r="LUV9" s="3"/>
      <c r="LUW9" s="3"/>
      <c r="LUX9" s="3"/>
      <c r="LUY9" s="3"/>
      <c r="LUZ9" s="3"/>
      <c r="LVA9" s="3"/>
      <c r="LVB9" s="3"/>
      <c r="LVC9" s="3"/>
      <c r="LVD9" s="3"/>
      <c r="LVE9" s="3"/>
      <c r="LVF9" s="3"/>
      <c r="LVG9" s="3"/>
      <c r="LVH9" s="3"/>
      <c r="LVI9" s="3"/>
      <c r="LVJ9" s="3"/>
      <c r="LVK9" s="3"/>
      <c r="LVL9" s="3"/>
      <c r="LVM9" s="3"/>
      <c r="LVN9" s="3"/>
      <c r="LVO9" s="3"/>
      <c r="LVP9" s="3"/>
      <c r="LVQ9" s="3"/>
      <c r="LVR9" s="3"/>
      <c r="LVS9" s="3"/>
      <c r="LVT9" s="3"/>
      <c r="LVU9" s="3"/>
      <c r="LVV9" s="3"/>
      <c r="LVW9" s="3"/>
      <c r="LVX9" s="3"/>
      <c r="LVY9" s="3"/>
      <c r="LVZ9" s="3"/>
      <c r="LWA9" s="3"/>
      <c r="LWB9" s="3"/>
      <c r="LWC9" s="3"/>
      <c r="LWD9" s="3"/>
      <c r="LWE9" s="3"/>
      <c r="LWF9" s="3"/>
      <c r="LWG9" s="3"/>
      <c r="LWH9" s="3"/>
      <c r="LWI9" s="3"/>
      <c r="LWJ9" s="3"/>
      <c r="LWK9" s="3"/>
      <c r="LWL9" s="3"/>
      <c r="LWM9" s="3"/>
      <c r="LWN9" s="3"/>
      <c r="LWO9" s="3"/>
      <c r="LWP9" s="3"/>
      <c r="LWQ9" s="3"/>
      <c r="LWR9" s="3"/>
      <c r="LWS9" s="3"/>
      <c r="LWT9" s="3"/>
      <c r="LWU9" s="3"/>
      <c r="LWV9" s="3"/>
      <c r="LWW9" s="3"/>
      <c r="LWX9" s="3"/>
      <c r="LWY9" s="3"/>
      <c r="LWZ9" s="3"/>
      <c r="LXA9" s="3"/>
      <c r="LXB9" s="3"/>
      <c r="LXC9" s="3"/>
      <c r="LXD9" s="3"/>
      <c r="LXE9" s="3"/>
      <c r="LXF9" s="3"/>
      <c r="LXG9" s="3"/>
      <c r="LXH9" s="3"/>
      <c r="LXI9" s="3"/>
      <c r="LXJ9" s="3"/>
      <c r="LXK9" s="3"/>
      <c r="LXL9" s="3"/>
      <c r="LXM9" s="3"/>
      <c r="LXN9" s="3"/>
      <c r="LXO9" s="3"/>
      <c r="LXP9" s="3"/>
      <c r="LXQ9" s="3"/>
      <c r="LXR9" s="3"/>
      <c r="LXS9" s="3"/>
      <c r="LXT9" s="3"/>
      <c r="LXU9" s="3"/>
      <c r="LXV9" s="3"/>
      <c r="LXW9" s="3"/>
      <c r="LXX9" s="3"/>
      <c r="LXY9" s="3"/>
      <c r="LXZ9" s="3"/>
      <c r="LYA9" s="3"/>
      <c r="LYB9" s="3"/>
      <c r="LYC9" s="3"/>
      <c r="LYD9" s="3"/>
      <c r="LYE9" s="3"/>
      <c r="LYF9" s="3"/>
      <c r="LYG9" s="3"/>
      <c r="LYH9" s="3"/>
      <c r="LYI9" s="3"/>
      <c r="LYJ9" s="3"/>
      <c r="LYK9" s="3"/>
      <c r="LYL9" s="3"/>
      <c r="LYM9" s="3"/>
      <c r="LYN9" s="3"/>
      <c r="LYO9" s="3"/>
      <c r="LYP9" s="3"/>
      <c r="LYQ9" s="3"/>
      <c r="LYR9" s="3"/>
      <c r="LYS9" s="3"/>
      <c r="LYT9" s="3"/>
      <c r="LYU9" s="3"/>
      <c r="LYV9" s="3"/>
      <c r="LYW9" s="3"/>
      <c r="LYX9" s="3"/>
      <c r="LYY9" s="3"/>
      <c r="LYZ9" s="3"/>
      <c r="LZA9" s="3"/>
      <c r="LZB9" s="3"/>
      <c r="LZC9" s="3"/>
      <c r="LZD9" s="3"/>
      <c r="LZE9" s="3"/>
      <c r="LZF9" s="3"/>
      <c r="LZG9" s="3"/>
      <c r="LZH9" s="3"/>
      <c r="LZI9" s="3"/>
      <c r="LZJ9" s="3"/>
      <c r="LZK9" s="3"/>
      <c r="LZL9" s="3"/>
      <c r="LZM9" s="3"/>
      <c r="LZN9" s="3"/>
      <c r="LZO9" s="3"/>
      <c r="LZP9" s="3"/>
      <c r="LZQ9" s="3"/>
      <c r="LZR9" s="3"/>
      <c r="LZS9" s="3"/>
      <c r="LZT9" s="3"/>
      <c r="LZU9" s="3"/>
      <c r="LZV9" s="3"/>
      <c r="LZW9" s="3"/>
      <c r="LZX9" s="3"/>
      <c r="LZY9" s="3"/>
      <c r="LZZ9" s="3"/>
      <c r="MAA9" s="3"/>
      <c r="MAB9" s="3"/>
      <c r="MAC9" s="3"/>
      <c r="MAD9" s="3"/>
      <c r="MAE9" s="3"/>
      <c r="MAF9" s="3"/>
      <c r="MAG9" s="3"/>
      <c r="MAH9" s="3"/>
      <c r="MAI9" s="3"/>
      <c r="MAJ9" s="3"/>
      <c r="MAK9" s="3"/>
      <c r="MAL9" s="3"/>
      <c r="MAM9" s="3"/>
      <c r="MAN9" s="3"/>
      <c r="MAO9" s="3"/>
      <c r="MAP9" s="3"/>
      <c r="MAQ9" s="3"/>
      <c r="MAR9" s="3"/>
      <c r="MAS9" s="3"/>
      <c r="MAT9" s="3"/>
      <c r="MAU9" s="3"/>
      <c r="MAV9" s="3"/>
      <c r="MAW9" s="3"/>
      <c r="MAX9" s="3"/>
      <c r="MAY9" s="3"/>
      <c r="MAZ9" s="3"/>
      <c r="MBA9" s="3"/>
      <c r="MBB9" s="3"/>
      <c r="MBC9" s="3"/>
      <c r="MBD9" s="3"/>
      <c r="MBE9" s="3"/>
      <c r="MBF9" s="3"/>
      <c r="MBG9" s="3"/>
      <c r="MBH9" s="3"/>
      <c r="MBI9" s="3"/>
      <c r="MBJ9" s="3"/>
      <c r="MBK9" s="3"/>
      <c r="MBL9" s="3"/>
      <c r="MBM9" s="3"/>
      <c r="MBN9" s="3"/>
      <c r="MBO9" s="3"/>
      <c r="MBP9" s="3"/>
      <c r="MBQ9" s="3"/>
      <c r="MBR9" s="3"/>
      <c r="MBS9" s="3"/>
      <c r="MBT9" s="3"/>
      <c r="MBU9" s="3"/>
      <c r="MBV9" s="3"/>
      <c r="MBW9" s="3"/>
      <c r="MBX9" s="3"/>
      <c r="MBY9" s="3"/>
      <c r="MBZ9" s="3"/>
      <c r="MCA9" s="3"/>
      <c r="MCB9" s="3"/>
      <c r="MCC9" s="3"/>
      <c r="MCD9" s="3"/>
      <c r="MCE9" s="3"/>
      <c r="MCF9" s="3"/>
      <c r="MCG9" s="3"/>
      <c r="MCH9" s="3"/>
      <c r="MCI9" s="3"/>
      <c r="MCJ9" s="3"/>
      <c r="MCK9" s="3"/>
      <c r="MCL9" s="3"/>
      <c r="MCM9" s="3"/>
      <c r="MCN9" s="3"/>
      <c r="MCO9" s="3"/>
      <c r="MCP9" s="3"/>
      <c r="MCQ9" s="3"/>
      <c r="MCR9" s="3"/>
      <c r="MCS9" s="3"/>
      <c r="MCT9" s="3"/>
      <c r="MCU9" s="3"/>
      <c r="MCV9" s="3"/>
      <c r="MCW9" s="3"/>
      <c r="MCX9" s="3"/>
      <c r="MCY9" s="3"/>
      <c r="MCZ9" s="3"/>
      <c r="MDA9" s="3"/>
      <c r="MDB9" s="3"/>
      <c r="MDC9" s="3"/>
      <c r="MDD9" s="3"/>
      <c r="MDE9" s="3"/>
      <c r="MDF9" s="3"/>
      <c r="MDG9" s="3"/>
      <c r="MDH9" s="3"/>
      <c r="MDI9" s="3"/>
      <c r="MDJ9" s="3"/>
      <c r="MDK9" s="3"/>
      <c r="MDL9" s="3"/>
      <c r="MDM9" s="3"/>
      <c r="MDN9" s="3"/>
      <c r="MDO9" s="3"/>
      <c r="MDP9" s="3"/>
      <c r="MDQ9" s="3"/>
      <c r="MDR9" s="3"/>
      <c r="MDS9" s="3"/>
      <c r="MDT9" s="3"/>
      <c r="MDU9" s="3"/>
      <c r="MDV9" s="3"/>
      <c r="MDW9" s="3"/>
      <c r="MDX9" s="3"/>
      <c r="MDY9" s="3"/>
      <c r="MDZ9" s="3"/>
      <c r="MEA9" s="3"/>
      <c r="MEB9" s="3"/>
      <c r="MEC9" s="3"/>
      <c r="MED9" s="3"/>
      <c r="MEE9" s="3"/>
      <c r="MEF9" s="3"/>
      <c r="MEG9" s="3"/>
      <c r="MEH9" s="3"/>
      <c r="MEI9" s="3"/>
      <c r="MEJ9" s="3"/>
      <c r="MEK9" s="3"/>
      <c r="MEL9" s="3"/>
      <c r="MEM9" s="3"/>
      <c r="MEN9" s="3"/>
      <c r="MEO9" s="3"/>
      <c r="MEP9" s="3"/>
      <c r="MEQ9" s="3"/>
      <c r="MER9" s="3"/>
      <c r="MES9" s="3"/>
      <c r="MET9" s="3"/>
      <c r="MEU9" s="3"/>
      <c r="MEV9" s="3"/>
      <c r="MEW9" s="3"/>
      <c r="MEX9" s="3"/>
      <c r="MEY9" s="3"/>
      <c r="MEZ9" s="3"/>
      <c r="MFA9" s="3"/>
      <c r="MFB9" s="3"/>
      <c r="MFC9" s="3"/>
      <c r="MFD9" s="3"/>
      <c r="MFE9" s="3"/>
      <c r="MFF9" s="3"/>
      <c r="MFG9" s="3"/>
      <c r="MFH9" s="3"/>
      <c r="MFI9" s="3"/>
      <c r="MFJ9" s="3"/>
      <c r="MFK9" s="3"/>
      <c r="MFL9" s="3"/>
      <c r="MFM9" s="3"/>
      <c r="MFN9" s="3"/>
      <c r="MFO9" s="3"/>
      <c r="MFP9" s="3"/>
      <c r="MFQ9" s="3"/>
      <c r="MFR9" s="3"/>
      <c r="MFS9" s="3"/>
      <c r="MFT9" s="3"/>
      <c r="MFU9" s="3"/>
      <c r="MFV9" s="3"/>
      <c r="MFW9" s="3"/>
      <c r="MFX9" s="3"/>
      <c r="MFY9" s="3"/>
      <c r="MFZ9" s="3"/>
      <c r="MGA9" s="3"/>
      <c r="MGB9" s="3"/>
      <c r="MGC9" s="3"/>
      <c r="MGD9" s="3"/>
      <c r="MGE9" s="3"/>
      <c r="MGF9" s="3"/>
      <c r="MGG9" s="3"/>
      <c r="MGH9" s="3"/>
      <c r="MGI9" s="3"/>
      <c r="MGJ9" s="3"/>
      <c r="MGK9" s="3"/>
      <c r="MGL9" s="3"/>
      <c r="MGM9" s="3"/>
      <c r="MGN9" s="3"/>
      <c r="MGO9" s="3"/>
      <c r="MGP9" s="3"/>
      <c r="MGQ9" s="3"/>
      <c r="MGR9" s="3"/>
      <c r="MGS9" s="3"/>
      <c r="MGT9" s="3"/>
      <c r="MGU9" s="3"/>
      <c r="MGV9" s="3"/>
      <c r="MGW9" s="3"/>
      <c r="MGX9" s="3"/>
      <c r="MGY9" s="3"/>
      <c r="MGZ9" s="3"/>
      <c r="MHA9" s="3"/>
      <c r="MHB9" s="3"/>
      <c r="MHC9" s="3"/>
      <c r="MHD9" s="3"/>
      <c r="MHE9" s="3"/>
      <c r="MHF9" s="3"/>
      <c r="MHG9" s="3"/>
      <c r="MHH9" s="3"/>
      <c r="MHI9" s="3"/>
      <c r="MHJ9" s="3"/>
      <c r="MHK9" s="3"/>
      <c r="MHL9" s="3"/>
      <c r="MHM9" s="3"/>
      <c r="MHN9" s="3"/>
      <c r="MHO9" s="3"/>
      <c r="MHP9" s="3"/>
      <c r="MHQ9" s="3"/>
      <c r="MHR9" s="3"/>
      <c r="MHS9" s="3"/>
      <c r="MHT9" s="3"/>
      <c r="MHU9" s="3"/>
      <c r="MHV9" s="3"/>
      <c r="MHW9" s="3"/>
      <c r="MHX9" s="3"/>
      <c r="MHY9" s="3"/>
      <c r="MHZ9" s="3"/>
      <c r="MIA9" s="3"/>
      <c r="MIB9" s="3"/>
      <c r="MIC9" s="3"/>
      <c r="MID9" s="3"/>
      <c r="MIE9" s="3"/>
      <c r="MIF9" s="3"/>
      <c r="MIG9" s="3"/>
      <c r="MIH9" s="3"/>
      <c r="MII9" s="3"/>
      <c r="MIJ9" s="3"/>
      <c r="MIK9" s="3"/>
      <c r="MIL9" s="3"/>
      <c r="MIM9" s="3"/>
      <c r="MIN9" s="3"/>
      <c r="MIO9" s="3"/>
      <c r="MIP9" s="3"/>
      <c r="MIQ9" s="3"/>
      <c r="MIR9" s="3"/>
      <c r="MIS9" s="3"/>
      <c r="MIT9" s="3"/>
      <c r="MIU9" s="3"/>
      <c r="MIV9" s="3"/>
      <c r="MIW9" s="3"/>
      <c r="MIX9" s="3"/>
      <c r="MIY9" s="3"/>
      <c r="MIZ9" s="3"/>
      <c r="MJA9" s="3"/>
      <c r="MJB9" s="3"/>
      <c r="MJC9" s="3"/>
      <c r="MJD9" s="3"/>
      <c r="MJE9" s="3"/>
      <c r="MJF9" s="3"/>
      <c r="MJG9" s="3"/>
      <c r="MJH9" s="3"/>
      <c r="MJI9" s="3"/>
      <c r="MJJ9" s="3"/>
      <c r="MJK9" s="3"/>
      <c r="MJL9" s="3"/>
      <c r="MJM9" s="3"/>
      <c r="MJN9" s="3"/>
      <c r="MJO9" s="3"/>
      <c r="MJP9" s="3"/>
      <c r="MJQ9" s="3"/>
      <c r="MJR9" s="3"/>
      <c r="MJS9" s="3"/>
      <c r="MJT9" s="3"/>
      <c r="MJU9" s="3"/>
      <c r="MJV9" s="3"/>
      <c r="MJW9" s="3"/>
      <c r="MJX9" s="3"/>
      <c r="MJY9" s="3"/>
      <c r="MJZ9" s="3"/>
      <c r="MKA9" s="3"/>
      <c r="MKB9" s="3"/>
      <c r="MKC9" s="3"/>
      <c r="MKD9" s="3"/>
      <c r="MKE9" s="3"/>
      <c r="MKF9" s="3"/>
      <c r="MKG9" s="3"/>
      <c r="MKH9" s="3"/>
      <c r="MKI9" s="3"/>
      <c r="MKJ9" s="3"/>
      <c r="MKK9" s="3"/>
      <c r="MKL9" s="3"/>
      <c r="MKM9" s="3"/>
      <c r="MKN9" s="3"/>
      <c r="MKO9" s="3"/>
      <c r="MKP9" s="3"/>
      <c r="MKQ9" s="3"/>
      <c r="MKR9" s="3"/>
      <c r="MKS9" s="3"/>
      <c r="MKT9" s="3"/>
      <c r="MKU9" s="3"/>
      <c r="MKV9" s="3"/>
      <c r="MKW9" s="3"/>
      <c r="MKX9" s="3"/>
      <c r="MKY9" s="3"/>
      <c r="MKZ9" s="3"/>
      <c r="MLA9" s="3"/>
      <c r="MLB9" s="3"/>
      <c r="MLC9" s="3"/>
      <c r="MLD9" s="3"/>
      <c r="MLE9" s="3"/>
      <c r="MLF9" s="3"/>
      <c r="MLG9" s="3"/>
      <c r="MLH9" s="3"/>
      <c r="MLI9" s="3"/>
      <c r="MLJ9" s="3"/>
      <c r="MLK9" s="3"/>
      <c r="MLL9" s="3"/>
      <c r="MLM9" s="3"/>
      <c r="MLN9" s="3"/>
      <c r="MLO9" s="3"/>
      <c r="MLP9" s="3"/>
      <c r="MLQ9" s="3"/>
      <c r="MLR9" s="3"/>
      <c r="MLS9" s="3"/>
      <c r="MLT9" s="3"/>
      <c r="MLU9" s="3"/>
      <c r="MLV9" s="3"/>
      <c r="MLW9" s="3"/>
      <c r="MLX9" s="3"/>
      <c r="MLY9" s="3"/>
      <c r="MLZ9" s="3"/>
      <c r="MMA9" s="3"/>
      <c r="MMB9" s="3"/>
      <c r="MMC9" s="3"/>
      <c r="MMD9" s="3"/>
      <c r="MME9" s="3"/>
      <c r="MMF9" s="3"/>
      <c r="MMG9" s="3"/>
      <c r="MMH9" s="3"/>
      <c r="MMI9" s="3"/>
      <c r="MMJ9" s="3"/>
      <c r="MMK9" s="3"/>
      <c r="MML9" s="3"/>
      <c r="MMM9" s="3"/>
      <c r="MMN9" s="3"/>
      <c r="MMO9" s="3"/>
      <c r="MMP9" s="3"/>
      <c r="MMQ9" s="3"/>
      <c r="MMR9" s="3"/>
      <c r="MMS9" s="3"/>
      <c r="MMT9" s="3"/>
      <c r="MMU9" s="3"/>
      <c r="MMV9" s="3"/>
      <c r="MMW9" s="3"/>
      <c r="MMX9" s="3"/>
      <c r="MMY9" s="3"/>
      <c r="MMZ9" s="3"/>
      <c r="MNA9" s="3"/>
      <c r="MNB9" s="3"/>
      <c r="MNC9" s="3"/>
      <c r="MND9" s="3"/>
      <c r="MNE9" s="3"/>
      <c r="MNF9" s="3"/>
      <c r="MNG9" s="3"/>
      <c r="MNH9" s="3"/>
      <c r="MNI9" s="3"/>
      <c r="MNJ9" s="3"/>
      <c r="MNK9" s="3"/>
      <c r="MNL9" s="3"/>
      <c r="MNM9" s="3"/>
      <c r="MNN9" s="3"/>
      <c r="MNO9" s="3"/>
      <c r="MNP9" s="3"/>
      <c r="MNQ9" s="3"/>
      <c r="MNR9" s="3"/>
      <c r="MNS9" s="3"/>
      <c r="MNT9" s="3"/>
      <c r="MNU9" s="3"/>
      <c r="MNV9" s="3"/>
      <c r="MNW9" s="3"/>
      <c r="MNX9" s="3"/>
      <c r="MNY9" s="3"/>
      <c r="MNZ9" s="3"/>
      <c r="MOA9" s="3"/>
      <c r="MOB9" s="3"/>
      <c r="MOC9" s="3"/>
      <c r="MOD9" s="3"/>
      <c r="MOE9" s="3"/>
      <c r="MOF9" s="3"/>
      <c r="MOG9" s="3"/>
      <c r="MOH9" s="3"/>
      <c r="MOI9" s="3"/>
      <c r="MOJ9" s="3"/>
      <c r="MOK9" s="3"/>
      <c r="MOL9" s="3"/>
      <c r="MOM9" s="3"/>
      <c r="MON9" s="3"/>
      <c r="MOO9" s="3"/>
      <c r="MOP9" s="3"/>
      <c r="MOQ9" s="3"/>
      <c r="MOR9" s="3"/>
      <c r="MOS9" s="3"/>
      <c r="MOT9" s="3"/>
      <c r="MOU9" s="3"/>
      <c r="MOV9" s="3"/>
      <c r="MOW9" s="3"/>
      <c r="MOX9" s="3"/>
      <c r="MOY9" s="3"/>
      <c r="MOZ9" s="3"/>
      <c r="MPA9" s="3"/>
      <c r="MPB9" s="3"/>
      <c r="MPC9" s="3"/>
      <c r="MPD9" s="3"/>
      <c r="MPE9" s="3"/>
      <c r="MPF9" s="3"/>
      <c r="MPG9" s="3"/>
      <c r="MPH9" s="3"/>
      <c r="MPI9" s="3"/>
      <c r="MPJ9" s="3"/>
      <c r="MPK9" s="3"/>
      <c r="MPL9" s="3"/>
      <c r="MPM9" s="3"/>
      <c r="MPN9" s="3"/>
      <c r="MPO9" s="3"/>
      <c r="MPP9" s="3"/>
      <c r="MPQ9" s="3"/>
      <c r="MPR9" s="3"/>
      <c r="MPS9" s="3"/>
      <c r="MPT9" s="3"/>
      <c r="MPU9" s="3"/>
      <c r="MPV9" s="3"/>
      <c r="MPW9" s="3"/>
      <c r="MPX9" s="3"/>
      <c r="MPY9" s="3"/>
      <c r="MPZ9" s="3"/>
      <c r="MQA9" s="3"/>
      <c r="MQB9" s="3"/>
      <c r="MQC9" s="3"/>
      <c r="MQD9" s="3"/>
      <c r="MQE9" s="3"/>
      <c r="MQF9" s="3"/>
      <c r="MQG9" s="3"/>
      <c r="MQH9" s="3"/>
      <c r="MQI9" s="3"/>
      <c r="MQJ9" s="3"/>
      <c r="MQK9" s="3"/>
      <c r="MQL9" s="3"/>
      <c r="MQM9" s="3"/>
      <c r="MQN9" s="3"/>
      <c r="MQO9" s="3"/>
      <c r="MQP9" s="3"/>
      <c r="MQQ9" s="3"/>
      <c r="MQR9" s="3"/>
      <c r="MQS9" s="3"/>
      <c r="MQT9" s="3"/>
      <c r="MQU9" s="3"/>
      <c r="MQV9" s="3"/>
      <c r="MQW9" s="3"/>
      <c r="MQX9" s="3"/>
      <c r="MQY9" s="3"/>
      <c r="MQZ9" s="3"/>
      <c r="MRA9" s="3"/>
      <c r="MRB9" s="3"/>
      <c r="MRC9" s="3"/>
      <c r="MRD9" s="3"/>
      <c r="MRE9" s="3"/>
      <c r="MRF9" s="3"/>
      <c r="MRG9" s="3"/>
      <c r="MRH9" s="3"/>
      <c r="MRI9" s="3"/>
      <c r="MRJ9" s="3"/>
      <c r="MRK9" s="3"/>
      <c r="MRL9" s="3"/>
      <c r="MRM9" s="3"/>
      <c r="MRN9" s="3"/>
      <c r="MRO9" s="3"/>
      <c r="MRP9" s="3"/>
      <c r="MRQ9" s="3"/>
      <c r="MRR9" s="3"/>
      <c r="MRS9" s="3"/>
      <c r="MRT9" s="3"/>
      <c r="MRU9" s="3"/>
      <c r="MRV9" s="3"/>
      <c r="MRW9" s="3"/>
      <c r="MRX9" s="3"/>
      <c r="MRY9" s="3"/>
      <c r="MRZ9" s="3"/>
      <c r="MSA9" s="3"/>
      <c r="MSB9" s="3"/>
      <c r="MSC9" s="3"/>
      <c r="MSD9" s="3"/>
      <c r="MSE9" s="3"/>
      <c r="MSF9" s="3"/>
      <c r="MSG9" s="3"/>
      <c r="MSH9" s="3"/>
      <c r="MSI9" s="3"/>
      <c r="MSJ9" s="3"/>
      <c r="MSK9" s="3"/>
      <c r="MSL9" s="3"/>
      <c r="MSM9" s="3"/>
      <c r="MSN9" s="3"/>
      <c r="MSO9" s="3"/>
      <c r="MSP9" s="3"/>
      <c r="MSQ9" s="3"/>
      <c r="MSR9" s="3"/>
      <c r="MSS9" s="3"/>
      <c r="MST9" s="3"/>
      <c r="MSU9" s="3"/>
      <c r="MSV9" s="3"/>
      <c r="MSW9" s="3"/>
      <c r="MSX9" s="3"/>
      <c r="MSY9" s="3"/>
      <c r="MSZ9" s="3"/>
      <c r="MTA9" s="3"/>
      <c r="MTB9" s="3"/>
      <c r="MTC9" s="3"/>
      <c r="MTD9" s="3"/>
      <c r="MTE9" s="3"/>
      <c r="MTF9" s="3"/>
      <c r="MTG9" s="3"/>
      <c r="MTH9" s="3"/>
      <c r="MTI9" s="3"/>
      <c r="MTJ9" s="3"/>
      <c r="MTK9" s="3"/>
      <c r="MTL9" s="3"/>
      <c r="MTM9" s="3"/>
      <c r="MTN9" s="3"/>
      <c r="MTO9" s="3"/>
      <c r="MTP9" s="3"/>
      <c r="MTQ9" s="3"/>
      <c r="MTR9" s="3"/>
      <c r="MTS9" s="3"/>
      <c r="MTT9" s="3"/>
      <c r="MTU9" s="3"/>
      <c r="MTV9" s="3"/>
      <c r="MTW9" s="3"/>
      <c r="MTX9" s="3"/>
      <c r="MTY9" s="3"/>
      <c r="MTZ9" s="3"/>
      <c r="MUA9" s="3"/>
      <c r="MUB9" s="3"/>
      <c r="MUC9" s="3"/>
      <c r="MUD9" s="3"/>
      <c r="MUE9" s="3"/>
      <c r="MUF9" s="3"/>
      <c r="MUG9" s="3"/>
      <c r="MUH9" s="3"/>
      <c r="MUI9" s="3"/>
      <c r="MUJ9" s="3"/>
      <c r="MUK9" s="3"/>
      <c r="MUL9" s="3"/>
      <c r="MUM9" s="3"/>
      <c r="MUN9" s="3"/>
      <c r="MUO9" s="3"/>
      <c r="MUP9" s="3"/>
      <c r="MUQ9" s="3"/>
      <c r="MUR9" s="3"/>
      <c r="MUS9" s="3"/>
      <c r="MUT9" s="3"/>
      <c r="MUU9" s="3"/>
      <c r="MUV9" s="3"/>
      <c r="MUW9" s="3"/>
      <c r="MUX9" s="3"/>
      <c r="MUY9" s="3"/>
      <c r="MUZ9" s="3"/>
      <c r="MVA9" s="3"/>
      <c r="MVB9" s="3"/>
      <c r="MVC9" s="3"/>
      <c r="MVD9" s="3"/>
      <c r="MVE9" s="3"/>
      <c r="MVF9" s="3"/>
      <c r="MVG9" s="3"/>
      <c r="MVH9" s="3"/>
      <c r="MVI9" s="3"/>
      <c r="MVJ9" s="3"/>
      <c r="MVK9" s="3"/>
      <c r="MVL9" s="3"/>
      <c r="MVM9" s="3"/>
      <c r="MVN9" s="3"/>
      <c r="MVO9" s="3"/>
      <c r="MVP9" s="3"/>
      <c r="MVQ9" s="3"/>
      <c r="MVR9" s="3"/>
      <c r="MVS9" s="3"/>
      <c r="MVT9" s="3"/>
      <c r="MVU9" s="3"/>
      <c r="MVV9" s="3"/>
      <c r="MVW9" s="3"/>
      <c r="MVX9" s="3"/>
      <c r="MVY9" s="3"/>
      <c r="MVZ9" s="3"/>
      <c r="MWA9" s="3"/>
      <c r="MWB9" s="3"/>
      <c r="MWC9" s="3"/>
      <c r="MWD9" s="3"/>
      <c r="MWE9" s="3"/>
      <c r="MWF9" s="3"/>
      <c r="MWG9" s="3"/>
      <c r="MWH9" s="3"/>
      <c r="MWI9" s="3"/>
      <c r="MWJ9" s="3"/>
      <c r="MWK9" s="3"/>
      <c r="MWL9" s="3"/>
      <c r="MWM9" s="3"/>
      <c r="MWN9" s="3"/>
      <c r="MWO9" s="3"/>
      <c r="MWP9" s="3"/>
      <c r="MWQ9" s="3"/>
      <c r="MWR9" s="3"/>
      <c r="MWS9" s="3"/>
      <c r="MWT9" s="3"/>
      <c r="MWU9" s="3"/>
      <c r="MWV9" s="3"/>
      <c r="MWW9" s="3"/>
      <c r="MWX9" s="3"/>
      <c r="MWY9" s="3"/>
      <c r="MWZ9" s="3"/>
      <c r="MXA9" s="3"/>
      <c r="MXB9" s="3"/>
      <c r="MXC9" s="3"/>
      <c r="MXD9" s="3"/>
      <c r="MXE9" s="3"/>
      <c r="MXF9" s="3"/>
      <c r="MXG9" s="3"/>
      <c r="MXH9" s="3"/>
      <c r="MXI9" s="3"/>
      <c r="MXJ9" s="3"/>
      <c r="MXK9" s="3"/>
      <c r="MXL9" s="3"/>
      <c r="MXM9" s="3"/>
      <c r="MXN9" s="3"/>
      <c r="MXO9" s="3"/>
      <c r="MXP9" s="3"/>
      <c r="MXQ9" s="3"/>
      <c r="MXR9" s="3"/>
      <c r="MXS9" s="3"/>
      <c r="MXT9" s="3"/>
      <c r="MXU9" s="3"/>
      <c r="MXV9" s="3"/>
      <c r="MXW9" s="3"/>
      <c r="MXX9" s="3"/>
      <c r="MXY9" s="3"/>
      <c r="MXZ9" s="3"/>
      <c r="MYA9" s="3"/>
      <c r="MYB9" s="3"/>
      <c r="MYC9" s="3"/>
      <c r="MYD9" s="3"/>
      <c r="MYE9" s="3"/>
      <c r="MYF9" s="3"/>
      <c r="MYG9" s="3"/>
      <c r="MYH9" s="3"/>
      <c r="MYI9" s="3"/>
      <c r="MYJ9" s="3"/>
      <c r="MYK9" s="3"/>
      <c r="MYL9" s="3"/>
      <c r="MYM9" s="3"/>
      <c r="MYN9" s="3"/>
      <c r="MYO9" s="3"/>
      <c r="MYP9" s="3"/>
      <c r="MYQ9" s="3"/>
      <c r="MYR9" s="3"/>
      <c r="MYS9" s="3"/>
      <c r="MYT9" s="3"/>
      <c r="MYU9" s="3"/>
      <c r="MYV9" s="3"/>
      <c r="MYW9" s="3"/>
      <c r="MYX9" s="3"/>
      <c r="MYY9" s="3"/>
      <c r="MYZ9" s="3"/>
      <c r="MZA9" s="3"/>
      <c r="MZB9" s="3"/>
      <c r="MZC9" s="3"/>
      <c r="MZD9" s="3"/>
      <c r="MZE9" s="3"/>
      <c r="MZF9" s="3"/>
      <c r="MZG9" s="3"/>
      <c r="MZH9" s="3"/>
      <c r="MZI9" s="3"/>
      <c r="MZJ9" s="3"/>
      <c r="MZK9" s="3"/>
      <c r="MZL9" s="3"/>
      <c r="MZM9" s="3"/>
      <c r="MZN9" s="3"/>
      <c r="MZO9" s="3"/>
      <c r="MZP9" s="3"/>
      <c r="MZQ9" s="3"/>
      <c r="MZR9" s="3"/>
      <c r="MZS9" s="3"/>
      <c r="MZT9" s="3"/>
      <c r="MZU9" s="3"/>
      <c r="MZV9" s="3"/>
      <c r="MZW9" s="3"/>
      <c r="MZX9" s="3"/>
      <c r="MZY9" s="3"/>
      <c r="MZZ9" s="3"/>
      <c r="NAA9" s="3"/>
      <c r="NAB9" s="3"/>
      <c r="NAC9" s="3"/>
      <c r="NAD9" s="3"/>
      <c r="NAE9" s="3"/>
      <c r="NAF9" s="3"/>
      <c r="NAG9" s="3"/>
      <c r="NAH9" s="3"/>
      <c r="NAI9" s="3"/>
      <c r="NAJ9" s="3"/>
      <c r="NAK9" s="3"/>
      <c r="NAL9" s="3"/>
      <c r="NAM9" s="3"/>
      <c r="NAN9" s="3"/>
      <c r="NAO9" s="3"/>
      <c r="NAP9" s="3"/>
      <c r="NAQ9" s="3"/>
      <c r="NAR9" s="3"/>
      <c r="NAS9" s="3"/>
      <c r="NAT9" s="3"/>
      <c r="NAU9" s="3"/>
      <c r="NAV9" s="3"/>
      <c r="NAW9" s="3"/>
      <c r="NAX9" s="3"/>
      <c r="NAY9" s="3"/>
      <c r="NAZ9" s="3"/>
      <c r="NBA9" s="3"/>
      <c r="NBB9" s="3"/>
      <c r="NBC9" s="3"/>
      <c r="NBD9" s="3"/>
      <c r="NBE9" s="3"/>
      <c r="NBF9" s="3"/>
      <c r="NBG9" s="3"/>
      <c r="NBH9" s="3"/>
      <c r="NBI9" s="3"/>
      <c r="NBJ9" s="3"/>
      <c r="NBK9" s="3"/>
      <c r="NBL9" s="3"/>
      <c r="NBM9" s="3"/>
      <c r="NBN9" s="3"/>
      <c r="NBO9" s="3"/>
      <c r="NBP9" s="3"/>
      <c r="NBQ9" s="3"/>
      <c r="NBR9" s="3"/>
      <c r="NBS9" s="3"/>
      <c r="NBT9" s="3"/>
      <c r="NBU9" s="3"/>
      <c r="NBV9" s="3"/>
      <c r="NBW9" s="3"/>
      <c r="NBX9" s="3"/>
      <c r="NBY9" s="3"/>
      <c r="NBZ9" s="3"/>
      <c r="NCA9" s="3"/>
      <c r="NCB9" s="3"/>
      <c r="NCC9" s="3"/>
      <c r="NCD9" s="3"/>
      <c r="NCE9" s="3"/>
      <c r="NCF9" s="3"/>
      <c r="NCG9" s="3"/>
      <c r="NCH9" s="3"/>
      <c r="NCI9" s="3"/>
      <c r="NCJ9" s="3"/>
      <c r="NCK9" s="3"/>
      <c r="NCL9" s="3"/>
      <c r="NCM9" s="3"/>
      <c r="NCN9" s="3"/>
      <c r="NCO9" s="3"/>
      <c r="NCP9" s="3"/>
      <c r="NCQ9" s="3"/>
      <c r="NCR9" s="3"/>
      <c r="NCS9" s="3"/>
      <c r="NCT9" s="3"/>
      <c r="NCU9" s="3"/>
      <c r="NCV9" s="3"/>
      <c r="NCW9" s="3"/>
      <c r="NCX9" s="3"/>
      <c r="NCY9" s="3"/>
      <c r="NCZ9" s="3"/>
      <c r="NDA9" s="3"/>
      <c r="NDB9" s="3"/>
      <c r="NDC9" s="3"/>
      <c r="NDD9" s="3"/>
      <c r="NDE9" s="3"/>
      <c r="NDF9" s="3"/>
      <c r="NDG9" s="3"/>
      <c r="NDH9" s="3"/>
      <c r="NDI9" s="3"/>
      <c r="NDJ9" s="3"/>
      <c r="NDK9" s="3"/>
      <c r="NDL9" s="3"/>
      <c r="NDM9" s="3"/>
      <c r="NDN9" s="3"/>
      <c r="NDO9" s="3"/>
      <c r="NDP9" s="3"/>
      <c r="NDQ9" s="3"/>
      <c r="NDR9" s="3"/>
      <c r="NDS9" s="3"/>
      <c r="NDT9" s="3"/>
      <c r="NDU9" s="3"/>
      <c r="NDV9" s="3"/>
      <c r="NDW9" s="3"/>
      <c r="NDX9" s="3"/>
      <c r="NDY9" s="3"/>
      <c r="NDZ9" s="3"/>
      <c r="NEA9" s="3"/>
      <c r="NEB9" s="3"/>
      <c r="NEC9" s="3"/>
      <c r="NED9" s="3"/>
      <c r="NEE9" s="3"/>
      <c r="NEF9" s="3"/>
      <c r="NEG9" s="3"/>
      <c r="NEH9" s="3"/>
      <c r="NEI9" s="3"/>
      <c r="NEJ9" s="3"/>
      <c r="NEK9" s="3"/>
      <c r="NEL9" s="3"/>
      <c r="NEM9" s="3"/>
      <c r="NEN9" s="3"/>
      <c r="NEO9" s="3"/>
      <c r="NEP9" s="3"/>
      <c r="NEQ9" s="3"/>
      <c r="NER9" s="3"/>
      <c r="NES9" s="3"/>
      <c r="NET9" s="3"/>
      <c r="NEU9" s="3"/>
      <c r="NEV9" s="3"/>
      <c r="NEW9" s="3"/>
      <c r="NEX9" s="3"/>
      <c r="NEY9" s="3"/>
      <c r="NEZ9" s="3"/>
      <c r="NFA9" s="3"/>
      <c r="NFB9" s="3"/>
      <c r="NFC9" s="3"/>
      <c r="NFD9" s="3"/>
      <c r="NFE9" s="3"/>
      <c r="NFF9" s="3"/>
      <c r="NFG9" s="3"/>
      <c r="NFH9" s="3"/>
      <c r="NFI9" s="3"/>
      <c r="NFJ9" s="3"/>
      <c r="NFK9" s="3"/>
      <c r="NFL9" s="3"/>
      <c r="NFM9" s="3"/>
      <c r="NFN9" s="3"/>
      <c r="NFO9" s="3"/>
      <c r="NFP9" s="3"/>
      <c r="NFQ9" s="3"/>
      <c r="NFR9" s="3"/>
      <c r="NFS9" s="3"/>
      <c r="NFT9" s="3"/>
      <c r="NFU9" s="3"/>
      <c r="NFV9" s="3"/>
      <c r="NFW9" s="3"/>
      <c r="NFX9" s="3"/>
      <c r="NFY9" s="3"/>
      <c r="NFZ9" s="3"/>
      <c r="NGA9" s="3"/>
      <c r="NGB9" s="3"/>
      <c r="NGC9" s="3"/>
      <c r="NGD9" s="3"/>
      <c r="NGE9" s="3"/>
      <c r="NGF9" s="3"/>
      <c r="NGG9" s="3"/>
      <c r="NGH9" s="3"/>
      <c r="NGI9" s="3"/>
      <c r="NGJ9" s="3"/>
      <c r="NGK9" s="3"/>
      <c r="NGL9" s="3"/>
      <c r="NGM9" s="3"/>
      <c r="NGN9" s="3"/>
      <c r="NGO9" s="3"/>
      <c r="NGP9" s="3"/>
      <c r="NGQ9" s="3"/>
      <c r="NGR9" s="3"/>
      <c r="NGS9" s="3"/>
      <c r="NGT9" s="3"/>
      <c r="NGU9" s="3"/>
      <c r="NGV9" s="3"/>
      <c r="NGW9" s="3"/>
      <c r="NGX9" s="3"/>
      <c r="NGY9" s="3"/>
      <c r="NGZ9" s="3"/>
      <c r="NHA9" s="3"/>
      <c r="NHB9" s="3"/>
      <c r="NHC9" s="3"/>
      <c r="NHD9" s="3"/>
      <c r="NHE9" s="3"/>
      <c r="NHF9" s="3"/>
      <c r="NHG9" s="3"/>
      <c r="NHH9" s="3"/>
      <c r="NHI9" s="3"/>
      <c r="NHJ9" s="3"/>
      <c r="NHK9" s="3"/>
      <c r="NHL9" s="3"/>
      <c r="NHM9" s="3"/>
      <c r="NHN9" s="3"/>
      <c r="NHO9" s="3"/>
      <c r="NHP9" s="3"/>
      <c r="NHQ9" s="3"/>
      <c r="NHR9" s="3"/>
      <c r="NHS9" s="3"/>
      <c r="NHT9" s="3"/>
      <c r="NHU9" s="3"/>
      <c r="NHV9" s="3"/>
      <c r="NHW9" s="3"/>
      <c r="NHX9" s="3"/>
      <c r="NHY9" s="3"/>
      <c r="NHZ9" s="3"/>
      <c r="NIA9" s="3"/>
      <c r="NIB9" s="3"/>
      <c r="NIC9" s="3"/>
      <c r="NID9" s="3"/>
      <c r="NIE9" s="3"/>
      <c r="NIF9" s="3"/>
      <c r="NIG9" s="3"/>
      <c r="NIH9" s="3"/>
      <c r="NII9" s="3"/>
      <c r="NIJ9" s="3"/>
      <c r="NIK9" s="3"/>
      <c r="NIL9" s="3"/>
      <c r="NIM9" s="3"/>
      <c r="NIN9" s="3"/>
      <c r="NIO9" s="3"/>
      <c r="NIP9" s="3"/>
      <c r="NIQ9" s="3"/>
      <c r="NIR9" s="3"/>
      <c r="NIS9" s="3"/>
      <c r="NIT9" s="3"/>
      <c r="NIU9" s="3"/>
      <c r="NIV9" s="3"/>
      <c r="NIW9" s="3"/>
      <c r="NIX9" s="3"/>
      <c r="NIY9" s="3"/>
      <c r="NIZ9" s="3"/>
      <c r="NJA9" s="3"/>
      <c r="NJB9" s="3"/>
      <c r="NJC9" s="3"/>
      <c r="NJD9" s="3"/>
      <c r="NJE9" s="3"/>
      <c r="NJF9" s="3"/>
      <c r="NJG9" s="3"/>
      <c r="NJH9" s="3"/>
      <c r="NJI9" s="3"/>
      <c r="NJJ9" s="3"/>
      <c r="NJK9" s="3"/>
      <c r="NJL9" s="3"/>
      <c r="NJM9" s="3"/>
      <c r="NJN9" s="3"/>
      <c r="NJO9" s="3"/>
      <c r="NJP9" s="3"/>
      <c r="NJQ9" s="3"/>
      <c r="NJR9" s="3"/>
      <c r="NJS9" s="3"/>
      <c r="NJT9" s="3"/>
      <c r="NJU9" s="3"/>
      <c r="NJV9" s="3"/>
      <c r="NJW9" s="3"/>
      <c r="NJX9" s="3"/>
      <c r="NJY9" s="3"/>
      <c r="NJZ9" s="3"/>
      <c r="NKA9" s="3"/>
      <c r="NKB9" s="3"/>
      <c r="NKC9" s="3"/>
      <c r="NKD9" s="3"/>
      <c r="NKE9" s="3"/>
      <c r="NKF9" s="3"/>
      <c r="NKG9" s="3"/>
      <c r="NKH9" s="3"/>
      <c r="NKI9" s="3"/>
      <c r="NKJ9" s="3"/>
      <c r="NKK9" s="3"/>
      <c r="NKL9" s="3"/>
      <c r="NKM9" s="3"/>
      <c r="NKN9" s="3"/>
      <c r="NKO9" s="3"/>
      <c r="NKP9" s="3"/>
      <c r="NKQ9" s="3"/>
      <c r="NKR9" s="3"/>
      <c r="NKS9" s="3"/>
      <c r="NKT9" s="3"/>
      <c r="NKU9" s="3"/>
      <c r="NKV9" s="3"/>
      <c r="NKW9" s="3"/>
      <c r="NKX9" s="3"/>
      <c r="NKY9" s="3"/>
      <c r="NKZ9" s="3"/>
      <c r="NLA9" s="3"/>
      <c r="NLB9" s="3"/>
      <c r="NLC9" s="3"/>
      <c r="NLD9" s="3"/>
      <c r="NLE9" s="3"/>
      <c r="NLF9" s="3"/>
      <c r="NLG9" s="3"/>
      <c r="NLH9" s="3"/>
      <c r="NLI9" s="3"/>
      <c r="NLJ9" s="3"/>
      <c r="NLK9" s="3"/>
      <c r="NLL9" s="3"/>
      <c r="NLM9" s="3"/>
      <c r="NLN9" s="3"/>
      <c r="NLO9" s="3"/>
      <c r="NLP9" s="3"/>
      <c r="NLQ9" s="3"/>
      <c r="NLR9" s="3"/>
      <c r="NLS9" s="3"/>
      <c r="NLT9" s="3"/>
      <c r="NLU9" s="3"/>
      <c r="NLV9" s="3"/>
      <c r="NLW9" s="3"/>
      <c r="NLX9" s="3"/>
      <c r="NLY9" s="3"/>
      <c r="NLZ9" s="3"/>
      <c r="NMA9" s="3"/>
      <c r="NMB9" s="3"/>
      <c r="NMC9" s="3"/>
      <c r="NMD9" s="3"/>
      <c r="NME9" s="3"/>
      <c r="NMF9" s="3"/>
      <c r="NMG9" s="3"/>
      <c r="NMH9" s="3"/>
      <c r="NMI9" s="3"/>
      <c r="NMJ9" s="3"/>
      <c r="NMK9" s="3"/>
      <c r="NML9" s="3"/>
      <c r="NMM9" s="3"/>
      <c r="NMN9" s="3"/>
      <c r="NMO9" s="3"/>
      <c r="NMP9" s="3"/>
      <c r="NMQ9" s="3"/>
      <c r="NMR9" s="3"/>
      <c r="NMS9" s="3"/>
      <c r="NMT9" s="3"/>
      <c r="NMU9" s="3"/>
      <c r="NMV9" s="3"/>
      <c r="NMW9" s="3"/>
      <c r="NMX9" s="3"/>
      <c r="NMY9" s="3"/>
      <c r="NMZ9" s="3"/>
      <c r="NNA9" s="3"/>
      <c r="NNB9" s="3"/>
      <c r="NNC9" s="3"/>
      <c r="NND9" s="3"/>
      <c r="NNE9" s="3"/>
      <c r="NNF9" s="3"/>
      <c r="NNG9" s="3"/>
      <c r="NNH9" s="3"/>
      <c r="NNI9" s="3"/>
      <c r="NNJ9" s="3"/>
      <c r="NNK9" s="3"/>
      <c r="NNL9" s="3"/>
      <c r="NNM9" s="3"/>
      <c r="NNN9" s="3"/>
      <c r="NNO9" s="3"/>
      <c r="NNP9" s="3"/>
      <c r="NNQ9" s="3"/>
      <c r="NNR9" s="3"/>
      <c r="NNS9" s="3"/>
      <c r="NNT9" s="3"/>
      <c r="NNU9" s="3"/>
      <c r="NNV9" s="3"/>
      <c r="NNW9" s="3"/>
      <c r="NNX9" s="3"/>
      <c r="NNY9" s="3"/>
      <c r="NNZ9" s="3"/>
      <c r="NOA9" s="3"/>
      <c r="NOB9" s="3"/>
      <c r="NOC9" s="3"/>
      <c r="NOD9" s="3"/>
      <c r="NOE9" s="3"/>
      <c r="NOF9" s="3"/>
      <c r="NOG9" s="3"/>
      <c r="NOH9" s="3"/>
      <c r="NOI9" s="3"/>
      <c r="NOJ9" s="3"/>
      <c r="NOK9" s="3"/>
      <c r="NOL9" s="3"/>
      <c r="NOM9" s="3"/>
      <c r="NON9" s="3"/>
      <c r="NOO9" s="3"/>
      <c r="NOP9" s="3"/>
      <c r="NOQ9" s="3"/>
      <c r="NOR9" s="3"/>
      <c r="NOS9" s="3"/>
      <c r="NOT9" s="3"/>
      <c r="NOU9" s="3"/>
      <c r="NOV9" s="3"/>
      <c r="NOW9" s="3"/>
      <c r="NOX9" s="3"/>
      <c r="NOY9" s="3"/>
      <c r="NOZ9" s="3"/>
      <c r="NPA9" s="3"/>
      <c r="NPB9" s="3"/>
      <c r="NPC9" s="3"/>
      <c r="NPD9" s="3"/>
      <c r="NPE9" s="3"/>
      <c r="NPF9" s="3"/>
      <c r="NPG9" s="3"/>
      <c r="NPH9" s="3"/>
      <c r="NPI9" s="3"/>
      <c r="NPJ9" s="3"/>
      <c r="NPK9" s="3"/>
      <c r="NPL9" s="3"/>
      <c r="NPM9" s="3"/>
      <c r="NPN9" s="3"/>
      <c r="NPO9" s="3"/>
      <c r="NPP9" s="3"/>
      <c r="NPQ9" s="3"/>
      <c r="NPR9" s="3"/>
      <c r="NPS9" s="3"/>
      <c r="NPT9" s="3"/>
      <c r="NPU9" s="3"/>
      <c r="NPV9" s="3"/>
      <c r="NPW9" s="3"/>
      <c r="NPX9" s="3"/>
      <c r="NPY9" s="3"/>
      <c r="NPZ9" s="3"/>
      <c r="NQA9" s="3"/>
      <c r="NQB9" s="3"/>
      <c r="NQC9" s="3"/>
      <c r="NQD9" s="3"/>
      <c r="NQE9" s="3"/>
      <c r="NQF9" s="3"/>
      <c r="NQG9" s="3"/>
      <c r="NQH9" s="3"/>
      <c r="NQI9" s="3"/>
      <c r="NQJ9" s="3"/>
      <c r="NQK9" s="3"/>
      <c r="NQL9" s="3"/>
      <c r="NQM9" s="3"/>
      <c r="NQN9" s="3"/>
      <c r="NQO9" s="3"/>
      <c r="NQP9" s="3"/>
      <c r="NQQ9" s="3"/>
      <c r="NQR9" s="3"/>
      <c r="NQS9" s="3"/>
      <c r="NQT9" s="3"/>
      <c r="NQU9" s="3"/>
      <c r="NQV9" s="3"/>
      <c r="NQW9" s="3"/>
      <c r="NQX9" s="3"/>
      <c r="NQY9" s="3"/>
      <c r="NQZ9" s="3"/>
      <c r="NRA9" s="3"/>
      <c r="NRB9" s="3"/>
      <c r="NRC9" s="3"/>
      <c r="NRD9" s="3"/>
      <c r="NRE9" s="3"/>
      <c r="NRF9" s="3"/>
      <c r="NRG9" s="3"/>
      <c r="NRH9" s="3"/>
      <c r="NRI9" s="3"/>
      <c r="NRJ9" s="3"/>
      <c r="NRK9" s="3"/>
      <c r="NRL9" s="3"/>
      <c r="NRM9" s="3"/>
      <c r="NRN9" s="3"/>
      <c r="NRO9" s="3"/>
      <c r="NRP9" s="3"/>
      <c r="NRQ9" s="3"/>
      <c r="NRR9" s="3"/>
      <c r="NRS9" s="3"/>
      <c r="NRT9" s="3"/>
      <c r="NRU9" s="3"/>
      <c r="NRV9" s="3"/>
      <c r="NRW9" s="3"/>
      <c r="NRX9" s="3"/>
      <c r="NRY9" s="3"/>
      <c r="NRZ9" s="3"/>
      <c r="NSA9" s="3"/>
      <c r="NSB9" s="3"/>
      <c r="NSC9" s="3"/>
      <c r="NSD9" s="3"/>
      <c r="NSE9" s="3"/>
      <c r="NSF9" s="3"/>
      <c r="NSG9" s="3"/>
      <c r="NSH9" s="3"/>
      <c r="NSI9" s="3"/>
      <c r="NSJ9" s="3"/>
      <c r="NSK9" s="3"/>
      <c r="NSL9" s="3"/>
      <c r="NSM9" s="3"/>
      <c r="NSN9" s="3"/>
      <c r="NSO9" s="3"/>
      <c r="NSP9" s="3"/>
      <c r="NSQ9" s="3"/>
      <c r="NSR9" s="3"/>
      <c r="NSS9" s="3"/>
      <c r="NST9" s="3"/>
      <c r="NSU9" s="3"/>
      <c r="NSV9" s="3"/>
      <c r="NSW9" s="3"/>
      <c r="NSX9" s="3"/>
      <c r="NSY9" s="3"/>
      <c r="NSZ9" s="3"/>
      <c r="NTA9" s="3"/>
      <c r="NTB9" s="3"/>
      <c r="NTC9" s="3"/>
      <c r="NTD9" s="3"/>
      <c r="NTE9" s="3"/>
      <c r="NTF9" s="3"/>
      <c r="NTG9" s="3"/>
      <c r="NTH9" s="3"/>
      <c r="NTI9" s="3"/>
      <c r="NTJ9" s="3"/>
      <c r="NTK9" s="3"/>
      <c r="NTL9" s="3"/>
      <c r="NTM9" s="3"/>
      <c r="NTN9" s="3"/>
      <c r="NTO9" s="3"/>
      <c r="NTP9" s="3"/>
      <c r="NTQ9" s="3"/>
      <c r="NTR9" s="3"/>
      <c r="NTS9" s="3"/>
      <c r="NTT9" s="3"/>
      <c r="NTU9" s="3"/>
      <c r="NTV9" s="3"/>
      <c r="NTW9" s="3"/>
      <c r="NTX9" s="3"/>
      <c r="NTY9" s="3"/>
      <c r="NTZ9" s="3"/>
      <c r="NUA9" s="3"/>
      <c r="NUB9" s="3"/>
      <c r="NUC9" s="3"/>
      <c r="NUD9" s="3"/>
      <c r="NUE9" s="3"/>
      <c r="NUF9" s="3"/>
      <c r="NUG9" s="3"/>
      <c r="NUH9" s="3"/>
      <c r="NUI9" s="3"/>
      <c r="NUJ9" s="3"/>
      <c r="NUK9" s="3"/>
      <c r="NUL9" s="3"/>
      <c r="NUM9" s="3"/>
      <c r="NUN9" s="3"/>
      <c r="NUO9" s="3"/>
      <c r="NUP9" s="3"/>
      <c r="NUQ9" s="3"/>
      <c r="NUR9" s="3"/>
      <c r="NUS9" s="3"/>
      <c r="NUT9" s="3"/>
      <c r="NUU9" s="3"/>
      <c r="NUV9" s="3"/>
      <c r="NUW9" s="3"/>
      <c r="NUX9" s="3"/>
      <c r="NUY9" s="3"/>
      <c r="NUZ9" s="3"/>
      <c r="NVA9" s="3"/>
      <c r="NVB9" s="3"/>
      <c r="NVC9" s="3"/>
      <c r="NVD9" s="3"/>
      <c r="NVE9" s="3"/>
      <c r="NVF9" s="3"/>
      <c r="NVG9" s="3"/>
      <c r="NVH9" s="3"/>
      <c r="NVI9" s="3"/>
      <c r="NVJ9" s="3"/>
      <c r="NVK9" s="3"/>
      <c r="NVL9" s="3"/>
      <c r="NVM9" s="3"/>
      <c r="NVN9" s="3"/>
      <c r="NVO9" s="3"/>
      <c r="NVP9" s="3"/>
      <c r="NVQ9" s="3"/>
      <c r="NVR9" s="3"/>
      <c r="NVS9" s="3"/>
      <c r="NVT9" s="3"/>
      <c r="NVU9" s="3"/>
      <c r="NVV9" s="3"/>
      <c r="NVW9" s="3"/>
      <c r="NVX9" s="3"/>
      <c r="NVY9" s="3"/>
      <c r="NVZ9" s="3"/>
      <c r="NWA9" s="3"/>
      <c r="NWB9" s="3"/>
      <c r="NWC9" s="3"/>
      <c r="NWD9" s="3"/>
      <c r="NWE9" s="3"/>
      <c r="NWF9" s="3"/>
      <c r="NWG9" s="3"/>
      <c r="NWH9" s="3"/>
      <c r="NWI9" s="3"/>
      <c r="NWJ9" s="3"/>
      <c r="NWK9" s="3"/>
      <c r="NWL9" s="3"/>
      <c r="NWM9" s="3"/>
      <c r="NWN9" s="3"/>
      <c r="NWO9" s="3"/>
      <c r="NWP9" s="3"/>
      <c r="NWQ9" s="3"/>
      <c r="NWR9" s="3"/>
      <c r="NWS9" s="3"/>
      <c r="NWT9" s="3"/>
      <c r="NWU9" s="3"/>
      <c r="NWV9" s="3"/>
      <c r="NWW9" s="3"/>
      <c r="NWX9" s="3"/>
      <c r="NWY9" s="3"/>
      <c r="NWZ9" s="3"/>
      <c r="NXA9" s="3"/>
      <c r="NXB9" s="3"/>
      <c r="NXC9" s="3"/>
      <c r="NXD9" s="3"/>
      <c r="NXE9" s="3"/>
      <c r="NXF9" s="3"/>
      <c r="NXG9" s="3"/>
      <c r="NXH9" s="3"/>
      <c r="NXI9" s="3"/>
      <c r="NXJ9" s="3"/>
      <c r="NXK9" s="3"/>
      <c r="NXL9" s="3"/>
      <c r="NXM9" s="3"/>
      <c r="NXN9" s="3"/>
      <c r="NXO9" s="3"/>
      <c r="NXP9" s="3"/>
      <c r="NXQ9" s="3"/>
      <c r="NXR9" s="3"/>
      <c r="NXS9" s="3"/>
      <c r="NXT9" s="3"/>
      <c r="NXU9" s="3"/>
      <c r="NXV9" s="3"/>
      <c r="NXW9" s="3"/>
      <c r="NXX9" s="3"/>
      <c r="NXY9" s="3"/>
      <c r="NXZ9" s="3"/>
      <c r="NYA9" s="3"/>
      <c r="NYB9" s="3"/>
      <c r="NYC9" s="3"/>
      <c r="NYD9" s="3"/>
      <c r="NYE9" s="3"/>
      <c r="NYF9" s="3"/>
      <c r="NYG9" s="3"/>
      <c r="NYH9" s="3"/>
      <c r="NYI9" s="3"/>
      <c r="NYJ9" s="3"/>
      <c r="NYK9" s="3"/>
      <c r="NYL9" s="3"/>
      <c r="NYM9" s="3"/>
      <c r="NYN9" s="3"/>
      <c r="NYO9" s="3"/>
      <c r="NYP9" s="3"/>
      <c r="NYQ9" s="3"/>
      <c r="NYR9" s="3"/>
      <c r="NYS9" s="3"/>
      <c r="NYT9" s="3"/>
      <c r="NYU9" s="3"/>
      <c r="NYV9" s="3"/>
      <c r="NYW9" s="3"/>
      <c r="NYX9" s="3"/>
      <c r="NYY9" s="3"/>
      <c r="NYZ9" s="3"/>
      <c r="NZA9" s="3"/>
      <c r="NZB9" s="3"/>
      <c r="NZC9" s="3"/>
      <c r="NZD9" s="3"/>
      <c r="NZE9" s="3"/>
      <c r="NZF9" s="3"/>
      <c r="NZG9" s="3"/>
      <c r="NZH9" s="3"/>
      <c r="NZI9" s="3"/>
      <c r="NZJ9" s="3"/>
      <c r="NZK9" s="3"/>
      <c r="NZL9" s="3"/>
      <c r="NZM9" s="3"/>
      <c r="NZN9" s="3"/>
      <c r="NZO9" s="3"/>
      <c r="NZP9" s="3"/>
      <c r="NZQ9" s="3"/>
      <c r="NZR9" s="3"/>
      <c r="NZS9" s="3"/>
      <c r="NZT9" s="3"/>
      <c r="NZU9" s="3"/>
      <c r="NZV9" s="3"/>
      <c r="NZW9" s="3"/>
      <c r="NZX9" s="3"/>
      <c r="NZY9" s="3"/>
      <c r="NZZ9" s="3"/>
      <c r="OAA9" s="3"/>
      <c r="OAB9" s="3"/>
      <c r="OAC9" s="3"/>
      <c r="OAD9" s="3"/>
      <c r="OAE9" s="3"/>
      <c r="OAF9" s="3"/>
      <c r="OAG9" s="3"/>
      <c r="OAH9" s="3"/>
      <c r="OAI9" s="3"/>
      <c r="OAJ9" s="3"/>
      <c r="OAK9" s="3"/>
      <c r="OAL9" s="3"/>
      <c r="OAM9" s="3"/>
      <c r="OAN9" s="3"/>
      <c r="OAO9" s="3"/>
      <c r="OAP9" s="3"/>
      <c r="OAQ9" s="3"/>
      <c r="OAR9" s="3"/>
      <c r="OAS9" s="3"/>
      <c r="OAT9" s="3"/>
      <c r="OAU9" s="3"/>
      <c r="OAV9" s="3"/>
      <c r="OAW9" s="3"/>
      <c r="OAX9" s="3"/>
      <c r="OAY9" s="3"/>
      <c r="OAZ9" s="3"/>
      <c r="OBA9" s="3"/>
      <c r="OBB9" s="3"/>
      <c r="OBC9" s="3"/>
      <c r="OBD9" s="3"/>
      <c r="OBE9" s="3"/>
      <c r="OBF9" s="3"/>
      <c r="OBG9" s="3"/>
      <c r="OBH9" s="3"/>
      <c r="OBI9" s="3"/>
      <c r="OBJ9" s="3"/>
      <c r="OBK9" s="3"/>
      <c r="OBL9" s="3"/>
      <c r="OBM9" s="3"/>
      <c r="OBN9" s="3"/>
      <c r="OBO9" s="3"/>
      <c r="OBP9" s="3"/>
      <c r="OBQ9" s="3"/>
      <c r="OBR9" s="3"/>
      <c r="OBS9" s="3"/>
      <c r="OBT9" s="3"/>
      <c r="OBU9" s="3"/>
      <c r="OBV9" s="3"/>
      <c r="OBW9" s="3"/>
      <c r="OBX9" s="3"/>
      <c r="OBY9" s="3"/>
      <c r="OBZ9" s="3"/>
      <c r="OCA9" s="3"/>
      <c r="OCB9" s="3"/>
      <c r="OCC9" s="3"/>
      <c r="OCD9" s="3"/>
      <c r="OCE9" s="3"/>
      <c r="OCF9" s="3"/>
      <c r="OCG9" s="3"/>
      <c r="OCH9" s="3"/>
      <c r="OCI9" s="3"/>
      <c r="OCJ9" s="3"/>
      <c r="OCK9" s="3"/>
      <c r="OCL9" s="3"/>
      <c r="OCM9" s="3"/>
      <c r="OCN9" s="3"/>
      <c r="OCO9" s="3"/>
      <c r="OCP9" s="3"/>
      <c r="OCQ9" s="3"/>
      <c r="OCR9" s="3"/>
      <c r="OCS9" s="3"/>
      <c r="OCT9" s="3"/>
      <c r="OCU9" s="3"/>
      <c r="OCV9" s="3"/>
      <c r="OCW9" s="3"/>
      <c r="OCX9" s="3"/>
      <c r="OCY9" s="3"/>
      <c r="OCZ9" s="3"/>
      <c r="ODA9" s="3"/>
      <c r="ODB9" s="3"/>
      <c r="ODC9" s="3"/>
      <c r="ODD9" s="3"/>
      <c r="ODE9" s="3"/>
      <c r="ODF9" s="3"/>
      <c r="ODG9" s="3"/>
      <c r="ODH9" s="3"/>
      <c r="ODI9" s="3"/>
      <c r="ODJ9" s="3"/>
      <c r="ODK9" s="3"/>
      <c r="ODL9" s="3"/>
      <c r="ODM9" s="3"/>
      <c r="ODN9" s="3"/>
      <c r="ODO9" s="3"/>
      <c r="ODP9" s="3"/>
      <c r="ODQ9" s="3"/>
      <c r="ODR9" s="3"/>
      <c r="ODS9" s="3"/>
      <c r="ODT9" s="3"/>
      <c r="ODU9" s="3"/>
      <c r="ODV9" s="3"/>
      <c r="ODW9" s="3"/>
      <c r="ODX9" s="3"/>
      <c r="ODY9" s="3"/>
      <c r="ODZ9" s="3"/>
      <c r="OEA9" s="3"/>
      <c r="OEB9" s="3"/>
      <c r="OEC9" s="3"/>
      <c r="OED9" s="3"/>
      <c r="OEE9" s="3"/>
      <c r="OEF9" s="3"/>
      <c r="OEG9" s="3"/>
      <c r="OEH9" s="3"/>
      <c r="OEI9" s="3"/>
      <c r="OEJ9" s="3"/>
      <c r="OEK9" s="3"/>
      <c r="OEL9" s="3"/>
      <c r="OEM9" s="3"/>
      <c r="OEN9" s="3"/>
      <c r="OEO9" s="3"/>
      <c r="OEP9" s="3"/>
      <c r="OEQ9" s="3"/>
      <c r="OER9" s="3"/>
      <c r="OES9" s="3"/>
      <c r="OET9" s="3"/>
      <c r="OEU9" s="3"/>
      <c r="OEV9" s="3"/>
      <c r="OEW9" s="3"/>
      <c r="OEX9" s="3"/>
      <c r="OEY9" s="3"/>
      <c r="OEZ9" s="3"/>
      <c r="OFA9" s="3"/>
      <c r="OFB9" s="3"/>
      <c r="OFC9" s="3"/>
      <c r="OFD9" s="3"/>
      <c r="OFE9" s="3"/>
      <c r="OFF9" s="3"/>
      <c r="OFG9" s="3"/>
      <c r="OFH9" s="3"/>
      <c r="OFI9" s="3"/>
      <c r="OFJ9" s="3"/>
      <c r="OFK9" s="3"/>
      <c r="OFL9" s="3"/>
      <c r="OFM9" s="3"/>
      <c r="OFN9" s="3"/>
      <c r="OFO9" s="3"/>
      <c r="OFP9" s="3"/>
      <c r="OFQ9" s="3"/>
      <c r="OFR9" s="3"/>
      <c r="OFS9" s="3"/>
      <c r="OFT9" s="3"/>
      <c r="OFU9" s="3"/>
      <c r="OFV9" s="3"/>
      <c r="OFW9" s="3"/>
      <c r="OFX9" s="3"/>
      <c r="OFY9" s="3"/>
      <c r="OFZ9" s="3"/>
      <c r="OGA9" s="3"/>
      <c r="OGB9" s="3"/>
      <c r="OGC9" s="3"/>
      <c r="OGD9" s="3"/>
      <c r="OGE9" s="3"/>
      <c r="OGF9" s="3"/>
      <c r="OGG9" s="3"/>
      <c r="OGH9" s="3"/>
      <c r="OGI9" s="3"/>
      <c r="OGJ9" s="3"/>
      <c r="OGK9" s="3"/>
      <c r="OGL9" s="3"/>
      <c r="OGM9" s="3"/>
      <c r="OGN9" s="3"/>
      <c r="OGO9" s="3"/>
      <c r="OGP9" s="3"/>
      <c r="OGQ9" s="3"/>
      <c r="OGR9" s="3"/>
      <c r="OGS9" s="3"/>
      <c r="OGT9" s="3"/>
      <c r="OGU9" s="3"/>
      <c r="OGV9" s="3"/>
      <c r="OGW9" s="3"/>
      <c r="OGX9" s="3"/>
      <c r="OGY9" s="3"/>
      <c r="OGZ9" s="3"/>
      <c r="OHA9" s="3"/>
      <c r="OHB9" s="3"/>
      <c r="OHC9" s="3"/>
      <c r="OHD9" s="3"/>
      <c r="OHE9" s="3"/>
      <c r="OHF9" s="3"/>
      <c r="OHG9" s="3"/>
      <c r="OHH9" s="3"/>
      <c r="OHI9" s="3"/>
      <c r="OHJ9" s="3"/>
      <c r="OHK9" s="3"/>
      <c r="OHL9" s="3"/>
      <c r="OHM9" s="3"/>
      <c r="OHN9" s="3"/>
      <c r="OHO9" s="3"/>
      <c r="OHP9" s="3"/>
      <c r="OHQ9" s="3"/>
      <c r="OHR9" s="3"/>
      <c r="OHS9" s="3"/>
      <c r="OHT9" s="3"/>
      <c r="OHU9" s="3"/>
      <c r="OHV9" s="3"/>
      <c r="OHW9" s="3"/>
      <c r="OHX9" s="3"/>
      <c r="OHY9" s="3"/>
      <c r="OHZ9" s="3"/>
      <c r="OIA9" s="3"/>
      <c r="OIB9" s="3"/>
      <c r="OIC9" s="3"/>
      <c r="OID9" s="3"/>
      <c r="OIE9" s="3"/>
      <c r="OIF9" s="3"/>
      <c r="OIG9" s="3"/>
      <c r="OIH9" s="3"/>
      <c r="OII9" s="3"/>
      <c r="OIJ9" s="3"/>
      <c r="OIK9" s="3"/>
      <c r="OIL9" s="3"/>
      <c r="OIM9" s="3"/>
      <c r="OIN9" s="3"/>
      <c r="OIO9" s="3"/>
      <c r="OIP9" s="3"/>
      <c r="OIQ9" s="3"/>
      <c r="OIR9" s="3"/>
      <c r="OIS9" s="3"/>
      <c r="OIT9" s="3"/>
      <c r="OIU9" s="3"/>
      <c r="OIV9" s="3"/>
      <c r="OIW9" s="3"/>
      <c r="OIX9" s="3"/>
      <c r="OIY9" s="3"/>
      <c r="OIZ9" s="3"/>
      <c r="OJA9" s="3"/>
      <c r="OJB9" s="3"/>
      <c r="OJC9" s="3"/>
      <c r="OJD9" s="3"/>
      <c r="OJE9" s="3"/>
      <c r="OJF9" s="3"/>
      <c r="OJG9" s="3"/>
      <c r="OJH9" s="3"/>
      <c r="OJI9" s="3"/>
      <c r="OJJ9" s="3"/>
      <c r="OJK9" s="3"/>
      <c r="OJL9" s="3"/>
      <c r="OJM9" s="3"/>
      <c r="OJN9" s="3"/>
      <c r="OJO9" s="3"/>
      <c r="OJP9" s="3"/>
      <c r="OJQ9" s="3"/>
      <c r="OJR9" s="3"/>
      <c r="OJS9" s="3"/>
      <c r="OJT9" s="3"/>
      <c r="OJU9" s="3"/>
      <c r="OJV9" s="3"/>
      <c r="OJW9" s="3"/>
      <c r="OJX9" s="3"/>
      <c r="OJY9" s="3"/>
      <c r="OJZ9" s="3"/>
      <c r="OKA9" s="3"/>
      <c r="OKB9" s="3"/>
      <c r="OKC9" s="3"/>
      <c r="OKD9" s="3"/>
      <c r="OKE9" s="3"/>
      <c r="OKF9" s="3"/>
      <c r="OKG9" s="3"/>
      <c r="OKH9" s="3"/>
      <c r="OKI9" s="3"/>
      <c r="OKJ9" s="3"/>
      <c r="OKK9" s="3"/>
      <c r="OKL9" s="3"/>
      <c r="OKM9" s="3"/>
      <c r="OKN9" s="3"/>
      <c r="OKO9" s="3"/>
      <c r="OKP9" s="3"/>
      <c r="OKQ9" s="3"/>
      <c r="OKR9" s="3"/>
      <c r="OKS9" s="3"/>
      <c r="OKT9" s="3"/>
      <c r="OKU9" s="3"/>
      <c r="OKV9" s="3"/>
      <c r="OKW9" s="3"/>
      <c r="OKX9" s="3"/>
      <c r="OKY9" s="3"/>
      <c r="OKZ9" s="3"/>
      <c r="OLA9" s="3"/>
      <c r="OLB9" s="3"/>
      <c r="OLC9" s="3"/>
      <c r="OLD9" s="3"/>
      <c r="OLE9" s="3"/>
      <c r="OLF9" s="3"/>
      <c r="OLG9" s="3"/>
      <c r="OLH9" s="3"/>
      <c r="OLI9" s="3"/>
      <c r="OLJ9" s="3"/>
      <c r="OLK9" s="3"/>
      <c r="OLL9" s="3"/>
      <c r="OLM9" s="3"/>
      <c r="OLN9" s="3"/>
      <c r="OLO9" s="3"/>
      <c r="OLP9" s="3"/>
      <c r="OLQ9" s="3"/>
      <c r="OLR9" s="3"/>
      <c r="OLS9" s="3"/>
      <c r="OLT9" s="3"/>
      <c r="OLU9" s="3"/>
      <c r="OLV9" s="3"/>
      <c r="OLW9" s="3"/>
      <c r="OLX9" s="3"/>
      <c r="OLY9" s="3"/>
      <c r="OLZ9" s="3"/>
      <c r="OMA9" s="3"/>
      <c r="OMB9" s="3"/>
      <c r="OMC9" s="3"/>
      <c r="OMD9" s="3"/>
      <c r="OME9" s="3"/>
      <c r="OMF9" s="3"/>
      <c r="OMG9" s="3"/>
      <c r="OMH9" s="3"/>
      <c r="OMI9" s="3"/>
      <c r="OMJ9" s="3"/>
      <c r="OMK9" s="3"/>
      <c r="OML9" s="3"/>
      <c r="OMM9" s="3"/>
      <c r="OMN9" s="3"/>
      <c r="OMO9" s="3"/>
      <c r="OMP9" s="3"/>
      <c r="OMQ9" s="3"/>
      <c r="OMR9" s="3"/>
      <c r="OMS9" s="3"/>
      <c r="OMT9" s="3"/>
      <c r="OMU9" s="3"/>
      <c r="OMV9" s="3"/>
      <c r="OMW9" s="3"/>
      <c r="OMX9" s="3"/>
      <c r="OMY9" s="3"/>
      <c r="OMZ9" s="3"/>
      <c r="ONA9" s="3"/>
      <c r="ONB9" s="3"/>
      <c r="ONC9" s="3"/>
      <c r="OND9" s="3"/>
      <c r="ONE9" s="3"/>
      <c r="ONF9" s="3"/>
      <c r="ONG9" s="3"/>
      <c r="ONH9" s="3"/>
      <c r="ONI9" s="3"/>
      <c r="ONJ9" s="3"/>
      <c r="ONK9" s="3"/>
      <c r="ONL9" s="3"/>
      <c r="ONM9" s="3"/>
      <c r="ONN9" s="3"/>
      <c r="ONO9" s="3"/>
      <c r="ONP9" s="3"/>
      <c r="ONQ9" s="3"/>
      <c r="ONR9" s="3"/>
      <c r="ONS9" s="3"/>
      <c r="ONT9" s="3"/>
      <c r="ONU9" s="3"/>
      <c r="ONV9" s="3"/>
      <c r="ONW9" s="3"/>
      <c r="ONX9" s="3"/>
      <c r="ONY9" s="3"/>
      <c r="ONZ9" s="3"/>
      <c r="OOA9" s="3"/>
      <c r="OOB9" s="3"/>
      <c r="OOC9" s="3"/>
      <c r="OOD9" s="3"/>
      <c r="OOE9" s="3"/>
      <c r="OOF9" s="3"/>
      <c r="OOG9" s="3"/>
      <c r="OOH9" s="3"/>
      <c r="OOI9" s="3"/>
      <c r="OOJ9" s="3"/>
      <c r="OOK9" s="3"/>
      <c r="OOL9" s="3"/>
      <c r="OOM9" s="3"/>
      <c r="OON9" s="3"/>
      <c r="OOO9" s="3"/>
      <c r="OOP9" s="3"/>
      <c r="OOQ9" s="3"/>
      <c r="OOR9" s="3"/>
      <c r="OOS9" s="3"/>
      <c r="OOT9" s="3"/>
      <c r="OOU9" s="3"/>
      <c r="OOV9" s="3"/>
      <c r="OOW9" s="3"/>
      <c r="OOX9" s="3"/>
      <c r="OOY9" s="3"/>
      <c r="OOZ9" s="3"/>
      <c r="OPA9" s="3"/>
      <c r="OPB9" s="3"/>
      <c r="OPC9" s="3"/>
      <c r="OPD9" s="3"/>
      <c r="OPE9" s="3"/>
      <c r="OPF9" s="3"/>
      <c r="OPG9" s="3"/>
      <c r="OPH9" s="3"/>
      <c r="OPI9" s="3"/>
      <c r="OPJ9" s="3"/>
      <c r="OPK9" s="3"/>
      <c r="OPL9" s="3"/>
      <c r="OPM9" s="3"/>
      <c r="OPN9" s="3"/>
      <c r="OPO9" s="3"/>
      <c r="OPP9" s="3"/>
      <c r="OPQ9" s="3"/>
      <c r="OPR9" s="3"/>
      <c r="OPS9" s="3"/>
      <c r="OPT9" s="3"/>
      <c r="OPU9" s="3"/>
      <c r="OPV9" s="3"/>
      <c r="OPW9" s="3"/>
      <c r="OPX9" s="3"/>
      <c r="OPY9" s="3"/>
      <c r="OPZ9" s="3"/>
      <c r="OQA9" s="3"/>
      <c r="OQB9" s="3"/>
      <c r="OQC9" s="3"/>
      <c r="OQD9" s="3"/>
      <c r="OQE9" s="3"/>
      <c r="OQF9" s="3"/>
      <c r="OQG9" s="3"/>
      <c r="OQH9" s="3"/>
      <c r="OQI9" s="3"/>
      <c r="OQJ9" s="3"/>
      <c r="OQK9" s="3"/>
      <c r="OQL9" s="3"/>
      <c r="OQM9" s="3"/>
      <c r="OQN9" s="3"/>
      <c r="OQO9" s="3"/>
      <c r="OQP9" s="3"/>
      <c r="OQQ9" s="3"/>
      <c r="OQR9" s="3"/>
      <c r="OQS9" s="3"/>
      <c r="OQT9" s="3"/>
      <c r="OQU9" s="3"/>
      <c r="OQV9" s="3"/>
      <c r="OQW9" s="3"/>
      <c r="OQX9" s="3"/>
      <c r="OQY9" s="3"/>
      <c r="OQZ9" s="3"/>
      <c r="ORA9" s="3"/>
      <c r="ORB9" s="3"/>
      <c r="ORC9" s="3"/>
      <c r="ORD9" s="3"/>
      <c r="ORE9" s="3"/>
      <c r="ORF9" s="3"/>
      <c r="ORG9" s="3"/>
      <c r="ORH9" s="3"/>
      <c r="ORI9" s="3"/>
      <c r="ORJ9" s="3"/>
      <c r="ORK9" s="3"/>
      <c r="ORL9" s="3"/>
      <c r="ORM9" s="3"/>
      <c r="ORN9" s="3"/>
      <c r="ORO9" s="3"/>
      <c r="ORP9" s="3"/>
      <c r="ORQ9" s="3"/>
      <c r="ORR9" s="3"/>
      <c r="ORS9" s="3"/>
      <c r="ORT9" s="3"/>
      <c r="ORU9" s="3"/>
      <c r="ORV9" s="3"/>
      <c r="ORW9" s="3"/>
      <c r="ORX9" s="3"/>
      <c r="ORY9" s="3"/>
      <c r="ORZ9" s="3"/>
      <c r="OSA9" s="3"/>
      <c r="OSB9" s="3"/>
      <c r="OSC9" s="3"/>
      <c r="OSD9" s="3"/>
      <c r="OSE9" s="3"/>
      <c r="OSF9" s="3"/>
      <c r="OSG9" s="3"/>
      <c r="OSH9" s="3"/>
      <c r="OSI9" s="3"/>
      <c r="OSJ9" s="3"/>
      <c r="OSK9" s="3"/>
      <c r="OSL9" s="3"/>
      <c r="OSM9" s="3"/>
      <c r="OSN9" s="3"/>
      <c r="OSO9" s="3"/>
      <c r="OSP9" s="3"/>
      <c r="OSQ9" s="3"/>
      <c r="OSR9" s="3"/>
      <c r="OSS9" s="3"/>
      <c r="OST9" s="3"/>
      <c r="OSU9" s="3"/>
      <c r="OSV9" s="3"/>
      <c r="OSW9" s="3"/>
      <c r="OSX9" s="3"/>
      <c r="OSY9" s="3"/>
      <c r="OSZ9" s="3"/>
      <c r="OTA9" s="3"/>
      <c r="OTB9" s="3"/>
      <c r="OTC9" s="3"/>
      <c r="OTD9" s="3"/>
      <c r="OTE9" s="3"/>
      <c r="OTF9" s="3"/>
      <c r="OTG9" s="3"/>
      <c r="OTH9" s="3"/>
      <c r="OTI9" s="3"/>
      <c r="OTJ9" s="3"/>
      <c r="OTK9" s="3"/>
      <c r="OTL9" s="3"/>
      <c r="OTM9" s="3"/>
      <c r="OTN9" s="3"/>
      <c r="OTO9" s="3"/>
      <c r="OTP9" s="3"/>
      <c r="OTQ9" s="3"/>
      <c r="OTR9" s="3"/>
      <c r="OTS9" s="3"/>
      <c r="OTT9" s="3"/>
      <c r="OTU9" s="3"/>
      <c r="OTV9" s="3"/>
      <c r="OTW9" s="3"/>
      <c r="OTX9" s="3"/>
      <c r="OTY9" s="3"/>
      <c r="OTZ9" s="3"/>
      <c r="OUA9" s="3"/>
      <c r="OUB9" s="3"/>
      <c r="OUC9" s="3"/>
      <c r="OUD9" s="3"/>
      <c r="OUE9" s="3"/>
      <c r="OUF9" s="3"/>
      <c r="OUG9" s="3"/>
      <c r="OUH9" s="3"/>
      <c r="OUI9" s="3"/>
      <c r="OUJ9" s="3"/>
      <c r="OUK9" s="3"/>
      <c r="OUL9" s="3"/>
      <c r="OUM9" s="3"/>
      <c r="OUN9" s="3"/>
      <c r="OUO9" s="3"/>
      <c r="OUP9" s="3"/>
      <c r="OUQ9" s="3"/>
      <c r="OUR9" s="3"/>
      <c r="OUS9" s="3"/>
      <c r="OUT9" s="3"/>
      <c r="OUU9" s="3"/>
      <c r="OUV9" s="3"/>
      <c r="OUW9" s="3"/>
      <c r="OUX9" s="3"/>
      <c r="OUY9" s="3"/>
      <c r="OUZ9" s="3"/>
      <c r="OVA9" s="3"/>
      <c r="OVB9" s="3"/>
      <c r="OVC9" s="3"/>
      <c r="OVD9" s="3"/>
      <c r="OVE9" s="3"/>
      <c r="OVF9" s="3"/>
      <c r="OVG9" s="3"/>
      <c r="OVH9" s="3"/>
      <c r="OVI9" s="3"/>
      <c r="OVJ9" s="3"/>
      <c r="OVK9" s="3"/>
      <c r="OVL9" s="3"/>
      <c r="OVM9" s="3"/>
      <c r="OVN9" s="3"/>
      <c r="OVO9" s="3"/>
      <c r="OVP9" s="3"/>
      <c r="OVQ9" s="3"/>
      <c r="OVR9" s="3"/>
      <c r="OVS9" s="3"/>
      <c r="OVT9" s="3"/>
      <c r="OVU9" s="3"/>
      <c r="OVV9" s="3"/>
      <c r="OVW9" s="3"/>
      <c r="OVX9" s="3"/>
      <c r="OVY9" s="3"/>
      <c r="OVZ9" s="3"/>
      <c r="OWA9" s="3"/>
      <c r="OWB9" s="3"/>
      <c r="OWC9" s="3"/>
      <c r="OWD9" s="3"/>
      <c r="OWE9" s="3"/>
      <c r="OWF9" s="3"/>
      <c r="OWG9" s="3"/>
      <c r="OWH9" s="3"/>
      <c r="OWI9" s="3"/>
      <c r="OWJ9" s="3"/>
      <c r="OWK9" s="3"/>
      <c r="OWL9" s="3"/>
      <c r="OWM9" s="3"/>
      <c r="OWN9" s="3"/>
      <c r="OWO9" s="3"/>
      <c r="OWP9" s="3"/>
      <c r="OWQ9" s="3"/>
      <c r="OWR9" s="3"/>
      <c r="OWS9" s="3"/>
      <c r="OWT9" s="3"/>
      <c r="OWU9" s="3"/>
      <c r="OWV9" s="3"/>
      <c r="OWW9" s="3"/>
      <c r="OWX9" s="3"/>
      <c r="OWY9" s="3"/>
      <c r="OWZ9" s="3"/>
      <c r="OXA9" s="3"/>
      <c r="OXB9" s="3"/>
      <c r="OXC9" s="3"/>
      <c r="OXD9" s="3"/>
      <c r="OXE9" s="3"/>
      <c r="OXF9" s="3"/>
      <c r="OXG9" s="3"/>
      <c r="OXH9" s="3"/>
      <c r="OXI9" s="3"/>
      <c r="OXJ9" s="3"/>
      <c r="OXK9" s="3"/>
      <c r="OXL9" s="3"/>
      <c r="OXM9" s="3"/>
      <c r="OXN9" s="3"/>
      <c r="OXO9" s="3"/>
      <c r="OXP9" s="3"/>
      <c r="OXQ9" s="3"/>
      <c r="OXR9" s="3"/>
      <c r="OXS9" s="3"/>
      <c r="OXT9" s="3"/>
      <c r="OXU9" s="3"/>
      <c r="OXV9" s="3"/>
      <c r="OXW9" s="3"/>
      <c r="OXX9" s="3"/>
      <c r="OXY9" s="3"/>
      <c r="OXZ9" s="3"/>
      <c r="OYA9" s="3"/>
      <c r="OYB9" s="3"/>
      <c r="OYC9" s="3"/>
      <c r="OYD9" s="3"/>
      <c r="OYE9" s="3"/>
      <c r="OYF9" s="3"/>
      <c r="OYG9" s="3"/>
      <c r="OYH9" s="3"/>
      <c r="OYI9" s="3"/>
      <c r="OYJ9" s="3"/>
      <c r="OYK9" s="3"/>
      <c r="OYL9" s="3"/>
      <c r="OYM9" s="3"/>
      <c r="OYN9" s="3"/>
      <c r="OYO9" s="3"/>
      <c r="OYP9" s="3"/>
      <c r="OYQ9" s="3"/>
      <c r="OYR9" s="3"/>
      <c r="OYS9" s="3"/>
      <c r="OYT9" s="3"/>
      <c r="OYU9" s="3"/>
      <c r="OYV9" s="3"/>
      <c r="OYW9" s="3"/>
      <c r="OYX9" s="3"/>
      <c r="OYY9" s="3"/>
      <c r="OYZ9" s="3"/>
      <c r="OZA9" s="3"/>
      <c r="OZB9" s="3"/>
      <c r="OZC9" s="3"/>
      <c r="OZD9" s="3"/>
      <c r="OZE9" s="3"/>
      <c r="OZF9" s="3"/>
      <c r="OZG9" s="3"/>
      <c r="OZH9" s="3"/>
      <c r="OZI9" s="3"/>
      <c r="OZJ9" s="3"/>
      <c r="OZK9" s="3"/>
      <c r="OZL9" s="3"/>
      <c r="OZM9" s="3"/>
      <c r="OZN9" s="3"/>
      <c r="OZO9" s="3"/>
      <c r="OZP9" s="3"/>
      <c r="OZQ9" s="3"/>
      <c r="OZR9" s="3"/>
      <c r="OZS9" s="3"/>
      <c r="OZT9" s="3"/>
      <c r="OZU9" s="3"/>
      <c r="OZV9" s="3"/>
      <c r="OZW9" s="3"/>
      <c r="OZX9" s="3"/>
      <c r="OZY9" s="3"/>
      <c r="OZZ9" s="3"/>
      <c r="PAA9" s="3"/>
      <c r="PAB9" s="3"/>
      <c r="PAC9" s="3"/>
      <c r="PAD9" s="3"/>
      <c r="PAE9" s="3"/>
      <c r="PAF9" s="3"/>
      <c r="PAG9" s="3"/>
      <c r="PAH9" s="3"/>
      <c r="PAI9" s="3"/>
      <c r="PAJ9" s="3"/>
      <c r="PAK9" s="3"/>
      <c r="PAL9" s="3"/>
      <c r="PAM9" s="3"/>
      <c r="PAN9" s="3"/>
      <c r="PAO9" s="3"/>
      <c r="PAP9" s="3"/>
      <c r="PAQ9" s="3"/>
      <c r="PAR9" s="3"/>
      <c r="PAS9" s="3"/>
      <c r="PAT9" s="3"/>
      <c r="PAU9" s="3"/>
      <c r="PAV9" s="3"/>
      <c r="PAW9" s="3"/>
      <c r="PAX9" s="3"/>
      <c r="PAY9" s="3"/>
      <c r="PAZ9" s="3"/>
      <c r="PBA9" s="3"/>
      <c r="PBB9" s="3"/>
      <c r="PBC9" s="3"/>
      <c r="PBD9" s="3"/>
      <c r="PBE9" s="3"/>
      <c r="PBF9" s="3"/>
      <c r="PBG9" s="3"/>
      <c r="PBH9" s="3"/>
      <c r="PBI9" s="3"/>
      <c r="PBJ9" s="3"/>
      <c r="PBK9" s="3"/>
      <c r="PBL9" s="3"/>
      <c r="PBM9" s="3"/>
      <c r="PBN9" s="3"/>
      <c r="PBO9" s="3"/>
      <c r="PBP9" s="3"/>
      <c r="PBQ9" s="3"/>
      <c r="PBR9" s="3"/>
      <c r="PBS9" s="3"/>
      <c r="PBT9" s="3"/>
      <c r="PBU9" s="3"/>
      <c r="PBV9" s="3"/>
      <c r="PBW9" s="3"/>
      <c r="PBX9" s="3"/>
      <c r="PBY9" s="3"/>
      <c r="PBZ9" s="3"/>
      <c r="PCA9" s="3"/>
      <c r="PCB9" s="3"/>
      <c r="PCC9" s="3"/>
      <c r="PCD9" s="3"/>
      <c r="PCE9" s="3"/>
      <c r="PCF9" s="3"/>
      <c r="PCG9" s="3"/>
      <c r="PCH9" s="3"/>
      <c r="PCI9" s="3"/>
      <c r="PCJ9" s="3"/>
      <c r="PCK9" s="3"/>
      <c r="PCL9" s="3"/>
      <c r="PCM9" s="3"/>
      <c r="PCN9" s="3"/>
      <c r="PCO9" s="3"/>
      <c r="PCP9" s="3"/>
      <c r="PCQ9" s="3"/>
      <c r="PCR9" s="3"/>
      <c r="PCS9" s="3"/>
      <c r="PCT9" s="3"/>
      <c r="PCU9" s="3"/>
      <c r="PCV9" s="3"/>
      <c r="PCW9" s="3"/>
      <c r="PCX9" s="3"/>
      <c r="PCY9" s="3"/>
      <c r="PCZ9" s="3"/>
      <c r="PDA9" s="3"/>
      <c r="PDB9" s="3"/>
      <c r="PDC9" s="3"/>
      <c r="PDD9" s="3"/>
      <c r="PDE9" s="3"/>
      <c r="PDF9" s="3"/>
      <c r="PDG9" s="3"/>
      <c r="PDH9" s="3"/>
      <c r="PDI9" s="3"/>
      <c r="PDJ9" s="3"/>
      <c r="PDK9" s="3"/>
      <c r="PDL9" s="3"/>
      <c r="PDM9" s="3"/>
      <c r="PDN9" s="3"/>
      <c r="PDO9" s="3"/>
      <c r="PDP9" s="3"/>
      <c r="PDQ9" s="3"/>
      <c r="PDR9" s="3"/>
      <c r="PDS9" s="3"/>
      <c r="PDT9" s="3"/>
      <c r="PDU9" s="3"/>
      <c r="PDV9" s="3"/>
      <c r="PDW9" s="3"/>
      <c r="PDX9" s="3"/>
      <c r="PDY9" s="3"/>
      <c r="PDZ9" s="3"/>
      <c r="PEA9" s="3"/>
      <c r="PEB9" s="3"/>
      <c r="PEC9" s="3"/>
      <c r="PED9" s="3"/>
      <c r="PEE9" s="3"/>
      <c r="PEF9" s="3"/>
      <c r="PEG9" s="3"/>
      <c r="PEH9" s="3"/>
      <c r="PEI9" s="3"/>
      <c r="PEJ9" s="3"/>
      <c r="PEK9" s="3"/>
      <c r="PEL9" s="3"/>
      <c r="PEM9" s="3"/>
      <c r="PEN9" s="3"/>
      <c r="PEO9" s="3"/>
      <c r="PEP9" s="3"/>
      <c r="PEQ9" s="3"/>
      <c r="PER9" s="3"/>
      <c r="PES9" s="3"/>
      <c r="PET9" s="3"/>
      <c r="PEU9" s="3"/>
      <c r="PEV9" s="3"/>
      <c r="PEW9" s="3"/>
      <c r="PEX9" s="3"/>
      <c r="PEY9" s="3"/>
      <c r="PEZ9" s="3"/>
      <c r="PFA9" s="3"/>
      <c r="PFB9" s="3"/>
      <c r="PFC9" s="3"/>
      <c r="PFD9" s="3"/>
      <c r="PFE9" s="3"/>
      <c r="PFF9" s="3"/>
      <c r="PFG9" s="3"/>
      <c r="PFH9" s="3"/>
      <c r="PFI9" s="3"/>
      <c r="PFJ9" s="3"/>
      <c r="PFK9" s="3"/>
      <c r="PFL9" s="3"/>
      <c r="PFM9" s="3"/>
      <c r="PFN9" s="3"/>
      <c r="PFO9" s="3"/>
      <c r="PFP9" s="3"/>
      <c r="PFQ9" s="3"/>
      <c r="PFR9" s="3"/>
      <c r="PFS9" s="3"/>
      <c r="PFT9" s="3"/>
      <c r="PFU9" s="3"/>
      <c r="PFV9" s="3"/>
      <c r="PFW9" s="3"/>
      <c r="PFX9" s="3"/>
      <c r="PFY9" s="3"/>
      <c r="PFZ9" s="3"/>
      <c r="PGA9" s="3"/>
      <c r="PGB9" s="3"/>
      <c r="PGC9" s="3"/>
      <c r="PGD9" s="3"/>
      <c r="PGE9" s="3"/>
      <c r="PGF9" s="3"/>
      <c r="PGG9" s="3"/>
      <c r="PGH9" s="3"/>
      <c r="PGI9" s="3"/>
      <c r="PGJ9" s="3"/>
      <c r="PGK9" s="3"/>
      <c r="PGL9" s="3"/>
      <c r="PGM9" s="3"/>
      <c r="PGN9" s="3"/>
      <c r="PGO9" s="3"/>
      <c r="PGP9" s="3"/>
      <c r="PGQ9" s="3"/>
      <c r="PGR9" s="3"/>
      <c r="PGS9" s="3"/>
      <c r="PGT9" s="3"/>
      <c r="PGU9" s="3"/>
      <c r="PGV9" s="3"/>
      <c r="PGW9" s="3"/>
      <c r="PGX9" s="3"/>
      <c r="PGY9" s="3"/>
      <c r="PGZ9" s="3"/>
      <c r="PHA9" s="3"/>
      <c r="PHB9" s="3"/>
      <c r="PHC9" s="3"/>
      <c r="PHD9" s="3"/>
      <c r="PHE9" s="3"/>
      <c r="PHF9" s="3"/>
      <c r="PHG9" s="3"/>
      <c r="PHH9" s="3"/>
      <c r="PHI9" s="3"/>
      <c r="PHJ9" s="3"/>
      <c r="PHK9" s="3"/>
      <c r="PHL9" s="3"/>
      <c r="PHM9" s="3"/>
      <c r="PHN9" s="3"/>
      <c r="PHO9" s="3"/>
      <c r="PHP9" s="3"/>
      <c r="PHQ9" s="3"/>
      <c r="PHR9" s="3"/>
      <c r="PHS9" s="3"/>
      <c r="PHT9" s="3"/>
      <c r="PHU9" s="3"/>
      <c r="PHV9" s="3"/>
      <c r="PHW9" s="3"/>
      <c r="PHX9" s="3"/>
      <c r="PHY9" s="3"/>
      <c r="PHZ9" s="3"/>
      <c r="PIA9" s="3"/>
      <c r="PIB9" s="3"/>
      <c r="PIC9" s="3"/>
      <c r="PID9" s="3"/>
      <c r="PIE9" s="3"/>
      <c r="PIF9" s="3"/>
      <c r="PIG9" s="3"/>
      <c r="PIH9" s="3"/>
      <c r="PII9" s="3"/>
      <c r="PIJ9" s="3"/>
      <c r="PIK9" s="3"/>
      <c r="PIL9" s="3"/>
      <c r="PIM9" s="3"/>
      <c r="PIN9" s="3"/>
      <c r="PIO9" s="3"/>
      <c r="PIP9" s="3"/>
      <c r="PIQ9" s="3"/>
      <c r="PIR9" s="3"/>
      <c r="PIS9" s="3"/>
      <c r="PIT9" s="3"/>
      <c r="PIU9" s="3"/>
      <c r="PIV9" s="3"/>
      <c r="PIW9" s="3"/>
      <c r="PIX9" s="3"/>
      <c r="PIY9" s="3"/>
      <c r="PIZ9" s="3"/>
      <c r="PJA9" s="3"/>
      <c r="PJB9" s="3"/>
      <c r="PJC9" s="3"/>
      <c r="PJD9" s="3"/>
      <c r="PJE9" s="3"/>
      <c r="PJF9" s="3"/>
      <c r="PJG9" s="3"/>
      <c r="PJH9" s="3"/>
      <c r="PJI9" s="3"/>
      <c r="PJJ9" s="3"/>
      <c r="PJK9" s="3"/>
      <c r="PJL9" s="3"/>
      <c r="PJM9" s="3"/>
      <c r="PJN9" s="3"/>
      <c r="PJO9" s="3"/>
      <c r="PJP9" s="3"/>
      <c r="PJQ9" s="3"/>
      <c r="PJR9" s="3"/>
      <c r="PJS9" s="3"/>
      <c r="PJT9" s="3"/>
      <c r="PJU9" s="3"/>
      <c r="PJV9" s="3"/>
      <c r="PJW9" s="3"/>
      <c r="PJX9" s="3"/>
      <c r="PJY9" s="3"/>
      <c r="PJZ9" s="3"/>
      <c r="PKA9" s="3"/>
      <c r="PKB9" s="3"/>
      <c r="PKC9" s="3"/>
      <c r="PKD9" s="3"/>
      <c r="PKE9" s="3"/>
      <c r="PKF9" s="3"/>
      <c r="PKG9" s="3"/>
      <c r="PKH9" s="3"/>
      <c r="PKI9" s="3"/>
      <c r="PKJ9" s="3"/>
      <c r="PKK9" s="3"/>
      <c r="PKL9" s="3"/>
      <c r="PKM9" s="3"/>
      <c r="PKN9" s="3"/>
      <c r="PKO9" s="3"/>
      <c r="PKP9" s="3"/>
      <c r="PKQ9" s="3"/>
      <c r="PKR9" s="3"/>
      <c r="PKS9" s="3"/>
      <c r="PKT9" s="3"/>
      <c r="PKU9" s="3"/>
      <c r="PKV9" s="3"/>
      <c r="PKW9" s="3"/>
      <c r="PKX9" s="3"/>
      <c r="PKY9" s="3"/>
      <c r="PKZ9" s="3"/>
      <c r="PLA9" s="3"/>
      <c r="PLB9" s="3"/>
      <c r="PLC9" s="3"/>
      <c r="PLD9" s="3"/>
      <c r="PLE9" s="3"/>
      <c r="PLF9" s="3"/>
      <c r="PLG9" s="3"/>
      <c r="PLH9" s="3"/>
      <c r="PLI9" s="3"/>
      <c r="PLJ9" s="3"/>
      <c r="PLK9" s="3"/>
      <c r="PLL9" s="3"/>
      <c r="PLM9" s="3"/>
      <c r="PLN9" s="3"/>
      <c r="PLO9" s="3"/>
      <c r="PLP9" s="3"/>
      <c r="PLQ9" s="3"/>
      <c r="PLR9" s="3"/>
      <c r="PLS9" s="3"/>
      <c r="PLT9" s="3"/>
      <c r="PLU9" s="3"/>
      <c r="PLV9" s="3"/>
      <c r="PLW9" s="3"/>
      <c r="PLX9" s="3"/>
      <c r="PLY9" s="3"/>
      <c r="PLZ9" s="3"/>
      <c r="PMA9" s="3"/>
      <c r="PMB9" s="3"/>
      <c r="PMC9" s="3"/>
      <c r="PMD9" s="3"/>
      <c r="PME9" s="3"/>
      <c r="PMF9" s="3"/>
      <c r="PMG9" s="3"/>
      <c r="PMH9" s="3"/>
      <c r="PMI9" s="3"/>
      <c r="PMJ9" s="3"/>
      <c r="PMK9" s="3"/>
      <c r="PML9" s="3"/>
      <c r="PMM9" s="3"/>
      <c r="PMN9" s="3"/>
      <c r="PMO9" s="3"/>
      <c r="PMP9" s="3"/>
      <c r="PMQ9" s="3"/>
      <c r="PMR9" s="3"/>
      <c r="PMS9" s="3"/>
      <c r="PMT9" s="3"/>
      <c r="PMU9" s="3"/>
      <c r="PMV9" s="3"/>
      <c r="PMW9" s="3"/>
      <c r="PMX9" s="3"/>
      <c r="PMY9" s="3"/>
      <c r="PMZ9" s="3"/>
      <c r="PNA9" s="3"/>
      <c r="PNB9" s="3"/>
      <c r="PNC9" s="3"/>
      <c r="PND9" s="3"/>
      <c r="PNE9" s="3"/>
      <c r="PNF9" s="3"/>
      <c r="PNG9" s="3"/>
      <c r="PNH9" s="3"/>
      <c r="PNI9" s="3"/>
      <c r="PNJ9" s="3"/>
      <c r="PNK9" s="3"/>
      <c r="PNL9" s="3"/>
      <c r="PNM9" s="3"/>
      <c r="PNN9" s="3"/>
      <c r="PNO9" s="3"/>
      <c r="PNP9" s="3"/>
      <c r="PNQ9" s="3"/>
      <c r="PNR9" s="3"/>
      <c r="PNS9" s="3"/>
      <c r="PNT9" s="3"/>
      <c r="PNU9" s="3"/>
      <c r="PNV9" s="3"/>
      <c r="PNW9" s="3"/>
      <c r="PNX9" s="3"/>
      <c r="PNY9" s="3"/>
      <c r="PNZ9" s="3"/>
      <c r="POA9" s="3"/>
      <c r="POB9" s="3"/>
      <c r="POC9" s="3"/>
      <c r="POD9" s="3"/>
      <c r="POE9" s="3"/>
      <c r="POF9" s="3"/>
      <c r="POG9" s="3"/>
      <c r="POH9" s="3"/>
      <c r="POI9" s="3"/>
      <c r="POJ9" s="3"/>
      <c r="POK9" s="3"/>
      <c r="POL9" s="3"/>
      <c r="POM9" s="3"/>
      <c r="PON9" s="3"/>
      <c r="POO9" s="3"/>
      <c r="POP9" s="3"/>
      <c r="POQ9" s="3"/>
      <c r="POR9" s="3"/>
      <c r="POS9" s="3"/>
      <c r="POT9" s="3"/>
      <c r="POU9" s="3"/>
      <c r="POV9" s="3"/>
      <c r="POW9" s="3"/>
      <c r="POX9" s="3"/>
      <c r="POY9" s="3"/>
      <c r="POZ9" s="3"/>
      <c r="PPA9" s="3"/>
      <c r="PPB9" s="3"/>
      <c r="PPC9" s="3"/>
      <c r="PPD9" s="3"/>
      <c r="PPE9" s="3"/>
      <c r="PPF9" s="3"/>
      <c r="PPG9" s="3"/>
      <c r="PPH9" s="3"/>
      <c r="PPI9" s="3"/>
      <c r="PPJ9" s="3"/>
      <c r="PPK9" s="3"/>
      <c r="PPL9" s="3"/>
      <c r="PPM9" s="3"/>
      <c r="PPN9" s="3"/>
      <c r="PPO9" s="3"/>
      <c r="PPP9" s="3"/>
      <c r="PPQ9" s="3"/>
      <c r="PPR9" s="3"/>
      <c r="PPS9" s="3"/>
      <c r="PPT9" s="3"/>
      <c r="PPU9" s="3"/>
      <c r="PPV9" s="3"/>
      <c r="PPW9" s="3"/>
      <c r="PPX9" s="3"/>
      <c r="PPY9" s="3"/>
      <c r="PPZ9" s="3"/>
      <c r="PQA9" s="3"/>
      <c r="PQB9" s="3"/>
      <c r="PQC9" s="3"/>
      <c r="PQD9" s="3"/>
      <c r="PQE9" s="3"/>
      <c r="PQF9" s="3"/>
      <c r="PQG9" s="3"/>
      <c r="PQH9" s="3"/>
      <c r="PQI9" s="3"/>
      <c r="PQJ9" s="3"/>
      <c r="PQK9" s="3"/>
      <c r="PQL9" s="3"/>
      <c r="PQM9" s="3"/>
      <c r="PQN9" s="3"/>
      <c r="PQO9" s="3"/>
      <c r="PQP9" s="3"/>
      <c r="PQQ9" s="3"/>
      <c r="PQR9" s="3"/>
      <c r="PQS9" s="3"/>
      <c r="PQT9" s="3"/>
      <c r="PQU9" s="3"/>
      <c r="PQV9" s="3"/>
      <c r="PQW9" s="3"/>
      <c r="PQX9" s="3"/>
      <c r="PQY9" s="3"/>
      <c r="PQZ9" s="3"/>
      <c r="PRA9" s="3"/>
      <c r="PRB9" s="3"/>
      <c r="PRC9" s="3"/>
      <c r="PRD9" s="3"/>
      <c r="PRE9" s="3"/>
      <c r="PRF9" s="3"/>
      <c r="PRG9" s="3"/>
      <c r="PRH9" s="3"/>
      <c r="PRI9" s="3"/>
      <c r="PRJ9" s="3"/>
      <c r="PRK9" s="3"/>
      <c r="PRL9" s="3"/>
      <c r="PRM9" s="3"/>
      <c r="PRN9" s="3"/>
      <c r="PRO9" s="3"/>
      <c r="PRP9" s="3"/>
      <c r="PRQ9" s="3"/>
      <c r="PRR9" s="3"/>
      <c r="PRS9" s="3"/>
      <c r="PRT9" s="3"/>
      <c r="PRU9" s="3"/>
      <c r="PRV9" s="3"/>
      <c r="PRW9" s="3"/>
      <c r="PRX9" s="3"/>
      <c r="PRY9" s="3"/>
      <c r="PRZ9" s="3"/>
      <c r="PSA9" s="3"/>
      <c r="PSB9" s="3"/>
      <c r="PSC9" s="3"/>
      <c r="PSD9" s="3"/>
      <c r="PSE9" s="3"/>
      <c r="PSF9" s="3"/>
      <c r="PSG9" s="3"/>
      <c r="PSH9" s="3"/>
      <c r="PSI9" s="3"/>
      <c r="PSJ9" s="3"/>
      <c r="PSK9" s="3"/>
      <c r="PSL9" s="3"/>
      <c r="PSM9" s="3"/>
      <c r="PSN9" s="3"/>
      <c r="PSO9" s="3"/>
      <c r="PSP9" s="3"/>
      <c r="PSQ9" s="3"/>
      <c r="PSR9" s="3"/>
      <c r="PSS9" s="3"/>
      <c r="PST9" s="3"/>
      <c r="PSU9" s="3"/>
      <c r="PSV9" s="3"/>
      <c r="PSW9" s="3"/>
      <c r="PSX9" s="3"/>
      <c r="PSY9" s="3"/>
      <c r="PSZ9" s="3"/>
      <c r="PTA9" s="3"/>
      <c r="PTB9" s="3"/>
      <c r="PTC9" s="3"/>
      <c r="PTD9" s="3"/>
      <c r="PTE9" s="3"/>
      <c r="PTF9" s="3"/>
      <c r="PTG9" s="3"/>
      <c r="PTH9" s="3"/>
      <c r="PTI9" s="3"/>
      <c r="PTJ9" s="3"/>
      <c r="PTK9" s="3"/>
      <c r="PTL9" s="3"/>
      <c r="PTM9" s="3"/>
      <c r="PTN9" s="3"/>
      <c r="PTO9" s="3"/>
      <c r="PTP9" s="3"/>
      <c r="PTQ9" s="3"/>
      <c r="PTR9" s="3"/>
      <c r="PTS9" s="3"/>
      <c r="PTT9" s="3"/>
      <c r="PTU9" s="3"/>
      <c r="PTV9" s="3"/>
      <c r="PTW9" s="3"/>
      <c r="PTX9" s="3"/>
      <c r="PTY9" s="3"/>
      <c r="PTZ9" s="3"/>
      <c r="PUA9" s="3"/>
      <c r="PUB9" s="3"/>
      <c r="PUC9" s="3"/>
      <c r="PUD9" s="3"/>
      <c r="PUE9" s="3"/>
      <c r="PUF9" s="3"/>
      <c r="PUG9" s="3"/>
      <c r="PUH9" s="3"/>
      <c r="PUI9" s="3"/>
      <c r="PUJ9" s="3"/>
      <c r="PUK9" s="3"/>
      <c r="PUL9" s="3"/>
      <c r="PUM9" s="3"/>
      <c r="PUN9" s="3"/>
      <c r="PUO9" s="3"/>
      <c r="PUP9" s="3"/>
      <c r="PUQ9" s="3"/>
      <c r="PUR9" s="3"/>
      <c r="PUS9" s="3"/>
      <c r="PUT9" s="3"/>
      <c r="PUU9" s="3"/>
      <c r="PUV9" s="3"/>
      <c r="PUW9" s="3"/>
      <c r="PUX9" s="3"/>
      <c r="PUY9" s="3"/>
      <c r="PUZ9" s="3"/>
      <c r="PVA9" s="3"/>
      <c r="PVB9" s="3"/>
      <c r="PVC9" s="3"/>
      <c r="PVD9" s="3"/>
      <c r="PVE9" s="3"/>
      <c r="PVF9" s="3"/>
      <c r="PVG9" s="3"/>
      <c r="PVH9" s="3"/>
      <c r="PVI9" s="3"/>
      <c r="PVJ9" s="3"/>
      <c r="PVK9" s="3"/>
      <c r="PVL9" s="3"/>
      <c r="PVM9" s="3"/>
      <c r="PVN9" s="3"/>
      <c r="PVO9" s="3"/>
      <c r="PVP9" s="3"/>
      <c r="PVQ9" s="3"/>
      <c r="PVR9" s="3"/>
      <c r="PVS9" s="3"/>
      <c r="PVT9" s="3"/>
      <c r="PVU9" s="3"/>
      <c r="PVV9" s="3"/>
      <c r="PVW9" s="3"/>
      <c r="PVX9" s="3"/>
      <c r="PVY9" s="3"/>
      <c r="PVZ9" s="3"/>
      <c r="PWA9" s="3"/>
      <c r="PWB9" s="3"/>
      <c r="PWC9" s="3"/>
      <c r="PWD9" s="3"/>
      <c r="PWE9" s="3"/>
      <c r="PWF9" s="3"/>
      <c r="PWG9" s="3"/>
      <c r="PWH9" s="3"/>
      <c r="PWI9" s="3"/>
      <c r="PWJ9" s="3"/>
      <c r="PWK9" s="3"/>
      <c r="PWL9" s="3"/>
      <c r="PWM9" s="3"/>
      <c r="PWN9" s="3"/>
      <c r="PWO9" s="3"/>
      <c r="PWP9" s="3"/>
      <c r="PWQ9" s="3"/>
      <c r="PWR9" s="3"/>
      <c r="PWS9" s="3"/>
      <c r="PWT9" s="3"/>
      <c r="PWU9" s="3"/>
      <c r="PWV9" s="3"/>
      <c r="PWW9" s="3"/>
      <c r="PWX9" s="3"/>
      <c r="PWY9" s="3"/>
      <c r="PWZ9" s="3"/>
      <c r="PXA9" s="3"/>
      <c r="PXB9" s="3"/>
      <c r="PXC9" s="3"/>
      <c r="PXD9" s="3"/>
      <c r="PXE9" s="3"/>
      <c r="PXF9" s="3"/>
      <c r="PXG9" s="3"/>
      <c r="PXH9" s="3"/>
      <c r="PXI9" s="3"/>
      <c r="PXJ9" s="3"/>
      <c r="PXK9" s="3"/>
      <c r="PXL9" s="3"/>
      <c r="PXM9" s="3"/>
      <c r="PXN9" s="3"/>
      <c r="PXO9" s="3"/>
      <c r="PXP9" s="3"/>
      <c r="PXQ9" s="3"/>
      <c r="PXR9" s="3"/>
      <c r="PXS9" s="3"/>
      <c r="PXT9" s="3"/>
      <c r="PXU9" s="3"/>
      <c r="PXV9" s="3"/>
      <c r="PXW9" s="3"/>
      <c r="PXX9" s="3"/>
      <c r="PXY9" s="3"/>
      <c r="PXZ9" s="3"/>
      <c r="PYA9" s="3"/>
      <c r="PYB9" s="3"/>
      <c r="PYC9" s="3"/>
      <c r="PYD9" s="3"/>
      <c r="PYE9" s="3"/>
      <c r="PYF9" s="3"/>
      <c r="PYG9" s="3"/>
      <c r="PYH9" s="3"/>
      <c r="PYI9" s="3"/>
      <c r="PYJ9" s="3"/>
      <c r="PYK9" s="3"/>
      <c r="PYL9" s="3"/>
      <c r="PYM9" s="3"/>
      <c r="PYN9" s="3"/>
      <c r="PYO9" s="3"/>
      <c r="PYP9" s="3"/>
      <c r="PYQ9" s="3"/>
      <c r="PYR9" s="3"/>
      <c r="PYS9" s="3"/>
      <c r="PYT9" s="3"/>
      <c r="PYU9" s="3"/>
      <c r="PYV9" s="3"/>
      <c r="PYW9" s="3"/>
      <c r="PYX9" s="3"/>
      <c r="PYY9" s="3"/>
      <c r="PYZ9" s="3"/>
      <c r="PZA9" s="3"/>
      <c r="PZB9" s="3"/>
      <c r="PZC9" s="3"/>
      <c r="PZD9" s="3"/>
      <c r="PZE9" s="3"/>
      <c r="PZF9" s="3"/>
      <c r="PZG9" s="3"/>
      <c r="PZH9" s="3"/>
      <c r="PZI9" s="3"/>
      <c r="PZJ9" s="3"/>
      <c r="PZK9" s="3"/>
      <c r="PZL9" s="3"/>
      <c r="PZM9" s="3"/>
      <c r="PZN9" s="3"/>
      <c r="PZO9" s="3"/>
      <c r="PZP9" s="3"/>
      <c r="PZQ9" s="3"/>
      <c r="PZR9" s="3"/>
      <c r="PZS9" s="3"/>
      <c r="PZT9" s="3"/>
      <c r="PZU9" s="3"/>
      <c r="PZV9" s="3"/>
      <c r="PZW9" s="3"/>
      <c r="PZX9" s="3"/>
      <c r="PZY9" s="3"/>
      <c r="PZZ9" s="3"/>
      <c r="QAA9" s="3"/>
      <c r="QAB9" s="3"/>
      <c r="QAC9" s="3"/>
      <c r="QAD9" s="3"/>
      <c r="QAE9" s="3"/>
      <c r="QAF9" s="3"/>
      <c r="QAG9" s="3"/>
      <c r="QAH9" s="3"/>
      <c r="QAI9" s="3"/>
      <c r="QAJ9" s="3"/>
      <c r="QAK9" s="3"/>
      <c r="QAL9" s="3"/>
      <c r="QAM9" s="3"/>
      <c r="QAN9" s="3"/>
      <c r="QAO9" s="3"/>
      <c r="QAP9" s="3"/>
      <c r="QAQ9" s="3"/>
      <c r="QAR9" s="3"/>
      <c r="QAS9" s="3"/>
      <c r="QAT9" s="3"/>
      <c r="QAU9" s="3"/>
      <c r="QAV9" s="3"/>
      <c r="QAW9" s="3"/>
      <c r="QAX9" s="3"/>
      <c r="QAY9" s="3"/>
      <c r="QAZ9" s="3"/>
      <c r="QBA9" s="3"/>
      <c r="QBB9" s="3"/>
      <c r="QBC9" s="3"/>
      <c r="QBD9" s="3"/>
      <c r="QBE9" s="3"/>
      <c r="QBF9" s="3"/>
      <c r="QBG9" s="3"/>
      <c r="QBH9" s="3"/>
      <c r="QBI9" s="3"/>
      <c r="QBJ9" s="3"/>
      <c r="QBK9" s="3"/>
      <c r="QBL9" s="3"/>
      <c r="QBM9" s="3"/>
      <c r="QBN9" s="3"/>
      <c r="QBO9" s="3"/>
      <c r="QBP9" s="3"/>
      <c r="QBQ9" s="3"/>
      <c r="QBR9" s="3"/>
      <c r="QBS9" s="3"/>
      <c r="QBT9" s="3"/>
      <c r="QBU9" s="3"/>
      <c r="QBV9" s="3"/>
      <c r="QBW9" s="3"/>
      <c r="QBX9" s="3"/>
      <c r="QBY9" s="3"/>
      <c r="QBZ9" s="3"/>
      <c r="QCA9" s="3"/>
      <c r="QCB9" s="3"/>
      <c r="QCC9" s="3"/>
      <c r="QCD9" s="3"/>
      <c r="QCE9" s="3"/>
      <c r="QCF9" s="3"/>
      <c r="QCG9" s="3"/>
      <c r="QCH9" s="3"/>
      <c r="QCI9" s="3"/>
      <c r="QCJ9" s="3"/>
      <c r="QCK9" s="3"/>
      <c r="QCL9" s="3"/>
      <c r="QCM9" s="3"/>
      <c r="QCN9" s="3"/>
      <c r="QCO9" s="3"/>
      <c r="QCP9" s="3"/>
      <c r="QCQ9" s="3"/>
      <c r="QCR9" s="3"/>
      <c r="QCS9" s="3"/>
      <c r="QCT9" s="3"/>
      <c r="QCU9" s="3"/>
      <c r="QCV9" s="3"/>
      <c r="QCW9" s="3"/>
      <c r="QCX9" s="3"/>
      <c r="QCY9" s="3"/>
      <c r="QCZ9" s="3"/>
      <c r="QDA9" s="3"/>
      <c r="QDB9" s="3"/>
      <c r="QDC9" s="3"/>
      <c r="QDD9" s="3"/>
      <c r="QDE9" s="3"/>
      <c r="QDF9" s="3"/>
      <c r="QDG9" s="3"/>
      <c r="QDH9" s="3"/>
      <c r="QDI9" s="3"/>
      <c r="QDJ9" s="3"/>
      <c r="QDK9" s="3"/>
      <c r="QDL9" s="3"/>
      <c r="QDM9" s="3"/>
      <c r="QDN9" s="3"/>
      <c r="QDO9" s="3"/>
      <c r="QDP9" s="3"/>
      <c r="QDQ9" s="3"/>
      <c r="QDR9" s="3"/>
      <c r="QDS9" s="3"/>
      <c r="QDT9" s="3"/>
      <c r="QDU9" s="3"/>
      <c r="QDV9" s="3"/>
      <c r="QDW9" s="3"/>
      <c r="QDX9" s="3"/>
      <c r="QDY9" s="3"/>
      <c r="QDZ9" s="3"/>
      <c r="QEA9" s="3"/>
      <c r="QEB9" s="3"/>
      <c r="QEC9" s="3"/>
      <c r="QED9" s="3"/>
      <c r="QEE9" s="3"/>
      <c r="QEF9" s="3"/>
      <c r="QEG9" s="3"/>
      <c r="QEH9" s="3"/>
      <c r="QEI9" s="3"/>
      <c r="QEJ9" s="3"/>
      <c r="QEK9" s="3"/>
      <c r="QEL9" s="3"/>
      <c r="QEM9" s="3"/>
      <c r="QEN9" s="3"/>
      <c r="QEO9" s="3"/>
      <c r="QEP9" s="3"/>
      <c r="QEQ9" s="3"/>
      <c r="QER9" s="3"/>
      <c r="QES9" s="3"/>
      <c r="QET9" s="3"/>
      <c r="QEU9" s="3"/>
      <c r="QEV9" s="3"/>
      <c r="QEW9" s="3"/>
      <c r="QEX9" s="3"/>
      <c r="QEY9" s="3"/>
      <c r="QEZ9" s="3"/>
      <c r="QFA9" s="3"/>
      <c r="QFB9" s="3"/>
      <c r="QFC9" s="3"/>
      <c r="QFD9" s="3"/>
      <c r="QFE9" s="3"/>
      <c r="QFF9" s="3"/>
      <c r="QFG9" s="3"/>
      <c r="QFH9" s="3"/>
      <c r="QFI9" s="3"/>
      <c r="QFJ9" s="3"/>
      <c r="QFK9" s="3"/>
      <c r="QFL9" s="3"/>
      <c r="QFM9" s="3"/>
      <c r="QFN9" s="3"/>
      <c r="QFO9" s="3"/>
      <c r="QFP9" s="3"/>
      <c r="QFQ9" s="3"/>
      <c r="QFR9" s="3"/>
      <c r="QFS9" s="3"/>
      <c r="QFT9" s="3"/>
      <c r="QFU9" s="3"/>
      <c r="QFV9" s="3"/>
      <c r="QFW9" s="3"/>
      <c r="QFX9" s="3"/>
      <c r="QFY9" s="3"/>
      <c r="QFZ9" s="3"/>
      <c r="QGA9" s="3"/>
      <c r="QGB9" s="3"/>
      <c r="QGC9" s="3"/>
      <c r="QGD9" s="3"/>
      <c r="QGE9" s="3"/>
      <c r="QGF9" s="3"/>
      <c r="QGG9" s="3"/>
      <c r="QGH9" s="3"/>
      <c r="QGI9" s="3"/>
      <c r="QGJ9" s="3"/>
      <c r="QGK9" s="3"/>
      <c r="QGL9" s="3"/>
      <c r="QGM9" s="3"/>
      <c r="QGN9" s="3"/>
      <c r="QGO9" s="3"/>
      <c r="QGP9" s="3"/>
      <c r="QGQ9" s="3"/>
      <c r="QGR9" s="3"/>
      <c r="QGS9" s="3"/>
      <c r="QGT9" s="3"/>
      <c r="QGU9" s="3"/>
      <c r="QGV9" s="3"/>
      <c r="QGW9" s="3"/>
      <c r="QGX9" s="3"/>
      <c r="QGY9" s="3"/>
      <c r="QGZ9" s="3"/>
      <c r="QHA9" s="3"/>
      <c r="QHB9" s="3"/>
      <c r="QHC9" s="3"/>
      <c r="QHD9" s="3"/>
      <c r="QHE9" s="3"/>
      <c r="QHF9" s="3"/>
      <c r="QHG9" s="3"/>
      <c r="QHH9" s="3"/>
      <c r="QHI9" s="3"/>
      <c r="QHJ9" s="3"/>
      <c r="QHK9" s="3"/>
      <c r="QHL9" s="3"/>
      <c r="QHM9" s="3"/>
      <c r="QHN9" s="3"/>
      <c r="QHO9" s="3"/>
      <c r="QHP9" s="3"/>
      <c r="QHQ9" s="3"/>
      <c r="QHR9" s="3"/>
      <c r="QHS9" s="3"/>
      <c r="QHT9" s="3"/>
      <c r="QHU9" s="3"/>
      <c r="QHV9" s="3"/>
      <c r="QHW9" s="3"/>
      <c r="QHX9" s="3"/>
      <c r="QHY9" s="3"/>
      <c r="QHZ9" s="3"/>
      <c r="QIA9" s="3"/>
      <c r="QIB9" s="3"/>
      <c r="QIC9" s="3"/>
      <c r="QID9" s="3"/>
      <c r="QIE9" s="3"/>
      <c r="QIF9" s="3"/>
      <c r="QIG9" s="3"/>
      <c r="QIH9" s="3"/>
      <c r="QII9" s="3"/>
      <c r="QIJ9" s="3"/>
      <c r="QIK9" s="3"/>
      <c r="QIL9" s="3"/>
      <c r="QIM9" s="3"/>
      <c r="QIN9" s="3"/>
      <c r="QIO9" s="3"/>
      <c r="QIP9" s="3"/>
      <c r="QIQ9" s="3"/>
      <c r="QIR9" s="3"/>
      <c r="QIS9" s="3"/>
      <c r="QIT9" s="3"/>
      <c r="QIU9" s="3"/>
      <c r="QIV9" s="3"/>
      <c r="QIW9" s="3"/>
      <c r="QIX9" s="3"/>
      <c r="QIY9" s="3"/>
      <c r="QIZ9" s="3"/>
      <c r="QJA9" s="3"/>
      <c r="QJB9" s="3"/>
      <c r="QJC9" s="3"/>
      <c r="QJD9" s="3"/>
      <c r="QJE9" s="3"/>
      <c r="QJF9" s="3"/>
      <c r="QJG9" s="3"/>
      <c r="QJH9" s="3"/>
      <c r="QJI9" s="3"/>
      <c r="QJJ9" s="3"/>
      <c r="QJK9" s="3"/>
      <c r="QJL9" s="3"/>
      <c r="QJM9" s="3"/>
      <c r="QJN9" s="3"/>
      <c r="QJO9" s="3"/>
      <c r="QJP9" s="3"/>
      <c r="QJQ9" s="3"/>
      <c r="QJR9" s="3"/>
      <c r="QJS9" s="3"/>
      <c r="QJT9" s="3"/>
      <c r="QJU9" s="3"/>
      <c r="QJV9" s="3"/>
      <c r="QJW9" s="3"/>
      <c r="QJX9" s="3"/>
      <c r="QJY9" s="3"/>
      <c r="QJZ9" s="3"/>
      <c r="QKA9" s="3"/>
      <c r="QKB9" s="3"/>
      <c r="QKC9" s="3"/>
      <c r="QKD9" s="3"/>
      <c r="QKE9" s="3"/>
      <c r="QKF9" s="3"/>
      <c r="QKG9" s="3"/>
      <c r="QKH9" s="3"/>
      <c r="QKI9" s="3"/>
      <c r="QKJ9" s="3"/>
      <c r="QKK9" s="3"/>
      <c r="QKL9" s="3"/>
      <c r="QKM9" s="3"/>
      <c r="QKN9" s="3"/>
      <c r="QKO9" s="3"/>
      <c r="QKP9" s="3"/>
      <c r="QKQ9" s="3"/>
      <c r="QKR9" s="3"/>
      <c r="QKS9" s="3"/>
      <c r="QKT9" s="3"/>
      <c r="QKU9" s="3"/>
      <c r="QKV9" s="3"/>
      <c r="QKW9" s="3"/>
      <c r="QKX9" s="3"/>
      <c r="QKY9" s="3"/>
      <c r="QKZ9" s="3"/>
      <c r="QLA9" s="3"/>
      <c r="QLB9" s="3"/>
      <c r="QLC9" s="3"/>
      <c r="QLD9" s="3"/>
      <c r="QLE9" s="3"/>
      <c r="QLF9" s="3"/>
      <c r="QLG9" s="3"/>
      <c r="QLH9" s="3"/>
      <c r="QLI9" s="3"/>
      <c r="QLJ9" s="3"/>
      <c r="QLK9" s="3"/>
      <c r="QLL9" s="3"/>
      <c r="QLM9" s="3"/>
      <c r="QLN9" s="3"/>
      <c r="QLO9" s="3"/>
      <c r="QLP9" s="3"/>
      <c r="QLQ9" s="3"/>
      <c r="QLR9" s="3"/>
      <c r="QLS9" s="3"/>
      <c r="QLT9" s="3"/>
      <c r="QLU9" s="3"/>
      <c r="QLV9" s="3"/>
      <c r="QLW9" s="3"/>
      <c r="QLX9" s="3"/>
      <c r="QLY9" s="3"/>
      <c r="QLZ9" s="3"/>
      <c r="QMA9" s="3"/>
      <c r="QMB9" s="3"/>
      <c r="QMC9" s="3"/>
      <c r="QMD9" s="3"/>
      <c r="QME9" s="3"/>
      <c r="QMF9" s="3"/>
      <c r="QMG9" s="3"/>
      <c r="QMH9" s="3"/>
      <c r="QMI9" s="3"/>
      <c r="QMJ9" s="3"/>
      <c r="QMK9" s="3"/>
      <c r="QML9" s="3"/>
      <c r="QMM9" s="3"/>
      <c r="QMN9" s="3"/>
      <c r="QMO9" s="3"/>
      <c r="QMP9" s="3"/>
      <c r="QMQ9" s="3"/>
      <c r="QMR9" s="3"/>
      <c r="QMS9" s="3"/>
      <c r="QMT9" s="3"/>
      <c r="QMU9" s="3"/>
      <c r="QMV9" s="3"/>
      <c r="QMW9" s="3"/>
      <c r="QMX9" s="3"/>
      <c r="QMY9" s="3"/>
      <c r="QMZ9" s="3"/>
      <c r="QNA9" s="3"/>
      <c r="QNB9" s="3"/>
      <c r="QNC9" s="3"/>
      <c r="QND9" s="3"/>
      <c r="QNE9" s="3"/>
      <c r="QNF9" s="3"/>
      <c r="QNG9" s="3"/>
      <c r="QNH9" s="3"/>
      <c r="QNI9" s="3"/>
      <c r="QNJ9" s="3"/>
      <c r="QNK9" s="3"/>
      <c r="QNL9" s="3"/>
      <c r="QNM9" s="3"/>
      <c r="QNN9" s="3"/>
      <c r="QNO9" s="3"/>
      <c r="QNP9" s="3"/>
      <c r="QNQ9" s="3"/>
      <c r="QNR9" s="3"/>
      <c r="QNS9" s="3"/>
      <c r="QNT9" s="3"/>
      <c r="QNU9" s="3"/>
      <c r="QNV9" s="3"/>
      <c r="QNW9" s="3"/>
      <c r="QNX9" s="3"/>
      <c r="QNY9" s="3"/>
      <c r="QNZ9" s="3"/>
      <c r="QOA9" s="3"/>
      <c r="QOB9" s="3"/>
      <c r="QOC9" s="3"/>
      <c r="QOD9" s="3"/>
      <c r="QOE9" s="3"/>
      <c r="QOF9" s="3"/>
      <c r="QOG9" s="3"/>
      <c r="QOH9" s="3"/>
      <c r="QOI9" s="3"/>
      <c r="QOJ9" s="3"/>
      <c r="QOK9" s="3"/>
      <c r="QOL9" s="3"/>
      <c r="QOM9" s="3"/>
      <c r="QON9" s="3"/>
      <c r="QOO9" s="3"/>
      <c r="QOP9" s="3"/>
      <c r="QOQ9" s="3"/>
      <c r="QOR9" s="3"/>
      <c r="QOS9" s="3"/>
      <c r="QOT9" s="3"/>
      <c r="QOU9" s="3"/>
      <c r="QOV9" s="3"/>
      <c r="QOW9" s="3"/>
      <c r="QOX9" s="3"/>
      <c r="QOY9" s="3"/>
      <c r="QOZ9" s="3"/>
      <c r="QPA9" s="3"/>
      <c r="QPB9" s="3"/>
      <c r="QPC9" s="3"/>
      <c r="QPD9" s="3"/>
      <c r="QPE9" s="3"/>
      <c r="QPF9" s="3"/>
      <c r="QPG9" s="3"/>
      <c r="QPH9" s="3"/>
      <c r="QPI9" s="3"/>
      <c r="QPJ9" s="3"/>
      <c r="QPK9" s="3"/>
      <c r="QPL9" s="3"/>
      <c r="QPM9" s="3"/>
      <c r="QPN9" s="3"/>
      <c r="QPO9" s="3"/>
      <c r="QPP9" s="3"/>
      <c r="QPQ9" s="3"/>
      <c r="QPR9" s="3"/>
      <c r="QPS9" s="3"/>
      <c r="QPT9" s="3"/>
      <c r="QPU9" s="3"/>
      <c r="QPV9" s="3"/>
      <c r="QPW9" s="3"/>
      <c r="QPX9" s="3"/>
      <c r="QPY9" s="3"/>
      <c r="QPZ9" s="3"/>
      <c r="QQA9" s="3"/>
      <c r="QQB9" s="3"/>
      <c r="QQC9" s="3"/>
      <c r="QQD9" s="3"/>
      <c r="QQE9" s="3"/>
      <c r="QQF9" s="3"/>
      <c r="QQG9" s="3"/>
      <c r="QQH9" s="3"/>
      <c r="QQI9" s="3"/>
      <c r="QQJ9" s="3"/>
      <c r="QQK9" s="3"/>
      <c r="QQL9" s="3"/>
      <c r="QQM9" s="3"/>
      <c r="QQN9" s="3"/>
      <c r="QQO9" s="3"/>
      <c r="QQP9" s="3"/>
      <c r="QQQ9" s="3"/>
      <c r="QQR9" s="3"/>
      <c r="QQS9" s="3"/>
      <c r="QQT9" s="3"/>
      <c r="QQU9" s="3"/>
      <c r="QQV9" s="3"/>
      <c r="QQW9" s="3"/>
      <c r="QQX9" s="3"/>
      <c r="QQY9" s="3"/>
      <c r="QQZ9" s="3"/>
      <c r="QRA9" s="3"/>
      <c r="QRB9" s="3"/>
      <c r="QRC9" s="3"/>
      <c r="QRD9" s="3"/>
      <c r="QRE9" s="3"/>
      <c r="QRF9" s="3"/>
      <c r="QRG9" s="3"/>
      <c r="QRH9" s="3"/>
      <c r="QRI9" s="3"/>
      <c r="QRJ9" s="3"/>
      <c r="QRK9" s="3"/>
      <c r="QRL9" s="3"/>
      <c r="QRM9" s="3"/>
      <c r="QRN9" s="3"/>
      <c r="QRO9" s="3"/>
      <c r="QRP9" s="3"/>
      <c r="QRQ9" s="3"/>
      <c r="QRR9" s="3"/>
      <c r="QRS9" s="3"/>
      <c r="QRT9" s="3"/>
      <c r="QRU9" s="3"/>
      <c r="QRV9" s="3"/>
      <c r="QRW9" s="3"/>
      <c r="QRX9" s="3"/>
      <c r="QRY9" s="3"/>
      <c r="QRZ9" s="3"/>
      <c r="QSA9" s="3"/>
      <c r="QSB9" s="3"/>
      <c r="QSC9" s="3"/>
      <c r="QSD9" s="3"/>
      <c r="QSE9" s="3"/>
      <c r="QSF9" s="3"/>
      <c r="QSG9" s="3"/>
      <c r="QSH9" s="3"/>
      <c r="QSI9" s="3"/>
      <c r="QSJ9" s="3"/>
      <c r="QSK9" s="3"/>
      <c r="QSL9" s="3"/>
      <c r="QSM9" s="3"/>
      <c r="QSN9" s="3"/>
      <c r="QSO9" s="3"/>
      <c r="QSP9" s="3"/>
      <c r="QSQ9" s="3"/>
      <c r="QSR9" s="3"/>
      <c r="QSS9" s="3"/>
      <c r="QST9" s="3"/>
      <c r="QSU9" s="3"/>
      <c r="QSV9" s="3"/>
      <c r="QSW9" s="3"/>
      <c r="QSX9" s="3"/>
      <c r="QSY9" s="3"/>
      <c r="QSZ9" s="3"/>
      <c r="QTA9" s="3"/>
      <c r="QTB9" s="3"/>
      <c r="QTC9" s="3"/>
      <c r="QTD9" s="3"/>
      <c r="QTE9" s="3"/>
      <c r="QTF9" s="3"/>
      <c r="QTG9" s="3"/>
      <c r="QTH9" s="3"/>
      <c r="QTI9" s="3"/>
      <c r="QTJ9" s="3"/>
      <c r="QTK9" s="3"/>
      <c r="QTL9" s="3"/>
      <c r="QTM9" s="3"/>
      <c r="QTN9" s="3"/>
      <c r="QTO9" s="3"/>
      <c r="QTP9" s="3"/>
      <c r="QTQ9" s="3"/>
      <c r="QTR9" s="3"/>
      <c r="QTS9" s="3"/>
      <c r="QTT9" s="3"/>
      <c r="QTU9" s="3"/>
      <c r="QTV9" s="3"/>
      <c r="QTW9" s="3"/>
      <c r="QTX9" s="3"/>
      <c r="QTY9" s="3"/>
      <c r="QTZ9" s="3"/>
      <c r="QUA9" s="3"/>
      <c r="QUB9" s="3"/>
      <c r="QUC9" s="3"/>
      <c r="QUD9" s="3"/>
      <c r="QUE9" s="3"/>
      <c r="QUF9" s="3"/>
      <c r="QUG9" s="3"/>
      <c r="QUH9" s="3"/>
      <c r="QUI9" s="3"/>
      <c r="QUJ9" s="3"/>
      <c r="QUK9" s="3"/>
      <c r="QUL9" s="3"/>
      <c r="QUM9" s="3"/>
      <c r="QUN9" s="3"/>
      <c r="QUO9" s="3"/>
      <c r="QUP9" s="3"/>
      <c r="QUQ9" s="3"/>
      <c r="QUR9" s="3"/>
      <c r="QUS9" s="3"/>
      <c r="QUT9" s="3"/>
      <c r="QUU9" s="3"/>
      <c r="QUV9" s="3"/>
      <c r="QUW9" s="3"/>
      <c r="QUX9" s="3"/>
      <c r="QUY9" s="3"/>
      <c r="QUZ9" s="3"/>
      <c r="QVA9" s="3"/>
      <c r="QVB9" s="3"/>
      <c r="QVC9" s="3"/>
      <c r="QVD9" s="3"/>
      <c r="QVE9" s="3"/>
      <c r="QVF9" s="3"/>
      <c r="QVG9" s="3"/>
      <c r="QVH9" s="3"/>
      <c r="QVI9" s="3"/>
      <c r="QVJ9" s="3"/>
      <c r="QVK9" s="3"/>
      <c r="QVL9" s="3"/>
      <c r="QVM9" s="3"/>
      <c r="QVN9" s="3"/>
      <c r="QVO9" s="3"/>
      <c r="QVP9" s="3"/>
      <c r="QVQ9" s="3"/>
      <c r="QVR9" s="3"/>
      <c r="QVS9" s="3"/>
      <c r="QVT9" s="3"/>
      <c r="QVU9" s="3"/>
      <c r="QVV9" s="3"/>
      <c r="QVW9" s="3"/>
      <c r="QVX9" s="3"/>
      <c r="QVY9" s="3"/>
      <c r="QVZ9" s="3"/>
      <c r="QWA9" s="3"/>
      <c r="QWB9" s="3"/>
      <c r="QWC9" s="3"/>
      <c r="QWD9" s="3"/>
      <c r="QWE9" s="3"/>
      <c r="QWF9" s="3"/>
      <c r="QWG9" s="3"/>
      <c r="QWH9" s="3"/>
      <c r="QWI9" s="3"/>
      <c r="QWJ9" s="3"/>
      <c r="QWK9" s="3"/>
      <c r="QWL9" s="3"/>
      <c r="QWM9" s="3"/>
      <c r="QWN9" s="3"/>
      <c r="QWO9" s="3"/>
      <c r="QWP9" s="3"/>
      <c r="QWQ9" s="3"/>
      <c r="QWR9" s="3"/>
      <c r="QWS9" s="3"/>
      <c r="QWT9" s="3"/>
      <c r="QWU9" s="3"/>
      <c r="QWV9" s="3"/>
      <c r="QWW9" s="3"/>
      <c r="QWX9" s="3"/>
      <c r="QWY9" s="3"/>
      <c r="QWZ9" s="3"/>
      <c r="QXA9" s="3"/>
      <c r="QXB9" s="3"/>
      <c r="QXC9" s="3"/>
      <c r="QXD9" s="3"/>
      <c r="QXE9" s="3"/>
      <c r="QXF9" s="3"/>
      <c r="QXG9" s="3"/>
      <c r="QXH9" s="3"/>
      <c r="QXI9" s="3"/>
      <c r="QXJ9" s="3"/>
      <c r="QXK9" s="3"/>
      <c r="QXL9" s="3"/>
      <c r="QXM9" s="3"/>
      <c r="QXN9" s="3"/>
      <c r="QXO9" s="3"/>
      <c r="QXP9" s="3"/>
      <c r="QXQ9" s="3"/>
      <c r="QXR9" s="3"/>
      <c r="QXS9" s="3"/>
      <c r="QXT9" s="3"/>
      <c r="QXU9" s="3"/>
      <c r="QXV9" s="3"/>
      <c r="QXW9" s="3"/>
      <c r="QXX9" s="3"/>
      <c r="QXY9" s="3"/>
      <c r="QXZ9" s="3"/>
      <c r="QYA9" s="3"/>
      <c r="QYB9" s="3"/>
      <c r="QYC9" s="3"/>
      <c r="QYD9" s="3"/>
      <c r="QYE9" s="3"/>
      <c r="QYF9" s="3"/>
      <c r="QYG9" s="3"/>
      <c r="QYH9" s="3"/>
      <c r="QYI9" s="3"/>
      <c r="QYJ9" s="3"/>
      <c r="QYK9" s="3"/>
      <c r="QYL9" s="3"/>
      <c r="QYM9" s="3"/>
      <c r="QYN9" s="3"/>
      <c r="QYO9" s="3"/>
      <c r="QYP9" s="3"/>
      <c r="QYQ9" s="3"/>
      <c r="QYR9" s="3"/>
      <c r="QYS9" s="3"/>
      <c r="QYT9" s="3"/>
      <c r="QYU9" s="3"/>
      <c r="QYV9" s="3"/>
      <c r="QYW9" s="3"/>
      <c r="QYX9" s="3"/>
      <c r="QYY9" s="3"/>
      <c r="QYZ9" s="3"/>
      <c r="QZA9" s="3"/>
      <c r="QZB9" s="3"/>
      <c r="QZC9" s="3"/>
      <c r="QZD9" s="3"/>
      <c r="QZE9" s="3"/>
      <c r="QZF9" s="3"/>
      <c r="QZG9" s="3"/>
      <c r="QZH9" s="3"/>
      <c r="QZI9" s="3"/>
      <c r="QZJ9" s="3"/>
      <c r="QZK9" s="3"/>
      <c r="QZL9" s="3"/>
      <c r="QZM9" s="3"/>
      <c r="QZN9" s="3"/>
      <c r="QZO9" s="3"/>
      <c r="QZP9" s="3"/>
      <c r="QZQ9" s="3"/>
      <c r="QZR9" s="3"/>
      <c r="QZS9" s="3"/>
      <c r="QZT9" s="3"/>
      <c r="QZU9" s="3"/>
      <c r="QZV9" s="3"/>
      <c r="QZW9" s="3"/>
      <c r="QZX9" s="3"/>
      <c r="QZY9" s="3"/>
      <c r="QZZ9" s="3"/>
      <c r="RAA9" s="3"/>
      <c r="RAB9" s="3"/>
      <c r="RAC9" s="3"/>
      <c r="RAD9" s="3"/>
      <c r="RAE9" s="3"/>
      <c r="RAF9" s="3"/>
      <c r="RAG9" s="3"/>
      <c r="RAH9" s="3"/>
      <c r="RAI9" s="3"/>
      <c r="RAJ9" s="3"/>
      <c r="RAK9" s="3"/>
      <c r="RAL9" s="3"/>
      <c r="RAM9" s="3"/>
      <c r="RAN9" s="3"/>
      <c r="RAO9" s="3"/>
      <c r="RAP9" s="3"/>
      <c r="RAQ9" s="3"/>
      <c r="RAR9" s="3"/>
      <c r="RAS9" s="3"/>
      <c r="RAT9" s="3"/>
      <c r="RAU9" s="3"/>
      <c r="RAV9" s="3"/>
      <c r="RAW9" s="3"/>
      <c r="RAX9" s="3"/>
      <c r="RAY9" s="3"/>
      <c r="RAZ9" s="3"/>
      <c r="RBA9" s="3"/>
      <c r="RBB9" s="3"/>
      <c r="RBC9" s="3"/>
      <c r="RBD9" s="3"/>
      <c r="RBE9" s="3"/>
      <c r="RBF9" s="3"/>
      <c r="RBG9" s="3"/>
      <c r="RBH9" s="3"/>
      <c r="RBI9" s="3"/>
      <c r="RBJ9" s="3"/>
      <c r="RBK9" s="3"/>
      <c r="RBL9" s="3"/>
      <c r="RBM9" s="3"/>
      <c r="RBN9" s="3"/>
      <c r="RBO9" s="3"/>
      <c r="RBP9" s="3"/>
      <c r="RBQ9" s="3"/>
      <c r="RBR9" s="3"/>
      <c r="RBS9" s="3"/>
      <c r="RBT9" s="3"/>
      <c r="RBU9" s="3"/>
      <c r="RBV9" s="3"/>
      <c r="RBW9" s="3"/>
      <c r="RBX9" s="3"/>
      <c r="RBY9" s="3"/>
      <c r="RBZ9" s="3"/>
      <c r="RCA9" s="3"/>
      <c r="RCB9" s="3"/>
      <c r="RCC9" s="3"/>
      <c r="RCD9" s="3"/>
      <c r="RCE9" s="3"/>
      <c r="RCF9" s="3"/>
      <c r="RCG9" s="3"/>
      <c r="RCH9" s="3"/>
      <c r="RCI9" s="3"/>
      <c r="RCJ9" s="3"/>
      <c r="RCK9" s="3"/>
      <c r="RCL9" s="3"/>
      <c r="RCM9" s="3"/>
      <c r="RCN9" s="3"/>
      <c r="RCO9" s="3"/>
      <c r="RCP9" s="3"/>
      <c r="RCQ9" s="3"/>
      <c r="RCR9" s="3"/>
      <c r="RCS9" s="3"/>
      <c r="RCT9" s="3"/>
      <c r="RCU9" s="3"/>
      <c r="RCV9" s="3"/>
      <c r="RCW9" s="3"/>
      <c r="RCX9" s="3"/>
      <c r="RCY9" s="3"/>
      <c r="RCZ9" s="3"/>
      <c r="RDA9" s="3"/>
      <c r="RDB9" s="3"/>
      <c r="RDC9" s="3"/>
      <c r="RDD9" s="3"/>
      <c r="RDE9" s="3"/>
      <c r="RDF9" s="3"/>
      <c r="RDG9" s="3"/>
      <c r="RDH9" s="3"/>
      <c r="RDI9" s="3"/>
      <c r="RDJ9" s="3"/>
      <c r="RDK9" s="3"/>
      <c r="RDL9" s="3"/>
      <c r="RDM9" s="3"/>
      <c r="RDN9" s="3"/>
      <c r="RDO9" s="3"/>
      <c r="RDP9" s="3"/>
      <c r="RDQ9" s="3"/>
      <c r="RDR9" s="3"/>
      <c r="RDS9" s="3"/>
      <c r="RDT9" s="3"/>
      <c r="RDU9" s="3"/>
      <c r="RDV9" s="3"/>
      <c r="RDW9" s="3"/>
      <c r="RDX9" s="3"/>
      <c r="RDY9" s="3"/>
      <c r="RDZ9" s="3"/>
      <c r="REA9" s="3"/>
      <c r="REB9" s="3"/>
      <c r="REC9" s="3"/>
      <c r="RED9" s="3"/>
      <c r="REE9" s="3"/>
      <c r="REF9" s="3"/>
      <c r="REG9" s="3"/>
      <c r="REH9" s="3"/>
      <c r="REI9" s="3"/>
      <c r="REJ9" s="3"/>
      <c r="REK9" s="3"/>
      <c r="REL9" s="3"/>
      <c r="REM9" s="3"/>
      <c r="REN9" s="3"/>
      <c r="REO9" s="3"/>
      <c r="REP9" s="3"/>
      <c r="REQ9" s="3"/>
      <c r="RER9" s="3"/>
      <c r="RES9" s="3"/>
      <c r="RET9" s="3"/>
      <c r="REU9" s="3"/>
      <c r="REV9" s="3"/>
      <c r="REW9" s="3"/>
      <c r="REX9" s="3"/>
      <c r="REY9" s="3"/>
      <c r="REZ9" s="3"/>
      <c r="RFA9" s="3"/>
      <c r="RFB9" s="3"/>
      <c r="RFC9" s="3"/>
      <c r="RFD9" s="3"/>
      <c r="RFE9" s="3"/>
      <c r="RFF9" s="3"/>
      <c r="RFG9" s="3"/>
      <c r="RFH9" s="3"/>
      <c r="RFI9" s="3"/>
      <c r="RFJ9" s="3"/>
      <c r="RFK9" s="3"/>
      <c r="RFL9" s="3"/>
      <c r="RFM9" s="3"/>
      <c r="RFN9" s="3"/>
      <c r="RFO9" s="3"/>
      <c r="RFP9" s="3"/>
      <c r="RFQ9" s="3"/>
      <c r="RFR9" s="3"/>
      <c r="RFS9" s="3"/>
      <c r="RFT9" s="3"/>
      <c r="RFU9" s="3"/>
      <c r="RFV9" s="3"/>
      <c r="RFW9" s="3"/>
      <c r="RFX9" s="3"/>
      <c r="RFY9" s="3"/>
      <c r="RFZ9" s="3"/>
      <c r="RGA9" s="3"/>
      <c r="RGB9" s="3"/>
      <c r="RGC9" s="3"/>
      <c r="RGD9" s="3"/>
      <c r="RGE9" s="3"/>
      <c r="RGF9" s="3"/>
      <c r="RGG9" s="3"/>
      <c r="RGH9" s="3"/>
      <c r="RGI9" s="3"/>
      <c r="RGJ9" s="3"/>
      <c r="RGK9" s="3"/>
      <c r="RGL9" s="3"/>
      <c r="RGM9" s="3"/>
      <c r="RGN9" s="3"/>
      <c r="RGO9" s="3"/>
      <c r="RGP9" s="3"/>
      <c r="RGQ9" s="3"/>
      <c r="RGR9" s="3"/>
      <c r="RGS9" s="3"/>
      <c r="RGT9" s="3"/>
      <c r="RGU9" s="3"/>
      <c r="RGV9" s="3"/>
      <c r="RGW9" s="3"/>
      <c r="RGX9" s="3"/>
      <c r="RGY9" s="3"/>
      <c r="RGZ9" s="3"/>
      <c r="RHA9" s="3"/>
      <c r="RHB9" s="3"/>
      <c r="RHC9" s="3"/>
      <c r="RHD9" s="3"/>
      <c r="RHE9" s="3"/>
      <c r="RHF9" s="3"/>
      <c r="RHG9" s="3"/>
      <c r="RHH9" s="3"/>
      <c r="RHI9" s="3"/>
      <c r="RHJ9" s="3"/>
      <c r="RHK9" s="3"/>
      <c r="RHL9" s="3"/>
      <c r="RHM9" s="3"/>
      <c r="RHN9" s="3"/>
      <c r="RHO9" s="3"/>
      <c r="RHP9" s="3"/>
      <c r="RHQ9" s="3"/>
      <c r="RHR9" s="3"/>
      <c r="RHS9" s="3"/>
      <c r="RHT9" s="3"/>
      <c r="RHU9" s="3"/>
      <c r="RHV9" s="3"/>
      <c r="RHW9" s="3"/>
      <c r="RHX9" s="3"/>
      <c r="RHY9" s="3"/>
      <c r="RHZ9" s="3"/>
      <c r="RIA9" s="3"/>
      <c r="RIB9" s="3"/>
      <c r="RIC9" s="3"/>
      <c r="RID9" s="3"/>
      <c r="RIE9" s="3"/>
      <c r="RIF9" s="3"/>
      <c r="RIG9" s="3"/>
      <c r="RIH9" s="3"/>
      <c r="RII9" s="3"/>
      <c r="RIJ9" s="3"/>
      <c r="RIK9" s="3"/>
      <c r="RIL9" s="3"/>
      <c r="RIM9" s="3"/>
      <c r="RIN9" s="3"/>
      <c r="RIO9" s="3"/>
      <c r="RIP9" s="3"/>
      <c r="RIQ9" s="3"/>
      <c r="RIR9" s="3"/>
      <c r="RIS9" s="3"/>
      <c r="RIT9" s="3"/>
      <c r="RIU9" s="3"/>
      <c r="RIV9" s="3"/>
      <c r="RIW9" s="3"/>
      <c r="RIX9" s="3"/>
      <c r="RIY9" s="3"/>
      <c r="RIZ9" s="3"/>
      <c r="RJA9" s="3"/>
      <c r="RJB9" s="3"/>
      <c r="RJC9" s="3"/>
      <c r="RJD9" s="3"/>
      <c r="RJE9" s="3"/>
      <c r="RJF9" s="3"/>
      <c r="RJG9" s="3"/>
      <c r="RJH9" s="3"/>
      <c r="RJI9" s="3"/>
      <c r="RJJ9" s="3"/>
      <c r="RJK9" s="3"/>
      <c r="RJL9" s="3"/>
      <c r="RJM9" s="3"/>
      <c r="RJN9" s="3"/>
      <c r="RJO9" s="3"/>
      <c r="RJP9" s="3"/>
      <c r="RJQ9" s="3"/>
      <c r="RJR9" s="3"/>
      <c r="RJS9" s="3"/>
      <c r="RJT9" s="3"/>
      <c r="RJU9" s="3"/>
      <c r="RJV9" s="3"/>
      <c r="RJW9" s="3"/>
      <c r="RJX9" s="3"/>
      <c r="RJY9" s="3"/>
      <c r="RJZ9" s="3"/>
      <c r="RKA9" s="3"/>
      <c r="RKB9" s="3"/>
      <c r="RKC9" s="3"/>
      <c r="RKD9" s="3"/>
      <c r="RKE9" s="3"/>
      <c r="RKF9" s="3"/>
      <c r="RKG9" s="3"/>
      <c r="RKH9" s="3"/>
      <c r="RKI9" s="3"/>
      <c r="RKJ9" s="3"/>
      <c r="RKK9" s="3"/>
      <c r="RKL9" s="3"/>
      <c r="RKM9" s="3"/>
      <c r="RKN9" s="3"/>
      <c r="RKO9" s="3"/>
      <c r="RKP9" s="3"/>
      <c r="RKQ9" s="3"/>
      <c r="RKR9" s="3"/>
      <c r="RKS9" s="3"/>
      <c r="RKT9" s="3"/>
      <c r="RKU9" s="3"/>
      <c r="RKV9" s="3"/>
      <c r="RKW9" s="3"/>
      <c r="RKX9" s="3"/>
      <c r="RKY9" s="3"/>
      <c r="RKZ9" s="3"/>
      <c r="RLA9" s="3"/>
      <c r="RLB9" s="3"/>
      <c r="RLC9" s="3"/>
      <c r="RLD9" s="3"/>
      <c r="RLE9" s="3"/>
      <c r="RLF9" s="3"/>
      <c r="RLG9" s="3"/>
      <c r="RLH9" s="3"/>
      <c r="RLI9" s="3"/>
      <c r="RLJ9" s="3"/>
      <c r="RLK9" s="3"/>
      <c r="RLL9" s="3"/>
      <c r="RLM9" s="3"/>
      <c r="RLN9" s="3"/>
      <c r="RLO9" s="3"/>
      <c r="RLP9" s="3"/>
      <c r="RLQ9" s="3"/>
      <c r="RLR9" s="3"/>
      <c r="RLS9" s="3"/>
      <c r="RLT9" s="3"/>
      <c r="RLU9" s="3"/>
      <c r="RLV9" s="3"/>
      <c r="RLW9" s="3"/>
      <c r="RLX9" s="3"/>
      <c r="RLY9" s="3"/>
      <c r="RLZ9" s="3"/>
      <c r="RMA9" s="3"/>
      <c r="RMB9" s="3"/>
      <c r="RMC9" s="3"/>
      <c r="RMD9" s="3"/>
      <c r="RME9" s="3"/>
      <c r="RMF9" s="3"/>
      <c r="RMG9" s="3"/>
      <c r="RMH9" s="3"/>
      <c r="RMI9" s="3"/>
      <c r="RMJ9" s="3"/>
      <c r="RMK9" s="3"/>
      <c r="RML9" s="3"/>
      <c r="RMM9" s="3"/>
      <c r="RMN9" s="3"/>
      <c r="RMO9" s="3"/>
      <c r="RMP9" s="3"/>
      <c r="RMQ9" s="3"/>
      <c r="RMR9" s="3"/>
      <c r="RMS9" s="3"/>
      <c r="RMT9" s="3"/>
      <c r="RMU9" s="3"/>
      <c r="RMV9" s="3"/>
      <c r="RMW9" s="3"/>
      <c r="RMX9" s="3"/>
      <c r="RMY9" s="3"/>
      <c r="RMZ9" s="3"/>
      <c r="RNA9" s="3"/>
      <c r="RNB9" s="3"/>
      <c r="RNC9" s="3"/>
      <c r="RND9" s="3"/>
      <c r="RNE9" s="3"/>
      <c r="RNF9" s="3"/>
      <c r="RNG9" s="3"/>
      <c r="RNH9" s="3"/>
      <c r="RNI9" s="3"/>
      <c r="RNJ9" s="3"/>
      <c r="RNK9" s="3"/>
      <c r="RNL9" s="3"/>
      <c r="RNM9" s="3"/>
      <c r="RNN9" s="3"/>
      <c r="RNO9" s="3"/>
      <c r="RNP9" s="3"/>
      <c r="RNQ9" s="3"/>
      <c r="RNR9" s="3"/>
      <c r="RNS9" s="3"/>
      <c r="RNT9" s="3"/>
      <c r="RNU9" s="3"/>
      <c r="RNV9" s="3"/>
      <c r="RNW9" s="3"/>
      <c r="RNX9" s="3"/>
      <c r="RNY9" s="3"/>
      <c r="RNZ9" s="3"/>
      <c r="ROA9" s="3"/>
      <c r="ROB9" s="3"/>
      <c r="ROC9" s="3"/>
      <c r="ROD9" s="3"/>
      <c r="ROE9" s="3"/>
      <c r="ROF9" s="3"/>
      <c r="ROG9" s="3"/>
      <c r="ROH9" s="3"/>
      <c r="ROI9" s="3"/>
      <c r="ROJ9" s="3"/>
      <c r="ROK9" s="3"/>
      <c r="ROL9" s="3"/>
      <c r="ROM9" s="3"/>
      <c r="RON9" s="3"/>
      <c r="ROO9" s="3"/>
      <c r="ROP9" s="3"/>
      <c r="ROQ9" s="3"/>
      <c r="ROR9" s="3"/>
      <c r="ROS9" s="3"/>
      <c r="ROT9" s="3"/>
      <c r="ROU9" s="3"/>
      <c r="ROV9" s="3"/>
      <c r="ROW9" s="3"/>
      <c r="ROX9" s="3"/>
      <c r="ROY9" s="3"/>
      <c r="ROZ9" s="3"/>
      <c r="RPA9" s="3"/>
      <c r="RPB9" s="3"/>
      <c r="RPC9" s="3"/>
      <c r="RPD9" s="3"/>
      <c r="RPE9" s="3"/>
      <c r="RPF9" s="3"/>
      <c r="RPG9" s="3"/>
      <c r="RPH9" s="3"/>
      <c r="RPI9" s="3"/>
      <c r="RPJ9" s="3"/>
      <c r="RPK9" s="3"/>
      <c r="RPL9" s="3"/>
      <c r="RPM9" s="3"/>
      <c r="RPN9" s="3"/>
      <c r="RPO9" s="3"/>
      <c r="RPP9" s="3"/>
      <c r="RPQ9" s="3"/>
      <c r="RPR9" s="3"/>
      <c r="RPS9" s="3"/>
      <c r="RPT9" s="3"/>
      <c r="RPU9" s="3"/>
      <c r="RPV9" s="3"/>
      <c r="RPW9" s="3"/>
      <c r="RPX9" s="3"/>
      <c r="RPY9" s="3"/>
      <c r="RPZ9" s="3"/>
      <c r="RQA9" s="3"/>
      <c r="RQB9" s="3"/>
      <c r="RQC9" s="3"/>
      <c r="RQD9" s="3"/>
      <c r="RQE9" s="3"/>
      <c r="RQF9" s="3"/>
      <c r="RQG9" s="3"/>
      <c r="RQH9" s="3"/>
      <c r="RQI9" s="3"/>
      <c r="RQJ9" s="3"/>
      <c r="RQK9" s="3"/>
      <c r="RQL9" s="3"/>
      <c r="RQM9" s="3"/>
      <c r="RQN9" s="3"/>
      <c r="RQO9" s="3"/>
      <c r="RQP9" s="3"/>
      <c r="RQQ9" s="3"/>
      <c r="RQR9" s="3"/>
      <c r="RQS9" s="3"/>
      <c r="RQT9" s="3"/>
      <c r="RQU9" s="3"/>
      <c r="RQV9" s="3"/>
      <c r="RQW9" s="3"/>
      <c r="RQX9" s="3"/>
      <c r="RQY9" s="3"/>
      <c r="RQZ9" s="3"/>
      <c r="RRA9" s="3"/>
      <c r="RRB9" s="3"/>
      <c r="RRC9" s="3"/>
      <c r="RRD9" s="3"/>
      <c r="RRE9" s="3"/>
      <c r="RRF9" s="3"/>
      <c r="RRG9" s="3"/>
      <c r="RRH9" s="3"/>
      <c r="RRI9" s="3"/>
      <c r="RRJ9" s="3"/>
      <c r="RRK9" s="3"/>
      <c r="RRL9" s="3"/>
      <c r="RRM9" s="3"/>
      <c r="RRN9" s="3"/>
      <c r="RRO9" s="3"/>
      <c r="RRP9" s="3"/>
      <c r="RRQ9" s="3"/>
      <c r="RRR9" s="3"/>
      <c r="RRS9" s="3"/>
      <c r="RRT9" s="3"/>
      <c r="RRU9" s="3"/>
      <c r="RRV9" s="3"/>
      <c r="RRW9" s="3"/>
      <c r="RRX9" s="3"/>
      <c r="RRY9" s="3"/>
      <c r="RRZ9" s="3"/>
      <c r="RSA9" s="3"/>
      <c r="RSB9" s="3"/>
      <c r="RSC9" s="3"/>
      <c r="RSD9" s="3"/>
      <c r="RSE9" s="3"/>
      <c r="RSF9" s="3"/>
      <c r="RSG9" s="3"/>
      <c r="RSH9" s="3"/>
      <c r="RSI9" s="3"/>
      <c r="RSJ9" s="3"/>
      <c r="RSK9" s="3"/>
      <c r="RSL9" s="3"/>
      <c r="RSM9" s="3"/>
      <c r="RSN9" s="3"/>
      <c r="RSO9" s="3"/>
      <c r="RSP9" s="3"/>
      <c r="RSQ9" s="3"/>
      <c r="RSR9" s="3"/>
      <c r="RSS9" s="3"/>
      <c r="RST9" s="3"/>
      <c r="RSU9" s="3"/>
      <c r="RSV9" s="3"/>
      <c r="RSW9" s="3"/>
      <c r="RSX9" s="3"/>
      <c r="RSY9" s="3"/>
      <c r="RSZ9" s="3"/>
      <c r="RTA9" s="3"/>
      <c r="RTB9" s="3"/>
      <c r="RTC9" s="3"/>
      <c r="RTD9" s="3"/>
      <c r="RTE9" s="3"/>
      <c r="RTF9" s="3"/>
      <c r="RTG9" s="3"/>
      <c r="RTH9" s="3"/>
      <c r="RTI9" s="3"/>
      <c r="RTJ9" s="3"/>
      <c r="RTK9" s="3"/>
      <c r="RTL9" s="3"/>
      <c r="RTM9" s="3"/>
      <c r="RTN9" s="3"/>
      <c r="RTO9" s="3"/>
      <c r="RTP9" s="3"/>
      <c r="RTQ9" s="3"/>
      <c r="RTR9" s="3"/>
      <c r="RTS9" s="3"/>
      <c r="RTT9" s="3"/>
      <c r="RTU9" s="3"/>
      <c r="RTV9" s="3"/>
      <c r="RTW9" s="3"/>
      <c r="RTX9" s="3"/>
      <c r="RTY9" s="3"/>
      <c r="RTZ9" s="3"/>
      <c r="RUA9" s="3"/>
      <c r="RUB9" s="3"/>
      <c r="RUC9" s="3"/>
      <c r="RUD9" s="3"/>
      <c r="RUE9" s="3"/>
      <c r="RUF9" s="3"/>
      <c r="RUG9" s="3"/>
      <c r="RUH9" s="3"/>
      <c r="RUI9" s="3"/>
      <c r="RUJ9" s="3"/>
      <c r="RUK9" s="3"/>
      <c r="RUL9" s="3"/>
      <c r="RUM9" s="3"/>
      <c r="RUN9" s="3"/>
      <c r="RUO9" s="3"/>
      <c r="RUP9" s="3"/>
      <c r="RUQ9" s="3"/>
      <c r="RUR9" s="3"/>
      <c r="RUS9" s="3"/>
      <c r="RUT9" s="3"/>
      <c r="RUU9" s="3"/>
      <c r="RUV9" s="3"/>
      <c r="RUW9" s="3"/>
      <c r="RUX9" s="3"/>
      <c r="RUY9" s="3"/>
      <c r="RUZ9" s="3"/>
      <c r="RVA9" s="3"/>
      <c r="RVB9" s="3"/>
      <c r="RVC9" s="3"/>
      <c r="RVD9" s="3"/>
      <c r="RVE9" s="3"/>
      <c r="RVF9" s="3"/>
      <c r="RVG9" s="3"/>
      <c r="RVH9" s="3"/>
      <c r="RVI9" s="3"/>
      <c r="RVJ9" s="3"/>
      <c r="RVK9" s="3"/>
      <c r="RVL9" s="3"/>
      <c r="RVM9" s="3"/>
      <c r="RVN9" s="3"/>
      <c r="RVO9" s="3"/>
      <c r="RVP9" s="3"/>
      <c r="RVQ9" s="3"/>
      <c r="RVR9" s="3"/>
      <c r="RVS9" s="3"/>
      <c r="RVT9" s="3"/>
      <c r="RVU9" s="3"/>
      <c r="RVV9" s="3"/>
      <c r="RVW9" s="3"/>
      <c r="RVX9" s="3"/>
      <c r="RVY9" s="3"/>
      <c r="RVZ9" s="3"/>
      <c r="RWA9" s="3"/>
      <c r="RWB9" s="3"/>
      <c r="RWC9" s="3"/>
      <c r="RWD9" s="3"/>
      <c r="RWE9" s="3"/>
      <c r="RWF9" s="3"/>
      <c r="RWG9" s="3"/>
      <c r="RWH9" s="3"/>
      <c r="RWI9" s="3"/>
      <c r="RWJ9" s="3"/>
      <c r="RWK9" s="3"/>
      <c r="RWL9" s="3"/>
      <c r="RWM9" s="3"/>
      <c r="RWN9" s="3"/>
      <c r="RWO9" s="3"/>
      <c r="RWP9" s="3"/>
      <c r="RWQ9" s="3"/>
      <c r="RWR9" s="3"/>
      <c r="RWS9" s="3"/>
      <c r="RWT9" s="3"/>
      <c r="RWU9" s="3"/>
      <c r="RWV9" s="3"/>
      <c r="RWW9" s="3"/>
      <c r="RWX9" s="3"/>
      <c r="RWY9" s="3"/>
      <c r="RWZ9" s="3"/>
      <c r="RXA9" s="3"/>
      <c r="RXB9" s="3"/>
      <c r="RXC9" s="3"/>
      <c r="RXD9" s="3"/>
      <c r="RXE9" s="3"/>
      <c r="RXF9" s="3"/>
      <c r="RXG9" s="3"/>
      <c r="RXH9" s="3"/>
      <c r="RXI9" s="3"/>
      <c r="RXJ9" s="3"/>
      <c r="RXK9" s="3"/>
      <c r="RXL9" s="3"/>
      <c r="RXM9" s="3"/>
      <c r="RXN9" s="3"/>
      <c r="RXO9" s="3"/>
      <c r="RXP9" s="3"/>
      <c r="RXQ9" s="3"/>
      <c r="RXR9" s="3"/>
      <c r="RXS9" s="3"/>
      <c r="RXT9" s="3"/>
      <c r="RXU9" s="3"/>
      <c r="RXV9" s="3"/>
      <c r="RXW9" s="3"/>
      <c r="RXX9" s="3"/>
      <c r="RXY9" s="3"/>
      <c r="RXZ9" s="3"/>
      <c r="RYA9" s="3"/>
      <c r="RYB9" s="3"/>
      <c r="RYC9" s="3"/>
      <c r="RYD9" s="3"/>
      <c r="RYE9" s="3"/>
      <c r="RYF9" s="3"/>
      <c r="RYG9" s="3"/>
      <c r="RYH9" s="3"/>
      <c r="RYI9" s="3"/>
      <c r="RYJ9" s="3"/>
      <c r="RYK9" s="3"/>
      <c r="RYL9" s="3"/>
      <c r="RYM9" s="3"/>
      <c r="RYN9" s="3"/>
      <c r="RYO9" s="3"/>
      <c r="RYP9" s="3"/>
      <c r="RYQ9" s="3"/>
      <c r="RYR9" s="3"/>
      <c r="RYS9" s="3"/>
      <c r="RYT9" s="3"/>
      <c r="RYU9" s="3"/>
      <c r="RYV9" s="3"/>
      <c r="RYW9" s="3"/>
      <c r="RYX9" s="3"/>
      <c r="RYY9" s="3"/>
      <c r="RYZ9" s="3"/>
      <c r="RZA9" s="3"/>
      <c r="RZB9" s="3"/>
      <c r="RZC9" s="3"/>
      <c r="RZD9" s="3"/>
      <c r="RZE9" s="3"/>
      <c r="RZF9" s="3"/>
      <c r="RZG9" s="3"/>
      <c r="RZH9" s="3"/>
      <c r="RZI9" s="3"/>
      <c r="RZJ9" s="3"/>
      <c r="RZK9" s="3"/>
      <c r="RZL9" s="3"/>
      <c r="RZM9" s="3"/>
      <c r="RZN9" s="3"/>
      <c r="RZO9" s="3"/>
      <c r="RZP9" s="3"/>
      <c r="RZQ9" s="3"/>
      <c r="RZR9" s="3"/>
      <c r="RZS9" s="3"/>
      <c r="RZT9" s="3"/>
      <c r="RZU9" s="3"/>
      <c r="RZV9" s="3"/>
      <c r="RZW9" s="3"/>
      <c r="RZX9" s="3"/>
      <c r="RZY9" s="3"/>
      <c r="RZZ9" s="3"/>
      <c r="SAA9" s="3"/>
      <c r="SAB9" s="3"/>
      <c r="SAC9" s="3"/>
      <c r="SAD9" s="3"/>
      <c r="SAE9" s="3"/>
      <c r="SAF9" s="3"/>
      <c r="SAG9" s="3"/>
      <c r="SAH9" s="3"/>
      <c r="SAI9" s="3"/>
      <c r="SAJ9" s="3"/>
      <c r="SAK9" s="3"/>
      <c r="SAL9" s="3"/>
      <c r="SAM9" s="3"/>
      <c r="SAN9" s="3"/>
      <c r="SAO9" s="3"/>
      <c r="SAP9" s="3"/>
      <c r="SAQ9" s="3"/>
      <c r="SAR9" s="3"/>
      <c r="SAS9" s="3"/>
      <c r="SAT9" s="3"/>
      <c r="SAU9" s="3"/>
      <c r="SAV9" s="3"/>
      <c r="SAW9" s="3"/>
      <c r="SAX9" s="3"/>
      <c r="SAY9" s="3"/>
      <c r="SAZ9" s="3"/>
      <c r="SBA9" s="3"/>
      <c r="SBB9" s="3"/>
      <c r="SBC9" s="3"/>
      <c r="SBD9" s="3"/>
      <c r="SBE9" s="3"/>
      <c r="SBF9" s="3"/>
      <c r="SBG9" s="3"/>
      <c r="SBH9" s="3"/>
      <c r="SBI9" s="3"/>
      <c r="SBJ9" s="3"/>
      <c r="SBK9" s="3"/>
      <c r="SBL9" s="3"/>
      <c r="SBM9" s="3"/>
      <c r="SBN9" s="3"/>
      <c r="SBO9" s="3"/>
      <c r="SBP9" s="3"/>
      <c r="SBQ9" s="3"/>
      <c r="SBR9" s="3"/>
      <c r="SBS9" s="3"/>
      <c r="SBT9" s="3"/>
      <c r="SBU9" s="3"/>
      <c r="SBV9" s="3"/>
      <c r="SBW9" s="3"/>
      <c r="SBX9" s="3"/>
      <c r="SBY9" s="3"/>
      <c r="SBZ9" s="3"/>
      <c r="SCA9" s="3"/>
      <c r="SCB9" s="3"/>
      <c r="SCC9" s="3"/>
      <c r="SCD9" s="3"/>
      <c r="SCE9" s="3"/>
      <c r="SCF9" s="3"/>
      <c r="SCG9" s="3"/>
      <c r="SCH9" s="3"/>
      <c r="SCI9" s="3"/>
      <c r="SCJ9" s="3"/>
      <c r="SCK9" s="3"/>
      <c r="SCL9" s="3"/>
      <c r="SCM9" s="3"/>
      <c r="SCN9" s="3"/>
      <c r="SCO9" s="3"/>
      <c r="SCP9" s="3"/>
      <c r="SCQ9" s="3"/>
      <c r="SCR9" s="3"/>
      <c r="SCS9" s="3"/>
      <c r="SCT9" s="3"/>
      <c r="SCU9" s="3"/>
      <c r="SCV9" s="3"/>
      <c r="SCW9" s="3"/>
      <c r="SCX9" s="3"/>
      <c r="SCY9" s="3"/>
      <c r="SCZ9" s="3"/>
      <c r="SDA9" s="3"/>
      <c r="SDB9" s="3"/>
      <c r="SDC9" s="3"/>
      <c r="SDD9" s="3"/>
      <c r="SDE9" s="3"/>
      <c r="SDF9" s="3"/>
      <c r="SDG9" s="3"/>
      <c r="SDH9" s="3"/>
      <c r="SDI9" s="3"/>
      <c r="SDJ9" s="3"/>
      <c r="SDK9" s="3"/>
      <c r="SDL9" s="3"/>
      <c r="SDM9" s="3"/>
      <c r="SDN9" s="3"/>
      <c r="SDO9" s="3"/>
      <c r="SDP9" s="3"/>
      <c r="SDQ9" s="3"/>
      <c r="SDR9" s="3"/>
      <c r="SDS9" s="3"/>
      <c r="SDT9" s="3"/>
      <c r="SDU9" s="3"/>
      <c r="SDV9" s="3"/>
      <c r="SDW9" s="3"/>
      <c r="SDX9" s="3"/>
      <c r="SDY9" s="3"/>
      <c r="SDZ9" s="3"/>
      <c r="SEA9" s="3"/>
      <c r="SEB9" s="3"/>
      <c r="SEC9" s="3"/>
      <c r="SED9" s="3"/>
      <c r="SEE9" s="3"/>
      <c r="SEF9" s="3"/>
      <c r="SEG9" s="3"/>
      <c r="SEH9" s="3"/>
      <c r="SEI9" s="3"/>
      <c r="SEJ9" s="3"/>
      <c r="SEK9" s="3"/>
      <c r="SEL9" s="3"/>
      <c r="SEM9" s="3"/>
      <c r="SEN9" s="3"/>
      <c r="SEO9" s="3"/>
      <c r="SEP9" s="3"/>
      <c r="SEQ9" s="3"/>
      <c r="SER9" s="3"/>
      <c r="SES9" s="3"/>
      <c r="SET9" s="3"/>
      <c r="SEU9" s="3"/>
      <c r="SEV9" s="3"/>
      <c r="SEW9" s="3"/>
      <c r="SEX9" s="3"/>
      <c r="SEY9" s="3"/>
      <c r="SEZ9" s="3"/>
      <c r="SFA9" s="3"/>
      <c r="SFB9" s="3"/>
      <c r="SFC9" s="3"/>
      <c r="SFD9" s="3"/>
      <c r="SFE9" s="3"/>
      <c r="SFF9" s="3"/>
      <c r="SFG9" s="3"/>
      <c r="SFH9" s="3"/>
      <c r="SFI9" s="3"/>
      <c r="SFJ9" s="3"/>
      <c r="SFK9" s="3"/>
      <c r="SFL9" s="3"/>
      <c r="SFM9" s="3"/>
      <c r="SFN9" s="3"/>
      <c r="SFO9" s="3"/>
      <c r="SFP9" s="3"/>
      <c r="SFQ9" s="3"/>
      <c r="SFR9" s="3"/>
      <c r="SFS9" s="3"/>
      <c r="SFT9" s="3"/>
      <c r="SFU9" s="3"/>
      <c r="SFV9" s="3"/>
      <c r="SFW9" s="3"/>
      <c r="SFX9" s="3"/>
      <c r="SFY9" s="3"/>
      <c r="SFZ9" s="3"/>
      <c r="SGA9" s="3"/>
      <c r="SGB9" s="3"/>
      <c r="SGC9" s="3"/>
      <c r="SGD9" s="3"/>
      <c r="SGE9" s="3"/>
      <c r="SGF9" s="3"/>
      <c r="SGG9" s="3"/>
      <c r="SGH9" s="3"/>
      <c r="SGI9" s="3"/>
      <c r="SGJ9" s="3"/>
      <c r="SGK9" s="3"/>
      <c r="SGL9" s="3"/>
      <c r="SGM9" s="3"/>
      <c r="SGN9" s="3"/>
      <c r="SGO9" s="3"/>
      <c r="SGP9" s="3"/>
      <c r="SGQ9" s="3"/>
      <c r="SGR9" s="3"/>
      <c r="SGS9" s="3"/>
      <c r="SGT9" s="3"/>
      <c r="SGU9" s="3"/>
      <c r="SGV9" s="3"/>
      <c r="SGW9" s="3"/>
      <c r="SGX9" s="3"/>
      <c r="SGY9" s="3"/>
      <c r="SGZ9" s="3"/>
      <c r="SHA9" s="3"/>
      <c r="SHB9" s="3"/>
      <c r="SHC9" s="3"/>
      <c r="SHD9" s="3"/>
      <c r="SHE9" s="3"/>
      <c r="SHF9" s="3"/>
      <c r="SHG9" s="3"/>
      <c r="SHH9" s="3"/>
      <c r="SHI9" s="3"/>
      <c r="SHJ9" s="3"/>
      <c r="SHK9" s="3"/>
      <c r="SHL9" s="3"/>
      <c r="SHM9" s="3"/>
      <c r="SHN9" s="3"/>
      <c r="SHO9" s="3"/>
      <c r="SHP9" s="3"/>
      <c r="SHQ9" s="3"/>
      <c r="SHR9" s="3"/>
      <c r="SHS9" s="3"/>
      <c r="SHT9" s="3"/>
      <c r="SHU9" s="3"/>
      <c r="SHV9" s="3"/>
      <c r="SHW9" s="3"/>
      <c r="SHX9" s="3"/>
      <c r="SHY9" s="3"/>
      <c r="SHZ9" s="3"/>
      <c r="SIA9" s="3"/>
      <c r="SIB9" s="3"/>
      <c r="SIC9" s="3"/>
      <c r="SID9" s="3"/>
      <c r="SIE9" s="3"/>
      <c r="SIF9" s="3"/>
      <c r="SIG9" s="3"/>
      <c r="SIH9" s="3"/>
      <c r="SII9" s="3"/>
      <c r="SIJ9" s="3"/>
      <c r="SIK9" s="3"/>
      <c r="SIL9" s="3"/>
      <c r="SIM9" s="3"/>
      <c r="SIN9" s="3"/>
      <c r="SIO9" s="3"/>
      <c r="SIP9" s="3"/>
      <c r="SIQ9" s="3"/>
      <c r="SIR9" s="3"/>
      <c r="SIS9" s="3"/>
      <c r="SIT9" s="3"/>
      <c r="SIU9" s="3"/>
      <c r="SIV9" s="3"/>
      <c r="SIW9" s="3"/>
      <c r="SIX9" s="3"/>
      <c r="SIY9" s="3"/>
      <c r="SIZ9" s="3"/>
      <c r="SJA9" s="3"/>
      <c r="SJB9" s="3"/>
      <c r="SJC9" s="3"/>
      <c r="SJD9" s="3"/>
      <c r="SJE9" s="3"/>
      <c r="SJF9" s="3"/>
      <c r="SJG9" s="3"/>
      <c r="SJH9" s="3"/>
      <c r="SJI9" s="3"/>
      <c r="SJJ9" s="3"/>
      <c r="SJK9" s="3"/>
      <c r="SJL9" s="3"/>
      <c r="SJM9" s="3"/>
      <c r="SJN9" s="3"/>
      <c r="SJO9" s="3"/>
      <c r="SJP9" s="3"/>
      <c r="SJQ9" s="3"/>
      <c r="SJR9" s="3"/>
      <c r="SJS9" s="3"/>
      <c r="SJT9" s="3"/>
      <c r="SJU9" s="3"/>
      <c r="SJV9" s="3"/>
      <c r="SJW9" s="3"/>
      <c r="SJX9" s="3"/>
      <c r="SJY9" s="3"/>
      <c r="SJZ9" s="3"/>
      <c r="SKA9" s="3"/>
      <c r="SKB9" s="3"/>
      <c r="SKC9" s="3"/>
      <c r="SKD9" s="3"/>
      <c r="SKE9" s="3"/>
      <c r="SKF9" s="3"/>
      <c r="SKG9" s="3"/>
      <c r="SKH9" s="3"/>
      <c r="SKI9" s="3"/>
      <c r="SKJ9" s="3"/>
      <c r="SKK9" s="3"/>
      <c r="SKL9" s="3"/>
      <c r="SKM9" s="3"/>
      <c r="SKN9" s="3"/>
      <c r="SKO9" s="3"/>
      <c r="SKP9" s="3"/>
      <c r="SKQ9" s="3"/>
      <c r="SKR9" s="3"/>
      <c r="SKS9" s="3"/>
      <c r="SKT9" s="3"/>
      <c r="SKU9" s="3"/>
      <c r="SKV9" s="3"/>
      <c r="SKW9" s="3"/>
      <c r="SKX9" s="3"/>
      <c r="SKY9" s="3"/>
      <c r="SKZ9" s="3"/>
      <c r="SLA9" s="3"/>
      <c r="SLB9" s="3"/>
      <c r="SLC9" s="3"/>
      <c r="SLD9" s="3"/>
      <c r="SLE9" s="3"/>
      <c r="SLF9" s="3"/>
      <c r="SLG9" s="3"/>
      <c r="SLH9" s="3"/>
      <c r="SLI9" s="3"/>
      <c r="SLJ9" s="3"/>
      <c r="SLK9" s="3"/>
      <c r="SLL9" s="3"/>
      <c r="SLM9" s="3"/>
      <c r="SLN9" s="3"/>
      <c r="SLO9" s="3"/>
      <c r="SLP9" s="3"/>
      <c r="SLQ9" s="3"/>
      <c r="SLR9" s="3"/>
      <c r="SLS9" s="3"/>
      <c r="SLT9" s="3"/>
      <c r="SLU9" s="3"/>
      <c r="SLV9" s="3"/>
      <c r="SLW9" s="3"/>
      <c r="SLX9" s="3"/>
      <c r="SLY9" s="3"/>
      <c r="SLZ9" s="3"/>
      <c r="SMA9" s="3"/>
      <c r="SMB9" s="3"/>
      <c r="SMC9" s="3"/>
      <c r="SMD9" s="3"/>
      <c r="SME9" s="3"/>
      <c r="SMF9" s="3"/>
      <c r="SMG9" s="3"/>
      <c r="SMH9" s="3"/>
      <c r="SMI9" s="3"/>
      <c r="SMJ9" s="3"/>
      <c r="SMK9" s="3"/>
      <c r="SML9" s="3"/>
      <c r="SMM9" s="3"/>
      <c r="SMN9" s="3"/>
      <c r="SMO9" s="3"/>
      <c r="SMP9" s="3"/>
      <c r="SMQ9" s="3"/>
      <c r="SMR9" s="3"/>
      <c r="SMS9" s="3"/>
      <c r="SMT9" s="3"/>
      <c r="SMU9" s="3"/>
      <c r="SMV9" s="3"/>
      <c r="SMW9" s="3"/>
      <c r="SMX9" s="3"/>
      <c r="SMY9" s="3"/>
      <c r="SMZ9" s="3"/>
      <c r="SNA9" s="3"/>
      <c r="SNB9" s="3"/>
      <c r="SNC9" s="3"/>
      <c r="SND9" s="3"/>
      <c r="SNE9" s="3"/>
      <c r="SNF9" s="3"/>
      <c r="SNG9" s="3"/>
      <c r="SNH9" s="3"/>
      <c r="SNI9" s="3"/>
      <c r="SNJ9" s="3"/>
      <c r="SNK9" s="3"/>
      <c r="SNL9" s="3"/>
      <c r="SNM9" s="3"/>
      <c r="SNN9" s="3"/>
      <c r="SNO9" s="3"/>
      <c r="SNP9" s="3"/>
      <c r="SNQ9" s="3"/>
      <c r="SNR9" s="3"/>
      <c r="SNS9" s="3"/>
      <c r="SNT9" s="3"/>
      <c r="SNU9" s="3"/>
      <c r="SNV9" s="3"/>
      <c r="SNW9" s="3"/>
      <c r="SNX9" s="3"/>
      <c r="SNY9" s="3"/>
      <c r="SNZ9" s="3"/>
      <c r="SOA9" s="3"/>
      <c r="SOB9" s="3"/>
      <c r="SOC9" s="3"/>
      <c r="SOD9" s="3"/>
      <c r="SOE9" s="3"/>
      <c r="SOF9" s="3"/>
      <c r="SOG9" s="3"/>
      <c r="SOH9" s="3"/>
      <c r="SOI9" s="3"/>
      <c r="SOJ9" s="3"/>
      <c r="SOK9" s="3"/>
      <c r="SOL9" s="3"/>
      <c r="SOM9" s="3"/>
      <c r="SON9" s="3"/>
      <c r="SOO9" s="3"/>
      <c r="SOP9" s="3"/>
      <c r="SOQ9" s="3"/>
      <c r="SOR9" s="3"/>
      <c r="SOS9" s="3"/>
      <c r="SOT9" s="3"/>
      <c r="SOU9" s="3"/>
      <c r="SOV9" s="3"/>
      <c r="SOW9" s="3"/>
      <c r="SOX9" s="3"/>
      <c r="SOY9" s="3"/>
      <c r="SOZ9" s="3"/>
      <c r="SPA9" s="3"/>
      <c r="SPB9" s="3"/>
      <c r="SPC9" s="3"/>
      <c r="SPD9" s="3"/>
      <c r="SPE9" s="3"/>
      <c r="SPF9" s="3"/>
      <c r="SPG9" s="3"/>
      <c r="SPH9" s="3"/>
      <c r="SPI9" s="3"/>
      <c r="SPJ9" s="3"/>
      <c r="SPK9" s="3"/>
      <c r="SPL9" s="3"/>
      <c r="SPM9" s="3"/>
      <c r="SPN9" s="3"/>
      <c r="SPO9" s="3"/>
      <c r="SPP9" s="3"/>
      <c r="SPQ9" s="3"/>
      <c r="SPR9" s="3"/>
      <c r="SPS9" s="3"/>
      <c r="SPT9" s="3"/>
      <c r="SPU9" s="3"/>
      <c r="SPV9" s="3"/>
      <c r="SPW9" s="3"/>
      <c r="SPX9" s="3"/>
      <c r="SPY9" s="3"/>
      <c r="SPZ9" s="3"/>
      <c r="SQA9" s="3"/>
      <c r="SQB9" s="3"/>
      <c r="SQC9" s="3"/>
      <c r="SQD9" s="3"/>
      <c r="SQE9" s="3"/>
      <c r="SQF9" s="3"/>
      <c r="SQG9" s="3"/>
      <c r="SQH9" s="3"/>
      <c r="SQI9" s="3"/>
      <c r="SQJ9" s="3"/>
      <c r="SQK9" s="3"/>
      <c r="SQL9" s="3"/>
      <c r="SQM9" s="3"/>
      <c r="SQN9" s="3"/>
      <c r="SQO9" s="3"/>
      <c r="SQP9" s="3"/>
      <c r="SQQ9" s="3"/>
      <c r="SQR9" s="3"/>
      <c r="SQS9" s="3"/>
      <c r="SQT9" s="3"/>
      <c r="SQU9" s="3"/>
      <c r="SQV9" s="3"/>
      <c r="SQW9" s="3"/>
      <c r="SQX9" s="3"/>
      <c r="SQY9" s="3"/>
      <c r="SQZ9" s="3"/>
      <c r="SRA9" s="3"/>
      <c r="SRB9" s="3"/>
      <c r="SRC9" s="3"/>
      <c r="SRD9" s="3"/>
      <c r="SRE9" s="3"/>
      <c r="SRF9" s="3"/>
      <c r="SRG9" s="3"/>
      <c r="SRH9" s="3"/>
      <c r="SRI9" s="3"/>
      <c r="SRJ9" s="3"/>
      <c r="SRK9" s="3"/>
      <c r="SRL9" s="3"/>
      <c r="SRM9" s="3"/>
      <c r="SRN9" s="3"/>
      <c r="SRO9" s="3"/>
      <c r="SRP9" s="3"/>
      <c r="SRQ9" s="3"/>
      <c r="SRR9" s="3"/>
      <c r="SRS9" s="3"/>
      <c r="SRT9" s="3"/>
      <c r="SRU9" s="3"/>
      <c r="SRV9" s="3"/>
      <c r="SRW9" s="3"/>
      <c r="SRX9" s="3"/>
      <c r="SRY9" s="3"/>
      <c r="SRZ9" s="3"/>
      <c r="SSA9" s="3"/>
      <c r="SSB9" s="3"/>
      <c r="SSC9" s="3"/>
      <c r="SSD9" s="3"/>
      <c r="SSE9" s="3"/>
      <c r="SSF9" s="3"/>
      <c r="SSG9" s="3"/>
      <c r="SSH9" s="3"/>
      <c r="SSI9" s="3"/>
      <c r="SSJ9" s="3"/>
      <c r="SSK9" s="3"/>
      <c r="SSL9" s="3"/>
      <c r="SSM9" s="3"/>
      <c r="SSN9" s="3"/>
      <c r="SSO9" s="3"/>
      <c r="SSP9" s="3"/>
      <c r="SSQ9" s="3"/>
      <c r="SSR9" s="3"/>
      <c r="SSS9" s="3"/>
      <c r="SST9" s="3"/>
      <c r="SSU9" s="3"/>
      <c r="SSV9" s="3"/>
      <c r="SSW9" s="3"/>
      <c r="SSX9" s="3"/>
      <c r="SSY9" s="3"/>
      <c r="SSZ9" s="3"/>
      <c r="STA9" s="3"/>
      <c r="STB9" s="3"/>
      <c r="STC9" s="3"/>
      <c r="STD9" s="3"/>
      <c r="STE9" s="3"/>
      <c r="STF9" s="3"/>
      <c r="STG9" s="3"/>
      <c r="STH9" s="3"/>
      <c r="STI9" s="3"/>
      <c r="STJ9" s="3"/>
      <c r="STK9" s="3"/>
      <c r="STL9" s="3"/>
      <c r="STM9" s="3"/>
      <c r="STN9" s="3"/>
      <c r="STO9" s="3"/>
      <c r="STP9" s="3"/>
      <c r="STQ9" s="3"/>
      <c r="STR9" s="3"/>
      <c r="STS9" s="3"/>
      <c r="STT9" s="3"/>
      <c r="STU9" s="3"/>
      <c r="STV9" s="3"/>
      <c r="STW9" s="3"/>
      <c r="STX9" s="3"/>
      <c r="STY9" s="3"/>
      <c r="STZ9" s="3"/>
      <c r="SUA9" s="3"/>
      <c r="SUB9" s="3"/>
      <c r="SUC9" s="3"/>
      <c r="SUD9" s="3"/>
      <c r="SUE9" s="3"/>
      <c r="SUF9" s="3"/>
      <c r="SUG9" s="3"/>
      <c r="SUH9" s="3"/>
      <c r="SUI9" s="3"/>
      <c r="SUJ9" s="3"/>
      <c r="SUK9" s="3"/>
      <c r="SUL9" s="3"/>
      <c r="SUM9" s="3"/>
      <c r="SUN9" s="3"/>
      <c r="SUO9" s="3"/>
      <c r="SUP9" s="3"/>
      <c r="SUQ9" s="3"/>
      <c r="SUR9" s="3"/>
      <c r="SUS9" s="3"/>
      <c r="SUT9" s="3"/>
      <c r="SUU9" s="3"/>
      <c r="SUV9" s="3"/>
      <c r="SUW9" s="3"/>
      <c r="SUX9" s="3"/>
      <c r="SUY9" s="3"/>
      <c r="SUZ9" s="3"/>
      <c r="SVA9" s="3"/>
      <c r="SVB9" s="3"/>
      <c r="SVC9" s="3"/>
      <c r="SVD9" s="3"/>
      <c r="SVE9" s="3"/>
      <c r="SVF9" s="3"/>
      <c r="SVG9" s="3"/>
      <c r="SVH9" s="3"/>
      <c r="SVI9" s="3"/>
      <c r="SVJ9" s="3"/>
      <c r="SVK9" s="3"/>
      <c r="SVL9" s="3"/>
      <c r="SVM9" s="3"/>
      <c r="SVN9" s="3"/>
      <c r="SVO9" s="3"/>
      <c r="SVP9" s="3"/>
      <c r="SVQ9" s="3"/>
      <c r="SVR9" s="3"/>
      <c r="SVS9" s="3"/>
      <c r="SVT9" s="3"/>
      <c r="SVU9" s="3"/>
      <c r="SVV9" s="3"/>
      <c r="SVW9" s="3"/>
      <c r="SVX9" s="3"/>
      <c r="SVY9" s="3"/>
      <c r="SVZ9" s="3"/>
      <c r="SWA9" s="3"/>
      <c r="SWB9" s="3"/>
      <c r="SWC9" s="3"/>
      <c r="SWD9" s="3"/>
      <c r="SWE9" s="3"/>
      <c r="SWF9" s="3"/>
      <c r="SWG9" s="3"/>
      <c r="SWH9" s="3"/>
      <c r="SWI9" s="3"/>
      <c r="SWJ9" s="3"/>
      <c r="SWK9" s="3"/>
      <c r="SWL9" s="3"/>
      <c r="SWM9" s="3"/>
      <c r="SWN9" s="3"/>
      <c r="SWO9" s="3"/>
      <c r="SWP9" s="3"/>
      <c r="SWQ9" s="3"/>
      <c r="SWR9" s="3"/>
      <c r="SWS9" s="3"/>
      <c r="SWT9" s="3"/>
      <c r="SWU9" s="3"/>
      <c r="SWV9" s="3"/>
      <c r="SWW9" s="3"/>
      <c r="SWX9" s="3"/>
      <c r="SWY9" s="3"/>
      <c r="SWZ9" s="3"/>
      <c r="SXA9" s="3"/>
      <c r="SXB9" s="3"/>
      <c r="SXC9" s="3"/>
      <c r="SXD9" s="3"/>
      <c r="SXE9" s="3"/>
      <c r="SXF9" s="3"/>
      <c r="SXG9" s="3"/>
      <c r="SXH9" s="3"/>
      <c r="SXI9" s="3"/>
      <c r="SXJ9" s="3"/>
      <c r="SXK9" s="3"/>
      <c r="SXL9" s="3"/>
      <c r="SXM9" s="3"/>
      <c r="SXN9" s="3"/>
      <c r="SXO9" s="3"/>
      <c r="SXP9" s="3"/>
      <c r="SXQ9" s="3"/>
      <c r="SXR9" s="3"/>
      <c r="SXS9" s="3"/>
      <c r="SXT9" s="3"/>
      <c r="SXU9" s="3"/>
      <c r="SXV9" s="3"/>
      <c r="SXW9" s="3"/>
      <c r="SXX9" s="3"/>
      <c r="SXY9" s="3"/>
      <c r="SXZ9" s="3"/>
      <c r="SYA9" s="3"/>
      <c r="SYB9" s="3"/>
      <c r="SYC9" s="3"/>
      <c r="SYD9" s="3"/>
      <c r="SYE9" s="3"/>
      <c r="SYF9" s="3"/>
      <c r="SYG9" s="3"/>
      <c r="SYH9" s="3"/>
      <c r="SYI9" s="3"/>
      <c r="SYJ9" s="3"/>
      <c r="SYK9" s="3"/>
      <c r="SYL9" s="3"/>
      <c r="SYM9" s="3"/>
      <c r="SYN9" s="3"/>
      <c r="SYO9" s="3"/>
      <c r="SYP9" s="3"/>
      <c r="SYQ9" s="3"/>
      <c r="SYR9" s="3"/>
      <c r="SYS9" s="3"/>
      <c r="SYT9" s="3"/>
      <c r="SYU9" s="3"/>
      <c r="SYV9" s="3"/>
      <c r="SYW9" s="3"/>
      <c r="SYX9" s="3"/>
      <c r="SYY9" s="3"/>
      <c r="SYZ9" s="3"/>
      <c r="SZA9" s="3"/>
      <c r="SZB9" s="3"/>
      <c r="SZC9" s="3"/>
      <c r="SZD9" s="3"/>
      <c r="SZE9" s="3"/>
      <c r="SZF9" s="3"/>
      <c r="SZG9" s="3"/>
      <c r="SZH9" s="3"/>
      <c r="SZI9" s="3"/>
      <c r="SZJ9" s="3"/>
      <c r="SZK9" s="3"/>
      <c r="SZL9" s="3"/>
      <c r="SZM9" s="3"/>
      <c r="SZN9" s="3"/>
      <c r="SZO9" s="3"/>
      <c r="SZP9" s="3"/>
      <c r="SZQ9" s="3"/>
      <c r="SZR9" s="3"/>
      <c r="SZS9" s="3"/>
      <c r="SZT9" s="3"/>
      <c r="SZU9" s="3"/>
      <c r="SZV9" s="3"/>
      <c r="SZW9" s="3"/>
      <c r="SZX9" s="3"/>
      <c r="SZY9" s="3"/>
      <c r="SZZ9" s="3"/>
      <c r="TAA9" s="3"/>
      <c r="TAB9" s="3"/>
      <c r="TAC9" s="3"/>
      <c r="TAD9" s="3"/>
      <c r="TAE9" s="3"/>
      <c r="TAF9" s="3"/>
      <c r="TAG9" s="3"/>
      <c r="TAH9" s="3"/>
      <c r="TAI9" s="3"/>
      <c r="TAJ9" s="3"/>
      <c r="TAK9" s="3"/>
      <c r="TAL9" s="3"/>
      <c r="TAM9" s="3"/>
      <c r="TAN9" s="3"/>
      <c r="TAO9" s="3"/>
      <c r="TAP9" s="3"/>
      <c r="TAQ9" s="3"/>
      <c r="TAR9" s="3"/>
      <c r="TAS9" s="3"/>
      <c r="TAT9" s="3"/>
      <c r="TAU9" s="3"/>
      <c r="TAV9" s="3"/>
      <c r="TAW9" s="3"/>
      <c r="TAX9" s="3"/>
      <c r="TAY9" s="3"/>
      <c r="TAZ9" s="3"/>
      <c r="TBA9" s="3"/>
      <c r="TBB9" s="3"/>
      <c r="TBC9" s="3"/>
      <c r="TBD9" s="3"/>
      <c r="TBE9" s="3"/>
      <c r="TBF9" s="3"/>
      <c r="TBG9" s="3"/>
      <c r="TBH9" s="3"/>
      <c r="TBI9" s="3"/>
      <c r="TBJ9" s="3"/>
      <c r="TBK9" s="3"/>
      <c r="TBL9" s="3"/>
      <c r="TBM9" s="3"/>
      <c r="TBN9" s="3"/>
      <c r="TBO9" s="3"/>
      <c r="TBP9" s="3"/>
      <c r="TBQ9" s="3"/>
      <c r="TBR9" s="3"/>
      <c r="TBS9" s="3"/>
      <c r="TBT9" s="3"/>
      <c r="TBU9" s="3"/>
      <c r="TBV9" s="3"/>
      <c r="TBW9" s="3"/>
      <c r="TBX9" s="3"/>
      <c r="TBY9" s="3"/>
      <c r="TBZ9" s="3"/>
      <c r="TCA9" s="3"/>
      <c r="TCB9" s="3"/>
      <c r="TCC9" s="3"/>
      <c r="TCD9" s="3"/>
      <c r="TCE9" s="3"/>
      <c r="TCF9" s="3"/>
      <c r="TCG9" s="3"/>
      <c r="TCH9" s="3"/>
      <c r="TCI9" s="3"/>
      <c r="TCJ9" s="3"/>
      <c r="TCK9" s="3"/>
      <c r="TCL9" s="3"/>
      <c r="TCM9" s="3"/>
      <c r="TCN9" s="3"/>
      <c r="TCO9" s="3"/>
      <c r="TCP9" s="3"/>
      <c r="TCQ9" s="3"/>
      <c r="TCR9" s="3"/>
      <c r="TCS9" s="3"/>
      <c r="TCT9" s="3"/>
      <c r="TCU9" s="3"/>
      <c r="TCV9" s="3"/>
      <c r="TCW9" s="3"/>
      <c r="TCX9" s="3"/>
      <c r="TCY9" s="3"/>
      <c r="TCZ9" s="3"/>
      <c r="TDA9" s="3"/>
      <c r="TDB9" s="3"/>
      <c r="TDC9" s="3"/>
      <c r="TDD9" s="3"/>
      <c r="TDE9" s="3"/>
      <c r="TDF9" s="3"/>
      <c r="TDG9" s="3"/>
      <c r="TDH9" s="3"/>
      <c r="TDI9" s="3"/>
      <c r="TDJ9" s="3"/>
      <c r="TDK9" s="3"/>
      <c r="TDL9" s="3"/>
      <c r="TDM9" s="3"/>
      <c r="TDN9" s="3"/>
      <c r="TDO9" s="3"/>
      <c r="TDP9" s="3"/>
      <c r="TDQ9" s="3"/>
      <c r="TDR9" s="3"/>
      <c r="TDS9" s="3"/>
      <c r="TDT9" s="3"/>
      <c r="TDU9" s="3"/>
      <c r="TDV9" s="3"/>
      <c r="TDW9" s="3"/>
      <c r="TDX9" s="3"/>
      <c r="TDY9" s="3"/>
      <c r="TDZ9" s="3"/>
      <c r="TEA9" s="3"/>
      <c r="TEB9" s="3"/>
      <c r="TEC9" s="3"/>
      <c r="TED9" s="3"/>
      <c r="TEE9" s="3"/>
      <c r="TEF9" s="3"/>
      <c r="TEG9" s="3"/>
      <c r="TEH9" s="3"/>
      <c r="TEI9" s="3"/>
      <c r="TEJ9" s="3"/>
      <c r="TEK9" s="3"/>
      <c r="TEL9" s="3"/>
      <c r="TEM9" s="3"/>
      <c r="TEN9" s="3"/>
      <c r="TEO9" s="3"/>
      <c r="TEP9" s="3"/>
      <c r="TEQ9" s="3"/>
      <c r="TER9" s="3"/>
      <c r="TES9" s="3"/>
      <c r="TET9" s="3"/>
      <c r="TEU9" s="3"/>
      <c r="TEV9" s="3"/>
      <c r="TEW9" s="3"/>
      <c r="TEX9" s="3"/>
      <c r="TEY9" s="3"/>
      <c r="TEZ9" s="3"/>
      <c r="TFA9" s="3"/>
      <c r="TFB9" s="3"/>
      <c r="TFC9" s="3"/>
      <c r="TFD9" s="3"/>
      <c r="TFE9" s="3"/>
      <c r="TFF9" s="3"/>
      <c r="TFG9" s="3"/>
      <c r="TFH9" s="3"/>
      <c r="TFI9" s="3"/>
      <c r="TFJ9" s="3"/>
      <c r="TFK9" s="3"/>
      <c r="TFL9" s="3"/>
      <c r="TFM9" s="3"/>
      <c r="TFN9" s="3"/>
      <c r="TFO9" s="3"/>
      <c r="TFP9" s="3"/>
      <c r="TFQ9" s="3"/>
      <c r="TFR9" s="3"/>
      <c r="TFS9" s="3"/>
      <c r="TFT9" s="3"/>
      <c r="TFU9" s="3"/>
      <c r="TFV9" s="3"/>
      <c r="TFW9" s="3"/>
      <c r="TFX9" s="3"/>
      <c r="TFY9" s="3"/>
      <c r="TFZ9" s="3"/>
      <c r="TGA9" s="3"/>
      <c r="TGB9" s="3"/>
      <c r="TGC9" s="3"/>
      <c r="TGD9" s="3"/>
      <c r="TGE9" s="3"/>
      <c r="TGF9" s="3"/>
      <c r="TGG9" s="3"/>
      <c r="TGH9" s="3"/>
      <c r="TGI9" s="3"/>
      <c r="TGJ9" s="3"/>
      <c r="TGK9" s="3"/>
      <c r="TGL9" s="3"/>
      <c r="TGM9" s="3"/>
      <c r="TGN9" s="3"/>
      <c r="TGO9" s="3"/>
      <c r="TGP9" s="3"/>
      <c r="TGQ9" s="3"/>
      <c r="TGR9" s="3"/>
      <c r="TGS9" s="3"/>
      <c r="TGT9" s="3"/>
      <c r="TGU9" s="3"/>
      <c r="TGV9" s="3"/>
      <c r="TGW9" s="3"/>
      <c r="TGX9" s="3"/>
      <c r="TGY9" s="3"/>
      <c r="TGZ9" s="3"/>
      <c r="THA9" s="3"/>
      <c r="THB9" s="3"/>
      <c r="THC9" s="3"/>
      <c r="THD9" s="3"/>
      <c r="THE9" s="3"/>
      <c r="THF9" s="3"/>
      <c r="THG9" s="3"/>
      <c r="THH9" s="3"/>
      <c r="THI9" s="3"/>
      <c r="THJ9" s="3"/>
      <c r="THK9" s="3"/>
      <c r="THL9" s="3"/>
      <c r="THM9" s="3"/>
      <c r="THN9" s="3"/>
      <c r="THO9" s="3"/>
      <c r="THP9" s="3"/>
      <c r="THQ9" s="3"/>
      <c r="THR9" s="3"/>
      <c r="THS9" s="3"/>
      <c r="THT9" s="3"/>
      <c r="THU9" s="3"/>
      <c r="THV9" s="3"/>
      <c r="THW9" s="3"/>
      <c r="THX9" s="3"/>
      <c r="THY9" s="3"/>
      <c r="THZ9" s="3"/>
      <c r="TIA9" s="3"/>
      <c r="TIB9" s="3"/>
      <c r="TIC9" s="3"/>
      <c r="TID9" s="3"/>
      <c r="TIE9" s="3"/>
      <c r="TIF9" s="3"/>
      <c r="TIG9" s="3"/>
      <c r="TIH9" s="3"/>
      <c r="TII9" s="3"/>
      <c r="TIJ9" s="3"/>
      <c r="TIK9" s="3"/>
      <c r="TIL9" s="3"/>
      <c r="TIM9" s="3"/>
      <c r="TIN9" s="3"/>
      <c r="TIO9" s="3"/>
      <c r="TIP9" s="3"/>
      <c r="TIQ9" s="3"/>
      <c r="TIR9" s="3"/>
      <c r="TIS9" s="3"/>
      <c r="TIT9" s="3"/>
      <c r="TIU9" s="3"/>
      <c r="TIV9" s="3"/>
      <c r="TIW9" s="3"/>
      <c r="TIX9" s="3"/>
      <c r="TIY9" s="3"/>
      <c r="TIZ9" s="3"/>
      <c r="TJA9" s="3"/>
      <c r="TJB9" s="3"/>
      <c r="TJC9" s="3"/>
      <c r="TJD9" s="3"/>
      <c r="TJE9" s="3"/>
      <c r="TJF9" s="3"/>
      <c r="TJG9" s="3"/>
      <c r="TJH9" s="3"/>
      <c r="TJI9" s="3"/>
      <c r="TJJ9" s="3"/>
      <c r="TJK9" s="3"/>
      <c r="TJL9" s="3"/>
      <c r="TJM9" s="3"/>
      <c r="TJN9" s="3"/>
      <c r="TJO9" s="3"/>
      <c r="TJP9" s="3"/>
      <c r="TJQ9" s="3"/>
      <c r="TJR9" s="3"/>
      <c r="TJS9" s="3"/>
      <c r="TJT9" s="3"/>
      <c r="TJU9" s="3"/>
      <c r="TJV9" s="3"/>
      <c r="TJW9" s="3"/>
      <c r="TJX9" s="3"/>
      <c r="TJY9" s="3"/>
      <c r="TJZ9" s="3"/>
      <c r="TKA9" s="3"/>
      <c r="TKB9" s="3"/>
      <c r="TKC9" s="3"/>
      <c r="TKD9" s="3"/>
      <c r="TKE9" s="3"/>
      <c r="TKF9" s="3"/>
      <c r="TKG9" s="3"/>
      <c r="TKH9" s="3"/>
      <c r="TKI9" s="3"/>
      <c r="TKJ9" s="3"/>
      <c r="TKK9" s="3"/>
      <c r="TKL9" s="3"/>
      <c r="TKM9" s="3"/>
      <c r="TKN9" s="3"/>
      <c r="TKO9" s="3"/>
      <c r="TKP9" s="3"/>
      <c r="TKQ9" s="3"/>
      <c r="TKR9" s="3"/>
      <c r="TKS9" s="3"/>
      <c r="TKT9" s="3"/>
      <c r="TKU9" s="3"/>
      <c r="TKV9" s="3"/>
      <c r="TKW9" s="3"/>
      <c r="TKX9" s="3"/>
      <c r="TKY9" s="3"/>
      <c r="TKZ9" s="3"/>
      <c r="TLA9" s="3"/>
      <c r="TLB9" s="3"/>
      <c r="TLC9" s="3"/>
      <c r="TLD9" s="3"/>
      <c r="TLE9" s="3"/>
      <c r="TLF9" s="3"/>
      <c r="TLG9" s="3"/>
      <c r="TLH9" s="3"/>
      <c r="TLI9" s="3"/>
      <c r="TLJ9" s="3"/>
      <c r="TLK9" s="3"/>
      <c r="TLL9" s="3"/>
      <c r="TLM9" s="3"/>
      <c r="TLN9" s="3"/>
      <c r="TLO9" s="3"/>
      <c r="TLP9" s="3"/>
      <c r="TLQ9" s="3"/>
      <c r="TLR9" s="3"/>
      <c r="TLS9" s="3"/>
      <c r="TLT9" s="3"/>
      <c r="TLU9" s="3"/>
      <c r="TLV9" s="3"/>
      <c r="TLW9" s="3"/>
      <c r="TLX9" s="3"/>
      <c r="TLY9" s="3"/>
      <c r="TLZ9" s="3"/>
      <c r="TMA9" s="3"/>
      <c r="TMB9" s="3"/>
      <c r="TMC9" s="3"/>
      <c r="TMD9" s="3"/>
      <c r="TME9" s="3"/>
      <c r="TMF9" s="3"/>
      <c r="TMG9" s="3"/>
      <c r="TMH9" s="3"/>
      <c r="TMI9" s="3"/>
      <c r="TMJ9" s="3"/>
      <c r="TMK9" s="3"/>
      <c r="TML9" s="3"/>
      <c r="TMM9" s="3"/>
      <c r="TMN9" s="3"/>
      <c r="TMO9" s="3"/>
      <c r="TMP9" s="3"/>
      <c r="TMQ9" s="3"/>
      <c r="TMR9" s="3"/>
      <c r="TMS9" s="3"/>
      <c r="TMT9" s="3"/>
      <c r="TMU9" s="3"/>
      <c r="TMV9" s="3"/>
      <c r="TMW9" s="3"/>
      <c r="TMX9" s="3"/>
      <c r="TMY9" s="3"/>
      <c r="TMZ9" s="3"/>
      <c r="TNA9" s="3"/>
      <c r="TNB9" s="3"/>
      <c r="TNC9" s="3"/>
      <c r="TND9" s="3"/>
      <c r="TNE9" s="3"/>
      <c r="TNF9" s="3"/>
      <c r="TNG9" s="3"/>
      <c r="TNH9" s="3"/>
      <c r="TNI9" s="3"/>
      <c r="TNJ9" s="3"/>
      <c r="TNK9" s="3"/>
      <c r="TNL9" s="3"/>
      <c r="TNM9" s="3"/>
      <c r="TNN9" s="3"/>
      <c r="TNO9" s="3"/>
      <c r="TNP9" s="3"/>
      <c r="TNQ9" s="3"/>
      <c r="TNR9" s="3"/>
      <c r="TNS9" s="3"/>
      <c r="TNT9" s="3"/>
      <c r="TNU9" s="3"/>
      <c r="TNV9" s="3"/>
      <c r="TNW9" s="3"/>
      <c r="TNX9" s="3"/>
      <c r="TNY9" s="3"/>
      <c r="TNZ9" s="3"/>
      <c r="TOA9" s="3"/>
      <c r="TOB9" s="3"/>
      <c r="TOC9" s="3"/>
      <c r="TOD9" s="3"/>
      <c r="TOE9" s="3"/>
      <c r="TOF9" s="3"/>
      <c r="TOG9" s="3"/>
      <c r="TOH9" s="3"/>
      <c r="TOI9" s="3"/>
      <c r="TOJ9" s="3"/>
      <c r="TOK9" s="3"/>
      <c r="TOL9" s="3"/>
      <c r="TOM9" s="3"/>
      <c r="TON9" s="3"/>
      <c r="TOO9" s="3"/>
      <c r="TOP9" s="3"/>
      <c r="TOQ9" s="3"/>
      <c r="TOR9" s="3"/>
      <c r="TOS9" s="3"/>
      <c r="TOT9" s="3"/>
      <c r="TOU9" s="3"/>
      <c r="TOV9" s="3"/>
      <c r="TOW9" s="3"/>
      <c r="TOX9" s="3"/>
      <c r="TOY9" s="3"/>
      <c r="TOZ9" s="3"/>
      <c r="TPA9" s="3"/>
      <c r="TPB9" s="3"/>
      <c r="TPC9" s="3"/>
      <c r="TPD9" s="3"/>
      <c r="TPE9" s="3"/>
      <c r="TPF9" s="3"/>
      <c r="TPG9" s="3"/>
      <c r="TPH9" s="3"/>
      <c r="TPI9" s="3"/>
      <c r="TPJ9" s="3"/>
      <c r="TPK9" s="3"/>
      <c r="TPL9" s="3"/>
      <c r="TPM9" s="3"/>
      <c r="TPN9" s="3"/>
      <c r="TPO9" s="3"/>
      <c r="TPP9" s="3"/>
      <c r="TPQ9" s="3"/>
      <c r="TPR9" s="3"/>
      <c r="TPS9" s="3"/>
      <c r="TPT9" s="3"/>
      <c r="TPU9" s="3"/>
      <c r="TPV9" s="3"/>
      <c r="TPW9" s="3"/>
      <c r="TPX9" s="3"/>
      <c r="TPY9" s="3"/>
      <c r="TPZ9" s="3"/>
      <c r="TQA9" s="3"/>
      <c r="TQB9" s="3"/>
      <c r="TQC9" s="3"/>
      <c r="TQD9" s="3"/>
      <c r="TQE9" s="3"/>
      <c r="TQF9" s="3"/>
      <c r="TQG9" s="3"/>
      <c r="TQH9" s="3"/>
      <c r="TQI9" s="3"/>
      <c r="TQJ9" s="3"/>
      <c r="TQK9" s="3"/>
      <c r="TQL9" s="3"/>
      <c r="TQM9" s="3"/>
      <c r="TQN9" s="3"/>
      <c r="TQO9" s="3"/>
      <c r="TQP9" s="3"/>
      <c r="TQQ9" s="3"/>
      <c r="TQR9" s="3"/>
      <c r="TQS9" s="3"/>
      <c r="TQT9" s="3"/>
      <c r="TQU9" s="3"/>
      <c r="TQV9" s="3"/>
      <c r="TQW9" s="3"/>
      <c r="TQX9" s="3"/>
      <c r="TQY9" s="3"/>
      <c r="TQZ9" s="3"/>
      <c r="TRA9" s="3"/>
      <c r="TRB9" s="3"/>
      <c r="TRC9" s="3"/>
      <c r="TRD9" s="3"/>
      <c r="TRE9" s="3"/>
      <c r="TRF9" s="3"/>
      <c r="TRG9" s="3"/>
      <c r="TRH9" s="3"/>
      <c r="TRI9" s="3"/>
      <c r="TRJ9" s="3"/>
      <c r="TRK9" s="3"/>
      <c r="TRL9" s="3"/>
      <c r="TRM9" s="3"/>
      <c r="TRN9" s="3"/>
      <c r="TRO9" s="3"/>
      <c r="TRP9" s="3"/>
      <c r="TRQ9" s="3"/>
      <c r="TRR9" s="3"/>
      <c r="TRS9" s="3"/>
      <c r="TRT9" s="3"/>
      <c r="TRU9" s="3"/>
      <c r="TRV9" s="3"/>
      <c r="TRW9" s="3"/>
      <c r="TRX9" s="3"/>
      <c r="TRY9" s="3"/>
      <c r="TRZ9" s="3"/>
      <c r="TSA9" s="3"/>
      <c r="TSB9" s="3"/>
      <c r="TSC9" s="3"/>
      <c r="TSD9" s="3"/>
      <c r="TSE9" s="3"/>
      <c r="TSF9" s="3"/>
      <c r="TSG9" s="3"/>
      <c r="TSH9" s="3"/>
      <c r="TSI9" s="3"/>
      <c r="TSJ9" s="3"/>
      <c r="TSK9" s="3"/>
      <c r="TSL9" s="3"/>
      <c r="TSM9" s="3"/>
      <c r="TSN9" s="3"/>
      <c r="TSO9" s="3"/>
      <c r="TSP9" s="3"/>
      <c r="TSQ9" s="3"/>
      <c r="TSR9" s="3"/>
      <c r="TSS9" s="3"/>
      <c r="TST9" s="3"/>
      <c r="TSU9" s="3"/>
      <c r="TSV9" s="3"/>
      <c r="TSW9" s="3"/>
      <c r="TSX9" s="3"/>
      <c r="TSY9" s="3"/>
      <c r="TSZ9" s="3"/>
      <c r="TTA9" s="3"/>
      <c r="TTB9" s="3"/>
      <c r="TTC9" s="3"/>
      <c r="TTD9" s="3"/>
      <c r="TTE9" s="3"/>
      <c r="TTF9" s="3"/>
      <c r="TTG9" s="3"/>
      <c r="TTH9" s="3"/>
      <c r="TTI9" s="3"/>
      <c r="TTJ9" s="3"/>
      <c r="TTK9" s="3"/>
      <c r="TTL9" s="3"/>
      <c r="TTM9" s="3"/>
      <c r="TTN9" s="3"/>
      <c r="TTO9" s="3"/>
      <c r="TTP9" s="3"/>
      <c r="TTQ9" s="3"/>
      <c r="TTR9" s="3"/>
      <c r="TTS9" s="3"/>
      <c r="TTT9" s="3"/>
      <c r="TTU9" s="3"/>
      <c r="TTV9" s="3"/>
      <c r="TTW9" s="3"/>
      <c r="TTX9" s="3"/>
      <c r="TTY9" s="3"/>
      <c r="TTZ9" s="3"/>
      <c r="TUA9" s="3"/>
      <c r="TUB9" s="3"/>
      <c r="TUC9" s="3"/>
      <c r="TUD9" s="3"/>
      <c r="TUE9" s="3"/>
      <c r="TUF9" s="3"/>
      <c r="TUG9" s="3"/>
      <c r="TUH9" s="3"/>
      <c r="TUI9" s="3"/>
      <c r="TUJ9" s="3"/>
      <c r="TUK9" s="3"/>
      <c r="TUL9" s="3"/>
      <c r="TUM9" s="3"/>
      <c r="TUN9" s="3"/>
      <c r="TUO9" s="3"/>
      <c r="TUP9" s="3"/>
      <c r="TUQ9" s="3"/>
      <c r="TUR9" s="3"/>
      <c r="TUS9" s="3"/>
      <c r="TUT9" s="3"/>
      <c r="TUU9" s="3"/>
      <c r="TUV9" s="3"/>
      <c r="TUW9" s="3"/>
      <c r="TUX9" s="3"/>
      <c r="TUY9" s="3"/>
      <c r="TUZ9" s="3"/>
      <c r="TVA9" s="3"/>
      <c r="TVB9" s="3"/>
      <c r="TVC9" s="3"/>
      <c r="TVD9" s="3"/>
      <c r="TVE9" s="3"/>
      <c r="TVF9" s="3"/>
      <c r="TVG9" s="3"/>
      <c r="TVH9" s="3"/>
      <c r="TVI9" s="3"/>
      <c r="TVJ9" s="3"/>
      <c r="TVK9" s="3"/>
      <c r="TVL9" s="3"/>
      <c r="TVM9" s="3"/>
      <c r="TVN9" s="3"/>
      <c r="TVO9" s="3"/>
      <c r="TVP9" s="3"/>
      <c r="TVQ9" s="3"/>
      <c r="TVR9" s="3"/>
      <c r="TVS9" s="3"/>
      <c r="TVT9" s="3"/>
      <c r="TVU9" s="3"/>
      <c r="TVV9" s="3"/>
      <c r="TVW9" s="3"/>
      <c r="TVX9" s="3"/>
      <c r="TVY9" s="3"/>
      <c r="TVZ9" s="3"/>
      <c r="TWA9" s="3"/>
      <c r="TWB9" s="3"/>
      <c r="TWC9" s="3"/>
      <c r="TWD9" s="3"/>
      <c r="TWE9" s="3"/>
      <c r="TWF9" s="3"/>
      <c r="TWG9" s="3"/>
      <c r="TWH9" s="3"/>
      <c r="TWI9" s="3"/>
      <c r="TWJ9" s="3"/>
      <c r="TWK9" s="3"/>
      <c r="TWL9" s="3"/>
      <c r="TWM9" s="3"/>
      <c r="TWN9" s="3"/>
      <c r="TWO9" s="3"/>
      <c r="TWP9" s="3"/>
      <c r="TWQ9" s="3"/>
      <c r="TWR9" s="3"/>
      <c r="TWS9" s="3"/>
      <c r="TWT9" s="3"/>
      <c r="TWU9" s="3"/>
      <c r="TWV9" s="3"/>
      <c r="TWW9" s="3"/>
      <c r="TWX9" s="3"/>
      <c r="TWY9" s="3"/>
      <c r="TWZ9" s="3"/>
      <c r="TXA9" s="3"/>
      <c r="TXB9" s="3"/>
      <c r="TXC9" s="3"/>
      <c r="TXD9" s="3"/>
      <c r="TXE9" s="3"/>
      <c r="TXF9" s="3"/>
      <c r="TXG9" s="3"/>
      <c r="TXH9" s="3"/>
      <c r="TXI9" s="3"/>
      <c r="TXJ9" s="3"/>
      <c r="TXK9" s="3"/>
      <c r="TXL9" s="3"/>
      <c r="TXM9" s="3"/>
      <c r="TXN9" s="3"/>
      <c r="TXO9" s="3"/>
      <c r="TXP9" s="3"/>
      <c r="TXQ9" s="3"/>
      <c r="TXR9" s="3"/>
      <c r="TXS9" s="3"/>
      <c r="TXT9" s="3"/>
      <c r="TXU9" s="3"/>
      <c r="TXV9" s="3"/>
      <c r="TXW9" s="3"/>
      <c r="TXX9" s="3"/>
      <c r="TXY9" s="3"/>
      <c r="TXZ9" s="3"/>
      <c r="TYA9" s="3"/>
      <c r="TYB9" s="3"/>
      <c r="TYC9" s="3"/>
      <c r="TYD9" s="3"/>
      <c r="TYE9" s="3"/>
      <c r="TYF9" s="3"/>
      <c r="TYG9" s="3"/>
      <c r="TYH9" s="3"/>
      <c r="TYI9" s="3"/>
      <c r="TYJ9" s="3"/>
      <c r="TYK9" s="3"/>
      <c r="TYL9" s="3"/>
      <c r="TYM9" s="3"/>
      <c r="TYN9" s="3"/>
      <c r="TYO9" s="3"/>
      <c r="TYP9" s="3"/>
      <c r="TYQ9" s="3"/>
      <c r="TYR9" s="3"/>
      <c r="TYS9" s="3"/>
      <c r="TYT9" s="3"/>
      <c r="TYU9" s="3"/>
      <c r="TYV9" s="3"/>
      <c r="TYW9" s="3"/>
      <c r="TYX9" s="3"/>
      <c r="TYY9" s="3"/>
      <c r="TYZ9" s="3"/>
      <c r="TZA9" s="3"/>
      <c r="TZB9" s="3"/>
      <c r="TZC9" s="3"/>
      <c r="TZD9" s="3"/>
      <c r="TZE9" s="3"/>
      <c r="TZF9" s="3"/>
      <c r="TZG9" s="3"/>
      <c r="TZH9" s="3"/>
      <c r="TZI9" s="3"/>
      <c r="TZJ9" s="3"/>
      <c r="TZK9" s="3"/>
      <c r="TZL9" s="3"/>
      <c r="TZM9" s="3"/>
      <c r="TZN9" s="3"/>
      <c r="TZO9" s="3"/>
      <c r="TZP9" s="3"/>
      <c r="TZQ9" s="3"/>
      <c r="TZR9" s="3"/>
      <c r="TZS9" s="3"/>
      <c r="TZT9" s="3"/>
      <c r="TZU9" s="3"/>
      <c r="TZV9" s="3"/>
      <c r="TZW9" s="3"/>
      <c r="TZX9" s="3"/>
      <c r="TZY9" s="3"/>
      <c r="TZZ9" s="3"/>
      <c r="UAA9" s="3"/>
      <c r="UAB9" s="3"/>
      <c r="UAC9" s="3"/>
      <c r="UAD9" s="3"/>
      <c r="UAE9" s="3"/>
      <c r="UAF9" s="3"/>
      <c r="UAG9" s="3"/>
      <c r="UAH9" s="3"/>
      <c r="UAI9" s="3"/>
      <c r="UAJ9" s="3"/>
      <c r="UAK9" s="3"/>
      <c r="UAL9" s="3"/>
      <c r="UAM9" s="3"/>
      <c r="UAN9" s="3"/>
      <c r="UAO9" s="3"/>
      <c r="UAP9" s="3"/>
      <c r="UAQ9" s="3"/>
      <c r="UAR9" s="3"/>
      <c r="UAS9" s="3"/>
      <c r="UAT9" s="3"/>
      <c r="UAU9" s="3"/>
      <c r="UAV9" s="3"/>
      <c r="UAW9" s="3"/>
      <c r="UAX9" s="3"/>
      <c r="UAY9" s="3"/>
      <c r="UAZ9" s="3"/>
      <c r="UBA9" s="3"/>
      <c r="UBB9" s="3"/>
      <c r="UBC9" s="3"/>
      <c r="UBD9" s="3"/>
      <c r="UBE9" s="3"/>
      <c r="UBF9" s="3"/>
      <c r="UBG9" s="3"/>
      <c r="UBH9" s="3"/>
      <c r="UBI9" s="3"/>
      <c r="UBJ9" s="3"/>
      <c r="UBK9" s="3"/>
      <c r="UBL9" s="3"/>
      <c r="UBM9" s="3"/>
      <c r="UBN9" s="3"/>
      <c r="UBO9" s="3"/>
      <c r="UBP9" s="3"/>
      <c r="UBQ9" s="3"/>
      <c r="UBR9" s="3"/>
      <c r="UBS9" s="3"/>
      <c r="UBT9" s="3"/>
      <c r="UBU9" s="3"/>
      <c r="UBV9" s="3"/>
      <c r="UBW9" s="3"/>
      <c r="UBX9" s="3"/>
      <c r="UBY9" s="3"/>
      <c r="UBZ9" s="3"/>
      <c r="UCA9" s="3"/>
      <c r="UCB9" s="3"/>
      <c r="UCC9" s="3"/>
      <c r="UCD9" s="3"/>
      <c r="UCE9" s="3"/>
      <c r="UCF9" s="3"/>
      <c r="UCG9" s="3"/>
      <c r="UCH9" s="3"/>
      <c r="UCI9" s="3"/>
      <c r="UCJ9" s="3"/>
      <c r="UCK9" s="3"/>
      <c r="UCL9" s="3"/>
      <c r="UCM9" s="3"/>
      <c r="UCN9" s="3"/>
      <c r="UCO9" s="3"/>
      <c r="UCP9" s="3"/>
      <c r="UCQ9" s="3"/>
      <c r="UCR9" s="3"/>
      <c r="UCS9" s="3"/>
      <c r="UCT9" s="3"/>
      <c r="UCU9" s="3"/>
      <c r="UCV9" s="3"/>
      <c r="UCW9" s="3"/>
      <c r="UCX9" s="3"/>
      <c r="UCY9" s="3"/>
      <c r="UCZ9" s="3"/>
      <c r="UDA9" s="3"/>
      <c r="UDB9" s="3"/>
      <c r="UDC9" s="3"/>
      <c r="UDD9" s="3"/>
      <c r="UDE9" s="3"/>
      <c r="UDF9" s="3"/>
      <c r="UDG9" s="3"/>
      <c r="UDH9" s="3"/>
      <c r="UDI9" s="3"/>
      <c r="UDJ9" s="3"/>
      <c r="UDK9" s="3"/>
      <c r="UDL9" s="3"/>
      <c r="UDM9" s="3"/>
      <c r="UDN9" s="3"/>
      <c r="UDO9" s="3"/>
      <c r="UDP9" s="3"/>
      <c r="UDQ9" s="3"/>
      <c r="UDR9" s="3"/>
      <c r="UDS9" s="3"/>
      <c r="UDT9" s="3"/>
      <c r="UDU9" s="3"/>
      <c r="UDV9" s="3"/>
      <c r="UDW9" s="3"/>
      <c r="UDX9" s="3"/>
      <c r="UDY9" s="3"/>
      <c r="UDZ9" s="3"/>
      <c r="UEA9" s="3"/>
      <c r="UEB9" s="3"/>
      <c r="UEC9" s="3"/>
      <c r="UED9" s="3"/>
      <c r="UEE9" s="3"/>
      <c r="UEF9" s="3"/>
      <c r="UEG9" s="3"/>
      <c r="UEH9" s="3"/>
      <c r="UEI9" s="3"/>
      <c r="UEJ9" s="3"/>
      <c r="UEK9" s="3"/>
      <c r="UEL9" s="3"/>
      <c r="UEM9" s="3"/>
      <c r="UEN9" s="3"/>
      <c r="UEO9" s="3"/>
      <c r="UEP9" s="3"/>
      <c r="UEQ9" s="3"/>
      <c r="UER9" s="3"/>
      <c r="UES9" s="3"/>
      <c r="UET9" s="3"/>
      <c r="UEU9" s="3"/>
      <c r="UEV9" s="3"/>
      <c r="UEW9" s="3"/>
      <c r="UEX9" s="3"/>
      <c r="UEY9" s="3"/>
      <c r="UEZ9" s="3"/>
      <c r="UFA9" s="3"/>
      <c r="UFB9" s="3"/>
      <c r="UFC9" s="3"/>
      <c r="UFD9" s="3"/>
      <c r="UFE9" s="3"/>
      <c r="UFF9" s="3"/>
      <c r="UFG9" s="3"/>
      <c r="UFH9" s="3"/>
      <c r="UFI9" s="3"/>
      <c r="UFJ9" s="3"/>
      <c r="UFK9" s="3"/>
      <c r="UFL9" s="3"/>
      <c r="UFM9" s="3"/>
      <c r="UFN9" s="3"/>
      <c r="UFO9" s="3"/>
      <c r="UFP9" s="3"/>
      <c r="UFQ9" s="3"/>
      <c r="UFR9" s="3"/>
      <c r="UFS9" s="3"/>
      <c r="UFT9" s="3"/>
      <c r="UFU9" s="3"/>
      <c r="UFV9" s="3"/>
      <c r="UFW9" s="3"/>
      <c r="UFX9" s="3"/>
      <c r="UFY9" s="3"/>
      <c r="UFZ9" s="3"/>
      <c r="UGA9" s="3"/>
      <c r="UGB9" s="3"/>
      <c r="UGC9" s="3"/>
      <c r="UGD9" s="3"/>
      <c r="UGE9" s="3"/>
      <c r="UGF9" s="3"/>
      <c r="UGG9" s="3"/>
      <c r="UGH9" s="3"/>
      <c r="UGI9" s="3"/>
      <c r="UGJ9" s="3"/>
      <c r="UGK9" s="3"/>
      <c r="UGL9" s="3"/>
      <c r="UGM9" s="3"/>
      <c r="UGN9" s="3"/>
      <c r="UGO9" s="3"/>
      <c r="UGP9" s="3"/>
      <c r="UGQ9" s="3"/>
      <c r="UGR9" s="3"/>
      <c r="UGS9" s="3"/>
      <c r="UGT9" s="3"/>
      <c r="UGU9" s="3"/>
      <c r="UGV9" s="3"/>
      <c r="UGW9" s="3"/>
      <c r="UGX9" s="3"/>
      <c r="UGY9" s="3"/>
      <c r="UGZ9" s="3"/>
      <c r="UHA9" s="3"/>
      <c r="UHB9" s="3"/>
      <c r="UHC9" s="3"/>
      <c r="UHD9" s="3"/>
      <c r="UHE9" s="3"/>
      <c r="UHF9" s="3"/>
      <c r="UHG9" s="3"/>
      <c r="UHH9" s="3"/>
      <c r="UHI9" s="3"/>
      <c r="UHJ9" s="3"/>
      <c r="UHK9" s="3"/>
      <c r="UHL9" s="3"/>
      <c r="UHM9" s="3"/>
      <c r="UHN9" s="3"/>
      <c r="UHO9" s="3"/>
      <c r="UHP9" s="3"/>
      <c r="UHQ9" s="3"/>
      <c r="UHR9" s="3"/>
      <c r="UHS9" s="3"/>
      <c r="UHT9" s="3"/>
      <c r="UHU9" s="3"/>
      <c r="UHV9" s="3"/>
      <c r="UHW9" s="3"/>
      <c r="UHX9" s="3"/>
      <c r="UHY9" s="3"/>
      <c r="UHZ9" s="3"/>
      <c r="UIA9" s="3"/>
      <c r="UIB9" s="3"/>
      <c r="UIC9" s="3"/>
      <c r="UID9" s="3"/>
      <c r="UIE9" s="3"/>
      <c r="UIF9" s="3"/>
      <c r="UIG9" s="3"/>
      <c r="UIH9" s="3"/>
      <c r="UII9" s="3"/>
      <c r="UIJ9" s="3"/>
      <c r="UIK9" s="3"/>
      <c r="UIL9" s="3"/>
      <c r="UIM9" s="3"/>
      <c r="UIN9" s="3"/>
      <c r="UIO9" s="3"/>
      <c r="UIP9" s="3"/>
      <c r="UIQ9" s="3"/>
      <c r="UIR9" s="3"/>
      <c r="UIS9" s="3"/>
      <c r="UIT9" s="3"/>
      <c r="UIU9" s="3"/>
      <c r="UIV9" s="3"/>
      <c r="UIW9" s="3"/>
      <c r="UIX9" s="3"/>
      <c r="UIY9" s="3"/>
      <c r="UIZ9" s="3"/>
      <c r="UJA9" s="3"/>
      <c r="UJB9" s="3"/>
      <c r="UJC9" s="3"/>
      <c r="UJD9" s="3"/>
      <c r="UJE9" s="3"/>
      <c r="UJF9" s="3"/>
      <c r="UJG9" s="3"/>
      <c r="UJH9" s="3"/>
      <c r="UJI9" s="3"/>
      <c r="UJJ9" s="3"/>
      <c r="UJK9" s="3"/>
      <c r="UJL9" s="3"/>
      <c r="UJM9" s="3"/>
      <c r="UJN9" s="3"/>
      <c r="UJO9" s="3"/>
      <c r="UJP9" s="3"/>
      <c r="UJQ9" s="3"/>
      <c r="UJR9" s="3"/>
      <c r="UJS9" s="3"/>
      <c r="UJT9" s="3"/>
      <c r="UJU9" s="3"/>
      <c r="UJV9" s="3"/>
      <c r="UJW9" s="3"/>
      <c r="UJX9" s="3"/>
      <c r="UJY9" s="3"/>
      <c r="UJZ9" s="3"/>
      <c r="UKA9" s="3"/>
      <c r="UKB9" s="3"/>
      <c r="UKC9" s="3"/>
      <c r="UKD9" s="3"/>
      <c r="UKE9" s="3"/>
      <c r="UKF9" s="3"/>
      <c r="UKG9" s="3"/>
      <c r="UKH9" s="3"/>
      <c r="UKI9" s="3"/>
      <c r="UKJ9" s="3"/>
      <c r="UKK9" s="3"/>
      <c r="UKL9" s="3"/>
      <c r="UKM9" s="3"/>
      <c r="UKN9" s="3"/>
      <c r="UKO9" s="3"/>
      <c r="UKP9" s="3"/>
      <c r="UKQ9" s="3"/>
      <c r="UKR9" s="3"/>
      <c r="UKS9" s="3"/>
      <c r="UKT9" s="3"/>
      <c r="UKU9" s="3"/>
      <c r="UKV9" s="3"/>
      <c r="UKW9" s="3"/>
      <c r="UKX9" s="3"/>
      <c r="UKY9" s="3"/>
      <c r="UKZ9" s="3"/>
      <c r="ULA9" s="3"/>
      <c r="ULB9" s="3"/>
      <c r="ULC9" s="3"/>
      <c r="ULD9" s="3"/>
      <c r="ULE9" s="3"/>
      <c r="ULF9" s="3"/>
      <c r="ULG9" s="3"/>
      <c r="ULH9" s="3"/>
      <c r="ULI9" s="3"/>
      <c r="ULJ9" s="3"/>
      <c r="ULK9" s="3"/>
      <c r="ULL9" s="3"/>
      <c r="ULM9" s="3"/>
      <c r="ULN9" s="3"/>
      <c r="ULO9" s="3"/>
      <c r="ULP9" s="3"/>
      <c r="ULQ9" s="3"/>
      <c r="ULR9" s="3"/>
      <c r="ULS9" s="3"/>
      <c r="ULT9" s="3"/>
      <c r="ULU9" s="3"/>
      <c r="ULV9" s="3"/>
      <c r="ULW9" s="3"/>
      <c r="ULX9" s="3"/>
      <c r="ULY9" s="3"/>
      <c r="ULZ9" s="3"/>
      <c r="UMA9" s="3"/>
      <c r="UMB9" s="3"/>
      <c r="UMC9" s="3"/>
      <c r="UMD9" s="3"/>
      <c r="UME9" s="3"/>
      <c r="UMF9" s="3"/>
      <c r="UMG9" s="3"/>
      <c r="UMH9" s="3"/>
      <c r="UMI9" s="3"/>
      <c r="UMJ9" s="3"/>
      <c r="UMK9" s="3"/>
      <c r="UML9" s="3"/>
      <c r="UMM9" s="3"/>
      <c r="UMN9" s="3"/>
      <c r="UMO9" s="3"/>
      <c r="UMP9" s="3"/>
      <c r="UMQ9" s="3"/>
      <c r="UMR9" s="3"/>
      <c r="UMS9" s="3"/>
      <c r="UMT9" s="3"/>
      <c r="UMU9" s="3"/>
      <c r="UMV9" s="3"/>
      <c r="UMW9" s="3"/>
      <c r="UMX9" s="3"/>
      <c r="UMY9" s="3"/>
      <c r="UMZ9" s="3"/>
      <c r="UNA9" s="3"/>
      <c r="UNB9" s="3"/>
      <c r="UNC9" s="3"/>
      <c r="UND9" s="3"/>
      <c r="UNE9" s="3"/>
      <c r="UNF9" s="3"/>
      <c r="UNG9" s="3"/>
      <c r="UNH9" s="3"/>
      <c r="UNI9" s="3"/>
      <c r="UNJ9" s="3"/>
      <c r="UNK9" s="3"/>
      <c r="UNL9" s="3"/>
      <c r="UNM9" s="3"/>
      <c r="UNN9" s="3"/>
      <c r="UNO9" s="3"/>
      <c r="UNP9" s="3"/>
      <c r="UNQ9" s="3"/>
      <c r="UNR9" s="3"/>
      <c r="UNS9" s="3"/>
      <c r="UNT9" s="3"/>
      <c r="UNU9" s="3"/>
      <c r="UNV9" s="3"/>
      <c r="UNW9" s="3"/>
      <c r="UNX9" s="3"/>
      <c r="UNY9" s="3"/>
      <c r="UNZ9" s="3"/>
      <c r="UOA9" s="3"/>
      <c r="UOB9" s="3"/>
      <c r="UOC9" s="3"/>
      <c r="UOD9" s="3"/>
      <c r="UOE9" s="3"/>
      <c r="UOF9" s="3"/>
      <c r="UOG9" s="3"/>
      <c r="UOH9" s="3"/>
      <c r="UOI9" s="3"/>
      <c r="UOJ9" s="3"/>
      <c r="UOK9" s="3"/>
      <c r="UOL9" s="3"/>
      <c r="UOM9" s="3"/>
      <c r="UON9" s="3"/>
      <c r="UOO9" s="3"/>
      <c r="UOP9" s="3"/>
      <c r="UOQ9" s="3"/>
      <c r="UOR9" s="3"/>
      <c r="UOS9" s="3"/>
      <c r="UOT9" s="3"/>
      <c r="UOU9" s="3"/>
      <c r="UOV9" s="3"/>
      <c r="UOW9" s="3"/>
      <c r="UOX9" s="3"/>
      <c r="UOY9" s="3"/>
      <c r="UOZ9" s="3"/>
      <c r="UPA9" s="3"/>
      <c r="UPB9" s="3"/>
      <c r="UPC9" s="3"/>
      <c r="UPD9" s="3"/>
      <c r="UPE9" s="3"/>
      <c r="UPF9" s="3"/>
      <c r="UPG9" s="3"/>
      <c r="UPH9" s="3"/>
      <c r="UPI9" s="3"/>
      <c r="UPJ9" s="3"/>
      <c r="UPK9" s="3"/>
      <c r="UPL9" s="3"/>
      <c r="UPM9" s="3"/>
      <c r="UPN9" s="3"/>
      <c r="UPO9" s="3"/>
      <c r="UPP9" s="3"/>
      <c r="UPQ9" s="3"/>
      <c r="UPR9" s="3"/>
      <c r="UPS9" s="3"/>
      <c r="UPT9" s="3"/>
      <c r="UPU9" s="3"/>
      <c r="UPV9" s="3"/>
      <c r="UPW9" s="3"/>
      <c r="UPX9" s="3"/>
      <c r="UPY9" s="3"/>
      <c r="UPZ9" s="3"/>
      <c r="UQA9" s="3"/>
      <c r="UQB9" s="3"/>
      <c r="UQC9" s="3"/>
      <c r="UQD9" s="3"/>
      <c r="UQE9" s="3"/>
      <c r="UQF9" s="3"/>
      <c r="UQG9" s="3"/>
      <c r="UQH9" s="3"/>
      <c r="UQI9" s="3"/>
      <c r="UQJ9" s="3"/>
      <c r="UQK9" s="3"/>
      <c r="UQL9" s="3"/>
      <c r="UQM9" s="3"/>
      <c r="UQN9" s="3"/>
      <c r="UQO9" s="3"/>
      <c r="UQP9" s="3"/>
      <c r="UQQ9" s="3"/>
      <c r="UQR9" s="3"/>
      <c r="UQS9" s="3"/>
      <c r="UQT9" s="3"/>
      <c r="UQU9" s="3"/>
      <c r="UQV9" s="3"/>
      <c r="UQW9" s="3"/>
      <c r="UQX9" s="3"/>
      <c r="UQY9" s="3"/>
      <c r="UQZ9" s="3"/>
      <c r="URA9" s="3"/>
      <c r="URB9" s="3"/>
      <c r="URC9" s="3"/>
      <c r="URD9" s="3"/>
      <c r="URE9" s="3"/>
      <c r="URF9" s="3"/>
      <c r="URG9" s="3"/>
      <c r="URH9" s="3"/>
      <c r="URI9" s="3"/>
      <c r="URJ9" s="3"/>
      <c r="URK9" s="3"/>
      <c r="URL9" s="3"/>
      <c r="URM9" s="3"/>
      <c r="URN9" s="3"/>
      <c r="URO9" s="3"/>
      <c r="URP9" s="3"/>
      <c r="URQ9" s="3"/>
      <c r="URR9" s="3"/>
      <c r="URS9" s="3"/>
      <c r="URT9" s="3"/>
      <c r="URU9" s="3"/>
      <c r="URV9" s="3"/>
      <c r="URW9" s="3"/>
      <c r="URX9" s="3"/>
      <c r="URY9" s="3"/>
      <c r="URZ9" s="3"/>
      <c r="USA9" s="3"/>
      <c r="USB9" s="3"/>
      <c r="USC9" s="3"/>
      <c r="USD9" s="3"/>
      <c r="USE9" s="3"/>
      <c r="USF9" s="3"/>
      <c r="USG9" s="3"/>
      <c r="USH9" s="3"/>
      <c r="USI9" s="3"/>
      <c r="USJ9" s="3"/>
      <c r="USK9" s="3"/>
      <c r="USL9" s="3"/>
      <c r="USM9" s="3"/>
      <c r="USN9" s="3"/>
      <c r="USO9" s="3"/>
      <c r="USP9" s="3"/>
      <c r="USQ9" s="3"/>
      <c r="USR9" s="3"/>
      <c r="USS9" s="3"/>
      <c r="UST9" s="3"/>
      <c r="USU9" s="3"/>
      <c r="USV9" s="3"/>
      <c r="USW9" s="3"/>
      <c r="USX9" s="3"/>
      <c r="USY9" s="3"/>
      <c r="USZ9" s="3"/>
      <c r="UTA9" s="3"/>
      <c r="UTB9" s="3"/>
      <c r="UTC9" s="3"/>
      <c r="UTD9" s="3"/>
      <c r="UTE9" s="3"/>
      <c r="UTF9" s="3"/>
      <c r="UTG9" s="3"/>
      <c r="UTH9" s="3"/>
      <c r="UTI9" s="3"/>
      <c r="UTJ9" s="3"/>
      <c r="UTK9" s="3"/>
      <c r="UTL9" s="3"/>
      <c r="UTM9" s="3"/>
      <c r="UTN9" s="3"/>
      <c r="UTO9" s="3"/>
      <c r="UTP9" s="3"/>
      <c r="UTQ9" s="3"/>
      <c r="UTR9" s="3"/>
      <c r="UTS9" s="3"/>
      <c r="UTT9" s="3"/>
      <c r="UTU9" s="3"/>
      <c r="UTV9" s="3"/>
      <c r="UTW9" s="3"/>
      <c r="UTX9" s="3"/>
      <c r="UTY9" s="3"/>
      <c r="UTZ9" s="3"/>
      <c r="UUA9" s="3"/>
      <c r="UUB9" s="3"/>
      <c r="UUC9" s="3"/>
      <c r="UUD9" s="3"/>
      <c r="UUE9" s="3"/>
      <c r="UUF9" s="3"/>
      <c r="UUG9" s="3"/>
      <c r="UUH9" s="3"/>
      <c r="UUI9" s="3"/>
      <c r="UUJ9" s="3"/>
      <c r="UUK9" s="3"/>
      <c r="UUL9" s="3"/>
      <c r="UUM9" s="3"/>
      <c r="UUN9" s="3"/>
      <c r="UUO9" s="3"/>
      <c r="UUP9" s="3"/>
      <c r="UUQ9" s="3"/>
      <c r="UUR9" s="3"/>
      <c r="UUS9" s="3"/>
      <c r="UUT9" s="3"/>
      <c r="UUU9" s="3"/>
      <c r="UUV9" s="3"/>
      <c r="UUW9" s="3"/>
      <c r="UUX9" s="3"/>
      <c r="UUY9" s="3"/>
      <c r="UUZ9" s="3"/>
      <c r="UVA9" s="3"/>
      <c r="UVB9" s="3"/>
      <c r="UVC9" s="3"/>
      <c r="UVD9" s="3"/>
      <c r="UVE9" s="3"/>
      <c r="UVF9" s="3"/>
      <c r="UVG9" s="3"/>
      <c r="UVH9" s="3"/>
      <c r="UVI9" s="3"/>
      <c r="UVJ9" s="3"/>
      <c r="UVK9" s="3"/>
      <c r="UVL9" s="3"/>
      <c r="UVM9" s="3"/>
      <c r="UVN9" s="3"/>
      <c r="UVO9" s="3"/>
      <c r="UVP9" s="3"/>
      <c r="UVQ9" s="3"/>
      <c r="UVR9" s="3"/>
      <c r="UVS9" s="3"/>
      <c r="UVT9" s="3"/>
      <c r="UVU9" s="3"/>
      <c r="UVV9" s="3"/>
      <c r="UVW9" s="3"/>
      <c r="UVX9" s="3"/>
      <c r="UVY9" s="3"/>
      <c r="UVZ9" s="3"/>
      <c r="UWA9" s="3"/>
      <c r="UWB9" s="3"/>
      <c r="UWC9" s="3"/>
      <c r="UWD9" s="3"/>
      <c r="UWE9" s="3"/>
      <c r="UWF9" s="3"/>
      <c r="UWG9" s="3"/>
      <c r="UWH9" s="3"/>
      <c r="UWI9" s="3"/>
      <c r="UWJ9" s="3"/>
      <c r="UWK9" s="3"/>
      <c r="UWL9" s="3"/>
      <c r="UWM9" s="3"/>
      <c r="UWN9" s="3"/>
      <c r="UWO9" s="3"/>
      <c r="UWP9" s="3"/>
      <c r="UWQ9" s="3"/>
      <c r="UWR9" s="3"/>
      <c r="UWS9" s="3"/>
      <c r="UWT9" s="3"/>
      <c r="UWU9" s="3"/>
      <c r="UWV9" s="3"/>
      <c r="UWW9" s="3"/>
      <c r="UWX9" s="3"/>
      <c r="UWY9" s="3"/>
      <c r="UWZ9" s="3"/>
      <c r="UXA9" s="3"/>
      <c r="UXB9" s="3"/>
      <c r="UXC9" s="3"/>
      <c r="UXD9" s="3"/>
      <c r="UXE9" s="3"/>
      <c r="UXF9" s="3"/>
      <c r="UXG9" s="3"/>
      <c r="UXH9" s="3"/>
      <c r="UXI9" s="3"/>
      <c r="UXJ9" s="3"/>
      <c r="UXK9" s="3"/>
      <c r="UXL9" s="3"/>
      <c r="UXM9" s="3"/>
      <c r="UXN9" s="3"/>
      <c r="UXO9" s="3"/>
      <c r="UXP9" s="3"/>
      <c r="UXQ9" s="3"/>
      <c r="UXR9" s="3"/>
      <c r="UXS9" s="3"/>
      <c r="UXT9" s="3"/>
      <c r="UXU9" s="3"/>
      <c r="UXV9" s="3"/>
      <c r="UXW9" s="3"/>
      <c r="UXX9" s="3"/>
      <c r="UXY9" s="3"/>
      <c r="UXZ9" s="3"/>
      <c r="UYA9" s="3"/>
      <c r="UYB9" s="3"/>
      <c r="UYC9" s="3"/>
      <c r="UYD9" s="3"/>
      <c r="UYE9" s="3"/>
      <c r="UYF9" s="3"/>
      <c r="UYG9" s="3"/>
      <c r="UYH9" s="3"/>
      <c r="UYI9" s="3"/>
      <c r="UYJ9" s="3"/>
      <c r="UYK9" s="3"/>
      <c r="UYL9" s="3"/>
      <c r="UYM9" s="3"/>
      <c r="UYN9" s="3"/>
      <c r="UYO9" s="3"/>
      <c r="UYP9" s="3"/>
      <c r="UYQ9" s="3"/>
      <c r="UYR9" s="3"/>
      <c r="UYS9" s="3"/>
      <c r="UYT9" s="3"/>
      <c r="UYU9" s="3"/>
      <c r="UYV9" s="3"/>
      <c r="UYW9" s="3"/>
      <c r="UYX9" s="3"/>
      <c r="UYY9" s="3"/>
      <c r="UYZ9" s="3"/>
      <c r="UZA9" s="3"/>
      <c r="UZB9" s="3"/>
      <c r="UZC9" s="3"/>
      <c r="UZD9" s="3"/>
      <c r="UZE9" s="3"/>
      <c r="UZF9" s="3"/>
      <c r="UZG9" s="3"/>
      <c r="UZH9" s="3"/>
      <c r="UZI9" s="3"/>
      <c r="UZJ9" s="3"/>
      <c r="UZK9" s="3"/>
      <c r="UZL9" s="3"/>
      <c r="UZM9" s="3"/>
      <c r="UZN9" s="3"/>
      <c r="UZO9" s="3"/>
      <c r="UZP9" s="3"/>
      <c r="UZQ9" s="3"/>
      <c r="UZR9" s="3"/>
      <c r="UZS9" s="3"/>
      <c r="UZT9" s="3"/>
      <c r="UZU9" s="3"/>
      <c r="UZV9" s="3"/>
      <c r="UZW9" s="3"/>
      <c r="UZX9" s="3"/>
      <c r="UZY9" s="3"/>
      <c r="UZZ9" s="3"/>
      <c r="VAA9" s="3"/>
      <c r="VAB9" s="3"/>
      <c r="VAC9" s="3"/>
      <c r="VAD9" s="3"/>
      <c r="VAE9" s="3"/>
      <c r="VAF9" s="3"/>
      <c r="VAG9" s="3"/>
      <c r="VAH9" s="3"/>
      <c r="VAI9" s="3"/>
      <c r="VAJ9" s="3"/>
      <c r="VAK9" s="3"/>
      <c r="VAL9" s="3"/>
      <c r="VAM9" s="3"/>
      <c r="VAN9" s="3"/>
      <c r="VAO9" s="3"/>
      <c r="VAP9" s="3"/>
      <c r="VAQ9" s="3"/>
      <c r="VAR9" s="3"/>
      <c r="VAS9" s="3"/>
      <c r="VAT9" s="3"/>
      <c r="VAU9" s="3"/>
      <c r="VAV9" s="3"/>
      <c r="VAW9" s="3"/>
      <c r="VAX9" s="3"/>
      <c r="VAY9" s="3"/>
      <c r="VAZ9" s="3"/>
      <c r="VBA9" s="3"/>
      <c r="VBB9" s="3"/>
      <c r="VBC9" s="3"/>
      <c r="VBD9" s="3"/>
      <c r="VBE9" s="3"/>
      <c r="VBF9" s="3"/>
      <c r="VBG9" s="3"/>
      <c r="VBH9" s="3"/>
      <c r="VBI9" s="3"/>
      <c r="VBJ9" s="3"/>
      <c r="VBK9" s="3"/>
      <c r="VBL9" s="3"/>
      <c r="VBM9" s="3"/>
      <c r="VBN9" s="3"/>
      <c r="VBO9" s="3"/>
      <c r="VBP9" s="3"/>
      <c r="VBQ9" s="3"/>
      <c r="VBR9" s="3"/>
      <c r="VBS9" s="3"/>
      <c r="VBT9" s="3"/>
      <c r="VBU9" s="3"/>
      <c r="VBV9" s="3"/>
      <c r="VBW9" s="3"/>
      <c r="VBX9" s="3"/>
      <c r="VBY9" s="3"/>
      <c r="VBZ9" s="3"/>
      <c r="VCA9" s="3"/>
      <c r="VCB9" s="3"/>
      <c r="VCC9" s="3"/>
      <c r="VCD9" s="3"/>
      <c r="VCE9" s="3"/>
      <c r="VCF9" s="3"/>
      <c r="VCG9" s="3"/>
      <c r="VCH9" s="3"/>
      <c r="VCI9" s="3"/>
      <c r="VCJ9" s="3"/>
      <c r="VCK9" s="3"/>
      <c r="VCL9" s="3"/>
      <c r="VCM9" s="3"/>
      <c r="VCN9" s="3"/>
      <c r="VCO9" s="3"/>
      <c r="VCP9" s="3"/>
      <c r="VCQ9" s="3"/>
      <c r="VCR9" s="3"/>
      <c r="VCS9" s="3"/>
      <c r="VCT9" s="3"/>
      <c r="VCU9" s="3"/>
      <c r="VCV9" s="3"/>
      <c r="VCW9" s="3"/>
      <c r="VCX9" s="3"/>
      <c r="VCY9" s="3"/>
      <c r="VCZ9" s="3"/>
      <c r="VDA9" s="3"/>
      <c r="VDB9" s="3"/>
      <c r="VDC9" s="3"/>
      <c r="VDD9" s="3"/>
      <c r="VDE9" s="3"/>
      <c r="VDF9" s="3"/>
      <c r="VDG9" s="3"/>
      <c r="VDH9" s="3"/>
      <c r="VDI9" s="3"/>
      <c r="VDJ9" s="3"/>
      <c r="VDK9" s="3"/>
      <c r="VDL9" s="3"/>
      <c r="VDM9" s="3"/>
      <c r="VDN9" s="3"/>
      <c r="VDO9" s="3"/>
      <c r="VDP9" s="3"/>
      <c r="VDQ9" s="3"/>
      <c r="VDR9" s="3"/>
      <c r="VDS9" s="3"/>
      <c r="VDT9" s="3"/>
      <c r="VDU9" s="3"/>
      <c r="VDV9" s="3"/>
      <c r="VDW9" s="3"/>
      <c r="VDX9" s="3"/>
      <c r="VDY9" s="3"/>
      <c r="VDZ9" s="3"/>
      <c r="VEA9" s="3"/>
      <c r="VEB9" s="3"/>
      <c r="VEC9" s="3"/>
      <c r="VED9" s="3"/>
      <c r="VEE9" s="3"/>
      <c r="VEF9" s="3"/>
      <c r="VEG9" s="3"/>
      <c r="VEH9" s="3"/>
      <c r="VEI9" s="3"/>
      <c r="VEJ9" s="3"/>
      <c r="VEK9" s="3"/>
      <c r="VEL9" s="3"/>
      <c r="VEM9" s="3"/>
      <c r="VEN9" s="3"/>
      <c r="VEO9" s="3"/>
      <c r="VEP9" s="3"/>
      <c r="VEQ9" s="3"/>
      <c r="VER9" s="3"/>
      <c r="VES9" s="3"/>
      <c r="VET9" s="3"/>
      <c r="VEU9" s="3"/>
      <c r="VEV9" s="3"/>
      <c r="VEW9" s="3"/>
      <c r="VEX9" s="3"/>
      <c r="VEY9" s="3"/>
      <c r="VEZ9" s="3"/>
      <c r="VFA9" s="3"/>
      <c r="VFB9" s="3"/>
      <c r="VFC9" s="3"/>
      <c r="VFD9" s="3"/>
      <c r="VFE9" s="3"/>
      <c r="VFF9" s="3"/>
      <c r="VFG9" s="3"/>
      <c r="VFH9" s="3"/>
      <c r="VFI9" s="3"/>
      <c r="VFJ9" s="3"/>
      <c r="VFK9" s="3"/>
      <c r="VFL9" s="3"/>
      <c r="VFM9" s="3"/>
      <c r="VFN9" s="3"/>
      <c r="VFO9" s="3"/>
      <c r="VFP9" s="3"/>
      <c r="VFQ9" s="3"/>
      <c r="VFR9" s="3"/>
      <c r="VFS9" s="3"/>
      <c r="VFT9" s="3"/>
      <c r="VFU9" s="3"/>
      <c r="VFV9" s="3"/>
      <c r="VFW9" s="3"/>
      <c r="VFX9" s="3"/>
      <c r="VFY9" s="3"/>
      <c r="VFZ9" s="3"/>
      <c r="VGA9" s="3"/>
      <c r="VGB9" s="3"/>
      <c r="VGC9" s="3"/>
      <c r="VGD9" s="3"/>
      <c r="VGE9" s="3"/>
      <c r="VGF9" s="3"/>
      <c r="VGG9" s="3"/>
      <c r="VGH9" s="3"/>
      <c r="VGI9" s="3"/>
      <c r="VGJ9" s="3"/>
      <c r="VGK9" s="3"/>
      <c r="VGL9" s="3"/>
      <c r="VGM9" s="3"/>
      <c r="VGN9" s="3"/>
      <c r="VGO9" s="3"/>
      <c r="VGP9" s="3"/>
      <c r="VGQ9" s="3"/>
      <c r="VGR9" s="3"/>
      <c r="VGS9" s="3"/>
      <c r="VGT9" s="3"/>
      <c r="VGU9" s="3"/>
      <c r="VGV9" s="3"/>
      <c r="VGW9" s="3"/>
      <c r="VGX9" s="3"/>
      <c r="VGY9" s="3"/>
      <c r="VGZ9" s="3"/>
      <c r="VHA9" s="3"/>
      <c r="VHB9" s="3"/>
      <c r="VHC9" s="3"/>
      <c r="VHD9" s="3"/>
      <c r="VHE9" s="3"/>
      <c r="VHF9" s="3"/>
      <c r="VHG9" s="3"/>
      <c r="VHH9" s="3"/>
      <c r="VHI9" s="3"/>
      <c r="VHJ9" s="3"/>
      <c r="VHK9" s="3"/>
      <c r="VHL9" s="3"/>
      <c r="VHM9" s="3"/>
      <c r="VHN9" s="3"/>
      <c r="VHO9" s="3"/>
      <c r="VHP9" s="3"/>
      <c r="VHQ9" s="3"/>
      <c r="VHR9" s="3"/>
      <c r="VHS9" s="3"/>
      <c r="VHT9" s="3"/>
      <c r="VHU9" s="3"/>
      <c r="VHV9" s="3"/>
      <c r="VHW9" s="3"/>
      <c r="VHX9" s="3"/>
      <c r="VHY9" s="3"/>
      <c r="VHZ9" s="3"/>
      <c r="VIA9" s="3"/>
      <c r="VIB9" s="3"/>
      <c r="VIC9" s="3"/>
      <c r="VID9" s="3"/>
      <c r="VIE9" s="3"/>
      <c r="VIF9" s="3"/>
      <c r="VIG9" s="3"/>
      <c r="VIH9" s="3"/>
      <c r="VII9" s="3"/>
      <c r="VIJ9" s="3"/>
      <c r="VIK9" s="3"/>
      <c r="VIL9" s="3"/>
      <c r="VIM9" s="3"/>
      <c r="VIN9" s="3"/>
      <c r="VIO9" s="3"/>
      <c r="VIP9" s="3"/>
      <c r="VIQ9" s="3"/>
      <c r="VIR9" s="3"/>
      <c r="VIS9" s="3"/>
      <c r="VIT9" s="3"/>
      <c r="VIU9" s="3"/>
      <c r="VIV9" s="3"/>
      <c r="VIW9" s="3"/>
      <c r="VIX9" s="3"/>
      <c r="VIY9" s="3"/>
      <c r="VIZ9" s="3"/>
      <c r="VJA9" s="3"/>
      <c r="VJB9" s="3"/>
      <c r="VJC9" s="3"/>
      <c r="VJD9" s="3"/>
      <c r="VJE9" s="3"/>
      <c r="VJF9" s="3"/>
      <c r="VJG9" s="3"/>
      <c r="VJH9" s="3"/>
      <c r="VJI9" s="3"/>
      <c r="VJJ9" s="3"/>
      <c r="VJK9" s="3"/>
      <c r="VJL9" s="3"/>
      <c r="VJM9" s="3"/>
      <c r="VJN9" s="3"/>
      <c r="VJO9" s="3"/>
      <c r="VJP9" s="3"/>
      <c r="VJQ9" s="3"/>
      <c r="VJR9" s="3"/>
      <c r="VJS9" s="3"/>
      <c r="VJT9" s="3"/>
      <c r="VJU9" s="3"/>
      <c r="VJV9" s="3"/>
      <c r="VJW9" s="3"/>
      <c r="VJX9" s="3"/>
      <c r="VJY9" s="3"/>
      <c r="VJZ9" s="3"/>
      <c r="VKA9" s="3"/>
      <c r="VKB9" s="3"/>
      <c r="VKC9" s="3"/>
      <c r="VKD9" s="3"/>
      <c r="VKE9" s="3"/>
      <c r="VKF9" s="3"/>
      <c r="VKG9" s="3"/>
      <c r="VKH9" s="3"/>
      <c r="VKI9" s="3"/>
      <c r="VKJ9" s="3"/>
      <c r="VKK9" s="3"/>
      <c r="VKL9" s="3"/>
      <c r="VKM9" s="3"/>
      <c r="VKN9" s="3"/>
      <c r="VKO9" s="3"/>
      <c r="VKP9" s="3"/>
      <c r="VKQ9" s="3"/>
      <c r="VKR9" s="3"/>
      <c r="VKS9" s="3"/>
      <c r="VKT9" s="3"/>
      <c r="VKU9" s="3"/>
      <c r="VKV9" s="3"/>
      <c r="VKW9" s="3"/>
      <c r="VKX9" s="3"/>
      <c r="VKY9" s="3"/>
      <c r="VKZ9" s="3"/>
      <c r="VLA9" s="3"/>
      <c r="VLB9" s="3"/>
      <c r="VLC9" s="3"/>
      <c r="VLD9" s="3"/>
      <c r="VLE9" s="3"/>
      <c r="VLF9" s="3"/>
      <c r="VLG9" s="3"/>
      <c r="VLH9" s="3"/>
      <c r="VLI9" s="3"/>
      <c r="VLJ9" s="3"/>
      <c r="VLK9" s="3"/>
      <c r="VLL9" s="3"/>
      <c r="VLM9" s="3"/>
      <c r="VLN9" s="3"/>
      <c r="VLO9" s="3"/>
      <c r="VLP9" s="3"/>
      <c r="VLQ9" s="3"/>
      <c r="VLR9" s="3"/>
      <c r="VLS9" s="3"/>
      <c r="VLT9" s="3"/>
      <c r="VLU9" s="3"/>
      <c r="VLV9" s="3"/>
      <c r="VLW9" s="3"/>
      <c r="VLX9" s="3"/>
      <c r="VLY9" s="3"/>
      <c r="VLZ9" s="3"/>
      <c r="VMA9" s="3"/>
      <c r="VMB9" s="3"/>
      <c r="VMC9" s="3"/>
      <c r="VMD9" s="3"/>
      <c r="VME9" s="3"/>
      <c r="VMF9" s="3"/>
      <c r="VMG9" s="3"/>
      <c r="VMH9" s="3"/>
      <c r="VMI9" s="3"/>
      <c r="VMJ9" s="3"/>
      <c r="VMK9" s="3"/>
      <c r="VML9" s="3"/>
      <c r="VMM9" s="3"/>
      <c r="VMN9" s="3"/>
      <c r="VMO9" s="3"/>
      <c r="VMP9" s="3"/>
      <c r="VMQ9" s="3"/>
      <c r="VMR9" s="3"/>
      <c r="VMS9" s="3"/>
      <c r="VMT9" s="3"/>
      <c r="VMU9" s="3"/>
      <c r="VMV9" s="3"/>
      <c r="VMW9" s="3"/>
      <c r="VMX9" s="3"/>
      <c r="VMY9" s="3"/>
      <c r="VMZ9" s="3"/>
      <c r="VNA9" s="3"/>
      <c r="VNB9" s="3"/>
      <c r="VNC9" s="3"/>
      <c r="VND9" s="3"/>
      <c r="VNE9" s="3"/>
      <c r="VNF9" s="3"/>
      <c r="VNG9" s="3"/>
      <c r="VNH9" s="3"/>
      <c r="VNI9" s="3"/>
      <c r="VNJ9" s="3"/>
      <c r="VNK9" s="3"/>
      <c r="VNL9" s="3"/>
      <c r="VNM9" s="3"/>
      <c r="VNN9" s="3"/>
      <c r="VNO9" s="3"/>
      <c r="VNP9" s="3"/>
      <c r="VNQ9" s="3"/>
      <c r="VNR9" s="3"/>
      <c r="VNS9" s="3"/>
      <c r="VNT9" s="3"/>
      <c r="VNU9" s="3"/>
      <c r="VNV9" s="3"/>
      <c r="VNW9" s="3"/>
      <c r="VNX9" s="3"/>
      <c r="VNY9" s="3"/>
      <c r="VNZ9" s="3"/>
      <c r="VOA9" s="3"/>
      <c r="VOB9" s="3"/>
      <c r="VOC9" s="3"/>
      <c r="VOD9" s="3"/>
      <c r="VOE9" s="3"/>
      <c r="VOF9" s="3"/>
      <c r="VOG9" s="3"/>
      <c r="VOH9" s="3"/>
      <c r="VOI9" s="3"/>
      <c r="VOJ9" s="3"/>
      <c r="VOK9" s="3"/>
      <c r="VOL9" s="3"/>
      <c r="VOM9" s="3"/>
      <c r="VON9" s="3"/>
      <c r="VOO9" s="3"/>
      <c r="VOP9" s="3"/>
      <c r="VOQ9" s="3"/>
      <c r="VOR9" s="3"/>
      <c r="VOS9" s="3"/>
      <c r="VOT9" s="3"/>
      <c r="VOU9" s="3"/>
      <c r="VOV9" s="3"/>
      <c r="VOW9" s="3"/>
      <c r="VOX9" s="3"/>
      <c r="VOY9" s="3"/>
      <c r="VOZ9" s="3"/>
      <c r="VPA9" s="3"/>
      <c r="VPB9" s="3"/>
      <c r="VPC9" s="3"/>
      <c r="VPD9" s="3"/>
      <c r="VPE9" s="3"/>
      <c r="VPF9" s="3"/>
      <c r="VPG9" s="3"/>
      <c r="VPH9" s="3"/>
      <c r="VPI9" s="3"/>
      <c r="VPJ9" s="3"/>
      <c r="VPK9" s="3"/>
      <c r="VPL9" s="3"/>
      <c r="VPM9" s="3"/>
      <c r="VPN9" s="3"/>
      <c r="VPO9" s="3"/>
      <c r="VPP9" s="3"/>
      <c r="VPQ9" s="3"/>
      <c r="VPR9" s="3"/>
      <c r="VPS9" s="3"/>
      <c r="VPT9" s="3"/>
      <c r="VPU9" s="3"/>
      <c r="VPV9" s="3"/>
      <c r="VPW9" s="3"/>
      <c r="VPX9" s="3"/>
      <c r="VPY9" s="3"/>
      <c r="VPZ9" s="3"/>
      <c r="VQA9" s="3"/>
      <c r="VQB9" s="3"/>
      <c r="VQC9" s="3"/>
      <c r="VQD9" s="3"/>
      <c r="VQE9" s="3"/>
      <c r="VQF9" s="3"/>
      <c r="VQG9" s="3"/>
      <c r="VQH9" s="3"/>
      <c r="VQI9" s="3"/>
      <c r="VQJ9" s="3"/>
      <c r="VQK9" s="3"/>
      <c r="VQL9" s="3"/>
      <c r="VQM9" s="3"/>
      <c r="VQN9" s="3"/>
      <c r="VQO9" s="3"/>
      <c r="VQP9" s="3"/>
      <c r="VQQ9" s="3"/>
      <c r="VQR9" s="3"/>
      <c r="VQS9" s="3"/>
      <c r="VQT9" s="3"/>
      <c r="VQU9" s="3"/>
      <c r="VQV9" s="3"/>
      <c r="VQW9" s="3"/>
      <c r="VQX9" s="3"/>
      <c r="VQY9" s="3"/>
      <c r="VQZ9" s="3"/>
      <c r="VRA9" s="3"/>
      <c r="VRB9" s="3"/>
      <c r="VRC9" s="3"/>
      <c r="VRD9" s="3"/>
      <c r="VRE9" s="3"/>
      <c r="VRF9" s="3"/>
      <c r="VRG9" s="3"/>
      <c r="VRH9" s="3"/>
      <c r="VRI9" s="3"/>
      <c r="VRJ9" s="3"/>
      <c r="VRK9" s="3"/>
      <c r="VRL9" s="3"/>
      <c r="VRM9" s="3"/>
      <c r="VRN9" s="3"/>
      <c r="VRO9" s="3"/>
      <c r="VRP9" s="3"/>
      <c r="VRQ9" s="3"/>
      <c r="VRR9" s="3"/>
      <c r="VRS9" s="3"/>
      <c r="VRT9" s="3"/>
      <c r="VRU9" s="3"/>
      <c r="VRV9" s="3"/>
      <c r="VRW9" s="3"/>
      <c r="VRX9" s="3"/>
      <c r="VRY9" s="3"/>
      <c r="VRZ9" s="3"/>
      <c r="VSA9" s="3"/>
      <c r="VSB9" s="3"/>
      <c r="VSC9" s="3"/>
      <c r="VSD9" s="3"/>
      <c r="VSE9" s="3"/>
      <c r="VSF9" s="3"/>
      <c r="VSG9" s="3"/>
      <c r="VSH9" s="3"/>
      <c r="VSI9" s="3"/>
      <c r="VSJ9" s="3"/>
      <c r="VSK9" s="3"/>
      <c r="VSL9" s="3"/>
      <c r="VSM9" s="3"/>
      <c r="VSN9" s="3"/>
      <c r="VSO9" s="3"/>
      <c r="VSP9" s="3"/>
      <c r="VSQ9" s="3"/>
      <c r="VSR9" s="3"/>
      <c r="VSS9" s="3"/>
      <c r="VST9" s="3"/>
      <c r="VSU9" s="3"/>
      <c r="VSV9" s="3"/>
      <c r="VSW9" s="3"/>
      <c r="VSX9" s="3"/>
      <c r="VSY9" s="3"/>
      <c r="VSZ9" s="3"/>
      <c r="VTA9" s="3"/>
      <c r="VTB9" s="3"/>
      <c r="VTC9" s="3"/>
      <c r="VTD9" s="3"/>
      <c r="VTE9" s="3"/>
      <c r="VTF9" s="3"/>
      <c r="VTG9" s="3"/>
      <c r="VTH9" s="3"/>
      <c r="VTI9" s="3"/>
      <c r="VTJ9" s="3"/>
      <c r="VTK9" s="3"/>
      <c r="VTL9" s="3"/>
      <c r="VTM9" s="3"/>
      <c r="VTN9" s="3"/>
      <c r="VTO9" s="3"/>
      <c r="VTP9" s="3"/>
      <c r="VTQ9" s="3"/>
      <c r="VTR9" s="3"/>
      <c r="VTS9" s="3"/>
      <c r="VTT9" s="3"/>
      <c r="VTU9" s="3"/>
      <c r="VTV9" s="3"/>
      <c r="VTW9" s="3"/>
      <c r="VTX9" s="3"/>
      <c r="VTY9" s="3"/>
      <c r="VTZ9" s="3"/>
      <c r="VUA9" s="3"/>
      <c r="VUB9" s="3"/>
      <c r="VUC9" s="3"/>
      <c r="VUD9" s="3"/>
      <c r="VUE9" s="3"/>
      <c r="VUF9" s="3"/>
      <c r="VUG9" s="3"/>
      <c r="VUH9" s="3"/>
      <c r="VUI9" s="3"/>
      <c r="VUJ9" s="3"/>
      <c r="VUK9" s="3"/>
      <c r="VUL9" s="3"/>
      <c r="VUM9" s="3"/>
      <c r="VUN9" s="3"/>
      <c r="VUO9" s="3"/>
      <c r="VUP9" s="3"/>
      <c r="VUQ9" s="3"/>
      <c r="VUR9" s="3"/>
      <c r="VUS9" s="3"/>
      <c r="VUT9" s="3"/>
      <c r="VUU9" s="3"/>
      <c r="VUV9" s="3"/>
      <c r="VUW9" s="3"/>
      <c r="VUX9" s="3"/>
      <c r="VUY9" s="3"/>
      <c r="VUZ9" s="3"/>
      <c r="VVA9" s="3"/>
      <c r="VVB9" s="3"/>
      <c r="VVC9" s="3"/>
      <c r="VVD9" s="3"/>
      <c r="VVE9" s="3"/>
      <c r="VVF9" s="3"/>
      <c r="VVG9" s="3"/>
      <c r="VVH9" s="3"/>
      <c r="VVI9" s="3"/>
      <c r="VVJ9" s="3"/>
      <c r="VVK9" s="3"/>
      <c r="VVL9" s="3"/>
      <c r="VVM9" s="3"/>
      <c r="VVN9" s="3"/>
      <c r="VVO9" s="3"/>
      <c r="VVP9" s="3"/>
      <c r="VVQ9" s="3"/>
      <c r="VVR9" s="3"/>
      <c r="VVS9" s="3"/>
      <c r="VVT9" s="3"/>
      <c r="VVU9" s="3"/>
      <c r="VVV9" s="3"/>
      <c r="VVW9" s="3"/>
      <c r="VVX9" s="3"/>
      <c r="VVY9" s="3"/>
      <c r="VVZ9" s="3"/>
      <c r="VWA9" s="3"/>
      <c r="VWB9" s="3"/>
      <c r="VWC9" s="3"/>
      <c r="VWD9" s="3"/>
      <c r="VWE9" s="3"/>
      <c r="VWF9" s="3"/>
      <c r="VWG9" s="3"/>
      <c r="VWH9" s="3"/>
      <c r="VWI9" s="3"/>
      <c r="VWJ9" s="3"/>
      <c r="VWK9" s="3"/>
      <c r="VWL9" s="3"/>
      <c r="VWM9" s="3"/>
      <c r="VWN9" s="3"/>
      <c r="VWO9" s="3"/>
      <c r="VWP9" s="3"/>
      <c r="VWQ9" s="3"/>
      <c r="VWR9" s="3"/>
      <c r="VWS9" s="3"/>
      <c r="VWT9" s="3"/>
      <c r="VWU9" s="3"/>
      <c r="VWV9" s="3"/>
      <c r="VWW9" s="3"/>
      <c r="VWX9" s="3"/>
      <c r="VWY9" s="3"/>
      <c r="VWZ9" s="3"/>
      <c r="VXA9" s="3"/>
      <c r="VXB9" s="3"/>
      <c r="VXC9" s="3"/>
      <c r="VXD9" s="3"/>
      <c r="VXE9" s="3"/>
      <c r="VXF9" s="3"/>
      <c r="VXG9" s="3"/>
      <c r="VXH9" s="3"/>
      <c r="VXI9" s="3"/>
      <c r="VXJ9" s="3"/>
      <c r="VXK9" s="3"/>
      <c r="VXL9" s="3"/>
      <c r="VXM9" s="3"/>
      <c r="VXN9" s="3"/>
      <c r="VXO9" s="3"/>
      <c r="VXP9" s="3"/>
      <c r="VXQ9" s="3"/>
      <c r="VXR9" s="3"/>
      <c r="VXS9" s="3"/>
      <c r="VXT9" s="3"/>
      <c r="VXU9" s="3"/>
      <c r="VXV9" s="3"/>
      <c r="VXW9" s="3"/>
      <c r="VXX9" s="3"/>
      <c r="VXY9" s="3"/>
      <c r="VXZ9" s="3"/>
      <c r="VYA9" s="3"/>
      <c r="VYB9" s="3"/>
      <c r="VYC9" s="3"/>
      <c r="VYD9" s="3"/>
      <c r="VYE9" s="3"/>
      <c r="VYF9" s="3"/>
      <c r="VYG9" s="3"/>
      <c r="VYH9" s="3"/>
      <c r="VYI9" s="3"/>
      <c r="VYJ9" s="3"/>
      <c r="VYK9" s="3"/>
      <c r="VYL9" s="3"/>
      <c r="VYM9" s="3"/>
      <c r="VYN9" s="3"/>
      <c r="VYO9" s="3"/>
      <c r="VYP9" s="3"/>
      <c r="VYQ9" s="3"/>
      <c r="VYR9" s="3"/>
      <c r="VYS9" s="3"/>
      <c r="VYT9" s="3"/>
      <c r="VYU9" s="3"/>
      <c r="VYV9" s="3"/>
      <c r="VYW9" s="3"/>
      <c r="VYX9" s="3"/>
      <c r="VYY9" s="3"/>
      <c r="VYZ9" s="3"/>
      <c r="VZA9" s="3"/>
      <c r="VZB9" s="3"/>
      <c r="VZC9" s="3"/>
      <c r="VZD9" s="3"/>
      <c r="VZE9" s="3"/>
      <c r="VZF9" s="3"/>
      <c r="VZG9" s="3"/>
      <c r="VZH9" s="3"/>
      <c r="VZI9" s="3"/>
      <c r="VZJ9" s="3"/>
      <c r="VZK9" s="3"/>
      <c r="VZL9" s="3"/>
      <c r="VZM9" s="3"/>
      <c r="VZN9" s="3"/>
      <c r="VZO9" s="3"/>
      <c r="VZP9" s="3"/>
      <c r="VZQ9" s="3"/>
      <c r="VZR9" s="3"/>
      <c r="VZS9" s="3"/>
      <c r="VZT9" s="3"/>
      <c r="VZU9" s="3"/>
      <c r="VZV9" s="3"/>
      <c r="VZW9" s="3"/>
      <c r="VZX9" s="3"/>
      <c r="VZY9" s="3"/>
      <c r="VZZ9" s="3"/>
      <c r="WAA9" s="3"/>
      <c r="WAB9" s="3"/>
      <c r="WAC9" s="3"/>
      <c r="WAD9" s="3"/>
      <c r="WAE9" s="3"/>
      <c r="WAF9" s="3"/>
      <c r="WAG9" s="3"/>
      <c r="WAH9" s="3"/>
      <c r="WAI9" s="3"/>
      <c r="WAJ9" s="3"/>
      <c r="WAK9" s="3"/>
      <c r="WAL9" s="3"/>
      <c r="WAM9" s="3"/>
      <c r="WAN9" s="3"/>
      <c r="WAO9" s="3"/>
      <c r="WAP9" s="3"/>
      <c r="WAQ9" s="3"/>
      <c r="WAR9" s="3"/>
      <c r="WAS9" s="3"/>
      <c r="WAT9" s="3"/>
      <c r="WAU9" s="3"/>
      <c r="WAV9" s="3"/>
      <c r="WAW9" s="3"/>
      <c r="WAX9" s="3"/>
      <c r="WAY9" s="3"/>
      <c r="WAZ9" s="3"/>
      <c r="WBA9" s="3"/>
      <c r="WBB9" s="3"/>
      <c r="WBC9" s="3"/>
      <c r="WBD9" s="3"/>
      <c r="WBE9" s="3"/>
      <c r="WBF9" s="3"/>
      <c r="WBG9" s="3"/>
      <c r="WBH9" s="3"/>
      <c r="WBI9" s="3"/>
      <c r="WBJ9" s="3"/>
      <c r="WBK9" s="3"/>
      <c r="WBL9" s="3"/>
      <c r="WBM9" s="3"/>
      <c r="WBN9" s="3"/>
      <c r="WBO9" s="3"/>
      <c r="WBP9" s="3"/>
      <c r="WBQ9" s="3"/>
      <c r="WBR9" s="3"/>
      <c r="WBS9" s="3"/>
      <c r="WBT9" s="3"/>
      <c r="WBU9" s="3"/>
      <c r="WBV9" s="3"/>
      <c r="WBW9" s="3"/>
      <c r="WBX9" s="3"/>
      <c r="WBY9" s="3"/>
      <c r="WBZ9" s="3"/>
      <c r="WCA9" s="3"/>
      <c r="WCB9" s="3"/>
      <c r="WCC9" s="3"/>
      <c r="WCD9" s="3"/>
      <c r="WCE9" s="3"/>
      <c r="WCF9" s="3"/>
      <c r="WCG9" s="3"/>
      <c r="WCH9" s="3"/>
      <c r="WCI9" s="3"/>
      <c r="WCJ9" s="3"/>
      <c r="WCK9" s="3"/>
      <c r="WCL9" s="3"/>
      <c r="WCM9" s="3"/>
      <c r="WCN9" s="3"/>
      <c r="WCO9" s="3"/>
      <c r="WCP9" s="3"/>
      <c r="WCQ9" s="3"/>
      <c r="WCR9" s="3"/>
      <c r="WCS9" s="3"/>
      <c r="WCT9" s="3"/>
      <c r="WCU9" s="3"/>
      <c r="WCV9" s="3"/>
      <c r="WCW9" s="3"/>
      <c r="WCX9" s="3"/>
      <c r="WCY9" s="3"/>
      <c r="WCZ9" s="3"/>
      <c r="WDA9" s="3"/>
      <c r="WDB9" s="3"/>
      <c r="WDC9" s="3"/>
      <c r="WDD9" s="3"/>
      <c r="WDE9" s="3"/>
      <c r="WDF9" s="3"/>
      <c r="WDG9" s="3"/>
      <c r="WDH9" s="3"/>
      <c r="WDI9" s="3"/>
      <c r="WDJ9" s="3"/>
      <c r="WDK9" s="3"/>
      <c r="WDL9" s="3"/>
      <c r="WDM9" s="3"/>
      <c r="WDN9" s="3"/>
      <c r="WDO9" s="3"/>
      <c r="WDP9" s="3"/>
      <c r="WDQ9" s="3"/>
      <c r="WDR9" s="3"/>
      <c r="WDS9" s="3"/>
      <c r="WDT9" s="3"/>
      <c r="WDU9" s="3"/>
      <c r="WDV9" s="3"/>
      <c r="WDW9" s="3"/>
      <c r="WDX9" s="3"/>
      <c r="WDY9" s="3"/>
      <c r="WDZ9" s="3"/>
      <c r="WEA9" s="3"/>
      <c r="WEB9" s="3"/>
      <c r="WEC9" s="3"/>
      <c r="WED9" s="3"/>
      <c r="WEE9" s="3"/>
      <c r="WEF9" s="3"/>
      <c r="WEG9" s="3"/>
      <c r="WEH9" s="3"/>
      <c r="WEI9" s="3"/>
      <c r="WEJ9" s="3"/>
      <c r="WEK9" s="3"/>
      <c r="WEL9" s="3"/>
      <c r="WEM9" s="3"/>
      <c r="WEN9" s="3"/>
      <c r="WEO9" s="3"/>
      <c r="WEP9" s="3"/>
      <c r="WEQ9" s="3"/>
      <c r="WER9" s="3"/>
      <c r="WES9" s="3"/>
      <c r="WET9" s="3"/>
      <c r="WEU9" s="3"/>
      <c r="WEV9" s="3"/>
      <c r="WEW9" s="3"/>
      <c r="WEX9" s="3"/>
      <c r="WEY9" s="3"/>
      <c r="WEZ9" s="3"/>
      <c r="WFA9" s="3"/>
      <c r="WFB9" s="3"/>
      <c r="WFC9" s="3"/>
      <c r="WFD9" s="3"/>
      <c r="WFE9" s="3"/>
      <c r="WFF9" s="3"/>
      <c r="WFG9" s="3"/>
      <c r="WFH9" s="3"/>
      <c r="WFI9" s="3"/>
      <c r="WFJ9" s="3"/>
      <c r="WFK9" s="3"/>
      <c r="WFL9" s="3"/>
      <c r="WFM9" s="3"/>
      <c r="WFN9" s="3"/>
      <c r="WFO9" s="3"/>
      <c r="WFP9" s="3"/>
      <c r="WFQ9" s="3"/>
      <c r="WFR9" s="3"/>
      <c r="WFS9" s="3"/>
      <c r="WFT9" s="3"/>
      <c r="WFU9" s="3"/>
      <c r="WFV9" s="3"/>
      <c r="WFW9" s="3"/>
      <c r="WFX9" s="3"/>
      <c r="WFY9" s="3"/>
      <c r="WFZ9" s="3"/>
      <c r="WGA9" s="3"/>
      <c r="WGB9" s="3"/>
      <c r="WGC9" s="3"/>
      <c r="WGD9" s="3"/>
      <c r="WGE9" s="3"/>
      <c r="WGF9" s="3"/>
      <c r="WGG9" s="3"/>
      <c r="WGH9" s="3"/>
      <c r="WGI9" s="3"/>
      <c r="WGJ9" s="3"/>
      <c r="WGK9" s="3"/>
      <c r="WGL9" s="3"/>
      <c r="WGM9" s="3"/>
      <c r="WGN9" s="3"/>
      <c r="WGO9" s="3"/>
      <c r="WGP9" s="3"/>
      <c r="WGQ9" s="3"/>
      <c r="WGR9" s="3"/>
      <c r="WGS9" s="3"/>
      <c r="WGT9" s="3"/>
      <c r="WGU9" s="3"/>
      <c r="WGV9" s="3"/>
      <c r="WGW9" s="3"/>
      <c r="WGX9" s="3"/>
      <c r="WGY9" s="3"/>
      <c r="WGZ9" s="3"/>
      <c r="WHA9" s="3"/>
      <c r="WHB9" s="3"/>
      <c r="WHC9" s="3"/>
      <c r="WHD9" s="3"/>
      <c r="WHE9" s="3"/>
      <c r="WHF9" s="3"/>
      <c r="WHG9" s="3"/>
      <c r="WHH9" s="3"/>
      <c r="WHI9" s="3"/>
      <c r="WHJ9" s="3"/>
      <c r="WHK9" s="3"/>
      <c r="WHL9" s="3"/>
      <c r="WHM9" s="3"/>
      <c r="WHN9" s="3"/>
      <c r="WHO9" s="3"/>
      <c r="WHP9" s="3"/>
      <c r="WHQ9" s="3"/>
      <c r="WHR9" s="3"/>
      <c r="WHS9" s="3"/>
      <c r="WHT9" s="3"/>
      <c r="WHU9" s="3"/>
      <c r="WHV9" s="3"/>
      <c r="WHW9" s="3"/>
      <c r="WHX9" s="3"/>
      <c r="WHY9" s="3"/>
      <c r="WHZ9" s="3"/>
      <c r="WIA9" s="3"/>
      <c r="WIB9" s="3"/>
      <c r="WIC9" s="3"/>
      <c r="WID9" s="3"/>
      <c r="WIE9" s="3"/>
      <c r="WIF9" s="3"/>
      <c r="WIG9" s="3"/>
      <c r="WIH9" s="3"/>
      <c r="WII9" s="3"/>
      <c r="WIJ9" s="3"/>
      <c r="WIK9" s="3"/>
      <c r="WIL9" s="3"/>
      <c r="WIM9" s="3"/>
      <c r="WIN9" s="3"/>
      <c r="WIO9" s="3"/>
      <c r="WIP9" s="3"/>
      <c r="WIQ9" s="3"/>
      <c r="WIR9" s="3"/>
      <c r="WIS9" s="3"/>
      <c r="WIT9" s="3"/>
      <c r="WIU9" s="3"/>
      <c r="WIV9" s="3"/>
      <c r="WIW9" s="3"/>
      <c r="WIX9" s="3"/>
      <c r="WIY9" s="3"/>
      <c r="WIZ9" s="3"/>
      <c r="WJA9" s="3"/>
      <c r="WJB9" s="3"/>
      <c r="WJC9" s="3"/>
      <c r="WJD9" s="3"/>
      <c r="WJE9" s="3"/>
      <c r="WJF9" s="3"/>
      <c r="WJG9" s="3"/>
      <c r="WJH9" s="3"/>
      <c r="WJI9" s="3"/>
      <c r="WJJ9" s="3"/>
      <c r="WJK9" s="3"/>
      <c r="WJL9" s="3"/>
      <c r="WJM9" s="3"/>
      <c r="WJN9" s="3"/>
      <c r="WJO9" s="3"/>
      <c r="WJP9" s="3"/>
      <c r="WJQ9" s="3"/>
      <c r="WJR9" s="3"/>
      <c r="WJS9" s="3"/>
      <c r="WJT9" s="3"/>
      <c r="WJU9" s="3"/>
      <c r="WJV9" s="3"/>
      <c r="WJW9" s="3"/>
      <c r="WJX9" s="3"/>
      <c r="WJY9" s="3"/>
      <c r="WJZ9" s="3"/>
      <c r="WKA9" s="3"/>
      <c r="WKB9" s="3"/>
      <c r="WKC9" s="3"/>
      <c r="WKD9" s="3"/>
      <c r="WKE9" s="3"/>
      <c r="WKF9" s="3"/>
      <c r="WKG9" s="3"/>
      <c r="WKH9" s="3"/>
      <c r="WKI9" s="3"/>
      <c r="WKJ9" s="3"/>
      <c r="WKK9" s="3"/>
      <c r="WKL9" s="3"/>
      <c r="WKM9" s="3"/>
      <c r="WKN9" s="3"/>
      <c r="WKO9" s="3"/>
      <c r="WKP9" s="3"/>
      <c r="WKQ9" s="3"/>
      <c r="WKR9" s="3"/>
      <c r="WKS9" s="3"/>
      <c r="WKT9" s="3"/>
      <c r="WKU9" s="3"/>
      <c r="WKV9" s="3"/>
      <c r="WKW9" s="3"/>
      <c r="WKX9" s="3"/>
      <c r="WKY9" s="3"/>
      <c r="WKZ9" s="3"/>
      <c r="WLA9" s="3"/>
      <c r="WLB9" s="3"/>
      <c r="WLC9" s="3"/>
      <c r="WLD9" s="3"/>
      <c r="WLE9" s="3"/>
      <c r="WLF9" s="3"/>
      <c r="WLG9" s="3"/>
      <c r="WLH9" s="3"/>
      <c r="WLI9" s="3"/>
      <c r="WLJ9" s="3"/>
      <c r="WLK9" s="3"/>
      <c r="WLL9" s="3"/>
      <c r="WLM9" s="3"/>
      <c r="WLN9" s="3"/>
      <c r="WLO9" s="3"/>
      <c r="WLP9" s="3"/>
      <c r="WLQ9" s="3"/>
      <c r="WLR9" s="3"/>
      <c r="WLS9" s="3"/>
      <c r="WLT9" s="3"/>
      <c r="WLU9" s="3"/>
      <c r="WLV9" s="3"/>
      <c r="WLW9" s="3"/>
      <c r="WLX9" s="3"/>
      <c r="WLY9" s="3"/>
      <c r="WLZ9" s="3"/>
      <c r="WMA9" s="3"/>
      <c r="WMB9" s="3"/>
      <c r="WMC9" s="3"/>
      <c r="WMD9" s="3"/>
      <c r="WME9" s="3"/>
      <c r="WMF9" s="3"/>
      <c r="WMG9" s="3"/>
      <c r="WMH9" s="3"/>
      <c r="WMI9" s="3"/>
      <c r="WMJ9" s="3"/>
      <c r="WMK9" s="3"/>
      <c r="WML9" s="3"/>
      <c r="WMM9" s="3"/>
      <c r="WMN9" s="3"/>
      <c r="WMO9" s="3"/>
      <c r="WMP9" s="3"/>
      <c r="WMQ9" s="3"/>
      <c r="WMR9" s="3"/>
      <c r="WMS9" s="3"/>
      <c r="WMT9" s="3"/>
      <c r="WMU9" s="3"/>
      <c r="WMV9" s="3"/>
      <c r="WMW9" s="3"/>
      <c r="WMX9" s="3"/>
      <c r="WMY9" s="3"/>
      <c r="WMZ9" s="3"/>
      <c r="WNA9" s="3"/>
      <c r="WNB9" s="3"/>
      <c r="WNC9" s="3"/>
      <c r="WND9" s="3"/>
      <c r="WNE9" s="3"/>
      <c r="WNF9" s="3"/>
      <c r="WNG9" s="3"/>
      <c r="WNH9" s="3"/>
      <c r="WNI9" s="3"/>
      <c r="WNJ9" s="3"/>
      <c r="WNK9" s="3"/>
      <c r="WNL9" s="3"/>
      <c r="WNM9" s="3"/>
      <c r="WNN9" s="3"/>
      <c r="WNO9" s="3"/>
      <c r="WNP9" s="3"/>
      <c r="WNQ9" s="3"/>
      <c r="WNR9" s="3"/>
      <c r="WNS9" s="3"/>
      <c r="WNT9" s="3"/>
      <c r="WNU9" s="3"/>
      <c r="WNV9" s="3"/>
      <c r="WNW9" s="3"/>
      <c r="WNX9" s="3"/>
      <c r="WNY9" s="3"/>
      <c r="WNZ9" s="3"/>
      <c r="WOA9" s="3"/>
      <c r="WOB9" s="3"/>
      <c r="WOC9" s="3"/>
      <c r="WOD9" s="3"/>
      <c r="WOE9" s="3"/>
      <c r="WOF9" s="3"/>
      <c r="WOG9" s="3"/>
      <c r="WOH9" s="3"/>
      <c r="WOI9" s="3"/>
      <c r="WOJ9" s="3"/>
      <c r="WOK9" s="3"/>
      <c r="WOL9" s="3"/>
      <c r="WOM9" s="3"/>
      <c r="WON9" s="3"/>
      <c r="WOO9" s="3"/>
      <c r="WOP9" s="3"/>
      <c r="WOQ9" s="3"/>
      <c r="WOR9" s="3"/>
      <c r="WOS9" s="3"/>
      <c r="WOT9" s="3"/>
      <c r="WOU9" s="3"/>
      <c r="WOV9" s="3"/>
      <c r="WOW9" s="3"/>
      <c r="WOX9" s="3"/>
      <c r="WOY9" s="3"/>
      <c r="WOZ9" s="3"/>
      <c r="WPA9" s="3"/>
      <c r="WPB9" s="3"/>
      <c r="WPC9" s="3"/>
      <c r="WPD9" s="3"/>
      <c r="WPE9" s="3"/>
      <c r="WPF9" s="3"/>
      <c r="WPG9" s="3"/>
      <c r="WPH9" s="3"/>
      <c r="WPI9" s="3"/>
      <c r="WPJ9" s="3"/>
      <c r="WPK9" s="3"/>
      <c r="WPL9" s="3"/>
      <c r="WPM9" s="3"/>
      <c r="WPN9" s="3"/>
      <c r="WPO9" s="3"/>
      <c r="WPP9" s="3"/>
      <c r="WPQ9" s="3"/>
      <c r="WPR9" s="3"/>
      <c r="WPS9" s="3"/>
      <c r="WPT9" s="3"/>
      <c r="WPU9" s="3"/>
      <c r="WPV9" s="3"/>
      <c r="WPW9" s="3"/>
      <c r="WPX9" s="3"/>
      <c r="WPY9" s="3"/>
      <c r="WPZ9" s="3"/>
      <c r="WQA9" s="3"/>
      <c r="WQB9" s="3"/>
      <c r="WQC9" s="3"/>
      <c r="WQD9" s="3"/>
      <c r="WQE9" s="3"/>
      <c r="WQF9" s="3"/>
      <c r="WQG9" s="3"/>
      <c r="WQH9" s="3"/>
      <c r="WQI9" s="3"/>
      <c r="WQJ9" s="3"/>
      <c r="WQK9" s="3"/>
      <c r="WQL9" s="3"/>
      <c r="WQM9" s="3"/>
      <c r="WQN9" s="3"/>
      <c r="WQO9" s="3"/>
      <c r="WQP9" s="3"/>
      <c r="WQQ9" s="3"/>
      <c r="WQR9" s="3"/>
      <c r="WQS9" s="3"/>
      <c r="WQT9" s="3"/>
      <c r="WQU9" s="3"/>
      <c r="WQV9" s="3"/>
      <c r="WQW9" s="3"/>
      <c r="WQX9" s="3"/>
      <c r="WQY9" s="3"/>
      <c r="WQZ9" s="3"/>
      <c r="WRA9" s="3"/>
      <c r="WRB9" s="3"/>
      <c r="WRC9" s="3"/>
      <c r="WRD9" s="3"/>
      <c r="WRE9" s="3"/>
      <c r="WRF9" s="3"/>
      <c r="WRG9" s="3"/>
      <c r="WRH9" s="3"/>
      <c r="WRI9" s="3"/>
      <c r="WRJ9" s="3"/>
      <c r="WRK9" s="3"/>
      <c r="WRL9" s="3"/>
      <c r="WRM9" s="3"/>
      <c r="WRN9" s="3"/>
      <c r="WRO9" s="3"/>
      <c r="WRP9" s="3"/>
      <c r="WRQ9" s="3"/>
      <c r="WRR9" s="3"/>
      <c r="WRS9" s="3"/>
      <c r="WRT9" s="3"/>
      <c r="WRU9" s="3"/>
      <c r="WRV9" s="3"/>
      <c r="WRW9" s="3"/>
      <c r="WRX9" s="3"/>
      <c r="WRY9" s="3"/>
      <c r="WRZ9" s="3"/>
      <c r="WSA9" s="3"/>
      <c r="WSB9" s="3"/>
      <c r="WSC9" s="3"/>
      <c r="WSD9" s="3"/>
      <c r="WSE9" s="3"/>
      <c r="WSF9" s="3"/>
      <c r="WSG9" s="3"/>
      <c r="WSH9" s="3"/>
      <c r="WSI9" s="3"/>
      <c r="WSJ9" s="3"/>
      <c r="WSK9" s="3"/>
      <c r="WSL9" s="3"/>
      <c r="WSM9" s="3"/>
      <c r="WSN9" s="3"/>
      <c r="WSO9" s="3"/>
      <c r="WSP9" s="3"/>
      <c r="WSQ9" s="3"/>
      <c r="WSR9" s="3"/>
      <c r="WSS9" s="3"/>
      <c r="WST9" s="3"/>
      <c r="WSU9" s="3"/>
      <c r="WSV9" s="3"/>
      <c r="WSW9" s="3"/>
      <c r="WSX9" s="3"/>
      <c r="WSY9" s="3"/>
      <c r="WSZ9" s="3"/>
      <c r="WTA9" s="3"/>
      <c r="WTB9" s="3"/>
      <c r="WTC9" s="3"/>
      <c r="WTD9" s="3"/>
      <c r="WTE9" s="3"/>
      <c r="WTF9" s="3"/>
      <c r="WTG9" s="3"/>
      <c r="WTH9" s="3"/>
      <c r="WTI9" s="3"/>
      <c r="WTJ9" s="3"/>
      <c r="WTK9" s="3"/>
      <c r="WTL9" s="3"/>
      <c r="WTM9" s="3"/>
      <c r="WTN9" s="3"/>
      <c r="WTO9" s="3"/>
      <c r="WTP9" s="3"/>
      <c r="WTQ9" s="3"/>
      <c r="WTR9" s="3"/>
      <c r="WTS9" s="3"/>
      <c r="WTT9" s="3"/>
      <c r="WTU9" s="3"/>
      <c r="WTV9" s="3"/>
      <c r="WTW9" s="3"/>
      <c r="WTX9" s="3"/>
      <c r="WTY9" s="3"/>
      <c r="WTZ9" s="3"/>
      <c r="WUA9" s="3"/>
      <c r="WUB9" s="3"/>
      <c r="WUC9" s="3"/>
      <c r="WUD9" s="3"/>
      <c r="WUE9" s="3"/>
      <c r="WUF9" s="3"/>
      <c r="WUG9" s="3"/>
      <c r="WUH9" s="3"/>
      <c r="WUI9" s="3"/>
      <c r="WUJ9" s="3"/>
      <c r="WUK9" s="3"/>
      <c r="WUL9" s="3"/>
      <c r="WUM9" s="3"/>
      <c r="WUN9" s="3"/>
      <c r="WUO9" s="3"/>
      <c r="WUP9" s="3"/>
      <c r="WUQ9" s="3"/>
      <c r="WUR9" s="3"/>
      <c r="WUS9" s="3"/>
      <c r="WUT9" s="3"/>
      <c r="WUU9" s="3"/>
      <c r="WUV9" s="3"/>
      <c r="WUW9" s="3"/>
      <c r="WUX9" s="3"/>
      <c r="WUY9" s="3"/>
      <c r="WUZ9" s="3"/>
      <c r="WVA9" s="3"/>
      <c r="WVB9" s="3"/>
      <c r="WVC9" s="3"/>
      <c r="WVD9" s="3"/>
      <c r="WVE9" s="3"/>
      <c r="WVF9" s="3"/>
      <c r="WVG9" s="3"/>
      <c r="WVH9" s="3"/>
      <c r="WVI9" s="3"/>
      <c r="WVJ9" s="3"/>
      <c r="WVK9" s="3"/>
      <c r="WVL9" s="3"/>
      <c r="WVM9" s="3"/>
      <c r="WVN9" s="3"/>
      <c r="WVO9" s="3"/>
      <c r="WVP9" s="3"/>
      <c r="WVQ9" s="3"/>
      <c r="WVR9" s="3"/>
      <c r="WVS9" s="3"/>
      <c r="WVT9" s="3"/>
      <c r="WVU9" s="3"/>
      <c r="WVV9" s="3"/>
      <c r="WVW9" s="3"/>
      <c r="WVX9" s="3"/>
      <c r="WVY9" s="3"/>
      <c r="WVZ9" s="3"/>
      <c r="WWA9" s="3"/>
      <c r="WWB9" s="3"/>
      <c r="WWC9" s="3"/>
      <c r="WWD9" s="3"/>
      <c r="WWE9" s="3"/>
      <c r="WWF9" s="3"/>
      <c r="WWG9" s="3"/>
      <c r="WWH9" s="3"/>
      <c r="WWI9" s="3"/>
      <c r="WWJ9" s="3"/>
      <c r="WWK9" s="3"/>
      <c r="WWL9" s="3"/>
      <c r="WWM9" s="3"/>
      <c r="WWN9" s="3"/>
      <c r="WWO9" s="3"/>
      <c r="WWP9" s="3"/>
      <c r="WWQ9" s="3"/>
      <c r="WWR9" s="3"/>
      <c r="WWS9" s="3"/>
      <c r="WWT9" s="3"/>
      <c r="WWU9" s="3"/>
      <c r="WWV9" s="3"/>
      <c r="WWW9" s="3"/>
      <c r="WWX9" s="3"/>
      <c r="WWY9" s="3"/>
      <c r="WWZ9" s="3"/>
      <c r="WXA9" s="3"/>
      <c r="WXB9" s="3"/>
      <c r="WXC9" s="3"/>
      <c r="WXD9" s="3"/>
      <c r="WXE9" s="3"/>
      <c r="WXF9" s="3"/>
      <c r="WXG9" s="3"/>
      <c r="WXH9" s="3"/>
      <c r="WXI9" s="3"/>
      <c r="WXJ9" s="3"/>
      <c r="WXK9" s="3"/>
      <c r="WXL9" s="3"/>
      <c r="WXM9" s="3"/>
      <c r="WXN9" s="3"/>
      <c r="WXO9" s="3"/>
      <c r="WXP9" s="3"/>
      <c r="WXQ9" s="3"/>
      <c r="WXR9" s="3"/>
      <c r="WXS9" s="3"/>
      <c r="WXT9" s="3"/>
      <c r="WXU9" s="3"/>
      <c r="WXV9" s="3"/>
      <c r="WXW9" s="3"/>
      <c r="WXX9" s="3"/>
      <c r="WXY9" s="3"/>
      <c r="WXZ9" s="3"/>
      <c r="WYA9" s="3"/>
      <c r="WYB9" s="3"/>
      <c r="WYC9" s="3"/>
      <c r="WYD9" s="3"/>
      <c r="WYE9" s="3"/>
      <c r="WYF9" s="3"/>
      <c r="WYG9" s="3"/>
      <c r="WYH9" s="3"/>
      <c r="WYI9" s="3"/>
      <c r="WYJ9" s="3"/>
      <c r="WYK9" s="3"/>
      <c r="WYL9" s="3"/>
      <c r="WYM9" s="3"/>
      <c r="WYN9" s="3"/>
      <c r="WYO9" s="3"/>
      <c r="WYP9" s="3"/>
      <c r="WYQ9" s="3"/>
      <c r="WYR9" s="3"/>
      <c r="WYS9" s="3"/>
      <c r="WYT9" s="3"/>
      <c r="WYU9" s="3"/>
      <c r="WYV9" s="3"/>
      <c r="WYW9" s="3"/>
      <c r="WYX9" s="3"/>
      <c r="WYY9" s="3"/>
      <c r="WYZ9" s="3"/>
      <c r="WZA9" s="3"/>
      <c r="WZB9" s="3"/>
      <c r="WZC9" s="3"/>
      <c r="WZD9" s="3"/>
      <c r="WZE9" s="3"/>
      <c r="WZF9" s="3"/>
      <c r="WZG9" s="3"/>
      <c r="WZH9" s="3"/>
      <c r="WZI9" s="3"/>
      <c r="WZJ9" s="3"/>
      <c r="WZK9" s="3"/>
      <c r="WZL9" s="3"/>
      <c r="WZM9" s="3"/>
      <c r="WZN9" s="3"/>
      <c r="WZO9" s="3"/>
      <c r="WZP9" s="3"/>
      <c r="WZQ9" s="3"/>
      <c r="WZR9" s="3"/>
      <c r="WZS9" s="3"/>
      <c r="WZT9" s="3"/>
      <c r="WZU9" s="3"/>
      <c r="WZV9" s="3"/>
      <c r="WZW9" s="3"/>
      <c r="WZX9" s="3"/>
      <c r="WZY9" s="3"/>
      <c r="WZZ9" s="3"/>
      <c r="XAA9" s="3"/>
      <c r="XAB9" s="3"/>
      <c r="XAC9" s="3"/>
      <c r="XAD9" s="3"/>
      <c r="XAE9" s="3"/>
      <c r="XAF9" s="3"/>
      <c r="XAG9" s="3"/>
      <c r="XAH9" s="3"/>
      <c r="XAI9" s="3"/>
      <c r="XAJ9" s="3"/>
      <c r="XAK9" s="3"/>
      <c r="XAL9" s="3"/>
      <c r="XAM9" s="3"/>
      <c r="XAN9" s="3"/>
      <c r="XAO9" s="3"/>
      <c r="XAP9" s="3"/>
      <c r="XAQ9" s="3"/>
      <c r="XAR9" s="3"/>
      <c r="XAS9" s="3"/>
      <c r="XAT9" s="3"/>
      <c r="XAU9" s="3"/>
      <c r="XAV9" s="3"/>
      <c r="XAW9" s="3"/>
      <c r="XAX9" s="3"/>
      <c r="XAY9" s="3"/>
      <c r="XAZ9" s="3"/>
      <c r="XBA9" s="3"/>
      <c r="XBB9" s="3"/>
      <c r="XBC9" s="3"/>
      <c r="XBD9" s="3"/>
      <c r="XBE9" s="3"/>
      <c r="XBF9" s="3"/>
      <c r="XBG9" s="3"/>
      <c r="XBH9" s="3"/>
      <c r="XBI9" s="3"/>
      <c r="XBJ9" s="3"/>
      <c r="XBK9" s="3"/>
      <c r="XBL9" s="3"/>
      <c r="XBM9" s="3"/>
      <c r="XBN9" s="3"/>
      <c r="XBO9" s="3"/>
      <c r="XBP9" s="3"/>
      <c r="XBQ9" s="3"/>
      <c r="XBR9" s="3"/>
      <c r="XBS9" s="3"/>
      <c r="XBT9" s="3"/>
      <c r="XBU9" s="3"/>
      <c r="XBV9" s="3"/>
      <c r="XBW9" s="3"/>
      <c r="XBX9" s="3"/>
      <c r="XBY9" s="3"/>
      <c r="XBZ9" s="3"/>
      <c r="XCA9" s="3"/>
      <c r="XCB9" s="3"/>
      <c r="XCC9" s="3"/>
      <c r="XCD9" s="3"/>
      <c r="XCE9" s="3"/>
      <c r="XCF9" s="3"/>
      <c r="XCG9" s="3"/>
      <c r="XCH9" s="3"/>
      <c r="XCI9" s="3"/>
      <c r="XCJ9" s="3"/>
      <c r="XCK9" s="3"/>
      <c r="XCL9" s="3"/>
      <c r="XCM9" s="3"/>
      <c r="XCN9" s="3"/>
      <c r="XCO9" s="3"/>
      <c r="XCP9" s="3"/>
      <c r="XCQ9" s="3"/>
      <c r="XCR9" s="3"/>
      <c r="XCS9" s="3"/>
      <c r="XCT9" s="3"/>
      <c r="XCU9" s="3"/>
      <c r="XCV9" s="3"/>
      <c r="XCW9" s="3"/>
      <c r="XCX9" s="3"/>
      <c r="XCY9" s="3"/>
      <c r="XCZ9" s="3"/>
      <c r="XDA9" s="3"/>
      <c r="XDB9" s="3"/>
      <c r="XDC9" s="3"/>
      <c r="XDD9" s="3"/>
      <c r="XDE9" s="3"/>
      <c r="XDF9" s="3"/>
      <c r="XDG9" s="3"/>
      <c r="XDH9" s="3"/>
      <c r="XDI9" s="3"/>
      <c r="XDJ9" s="3"/>
      <c r="XDK9" s="3"/>
      <c r="XDL9" s="3"/>
      <c r="XDM9" s="3"/>
      <c r="XDN9" s="3"/>
      <c r="XDO9" s="3"/>
      <c r="XDP9" s="3"/>
      <c r="XDQ9" s="3"/>
      <c r="XDR9" s="3"/>
      <c r="XDS9" s="3"/>
      <c r="XDT9" s="3"/>
      <c r="XDU9" s="3"/>
      <c r="XDV9" s="3"/>
      <c r="XDW9" s="3"/>
      <c r="XDX9" s="3"/>
      <c r="XDY9" s="3"/>
      <c r="XDZ9" s="3"/>
      <c r="XEA9" s="3"/>
      <c r="XEB9" s="3"/>
      <c r="XEC9" s="3"/>
      <c r="XED9" s="3"/>
      <c r="XEE9" s="3"/>
      <c r="XEF9" s="3"/>
      <c r="XEG9" s="3"/>
      <c r="XEH9" s="3"/>
      <c r="XEI9" s="3"/>
      <c r="XEJ9" s="3"/>
      <c r="XEK9" s="3"/>
      <c r="XEL9" s="3"/>
      <c r="XEM9" s="3"/>
      <c r="XEN9" s="3"/>
      <c r="XEO9" s="3"/>
      <c r="XEP9" s="3"/>
      <c r="XEQ9" s="3"/>
      <c r="XER9" s="3"/>
      <c r="XES9" s="3"/>
      <c r="XET9" s="3"/>
      <c r="XEU9" s="3"/>
      <c r="XEV9" s="3"/>
      <c r="XEW9" s="3"/>
      <c r="XEX9" s="3"/>
      <c r="XEY9" s="3"/>
      <c r="XEZ9" s="3"/>
      <c r="XFA9" s="3"/>
      <c r="XFB9" s="3"/>
      <c r="XFC9" s="3"/>
    </row>
    <row r="10" spans="1:16383" s="37" customFormat="1" ht="15" thickBot="1" x14ac:dyDescent="0.2">
      <c r="A10" s="87" t="s">
        <v>135</v>
      </c>
      <c r="B10" s="87"/>
      <c r="C10" s="88"/>
      <c r="D10" s="89"/>
      <c r="E10" s="89"/>
      <c r="F10" s="89"/>
      <c r="G10" s="89"/>
      <c r="H10" s="87"/>
      <c r="I10" s="89"/>
      <c r="J10" s="89"/>
      <c r="K10" s="89"/>
      <c r="L10" s="89"/>
      <c r="M10" s="87"/>
      <c r="N10" s="8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/>
      <c r="ARX10" s="3"/>
      <c r="ARY10" s="3"/>
      <c r="ARZ10" s="3"/>
      <c r="ASA10" s="3"/>
      <c r="ASB10" s="3"/>
      <c r="ASC10" s="3"/>
      <c r="ASD10" s="3"/>
      <c r="ASE10" s="3"/>
      <c r="ASF10" s="3"/>
      <c r="ASG10" s="3"/>
      <c r="ASH10" s="3"/>
      <c r="ASI10" s="3"/>
      <c r="ASJ10" s="3"/>
      <c r="ASK10" s="3"/>
      <c r="ASL10" s="3"/>
      <c r="ASM10" s="3"/>
      <c r="ASN10" s="3"/>
      <c r="ASO10" s="3"/>
      <c r="ASP10" s="3"/>
      <c r="ASQ10" s="3"/>
      <c r="ASR10" s="3"/>
      <c r="ASS10" s="3"/>
      <c r="AST10" s="3"/>
      <c r="ASU10" s="3"/>
      <c r="ASV10" s="3"/>
      <c r="ASW10" s="3"/>
      <c r="ASX10" s="3"/>
      <c r="ASY10" s="3"/>
      <c r="ASZ10" s="3"/>
      <c r="ATA10" s="3"/>
      <c r="ATB10" s="3"/>
      <c r="ATC10" s="3"/>
      <c r="ATD10" s="3"/>
      <c r="ATE10" s="3"/>
      <c r="ATF10" s="3"/>
      <c r="ATG10" s="3"/>
      <c r="ATH10" s="3"/>
      <c r="ATI10" s="3"/>
      <c r="ATJ10" s="3"/>
      <c r="ATK10" s="3"/>
      <c r="ATL10" s="3"/>
      <c r="ATM10" s="3"/>
      <c r="ATN10" s="3"/>
      <c r="ATO10" s="3"/>
      <c r="ATP10" s="3"/>
      <c r="ATQ10" s="3"/>
      <c r="ATR10" s="3"/>
      <c r="ATS10" s="3"/>
      <c r="ATT10" s="3"/>
      <c r="ATU10" s="3"/>
      <c r="ATV10" s="3"/>
      <c r="ATW10" s="3"/>
      <c r="ATX10" s="3"/>
      <c r="ATY10" s="3"/>
      <c r="ATZ10" s="3"/>
      <c r="AUA10" s="3"/>
      <c r="AUB10" s="3"/>
      <c r="AUC10" s="3"/>
      <c r="AUD10" s="3"/>
      <c r="AUE10" s="3"/>
      <c r="AUF10" s="3"/>
      <c r="AUG10" s="3"/>
      <c r="AUH10" s="3"/>
      <c r="AUI10" s="3"/>
      <c r="AUJ10" s="3"/>
      <c r="AUK10" s="3"/>
      <c r="AUL10" s="3"/>
      <c r="AUM10" s="3"/>
      <c r="AUN10" s="3"/>
      <c r="AUO10" s="3"/>
      <c r="AUP10" s="3"/>
      <c r="AUQ10" s="3"/>
      <c r="AUR10" s="3"/>
      <c r="AUS10" s="3"/>
      <c r="AUT10" s="3"/>
      <c r="AUU10" s="3"/>
      <c r="AUV10" s="3"/>
      <c r="AUW10" s="3"/>
      <c r="AUX10" s="3"/>
      <c r="AUY10" s="3"/>
      <c r="AUZ10" s="3"/>
      <c r="AVA10" s="3"/>
      <c r="AVB10" s="3"/>
      <c r="AVC10" s="3"/>
      <c r="AVD10" s="3"/>
      <c r="AVE10" s="3"/>
      <c r="AVF10" s="3"/>
      <c r="AVG10" s="3"/>
      <c r="AVH10" s="3"/>
      <c r="AVI10" s="3"/>
      <c r="AVJ10" s="3"/>
      <c r="AVK10" s="3"/>
      <c r="AVL10" s="3"/>
      <c r="AVM10" s="3"/>
      <c r="AVN10" s="3"/>
      <c r="AVO10" s="3"/>
      <c r="AVP10" s="3"/>
      <c r="AVQ10" s="3"/>
      <c r="AVR10" s="3"/>
      <c r="AVS10" s="3"/>
      <c r="AVT10" s="3"/>
      <c r="AVU10" s="3"/>
      <c r="AVV10" s="3"/>
      <c r="AVW10" s="3"/>
      <c r="AVX10" s="3"/>
      <c r="AVY10" s="3"/>
      <c r="AVZ10" s="3"/>
      <c r="AWA10" s="3"/>
      <c r="AWB10" s="3"/>
      <c r="AWC10" s="3"/>
      <c r="AWD10" s="3"/>
      <c r="AWE10" s="3"/>
      <c r="AWF10" s="3"/>
      <c r="AWG10" s="3"/>
      <c r="AWH10" s="3"/>
      <c r="AWI10" s="3"/>
      <c r="AWJ10" s="3"/>
      <c r="AWK10" s="3"/>
      <c r="AWL10" s="3"/>
      <c r="AWM10" s="3"/>
      <c r="AWN10" s="3"/>
      <c r="AWO10" s="3"/>
      <c r="AWP10" s="3"/>
      <c r="AWQ10" s="3"/>
      <c r="AWR10" s="3"/>
      <c r="AWS10" s="3"/>
      <c r="AWT10" s="3"/>
      <c r="AWU10" s="3"/>
      <c r="AWV10" s="3"/>
      <c r="AWW10" s="3"/>
      <c r="AWX10" s="3"/>
      <c r="AWY10" s="3"/>
      <c r="AWZ10" s="3"/>
      <c r="AXA10" s="3"/>
      <c r="AXB10" s="3"/>
      <c r="AXC10" s="3"/>
      <c r="AXD10" s="3"/>
      <c r="AXE10" s="3"/>
      <c r="AXF10" s="3"/>
      <c r="AXG10" s="3"/>
      <c r="AXH10" s="3"/>
      <c r="AXI10" s="3"/>
      <c r="AXJ10" s="3"/>
      <c r="AXK10" s="3"/>
      <c r="AXL10" s="3"/>
      <c r="AXM10" s="3"/>
      <c r="AXN10" s="3"/>
      <c r="AXO10" s="3"/>
      <c r="AXP10" s="3"/>
      <c r="AXQ10" s="3"/>
      <c r="AXR10" s="3"/>
      <c r="AXS10" s="3"/>
      <c r="AXT10" s="3"/>
      <c r="AXU10" s="3"/>
      <c r="AXV10" s="3"/>
      <c r="AXW10" s="3"/>
      <c r="AXX10" s="3"/>
      <c r="AXY10" s="3"/>
      <c r="AXZ10" s="3"/>
      <c r="AYA10" s="3"/>
      <c r="AYB10" s="3"/>
      <c r="AYC10" s="3"/>
      <c r="AYD10" s="3"/>
      <c r="AYE10" s="3"/>
      <c r="AYF10" s="3"/>
      <c r="AYG10" s="3"/>
      <c r="AYH10" s="3"/>
      <c r="AYI10" s="3"/>
      <c r="AYJ10" s="3"/>
      <c r="AYK10" s="3"/>
      <c r="AYL10" s="3"/>
      <c r="AYM10" s="3"/>
      <c r="AYN10" s="3"/>
      <c r="AYO10" s="3"/>
      <c r="AYP10" s="3"/>
      <c r="AYQ10" s="3"/>
      <c r="AYR10" s="3"/>
      <c r="AYS10" s="3"/>
      <c r="AYT10" s="3"/>
      <c r="AYU10" s="3"/>
      <c r="AYV10" s="3"/>
      <c r="AYW10" s="3"/>
      <c r="AYX10" s="3"/>
      <c r="AYY10" s="3"/>
      <c r="AYZ10" s="3"/>
      <c r="AZA10" s="3"/>
      <c r="AZB10" s="3"/>
      <c r="AZC10" s="3"/>
      <c r="AZD10" s="3"/>
      <c r="AZE10" s="3"/>
      <c r="AZF10" s="3"/>
      <c r="AZG10" s="3"/>
      <c r="AZH10" s="3"/>
      <c r="AZI10" s="3"/>
      <c r="AZJ10" s="3"/>
      <c r="AZK10" s="3"/>
      <c r="AZL10" s="3"/>
      <c r="AZM10" s="3"/>
      <c r="AZN10" s="3"/>
      <c r="AZO10" s="3"/>
      <c r="AZP10" s="3"/>
      <c r="AZQ10" s="3"/>
      <c r="AZR10" s="3"/>
      <c r="AZS10" s="3"/>
      <c r="AZT10" s="3"/>
      <c r="AZU10" s="3"/>
      <c r="AZV10" s="3"/>
      <c r="AZW10" s="3"/>
      <c r="AZX10" s="3"/>
      <c r="AZY10" s="3"/>
      <c r="AZZ10" s="3"/>
      <c r="BAA10" s="3"/>
      <c r="BAB10" s="3"/>
      <c r="BAC10" s="3"/>
      <c r="BAD10" s="3"/>
      <c r="BAE10" s="3"/>
      <c r="BAF10" s="3"/>
      <c r="BAG10" s="3"/>
      <c r="BAH10" s="3"/>
      <c r="BAI10" s="3"/>
      <c r="BAJ10" s="3"/>
      <c r="BAK10" s="3"/>
      <c r="BAL10" s="3"/>
      <c r="BAM10" s="3"/>
      <c r="BAN10" s="3"/>
      <c r="BAO10" s="3"/>
      <c r="BAP10" s="3"/>
      <c r="BAQ10" s="3"/>
      <c r="BAR10" s="3"/>
      <c r="BAS10" s="3"/>
      <c r="BAT10" s="3"/>
      <c r="BAU10" s="3"/>
      <c r="BAV10" s="3"/>
      <c r="BAW10" s="3"/>
      <c r="BAX10" s="3"/>
      <c r="BAY10" s="3"/>
      <c r="BAZ10" s="3"/>
      <c r="BBA10" s="3"/>
      <c r="BBB10" s="3"/>
      <c r="BBC10" s="3"/>
      <c r="BBD10" s="3"/>
      <c r="BBE10" s="3"/>
      <c r="BBF10" s="3"/>
      <c r="BBG10" s="3"/>
      <c r="BBH10" s="3"/>
      <c r="BBI10" s="3"/>
      <c r="BBJ10" s="3"/>
      <c r="BBK10" s="3"/>
      <c r="BBL10" s="3"/>
      <c r="BBM10" s="3"/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3"/>
      <c r="BIK10" s="3"/>
      <c r="BIL10" s="3"/>
      <c r="BIM10" s="3"/>
      <c r="BIN10" s="3"/>
      <c r="BIO10" s="3"/>
      <c r="BIP10" s="3"/>
      <c r="BIQ10" s="3"/>
      <c r="BIR10" s="3"/>
      <c r="BIS10" s="3"/>
      <c r="BIT10" s="3"/>
      <c r="BIU10" s="3"/>
      <c r="BIV10" s="3"/>
      <c r="BIW10" s="3"/>
      <c r="BIX10" s="3"/>
      <c r="BIY10" s="3"/>
      <c r="BIZ10" s="3"/>
      <c r="BJA10" s="3"/>
      <c r="BJB10" s="3"/>
      <c r="BJC10" s="3"/>
      <c r="BJD10" s="3"/>
      <c r="BJE10" s="3"/>
      <c r="BJF10" s="3"/>
      <c r="BJG10" s="3"/>
      <c r="BJH10" s="3"/>
      <c r="BJI10" s="3"/>
      <c r="BJJ10" s="3"/>
      <c r="BJK10" s="3"/>
      <c r="BJL10" s="3"/>
      <c r="BJM10" s="3"/>
      <c r="BJN10" s="3"/>
      <c r="BJO10" s="3"/>
      <c r="BJP10" s="3"/>
      <c r="BJQ10" s="3"/>
      <c r="BJR10" s="3"/>
      <c r="BJS10" s="3"/>
      <c r="BJT10" s="3"/>
      <c r="BJU10" s="3"/>
      <c r="BJV10" s="3"/>
      <c r="BJW10" s="3"/>
      <c r="BJX10" s="3"/>
      <c r="BJY10" s="3"/>
      <c r="BJZ10" s="3"/>
      <c r="BKA10" s="3"/>
      <c r="BKB10" s="3"/>
      <c r="BKC10" s="3"/>
      <c r="BKD10" s="3"/>
      <c r="BKE10" s="3"/>
      <c r="BKF10" s="3"/>
      <c r="BKG10" s="3"/>
      <c r="BKH10" s="3"/>
      <c r="BKI10" s="3"/>
      <c r="BKJ10" s="3"/>
      <c r="BKK10" s="3"/>
      <c r="BKL10" s="3"/>
      <c r="BKM10" s="3"/>
      <c r="BKN10" s="3"/>
      <c r="BKO10" s="3"/>
      <c r="BKP10" s="3"/>
      <c r="BKQ10" s="3"/>
      <c r="BKR10" s="3"/>
      <c r="BKS10" s="3"/>
      <c r="BKT10" s="3"/>
      <c r="BKU10" s="3"/>
      <c r="BKV10" s="3"/>
      <c r="BKW10" s="3"/>
      <c r="BKX10" s="3"/>
      <c r="BKY10" s="3"/>
      <c r="BKZ10" s="3"/>
      <c r="BLA10" s="3"/>
      <c r="BLB10" s="3"/>
      <c r="BLC10" s="3"/>
      <c r="BLD10" s="3"/>
      <c r="BLE10" s="3"/>
      <c r="BLF10" s="3"/>
      <c r="BLG10" s="3"/>
      <c r="BLH10" s="3"/>
      <c r="BLI10" s="3"/>
      <c r="BLJ10" s="3"/>
      <c r="BLK10" s="3"/>
      <c r="BLL10" s="3"/>
      <c r="BLM10" s="3"/>
      <c r="BLN10" s="3"/>
      <c r="BLO10" s="3"/>
      <c r="BLP10" s="3"/>
      <c r="BLQ10" s="3"/>
      <c r="BLR10" s="3"/>
      <c r="BLS10" s="3"/>
      <c r="BLT10" s="3"/>
      <c r="BLU10" s="3"/>
      <c r="BLV10" s="3"/>
      <c r="BLW10" s="3"/>
      <c r="BLX10" s="3"/>
      <c r="BLY10" s="3"/>
      <c r="BLZ10" s="3"/>
      <c r="BMA10" s="3"/>
      <c r="BMB10" s="3"/>
      <c r="BMC10" s="3"/>
      <c r="BMD10" s="3"/>
      <c r="BME10" s="3"/>
      <c r="BMF10" s="3"/>
      <c r="BMG10" s="3"/>
      <c r="BMH10" s="3"/>
      <c r="BMI10" s="3"/>
      <c r="BMJ10" s="3"/>
      <c r="BMK10" s="3"/>
      <c r="BML10" s="3"/>
      <c r="BMM10" s="3"/>
      <c r="BMN10" s="3"/>
      <c r="BMO10" s="3"/>
      <c r="BMP10" s="3"/>
      <c r="BMQ10" s="3"/>
      <c r="BMR10" s="3"/>
      <c r="BMS10" s="3"/>
      <c r="BMT10" s="3"/>
      <c r="BMU10" s="3"/>
      <c r="BMV10" s="3"/>
      <c r="BMW10" s="3"/>
      <c r="BMX10" s="3"/>
      <c r="BMY10" s="3"/>
      <c r="BMZ10" s="3"/>
      <c r="BNA10" s="3"/>
      <c r="BNB10" s="3"/>
      <c r="BNC10" s="3"/>
      <c r="BND10" s="3"/>
      <c r="BNE10" s="3"/>
      <c r="BNF10" s="3"/>
      <c r="BNG10" s="3"/>
      <c r="BNH10" s="3"/>
      <c r="BNI10" s="3"/>
      <c r="BNJ10" s="3"/>
      <c r="BNK10" s="3"/>
      <c r="BNL10" s="3"/>
      <c r="BNM10" s="3"/>
      <c r="BNN10" s="3"/>
      <c r="BNO10" s="3"/>
      <c r="BNP10" s="3"/>
      <c r="BNQ10" s="3"/>
      <c r="BNR10" s="3"/>
      <c r="BNS10" s="3"/>
      <c r="BNT10" s="3"/>
      <c r="BNU10" s="3"/>
      <c r="BNV10" s="3"/>
      <c r="BNW10" s="3"/>
      <c r="BNX10" s="3"/>
      <c r="BNY10" s="3"/>
      <c r="BNZ10" s="3"/>
      <c r="BOA10" s="3"/>
      <c r="BOB10" s="3"/>
      <c r="BOC10" s="3"/>
      <c r="BOD10" s="3"/>
      <c r="BOE10" s="3"/>
      <c r="BOF10" s="3"/>
      <c r="BOG10" s="3"/>
      <c r="BOH10" s="3"/>
      <c r="BOI10" s="3"/>
      <c r="BOJ10" s="3"/>
      <c r="BOK10" s="3"/>
      <c r="BOL10" s="3"/>
      <c r="BOM10" s="3"/>
      <c r="BON10" s="3"/>
      <c r="BOO10" s="3"/>
      <c r="BOP10" s="3"/>
      <c r="BOQ10" s="3"/>
      <c r="BOR10" s="3"/>
      <c r="BOS10" s="3"/>
      <c r="BOT10" s="3"/>
      <c r="BOU10" s="3"/>
      <c r="BOV10" s="3"/>
      <c r="BOW10" s="3"/>
      <c r="BOX10" s="3"/>
      <c r="BOY10" s="3"/>
      <c r="BOZ10" s="3"/>
      <c r="BPA10" s="3"/>
      <c r="BPB10" s="3"/>
      <c r="BPC10" s="3"/>
      <c r="BPD10" s="3"/>
      <c r="BPE10" s="3"/>
      <c r="BPF10" s="3"/>
      <c r="BPG10" s="3"/>
      <c r="BPH10" s="3"/>
      <c r="BPI10" s="3"/>
      <c r="BPJ10" s="3"/>
      <c r="BPK10" s="3"/>
      <c r="BPL10" s="3"/>
      <c r="BPM10" s="3"/>
      <c r="BPN10" s="3"/>
      <c r="BPO10" s="3"/>
      <c r="BPP10" s="3"/>
      <c r="BPQ10" s="3"/>
      <c r="BPR10" s="3"/>
      <c r="BPS10" s="3"/>
      <c r="BPT10" s="3"/>
      <c r="BPU10" s="3"/>
      <c r="BPV10" s="3"/>
      <c r="BPW10" s="3"/>
      <c r="BPX10" s="3"/>
      <c r="BPY10" s="3"/>
      <c r="BPZ10" s="3"/>
      <c r="BQA10" s="3"/>
      <c r="BQB10" s="3"/>
      <c r="BQC10" s="3"/>
      <c r="BQD10" s="3"/>
      <c r="BQE10" s="3"/>
      <c r="BQF10" s="3"/>
      <c r="BQG10" s="3"/>
      <c r="BQH10" s="3"/>
      <c r="BQI10" s="3"/>
      <c r="BQJ10" s="3"/>
      <c r="BQK10" s="3"/>
      <c r="BQL10" s="3"/>
      <c r="BQM10" s="3"/>
      <c r="BQN10" s="3"/>
      <c r="BQO10" s="3"/>
      <c r="BQP10" s="3"/>
      <c r="BQQ10" s="3"/>
      <c r="BQR10" s="3"/>
      <c r="BQS10" s="3"/>
      <c r="BQT10" s="3"/>
      <c r="BQU10" s="3"/>
      <c r="BQV10" s="3"/>
      <c r="BQW10" s="3"/>
      <c r="BQX10" s="3"/>
      <c r="BQY10" s="3"/>
      <c r="BQZ10" s="3"/>
      <c r="BRA10" s="3"/>
      <c r="BRB10" s="3"/>
      <c r="BRC10" s="3"/>
      <c r="BRD10" s="3"/>
      <c r="BRE10" s="3"/>
      <c r="BRF10" s="3"/>
      <c r="BRG10" s="3"/>
      <c r="BRH10" s="3"/>
      <c r="BRI10" s="3"/>
      <c r="BRJ10" s="3"/>
      <c r="BRK10" s="3"/>
      <c r="BRL10" s="3"/>
      <c r="BRM10" s="3"/>
      <c r="BRN10" s="3"/>
      <c r="BRO10" s="3"/>
      <c r="BRP10" s="3"/>
      <c r="BRQ10" s="3"/>
      <c r="BRR10" s="3"/>
      <c r="BRS10" s="3"/>
      <c r="BRT10" s="3"/>
      <c r="BRU10" s="3"/>
      <c r="BRV10" s="3"/>
      <c r="BRW10" s="3"/>
      <c r="BRX10" s="3"/>
      <c r="BRY10" s="3"/>
      <c r="BRZ10" s="3"/>
      <c r="BSA10" s="3"/>
      <c r="BSB10" s="3"/>
      <c r="BSC10" s="3"/>
      <c r="BSD10" s="3"/>
      <c r="BSE10" s="3"/>
      <c r="BSF10" s="3"/>
      <c r="BSG10" s="3"/>
      <c r="BSH10" s="3"/>
      <c r="BSI10" s="3"/>
      <c r="BSJ10" s="3"/>
      <c r="BSK10" s="3"/>
      <c r="BSL10" s="3"/>
      <c r="BSM10" s="3"/>
      <c r="BSN10" s="3"/>
      <c r="BSO10" s="3"/>
      <c r="BSP10" s="3"/>
      <c r="BSQ10" s="3"/>
      <c r="BSR10" s="3"/>
      <c r="BSS10" s="3"/>
      <c r="BST10" s="3"/>
      <c r="BSU10" s="3"/>
      <c r="BSV10" s="3"/>
      <c r="BSW10" s="3"/>
      <c r="BSX10" s="3"/>
      <c r="BSY10" s="3"/>
      <c r="BSZ10" s="3"/>
      <c r="BTA10" s="3"/>
      <c r="BTB10" s="3"/>
      <c r="BTC10" s="3"/>
      <c r="BTD10" s="3"/>
      <c r="BTE10" s="3"/>
      <c r="BTF10" s="3"/>
      <c r="BTG10" s="3"/>
      <c r="BTH10" s="3"/>
      <c r="BTI10" s="3"/>
      <c r="BTJ10" s="3"/>
      <c r="BTK10" s="3"/>
      <c r="BTL10" s="3"/>
      <c r="BTM10" s="3"/>
      <c r="BTN10" s="3"/>
      <c r="BTO10" s="3"/>
      <c r="BTP10" s="3"/>
      <c r="BTQ10" s="3"/>
      <c r="BTR10" s="3"/>
      <c r="BTS10" s="3"/>
      <c r="BTT10" s="3"/>
      <c r="BTU10" s="3"/>
      <c r="BTV10" s="3"/>
      <c r="BTW10" s="3"/>
      <c r="BTX10" s="3"/>
      <c r="BTY10" s="3"/>
      <c r="BTZ10" s="3"/>
      <c r="BUA10" s="3"/>
      <c r="BUB10" s="3"/>
      <c r="BUC10" s="3"/>
      <c r="BUD10" s="3"/>
      <c r="BUE10" s="3"/>
      <c r="BUF10" s="3"/>
      <c r="BUG10" s="3"/>
      <c r="BUH10" s="3"/>
      <c r="BUI10" s="3"/>
      <c r="BUJ10" s="3"/>
      <c r="BUK10" s="3"/>
      <c r="BUL10" s="3"/>
      <c r="BUM10" s="3"/>
      <c r="BUN10" s="3"/>
      <c r="BUO10" s="3"/>
      <c r="BUP10" s="3"/>
      <c r="BUQ10" s="3"/>
      <c r="BUR10" s="3"/>
      <c r="BUS10" s="3"/>
      <c r="BUT10" s="3"/>
      <c r="BUU10" s="3"/>
      <c r="BUV10" s="3"/>
      <c r="BUW10" s="3"/>
      <c r="BUX10" s="3"/>
      <c r="BUY10" s="3"/>
      <c r="BUZ10" s="3"/>
      <c r="BVA10" s="3"/>
      <c r="BVB10" s="3"/>
      <c r="BVC10" s="3"/>
      <c r="BVD10" s="3"/>
      <c r="BVE10" s="3"/>
      <c r="BVF10" s="3"/>
      <c r="BVG10" s="3"/>
      <c r="BVH10" s="3"/>
      <c r="BVI10" s="3"/>
      <c r="BVJ10" s="3"/>
      <c r="BVK10" s="3"/>
      <c r="BVL10" s="3"/>
      <c r="BVM10" s="3"/>
      <c r="BVN10" s="3"/>
      <c r="BVO10" s="3"/>
      <c r="BVP10" s="3"/>
      <c r="BVQ10" s="3"/>
      <c r="BVR10" s="3"/>
      <c r="BVS10" s="3"/>
      <c r="BVT10" s="3"/>
      <c r="BVU10" s="3"/>
      <c r="BVV10" s="3"/>
      <c r="BVW10" s="3"/>
      <c r="BVX10" s="3"/>
      <c r="BVY10" s="3"/>
      <c r="BVZ10" s="3"/>
      <c r="BWA10" s="3"/>
      <c r="BWB10" s="3"/>
      <c r="BWC10" s="3"/>
      <c r="BWD10" s="3"/>
      <c r="BWE10" s="3"/>
      <c r="BWF10" s="3"/>
      <c r="BWG10" s="3"/>
      <c r="BWH10" s="3"/>
      <c r="BWI10" s="3"/>
      <c r="BWJ10" s="3"/>
      <c r="BWK10" s="3"/>
      <c r="BWL10" s="3"/>
      <c r="BWM10" s="3"/>
      <c r="BWN10" s="3"/>
      <c r="BWO10" s="3"/>
      <c r="BWP10" s="3"/>
      <c r="BWQ10" s="3"/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3"/>
      <c r="CAS10" s="3"/>
      <c r="CAT10" s="3"/>
      <c r="CAU10" s="3"/>
      <c r="CAV10" s="3"/>
      <c r="CAW10" s="3"/>
      <c r="CAX10" s="3"/>
      <c r="CAY10" s="3"/>
      <c r="CAZ10" s="3"/>
      <c r="CBA10" s="3"/>
      <c r="CBB10" s="3"/>
      <c r="CBC10" s="3"/>
      <c r="CBD10" s="3"/>
      <c r="CBE10" s="3"/>
      <c r="CBF10" s="3"/>
      <c r="CBG10" s="3"/>
      <c r="CBH10" s="3"/>
      <c r="CBI10" s="3"/>
      <c r="CBJ10" s="3"/>
      <c r="CBK10" s="3"/>
      <c r="CBL10" s="3"/>
      <c r="CBM10" s="3"/>
      <c r="CBN10" s="3"/>
      <c r="CBO10" s="3"/>
      <c r="CBP10" s="3"/>
      <c r="CBQ10" s="3"/>
      <c r="CBR10" s="3"/>
      <c r="CBS10" s="3"/>
      <c r="CBT10" s="3"/>
      <c r="CBU10" s="3"/>
      <c r="CBV10" s="3"/>
      <c r="CBW10" s="3"/>
      <c r="CBX10" s="3"/>
      <c r="CBY10" s="3"/>
      <c r="CBZ10" s="3"/>
      <c r="CCA10" s="3"/>
      <c r="CCB10" s="3"/>
      <c r="CCC10" s="3"/>
      <c r="CCD10" s="3"/>
      <c r="CCE10" s="3"/>
      <c r="CCF10" s="3"/>
      <c r="CCG10" s="3"/>
      <c r="CCH10" s="3"/>
      <c r="CCI10" s="3"/>
      <c r="CCJ10" s="3"/>
      <c r="CCK10" s="3"/>
      <c r="CCL10" s="3"/>
      <c r="CCM10" s="3"/>
      <c r="CCN10" s="3"/>
      <c r="CCO10" s="3"/>
      <c r="CCP10" s="3"/>
      <c r="CCQ10" s="3"/>
      <c r="CCR10" s="3"/>
      <c r="CCS10" s="3"/>
      <c r="CCT10" s="3"/>
      <c r="CCU10" s="3"/>
      <c r="CCV10" s="3"/>
      <c r="CCW10" s="3"/>
      <c r="CCX10" s="3"/>
      <c r="CCY10" s="3"/>
      <c r="CCZ10" s="3"/>
      <c r="CDA10" s="3"/>
      <c r="CDB10" s="3"/>
      <c r="CDC10" s="3"/>
      <c r="CDD10" s="3"/>
      <c r="CDE10" s="3"/>
      <c r="CDF10" s="3"/>
      <c r="CDG10" s="3"/>
      <c r="CDH10" s="3"/>
      <c r="CDI10" s="3"/>
      <c r="CDJ10" s="3"/>
      <c r="CDK10" s="3"/>
      <c r="CDL10" s="3"/>
      <c r="CDM10" s="3"/>
      <c r="CDN10" s="3"/>
      <c r="CDO10" s="3"/>
      <c r="CDP10" s="3"/>
      <c r="CDQ10" s="3"/>
      <c r="CDR10" s="3"/>
      <c r="CDS10" s="3"/>
      <c r="CDT10" s="3"/>
      <c r="CDU10" s="3"/>
      <c r="CDV10" s="3"/>
      <c r="CDW10" s="3"/>
      <c r="CDX10" s="3"/>
      <c r="CDY10" s="3"/>
      <c r="CDZ10" s="3"/>
      <c r="CEA10" s="3"/>
      <c r="CEB10" s="3"/>
      <c r="CEC10" s="3"/>
      <c r="CED10" s="3"/>
      <c r="CEE10" s="3"/>
      <c r="CEF10" s="3"/>
      <c r="CEG10" s="3"/>
      <c r="CEH10" s="3"/>
      <c r="CEI10" s="3"/>
      <c r="CEJ10" s="3"/>
      <c r="CEK10" s="3"/>
      <c r="CEL10" s="3"/>
      <c r="CEM10" s="3"/>
      <c r="CEN10" s="3"/>
      <c r="CEO10" s="3"/>
      <c r="CEP10" s="3"/>
      <c r="CEQ10" s="3"/>
      <c r="CER10" s="3"/>
      <c r="CES10" s="3"/>
      <c r="CET10" s="3"/>
      <c r="CEU10" s="3"/>
      <c r="CEV10" s="3"/>
      <c r="CEW10" s="3"/>
      <c r="CEX10" s="3"/>
      <c r="CEY10" s="3"/>
      <c r="CEZ10" s="3"/>
      <c r="CFA10" s="3"/>
      <c r="CFB10" s="3"/>
      <c r="CFC10" s="3"/>
      <c r="CFD10" s="3"/>
      <c r="CFE10" s="3"/>
      <c r="CFF10" s="3"/>
      <c r="CFG10" s="3"/>
      <c r="CFH10" s="3"/>
      <c r="CFI10" s="3"/>
      <c r="CFJ10" s="3"/>
      <c r="CFK10" s="3"/>
      <c r="CFL10" s="3"/>
      <c r="CFM10" s="3"/>
      <c r="CFN10" s="3"/>
      <c r="CFO10" s="3"/>
      <c r="CFP10" s="3"/>
      <c r="CFQ10" s="3"/>
      <c r="CFR10" s="3"/>
      <c r="CFS10" s="3"/>
      <c r="CFT10" s="3"/>
      <c r="CFU10" s="3"/>
      <c r="CFV10" s="3"/>
      <c r="CFW10" s="3"/>
      <c r="CFX10" s="3"/>
      <c r="CFY10" s="3"/>
      <c r="CFZ10" s="3"/>
      <c r="CGA10" s="3"/>
      <c r="CGB10" s="3"/>
      <c r="CGC10" s="3"/>
      <c r="CGD10" s="3"/>
      <c r="CGE10" s="3"/>
      <c r="CGF10" s="3"/>
      <c r="CGG10" s="3"/>
      <c r="CGH10" s="3"/>
      <c r="CGI10" s="3"/>
      <c r="CGJ10" s="3"/>
      <c r="CGK10" s="3"/>
      <c r="CGL10" s="3"/>
      <c r="CGM10" s="3"/>
      <c r="CGN10" s="3"/>
      <c r="CGO10" s="3"/>
      <c r="CGP10" s="3"/>
      <c r="CGQ10" s="3"/>
      <c r="CGR10" s="3"/>
      <c r="CGS10" s="3"/>
      <c r="CGT10" s="3"/>
      <c r="CGU10" s="3"/>
      <c r="CGV10" s="3"/>
      <c r="CGW10" s="3"/>
      <c r="CGX10" s="3"/>
      <c r="CGY10" s="3"/>
      <c r="CGZ10" s="3"/>
      <c r="CHA10" s="3"/>
      <c r="CHB10" s="3"/>
      <c r="CHC10" s="3"/>
      <c r="CHD10" s="3"/>
      <c r="CHE10" s="3"/>
      <c r="CHF10" s="3"/>
      <c r="CHG10" s="3"/>
      <c r="CHH10" s="3"/>
      <c r="CHI10" s="3"/>
      <c r="CHJ10" s="3"/>
      <c r="CHK10" s="3"/>
      <c r="CHL10" s="3"/>
      <c r="CHM10" s="3"/>
      <c r="CHN10" s="3"/>
      <c r="CHO10" s="3"/>
      <c r="CHP10" s="3"/>
      <c r="CHQ10" s="3"/>
      <c r="CHR10" s="3"/>
      <c r="CHS10" s="3"/>
      <c r="CHT10" s="3"/>
      <c r="CHU10" s="3"/>
      <c r="CHV10" s="3"/>
      <c r="CHW10" s="3"/>
      <c r="CHX10" s="3"/>
      <c r="CHY10" s="3"/>
      <c r="CHZ10" s="3"/>
      <c r="CIA10" s="3"/>
      <c r="CIB10" s="3"/>
      <c r="CIC10" s="3"/>
      <c r="CID10" s="3"/>
      <c r="CIE10" s="3"/>
      <c r="CIF10" s="3"/>
      <c r="CIG10" s="3"/>
      <c r="CIH10" s="3"/>
      <c r="CII10" s="3"/>
      <c r="CIJ10" s="3"/>
      <c r="CIK10" s="3"/>
      <c r="CIL10" s="3"/>
      <c r="CIM10" s="3"/>
      <c r="CIN10" s="3"/>
      <c r="CIO10" s="3"/>
      <c r="CIP10" s="3"/>
      <c r="CIQ10" s="3"/>
      <c r="CIR10" s="3"/>
      <c r="CIS10" s="3"/>
      <c r="CIT10" s="3"/>
      <c r="CIU10" s="3"/>
      <c r="CIV10" s="3"/>
      <c r="CIW10" s="3"/>
      <c r="CIX10" s="3"/>
      <c r="CIY10" s="3"/>
      <c r="CIZ10" s="3"/>
      <c r="CJA10" s="3"/>
      <c r="CJB10" s="3"/>
      <c r="CJC10" s="3"/>
      <c r="CJD10" s="3"/>
      <c r="CJE10" s="3"/>
      <c r="CJF10" s="3"/>
      <c r="CJG10" s="3"/>
      <c r="CJH10" s="3"/>
      <c r="CJI10" s="3"/>
      <c r="CJJ10" s="3"/>
      <c r="CJK10" s="3"/>
      <c r="CJL10" s="3"/>
      <c r="CJM10" s="3"/>
      <c r="CJN10" s="3"/>
      <c r="CJO10" s="3"/>
      <c r="CJP10" s="3"/>
      <c r="CJQ10" s="3"/>
      <c r="CJR10" s="3"/>
      <c r="CJS10" s="3"/>
      <c r="CJT10" s="3"/>
      <c r="CJU10" s="3"/>
      <c r="CJV10" s="3"/>
      <c r="CJW10" s="3"/>
      <c r="CJX10" s="3"/>
      <c r="CJY10" s="3"/>
      <c r="CJZ10" s="3"/>
      <c r="CKA10" s="3"/>
      <c r="CKB10" s="3"/>
      <c r="CKC10" s="3"/>
      <c r="CKD10" s="3"/>
      <c r="CKE10" s="3"/>
      <c r="CKF10" s="3"/>
      <c r="CKG10" s="3"/>
      <c r="CKH10" s="3"/>
      <c r="CKI10" s="3"/>
      <c r="CKJ10" s="3"/>
      <c r="CKK10" s="3"/>
      <c r="CKL10" s="3"/>
      <c r="CKM10" s="3"/>
      <c r="CKN10" s="3"/>
      <c r="CKO10" s="3"/>
      <c r="CKP10" s="3"/>
      <c r="CKQ10" s="3"/>
      <c r="CKR10" s="3"/>
      <c r="CKS10" s="3"/>
      <c r="CKT10" s="3"/>
      <c r="CKU10" s="3"/>
      <c r="CKV10" s="3"/>
      <c r="CKW10" s="3"/>
      <c r="CKX10" s="3"/>
      <c r="CKY10" s="3"/>
      <c r="CKZ10" s="3"/>
      <c r="CLA10" s="3"/>
      <c r="CLB10" s="3"/>
      <c r="CLC10" s="3"/>
      <c r="CLD10" s="3"/>
      <c r="CLE10" s="3"/>
      <c r="CLF10" s="3"/>
      <c r="CLG10" s="3"/>
      <c r="CLH10" s="3"/>
      <c r="CLI10" s="3"/>
      <c r="CLJ10" s="3"/>
      <c r="CLK10" s="3"/>
      <c r="CLL10" s="3"/>
      <c r="CLM10" s="3"/>
      <c r="CLN10" s="3"/>
      <c r="CLO10" s="3"/>
      <c r="CLP10" s="3"/>
      <c r="CLQ10" s="3"/>
      <c r="CLR10" s="3"/>
      <c r="CLS10" s="3"/>
      <c r="CLT10" s="3"/>
      <c r="CLU10" s="3"/>
      <c r="CLV10" s="3"/>
      <c r="CLW10" s="3"/>
      <c r="CLX10" s="3"/>
      <c r="CLY10" s="3"/>
      <c r="CLZ10" s="3"/>
      <c r="CMA10" s="3"/>
      <c r="CMB10" s="3"/>
      <c r="CMC10" s="3"/>
      <c r="CMD10" s="3"/>
      <c r="CME10" s="3"/>
      <c r="CMF10" s="3"/>
      <c r="CMG10" s="3"/>
      <c r="CMH10" s="3"/>
      <c r="CMI10" s="3"/>
      <c r="CMJ10" s="3"/>
      <c r="CMK10" s="3"/>
      <c r="CML10" s="3"/>
      <c r="CMM10" s="3"/>
      <c r="CMN10" s="3"/>
      <c r="CMO10" s="3"/>
      <c r="CMP10" s="3"/>
      <c r="CMQ10" s="3"/>
      <c r="CMR10" s="3"/>
      <c r="CMS10" s="3"/>
      <c r="CMT10" s="3"/>
      <c r="CMU10" s="3"/>
      <c r="CMV10" s="3"/>
      <c r="CMW10" s="3"/>
      <c r="CMX10" s="3"/>
      <c r="CMY10" s="3"/>
      <c r="CMZ10" s="3"/>
      <c r="CNA10" s="3"/>
      <c r="CNB10" s="3"/>
      <c r="CNC10" s="3"/>
      <c r="CND10" s="3"/>
      <c r="CNE10" s="3"/>
      <c r="CNF10" s="3"/>
      <c r="CNG10" s="3"/>
      <c r="CNH10" s="3"/>
      <c r="CNI10" s="3"/>
      <c r="CNJ10" s="3"/>
      <c r="CNK10" s="3"/>
      <c r="CNL10" s="3"/>
      <c r="CNM10" s="3"/>
      <c r="CNN10" s="3"/>
      <c r="CNO10" s="3"/>
      <c r="CNP10" s="3"/>
      <c r="CNQ10" s="3"/>
      <c r="CNR10" s="3"/>
      <c r="CNS10" s="3"/>
      <c r="CNT10" s="3"/>
      <c r="CNU10" s="3"/>
      <c r="CNV10" s="3"/>
      <c r="CNW10" s="3"/>
      <c r="CNX10" s="3"/>
      <c r="CNY10" s="3"/>
      <c r="CNZ10" s="3"/>
      <c r="COA10" s="3"/>
      <c r="COB10" s="3"/>
      <c r="COC10" s="3"/>
      <c r="COD10" s="3"/>
      <c r="COE10" s="3"/>
      <c r="COF10" s="3"/>
      <c r="COG10" s="3"/>
      <c r="COH10" s="3"/>
      <c r="COI10" s="3"/>
      <c r="COJ10" s="3"/>
      <c r="COK10" s="3"/>
      <c r="COL10" s="3"/>
      <c r="COM10" s="3"/>
      <c r="CON10" s="3"/>
      <c r="COO10" s="3"/>
      <c r="COP10" s="3"/>
      <c r="COQ10" s="3"/>
      <c r="COR10" s="3"/>
      <c r="COS10" s="3"/>
      <c r="COT10" s="3"/>
      <c r="COU10" s="3"/>
      <c r="COV10" s="3"/>
      <c r="COW10" s="3"/>
      <c r="COX10" s="3"/>
      <c r="COY10" s="3"/>
      <c r="COZ10" s="3"/>
      <c r="CPA10" s="3"/>
      <c r="CPB10" s="3"/>
      <c r="CPC10" s="3"/>
      <c r="CPD10" s="3"/>
      <c r="CPE10" s="3"/>
      <c r="CPF10" s="3"/>
      <c r="CPG10" s="3"/>
      <c r="CPH10" s="3"/>
      <c r="CPI10" s="3"/>
      <c r="CPJ10" s="3"/>
      <c r="CPK10" s="3"/>
      <c r="CPL10" s="3"/>
      <c r="CPM10" s="3"/>
      <c r="CPN10" s="3"/>
      <c r="CPO10" s="3"/>
      <c r="CPP10" s="3"/>
      <c r="CPQ10" s="3"/>
      <c r="CPR10" s="3"/>
      <c r="CPS10" s="3"/>
      <c r="CPT10" s="3"/>
      <c r="CPU10" s="3"/>
      <c r="CPV10" s="3"/>
      <c r="CPW10" s="3"/>
      <c r="CPX10" s="3"/>
      <c r="CPY10" s="3"/>
      <c r="CPZ10" s="3"/>
      <c r="CQA10" s="3"/>
      <c r="CQB10" s="3"/>
      <c r="CQC10" s="3"/>
      <c r="CQD10" s="3"/>
      <c r="CQE10" s="3"/>
      <c r="CQF10" s="3"/>
      <c r="CQG10" s="3"/>
      <c r="CQH10" s="3"/>
      <c r="CQI10" s="3"/>
      <c r="CQJ10" s="3"/>
      <c r="CQK10" s="3"/>
      <c r="CQL10" s="3"/>
      <c r="CQM10" s="3"/>
      <c r="CQN10" s="3"/>
      <c r="CQO10" s="3"/>
      <c r="CQP10" s="3"/>
      <c r="CQQ10" s="3"/>
      <c r="CQR10" s="3"/>
      <c r="CQS10" s="3"/>
      <c r="CQT10" s="3"/>
      <c r="CQU10" s="3"/>
      <c r="CQV10" s="3"/>
      <c r="CQW10" s="3"/>
      <c r="CQX10" s="3"/>
      <c r="CQY10" s="3"/>
      <c r="CQZ10" s="3"/>
      <c r="CRA10" s="3"/>
      <c r="CRB10" s="3"/>
      <c r="CRC10" s="3"/>
      <c r="CRD10" s="3"/>
      <c r="CRE10" s="3"/>
      <c r="CRF10" s="3"/>
      <c r="CRG10" s="3"/>
      <c r="CRH10" s="3"/>
      <c r="CRI10" s="3"/>
      <c r="CRJ10" s="3"/>
      <c r="CRK10" s="3"/>
      <c r="CRL10" s="3"/>
      <c r="CRM10" s="3"/>
      <c r="CRN10" s="3"/>
      <c r="CRO10" s="3"/>
      <c r="CRP10" s="3"/>
      <c r="CRQ10" s="3"/>
      <c r="CRR10" s="3"/>
      <c r="CRS10" s="3"/>
      <c r="CRT10" s="3"/>
      <c r="CRU10" s="3"/>
      <c r="CRV10" s="3"/>
      <c r="CRW10" s="3"/>
      <c r="CRX10" s="3"/>
      <c r="CRY10" s="3"/>
      <c r="CRZ10" s="3"/>
      <c r="CSA10" s="3"/>
      <c r="CSB10" s="3"/>
      <c r="CSC10" s="3"/>
      <c r="CSD10" s="3"/>
      <c r="CSE10" s="3"/>
      <c r="CSF10" s="3"/>
      <c r="CSG10" s="3"/>
      <c r="CSH10" s="3"/>
      <c r="CSI10" s="3"/>
      <c r="CSJ10" s="3"/>
      <c r="CSK10" s="3"/>
      <c r="CSL10" s="3"/>
      <c r="CSM10" s="3"/>
      <c r="CSN10" s="3"/>
      <c r="CSO10" s="3"/>
      <c r="CSP10" s="3"/>
      <c r="CSQ10" s="3"/>
      <c r="CSR10" s="3"/>
      <c r="CSS10" s="3"/>
      <c r="CST10" s="3"/>
      <c r="CSU10" s="3"/>
      <c r="CSV10" s="3"/>
      <c r="CSW10" s="3"/>
      <c r="CSX10" s="3"/>
      <c r="CSY10" s="3"/>
      <c r="CSZ10" s="3"/>
      <c r="CTA10" s="3"/>
      <c r="CTB10" s="3"/>
      <c r="CTC10" s="3"/>
      <c r="CTD10" s="3"/>
      <c r="CTE10" s="3"/>
      <c r="CTF10" s="3"/>
      <c r="CTG10" s="3"/>
      <c r="CTH10" s="3"/>
      <c r="CTI10" s="3"/>
      <c r="CTJ10" s="3"/>
      <c r="CTK10" s="3"/>
      <c r="CTL10" s="3"/>
      <c r="CTM10" s="3"/>
      <c r="CTN10" s="3"/>
      <c r="CTO10" s="3"/>
      <c r="CTP10" s="3"/>
      <c r="CTQ10" s="3"/>
      <c r="CTR10" s="3"/>
      <c r="CTS10" s="3"/>
      <c r="CTT10" s="3"/>
      <c r="CTU10" s="3"/>
      <c r="CTV10" s="3"/>
      <c r="CTW10" s="3"/>
      <c r="CTX10" s="3"/>
      <c r="CTY10" s="3"/>
      <c r="CTZ10" s="3"/>
      <c r="CUA10" s="3"/>
      <c r="CUB10" s="3"/>
      <c r="CUC10" s="3"/>
      <c r="CUD10" s="3"/>
      <c r="CUE10" s="3"/>
      <c r="CUF10" s="3"/>
      <c r="CUG10" s="3"/>
      <c r="CUH10" s="3"/>
      <c r="CUI10" s="3"/>
      <c r="CUJ10" s="3"/>
      <c r="CUK10" s="3"/>
      <c r="CUL10" s="3"/>
      <c r="CUM10" s="3"/>
      <c r="CUN10" s="3"/>
      <c r="CUO10" s="3"/>
      <c r="CUP10" s="3"/>
      <c r="CUQ10" s="3"/>
      <c r="CUR10" s="3"/>
      <c r="CUS10" s="3"/>
      <c r="CUT10" s="3"/>
      <c r="CUU10" s="3"/>
      <c r="CUV10" s="3"/>
      <c r="CUW10" s="3"/>
      <c r="CUX10" s="3"/>
      <c r="CUY10" s="3"/>
      <c r="CUZ10" s="3"/>
      <c r="CVA10" s="3"/>
      <c r="CVB10" s="3"/>
      <c r="CVC10" s="3"/>
      <c r="CVD10" s="3"/>
      <c r="CVE10" s="3"/>
      <c r="CVF10" s="3"/>
      <c r="CVG10" s="3"/>
      <c r="CVH10" s="3"/>
      <c r="CVI10" s="3"/>
      <c r="CVJ10" s="3"/>
      <c r="CVK10" s="3"/>
      <c r="CVL10" s="3"/>
      <c r="CVM10" s="3"/>
      <c r="CVN10" s="3"/>
      <c r="CVO10" s="3"/>
      <c r="CVP10" s="3"/>
      <c r="CVQ10" s="3"/>
      <c r="CVR10" s="3"/>
      <c r="CVS10" s="3"/>
      <c r="CVT10" s="3"/>
      <c r="CVU10" s="3"/>
      <c r="CVV10" s="3"/>
      <c r="CVW10" s="3"/>
      <c r="CVX10" s="3"/>
      <c r="CVY10" s="3"/>
      <c r="CVZ10" s="3"/>
      <c r="CWA10" s="3"/>
      <c r="CWB10" s="3"/>
      <c r="CWC10" s="3"/>
      <c r="CWD10" s="3"/>
      <c r="CWE10" s="3"/>
      <c r="CWF10" s="3"/>
      <c r="CWG10" s="3"/>
      <c r="CWH10" s="3"/>
      <c r="CWI10" s="3"/>
      <c r="CWJ10" s="3"/>
      <c r="CWK10" s="3"/>
      <c r="CWL10" s="3"/>
      <c r="CWM10" s="3"/>
      <c r="CWN10" s="3"/>
      <c r="CWO10" s="3"/>
      <c r="CWP10" s="3"/>
      <c r="CWQ10" s="3"/>
      <c r="CWR10" s="3"/>
      <c r="CWS10" s="3"/>
      <c r="CWT10" s="3"/>
      <c r="CWU10" s="3"/>
      <c r="CWV10" s="3"/>
      <c r="CWW10" s="3"/>
      <c r="CWX10" s="3"/>
      <c r="CWY10" s="3"/>
      <c r="CWZ10" s="3"/>
      <c r="CXA10" s="3"/>
      <c r="CXB10" s="3"/>
      <c r="CXC10" s="3"/>
      <c r="CXD10" s="3"/>
      <c r="CXE10" s="3"/>
      <c r="CXF10" s="3"/>
      <c r="CXG10" s="3"/>
      <c r="CXH10" s="3"/>
      <c r="CXI10" s="3"/>
      <c r="CXJ10" s="3"/>
      <c r="CXK10" s="3"/>
      <c r="CXL10" s="3"/>
      <c r="CXM10" s="3"/>
      <c r="CXN10" s="3"/>
      <c r="CXO10" s="3"/>
      <c r="CXP10" s="3"/>
      <c r="CXQ10" s="3"/>
      <c r="CXR10" s="3"/>
      <c r="CXS10" s="3"/>
      <c r="CXT10" s="3"/>
      <c r="CXU10" s="3"/>
      <c r="CXV10" s="3"/>
      <c r="CXW10" s="3"/>
      <c r="CXX10" s="3"/>
      <c r="CXY10" s="3"/>
      <c r="CXZ10" s="3"/>
      <c r="CYA10" s="3"/>
      <c r="CYB10" s="3"/>
      <c r="CYC10" s="3"/>
      <c r="CYD10" s="3"/>
      <c r="CYE10" s="3"/>
      <c r="CYF10" s="3"/>
      <c r="CYG10" s="3"/>
      <c r="CYH10" s="3"/>
      <c r="CYI10" s="3"/>
      <c r="CYJ10" s="3"/>
      <c r="CYK10" s="3"/>
      <c r="CYL10" s="3"/>
      <c r="CYM10" s="3"/>
      <c r="CYN10" s="3"/>
      <c r="CYO10" s="3"/>
      <c r="CYP10" s="3"/>
      <c r="CYQ10" s="3"/>
      <c r="CYR10" s="3"/>
      <c r="CYS10" s="3"/>
      <c r="CYT10" s="3"/>
      <c r="CYU10" s="3"/>
      <c r="CYV10" s="3"/>
      <c r="CYW10" s="3"/>
      <c r="CYX10" s="3"/>
      <c r="CYY10" s="3"/>
      <c r="CYZ10" s="3"/>
      <c r="CZA10" s="3"/>
      <c r="CZB10" s="3"/>
      <c r="CZC10" s="3"/>
      <c r="CZD10" s="3"/>
      <c r="CZE10" s="3"/>
      <c r="CZF10" s="3"/>
      <c r="CZG10" s="3"/>
      <c r="CZH10" s="3"/>
      <c r="CZI10" s="3"/>
      <c r="CZJ10" s="3"/>
      <c r="CZK10" s="3"/>
      <c r="CZL10" s="3"/>
      <c r="CZM10" s="3"/>
      <c r="CZN10" s="3"/>
      <c r="CZO10" s="3"/>
      <c r="CZP10" s="3"/>
      <c r="CZQ10" s="3"/>
      <c r="CZR10" s="3"/>
      <c r="CZS10" s="3"/>
      <c r="CZT10" s="3"/>
      <c r="CZU10" s="3"/>
      <c r="CZV10" s="3"/>
      <c r="CZW10" s="3"/>
      <c r="CZX10" s="3"/>
      <c r="CZY10" s="3"/>
      <c r="CZZ10" s="3"/>
      <c r="DAA10" s="3"/>
      <c r="DAB10" s="3"/>
      <c r="DAC10" s="3"/>
      <c r="DAD10" s="3"/>
      <c r="DAE10" s="3"/>
      <c r="DAF10" s="3"/>
      <c r="DAG10" s="3"/>
      <c r="DAH10" s="3"/>
      <c r="DAI10" s="3"/>
      <c r="DAJ10" s="3"/>
      <c r="DAK10" s="3"/>
      <c r="DAL10" s="3"/>
      <c r="DAM10" s="3"/>
      <c r="DAN10" s="3"/>
      <c r="DAO10" s="3"/>
      <c r="DAP10" s="3"/>
      <c r="DAQ10" s="3"/>
      <c r="DAR10" s="3"/>
      <c r="DAS10" s="3"/>
      <c r="DAT10" s="3"/>
      <c r="DAU10" s="3"/>
      <c r="DAV10" s="3"/>
      <c r="DAW10" s="3"/>
      <c r="DAX10" s="3"/>
      <c r="DAY10" s="3"/>
      <c r="DAZ10" s="3"/>
      <c r="DBA10" s="3"/>
      <c r="DBB10" s="3"/>
      <c r="DBC10" s="3"/>
      <c r="DBD10" s="3"/>
      <c r="DBE10" s="3"/>
      <c r="DBF10" s="3"/>
      <c r="DBG10" s="3"/>
      <c r="DBH10" s="3"/>
      <c r="DBI10" s="3"/>
      <c r="DBJ10" s="3"/>
      <c r="DBK10" s="3"/>
      <c r="DBL10" s="3"/>
      <c r="DBM10" s="3"/>
      <c r="DBN10" s="3"/>
      <c r="DBO10" s="3"/>
      <c r="DBP10" s="3"/>
      <c r="DBQ10" s="3"/>
      <c r="DBR10" s="3"/>
      <c r="DBS10" s="3"/>
      <c r="DBT10" s="3"/>
      <c r="DBU10" s="3"/>
      <c r="DBV10" s="3"/>
      <c r="DBW10" s="3"/>
      <c r="DBX10" s="3"/>
      <c r="DBY10" s="3"/>
      <c r="DBZ10" s="3"/>
      <c r="DCA10" s="3"/>
      <c r="DCB10" s="3"/>
      <c r="DCC10" s="3"/>
      <c r="DCD10" s="3"/>
      <c r="DCE10" s="3"/>
      <c r="DCF10" s="3"/>
      <c r="DCG10" s="3"/>
      <c r="DCH10" s="3"/>
      <c r="DCI10" s="3"/>
      <c r="DCJ10" s="3"/>
      <c r="DCK10" s="3"/>
      <c r="DCL10" s="3"/>
      <c r="DCM10" s="3"/>
      <c r="DCN10" s="3"/>
      <c r="DCO10" s="3"/>
      <c r="DCP10" s="3"/>
      <c r="DCQ10" s="3"/>
      <c r="DCR10" s="3"/>
      <c r="DCS10" s="3"/>
      <c r="DCT10" s="3"/>
      <c r="DCU10" s="3"/>
      <c r="DCV10" s="3"/>
      <c r="DCW10" s="3"/>
      <c r="DCX10" s="3"/>
      <c r="DCY10" s="3"/>
      <c r="DCZ10" s="3"/>
      <c r="DDA10" s="3"/>
      <c r="DDB10" s="3"/>
      <c r="DDC10" s="3"/>
      <c r="DDD10" s="3"/>
      <c r="DDE10" s="3"/>
      <c r="DDF10" s="3"/>
      <c r="DDG10" s="3"/>
      <c r="DDH10" s="3"/>
      <c r="DDI10" s="3"/>
      <c r="DDJ10" s="3"/>
      <c r="DDK10" s="3"/>
      <c r="DDL10" s="3"/>
      <c r="DDM10" s="3"/>
      <c r="DDN10" s="3"/>
      <c r="DDO10" s="3"/>
      <c r="DDP10" s="3"/>
      <c r="DDQ10" s="3"/>
      <c r="DDR10" s="3"/>
      <c r="DDS10" s="3"/>
      <c r="DDT10" s="3"/>
      <c r="DDU10" s="3"/>
      <c r="DDV10" s="3"/>
      <c r="DDW10" s="3"/>
      <c r="DDX10" s="3"/>
      <c r="DDY10" s="3"/>
      <c r="DDZ10" s="3"/>
      <c r="DEA10" s="3"/>
      <c r="DEB10" s="3"/>
      <c r="DEC10" s="3"/>
      <c r="DED10" s="3"/>
      <c r="DEE10" s="3"/>
      <c r="DEF10" s="3"/>
      <c r="DEG10" s="3"/>
      <c r="DEH10" s="3"/>
      <c r="DEI10" s="3"/>
      <c r="DEJ10" s="3"/>
      <c r="DEK10" s="3"/>
      <c r="DEL10" s="3"/>
      <c r="DEM10" s="3"/>
      <c r="DEN10" s="3"/>
      <c r="DEO10" s="3"/>
      <c r="DEP10" s="3"/>
      <c r="DEQ10" s="3"/>
      <c r="DER10" s="3"/>
      <c r="DES10" s="3"/>
      <c r="DET10" s="3"/>
      <c r="DEU10" s="3"/>
      <c r="DEV10" s="3"/>
      <c r="DEW10" s="3"/>
      <c r="DEX10" s="3"/>
      <c r="DEY10" s="3"/>
      <c r="DEZ10" s="3"/>
      <c r="DFA10" s="3"/>
      <c r="DFB10" s="3"/>
      <c r="DFC10" s="3"/>
      <c r="DFD10" s="3"/>
      <c r="DFE10" s="3"/>
      <c r="DFF10" s="3"/>
      <c r="DFG10" s="3"/>
      <c r="DFH10" s="3"/>
      <c r="DFI10" s="3"/>
      <c r="DFJ10" s="3"/>
      <c r="DFK10" s="3"/>
      <c r="DFL10" s="3"/>
      <c r="DFM10" s="3"/>
      <c r="DFN10" s="3"/>
      <c r="DFO10" s="3"/>
      <c r="DFP10" s="3"/>
      <c r="DFQ10" s="3"/>
      <c r="DFR10" s="3"/>
      <c r="DFS10" s="3"/>
      <c r="DFT10" s="3"/>
      <c r="DFU10" s="3"/>
      <c r="DFV10" s="3"/>
      <c r="DFW10" s="3"/>
      <c r="DFX10" s="3"/>
      <c r="DFY10" s="3"/>
      <c r="DFZ10" s="3"/>
      <c r="DGA10" s="3"/>
      <c r="DGB10" s="3"/>
      <c r="DGC10" s="3"/>
      <c r="DGD10" s="3"/>
      <c r="DGE10" s="3"/>
      <c r="DGF10" s="3"/>
      <c r="DGG10" s="3"/>
      <c r="DGH10" s="3"/>
      <c r="DGI10" s="3"/>
      <c r="DGJ10" s="3"/>
      <c r="DGK10" s="3"/>
      <c r="DGL10" s="3"/>
      <c r="DGM10" s="3"/>
      <c r="DGN10" s="3"/>
      <c r="DGO10" s="3"/>
      <c r="DGP10" s="3"/>
      <c r="DGQ10" s="3"/>
      <c r="DGR10" s="3"/>
      <c r="DGS10" s="3"/>
      <c r="DGT10" s="3"/>
      <c r="DGU10" s="3"/>
      <c r="DGV10" s="3"/>
      <c r="DGW10" s="3"/>
      <c r="DGX10" s="3"/>
      <c r="DGY10" s="3"/>
      <c r="DGZ10" s="3"/>
      <c r="DHA10" s="3"/>
      <c r="DHB10" s="3"/>
      <c r="DHC10" s="3"/>
      <c r="DHD10" s="3"/>
      <c r="DHE10" s="3"/>
      <c r="DHF10" s="3"/>
      <c r="DHG10" s="3"/>
      <c r="DHH10" s="3"/>
      <c r="DHI10" s="3"/>
      <c r="DHJ10" s="3"/>
      <c r="DHK10" s="3"/>
      <c r="DHL10" s="3"/>
      <c r="DHM10" s="3"/>
      <c r="DHN10" s="3"/>
      <c r="DHO10" s="3"/>
      <c r="DHP10" s="3"/>
      <c r="DHQ10" s="3"/>
      <c r="DHR10" s="3"/>
      <c r="DHS10" s="3"/>
      <c r="DHT10" s="3"/>
      <c r="DHU10" s="3"/>
      <c r="DHV10" s="3"/>
      <c r="DHW10" s="3"/>
      <c r="DHX10" s="3"/>
      <c r="DHY10" s="3"/>
      <c r="DHZ10" s="3"/>
      <c r="DIA10" s="3"/>
      <c r="DIB10" s="3"/>
      <c r="DIC10" s="3"/>
      <c r="DID10" s="3"/>
      <c r="DIE10" s="3"/>
      <c r="DIF10" s="3"/>
      <c r="DIG10" s="3"/>
      <c r="DIH10" s="3"/>
      <c r="DII10" s="3"/>
      <c r="DIJ10" s="3"/>
      <c r="DIK10" s="3"/>
      <c r="DIL10" s="3"/>
      <c r="DIM10" s="3"/>
      <c r="DIN10" s="3"/>
      <c r="DIO10" s="3"/>
      <c r="DIP10" s="3"/>
      <c r="DIQ10" s="3"/>
      <c r="DIR10" s="3"/>
      <c r="DIS10" s="3"/>
      <c r="DIT10" s="3"/>
      <c r="DIU10" s="3"/>
      <c r="DIV10" s="3"/>
      <c r="DIW10" s="3"/>
      <c r="DIX10" s="3"/>
      <c r="DIY10" s="3"/>
      <c r="DIZ10" s="3"/>
      <c r="DJA10" s="3"/>
      <c r="DJB10" s="3"/>
      <c r="DJC10" s="3"/>
      <c r="DJD10" s="3"/>
      <c r="DJE10" s="3"/>
      <c r="DJF10" s="3"/>
      <c r="DJG10" s="3"/>
      <c r="DJH10" s="3"/>
      <c r="DJI10" s="3"/>
      <c r="DJJ10" s="3"/>
      <c r="DJK10" s="3"/>
      <c r="DJL10" s="3"/>
      <c r="DJM10" s="3"/>
      <c r="DJN10" s="3"/>
      <c r="DJO10" s="3"/>
      <c r="DJP10" s="3"/>
      <c r="DJQ10" s="3"/>
      <c r="DJR10" s="3"/>
      <c r="DJS10" s="3"/>
      <c r="DJT10" s="3"/>
      <c r="DJU10" s="3"/>
      <c r="DJV10" s="3"/>
      <c r="DJW10" s="3"/>
      <c r="DJX10" s="3"/>
      <c r="DJY10" s="3"/>
      <c r="DJZ10" s="3"/>
      <c r="DKA10" s="3"/>
      <c r="DKB10" s="3"/>
      <c r="DKC10" s="3"/>
      <c r="DKD10" s="3"/>
      <c r="DKE10" s="3"/>
      <c r="DKF10" s="3"/>
      <c r="DKG10" s="3"/>
      <c r="DKH10" s="3"/>
      <c r="DKI10" s="3"/>
      <c r="DKJ10" s="3"/>
      <c r="DKK10" s="3"/>
      <c r="DKL10" s="3"/>
      <c r="DKM10" s="3"/>
      <c r="DKN10" s="3"/>
      <c r="DKO10" s="3"/>
      <c r="DKP10" s="3"/>
      <c r="DKQ10" s="3"/>
      <c r="DKR10" s="3"/>
      <c r="DKS10" s="3"/>
      <c r="DKT10" s="3"/>
      <c r="DKU10" s="3"/>
      <c r="DKV10" s="3"/>
      <c r="DKW10" s="3"/>
      <c r="DKX10" s="3"/>
      <c r="DKY10" s="3"/>
      <c r="DKZ10" s="3"/>
      <c r="DLA10" s="3"/>
      <c r="DLB10" s="3"/>
      <c r="DLC10" s="3"/>
      <c r="DLD10" s="3"/>
      <c r="DLE10" s="3"/>
      <c r="DLF10" s="3"/>
      <c r="DLG10" s="3"/>
      <c r="DLH10" s="3"/>
      <c r="DLI10" s="3"/>
      <c r="DLJ10" s="3"/>
      <c r="DLK10" s="3"/>
      <c r="DLL10" s="3"/>
      <c r="DLM10" s="3"/>
      <c r="DLN10" s="3"/>
      <c r="DLO10" s="3"/>
      <c r="DLP10" s="3"/>
      <c r="DLQ10" s="3"/>
      <c r="DLR10" s="3"/>
      <c r="DLS10" s="3"/>
      <c r="DLT10" s="3"/>
      <c r="DLU10" s="3"/>
      <c r="DLV10" s="3"/>
      <c r="DLW10" s="3"/>
      <c r="DLX10" s="3"/>
      <c r="DLY10" s="3"/>
      <c r="DLZ10" s="3"/>
      <c r="DMA10" s="3"/>
      <c r="DMB10" s="3"/>
      <c r="DMC10" s="3"/>
      <c r="DMD10" s="3"/>
      <c r="DME10" s="3"/>
      <c r="DMF10" s="3"/>
      <c r="DMG10" s="3"/>
      <c r="DMH10" s="3"/>
      <c r="DMI10" s="3"/>
      <c r="DMJ10" s="3"/>
      <c r="DMK10" s="3"/>
      <c r="DML10" s="3"/>
      <c r="DMM10" s="3"/>
      <c r="DMN10" s="3"/>
      <c r="DMO10" s="3"/>
      <c r="DMP10" s="3"/>
      <c r="DMQ10" s="3"/>
      <c r="DMR10" s="3"/>
      <c r="DMS10" s="3"/>
      <c r="DMT10" s="3"/>
      <c r="DMU10" s="3"/>
      <c r="DMV10" s="3"/>
      <c r="DMW10" s="3"/>
      <c r="DMX10" s="3"/>
      <c r="DMY10" s="3"/>
      <c r="DMZ10" s="3"/>
      <c r="DNA10" s="3"/>
      <c r="DNB10" s="3"/>
      <c r="DNC10" s="3"/>
      <c r="DND10" s="3"/>
      <c r="DNE10" s="3"/>
      <c r="DNF10" s="3"/>
      <c r="DNG10" s="3"/>
      <c r="DNH10" s="3"/>
      <c r="DNI10" s="3"/>
      <c r="DNJ10" s="3"/>
      <c r="DNK10" s="3"/>
      <c r="DNL10" s="3"/>
      <c r="DNM10" s="3"/>
      <c r="DNN10" s="3"/>
      <c r="DNO10" s="3"/>
      <c r="DNP10" s="3"/>
      <c r="DNQ10" s="3"/>
      <c r="DNR10" s="3"/>
      <c r="DNS10" s="3"/>
      <c r="DNT10" s="3"/>
      <c r="DNU10" s="3"/>
      <c r="DNV10" s="3"/>
      <c r="DNW10" s="3"/>
      <c r="DNX10" s="3"/>
      <c r="DNY10" s="3"/>
      <c r="DNZ10" s="3"/>
      <c r="DOA10" s="3"/>
      <c r="DOB10" s="3"/>
      <c r="DOC10" s="3"/>
      <c r="DOD10" s="3"/>
      <c r="DOE10" s="3"/>
      <c r="DOF10" s="3"/>
      <c r="DOG10" s="3"/>
      <c r="DOH10" s="3"/>
      <c r="DOI10" s="3"/>
      <c r="DOJ10" s="3"/>
      <c r="DOK10" s="3"/>
      <c r="DOL10" s="3"/>
      <c r="DOM10" s="3"/>
      <c r="DON10" s="3"/>
      <c r="DOO10" s="3"/>
      <c r="DOP10" s="3"/>
      <c r="DOQ10" s="3"/>
      <c r="DOR10" s="3"/>
      <c r="DOS10" s="3"/>
      <c r="DOT10" s="3"/>
      <c r="DOU10" s="3"/>
      <c r="DOV10" s="3"/>
      <c r="DOW10" s="3"/>
      <c r="DOX10" s="3"/>
      <c r="DOY10" s="3"/>
      <c r="DOZ10" s="3"/>
      <c r="DPA10" s="3"/>
      <c r="DPB10" s="3"/>
      <c r="DPC10" s="3"/>
      <c r="DPD10" s="3"/>
      <c r="DPE10" s="3"/>
      <c r="DPF10" s="3"/>
      <c r="DPG10" s="3"/>
      <c r="DPH10" s="3"/>
      <c r="DPI10" s="3"/>
      <c r="DPJ10" s="3"/>
      <c r="DPK10" s="3"/>
      <c r="DPL10" s="3"/>
      <c r="DPM10" s="3"/>
      <c r="DPN10" s="3"/>
      <c r="DPO10" s="3"/>
      <c r="DPP10" s="3"/>
      <c r="DPQ10" s="3"/>
      <c r="DPR10" s="3"/>
      <c r="DPS10" s="3"/>
      <c r="DPT10" s="3"/>
      <c r="DPU10" s="3"/>
      <c r="DPV10" s="3"/>
      <c r="DPW10" s="3"/>
      <c r="DPX10" s="3"/>
      <c r="DPY10" s="3"/>
      <c r="DPZ10" s="3"/>
      <c r="DQA10" s="3"/>
      <c r="DQB10" s="3"/>
      <c r="DQC10" s="3"/>
      <c r="DQD10" s="3"/>
      <c r="DQE10" s="3"/>
      <c r="DQF10" s="3"/>
      <c r="DQG10" s="3"/>
      <c r="DQH10" s="3"/>
      <c r="DQI10" s="3"/>
      <c r="DQJ10" s="3"/>
      <c r="DQK10" s="3"/>
      <c r="DQL10" s="3"/>
      <c r="DQM10" s="3"/>
      <c r="DQN10" s="3"/>
      <c r="DQO10" s="3"/>
      <c r="DQP10" s="3"/>
      <c r="DQQ10" s="3"/>
      <c r="DQR10" s="3"/>
      <c r="DQS10" s="3"/>
      <c r="DQT10" s="3"/>
      <c r="DQU10" s="3"/>
      <c r="DQV10" s="3"/>
      <c r="DQW10" s="3"/>
      <c r="DQX10" s="3"/>
      <c r="DQY10" s="3"/>
      <c r="DQZ10" s="3"/>
      <c r="DRA10" s="3"/>
      <c r="DRB10" s="3"/>
      <c r="DRC10" s="3"/>
      <c r="DRD10" s="3"/>
      <c r="DRE10" s="3"/>
      <c r="DRF10" s="3"/>
      <c r="DRG10" s="3"/>
      <c r="DRH10" s="3"/>
      <c r="DRI10" s="3"/>
      <c r="DRJ10" s="3"/>
      <c r="DRK10" s="3"/>
      <c r="DRL10" s="3"/>
      <c r="DRM10" s="3"/>
      <c r="DRN10" s="3"/>
      <c r="DRO10" s="3"/>
      <c r="DRP10" s="3"/>
      <c r="DRQ10" s="3"/>
      <c r="DRR10" s="3"/>
      <c r="DRS10" s="3"/>
      <c r="DRT10" s="3"/>
      <c r="DRU10" s="3"/>
      <c r="DRV10" s="3"/>
      <c r="DRW10" s="3"/>
      <c r="DRX10" s="3"/>
      <c r="DRY10" s="3"/>
      <c r="DRZ10" s="3"/>
      <c r="DSA10" s="3"/>
      <c r="DSB10" s="3"/>
      <c r="DSC10" s="3"/>
      <c r="DSD10" s="3"/>
      <c r="DSE10" s="3"/>
      <c r="DSF10" s="3"/>
      <c r="DSG10" s="3"/>
      <c r="DSH10" s="3"/>
      <c r="DSI10" s="3"/>
      <c r="DSJ10" s="3"/>
      <c r="DSK10" s="3"/>
      <c r="DSL10" s="3"/>
      <c r="DSM10" s="3"/>
      <c r="DSN10" s="3"/>
      <c r="DSO10" s="3"/>
      <c r="DSP10" s="3"/>
      <c r="DSQ10" s="3"/>
      <c r="DSR10" s="3"/>
      <c r="DSS10" s="3"/>
      <c r="DST10" s="3"/>
      <c r="DSU10" s="3"/>
      <c r="DSV10" s="3"/>
      <c r="DSW10" s="3"/>
      <c r="DSX10" s="3"/>
      <c r="DSY10" s="3"/>
      <c r="DSZ10" s="3"/>
      <c r="DTA10" s="3"/>
      <c r="DTB10" s="3"/>
      <c r="DTC10" s="3"/>
      <c r="DTD10" s="3"/>
      <c r="DTE10" s="3"/>
      <c r="DTF10" s="3"/>
      <c r="DTG10" s="3"/>
      <c r="DTH10" s="3"/>
      <c r="DTI10" s="3"/>
      <c r="DTJ10" s="3"/>
      <c r="DTK10" s="3"/>
      <c r="DTL10" s="3"/>
      <c r="DTM10" s="3"/>
      <c r="DTN10" s="3"/>
      <c r="DTO10" s="3"/>
      <c r="DTP10" s="3"/>
      <c r="DTQ10" s="3"/>
      <c r="DTR10" s="3"/>
      <c r="DTS10" s="3"/>
      <c r="DTT10" s="3"/>
      <c r="DTU10" s="3"/>
      <c r="DTV10" s="3"/>
      <c r="DTW10" s="3"/>
      <c r="DTX10" s="3"/>
      <c r="DTY10" s="3"/>
      <c r="DTZ10" s="3"/>
      <c r="DUA10" s="3"/>
      <c r="DUB10" s="3"/>
      <c r="DUC10" s="3"/>
      <c r="DUD10" s="3"/>
      <c r="DUE10" s="3"/>
      <c r="DUF10" s="3"/>
      <c r="DUG10" s="3"/>
      <c r="DUH10" s="3"/>
      <c r="DUI10" s="3"/>
      <c r="DUJ10" s="3"/>
      <c r="DUK10" s="3"/>
      <c r="DUL10" s="3"/>
      <c r="DUM10" s="3"/>
      <c r="DUN10" s="3"/>
      <c r="DUO10" s="3"/>
      <c r="DUP10" s="3"/>
      <c r="DUQ10" s="3"/>
      <c r="DUR10" s="3"/>
      <c r="DUS10" s="3"/>
      <c r="DUT10" s="3"/>
      <c r="DUU10" s="3"/>
      <c r="DUV10" s="3"/>
      <c r="DUW10" s="3"/>
      <c r="DUX10" s="3"/>
      <c r="DUY10" s="3"/>
      <c r="DUZ10" s="3"/>
      <c r="DVA10" s="3"/>
      <c r="DVB10" s="3"/>
      <c r="DVC10" s="3"/>
      <c r="DVD10" s="3"/>
      <c r="DVE10" s="3"/>
      <c r="DVF10" s="3"/>
      <c r="DVG10" s="3"/>
      <c r="DVH10" s="3"/>
      <c r="DVI10" s="3"/>
      <c r="DVJ10" s="3"/>
      <c r="DVK10" s="3"/>
      <c r="DVL10" s="3"/>
      <c r="DVM10" s="3"/>
      <c r="DVN10" s="3"/>
      <c r="DVO10" s="3"/>
      <c r="DVP10" s="3"/>
      <c r="DVQ10" s="3"/>
      <c r="DVR10" s="3"/>
      <c r="DVS10" s="3"/>
      <c r="DVT10" s="3"/>
      <c r="DVU10" s="3"/>
      <c r="DVV10" s="3"/>
      <c r="DVW10" s="3"/>
      <c r="DVX10" s="3"/>
      <c r="DVY10" s="3"/>
      <c r="DVZ10" s="3"/>
      <c r="DWA10" s="3"/>
      <c r="DWB10" s="3"/>
      <c r="DWC10" s="3"/>
      <c r="DWD10" s="3"/>
      <c r="DWE10" s="3"/>
      <c r="DWF10" s="3"/>
      <c r="DWG10" s="3"/>
      <c r="DWH10" s="3"/>
      <c r="DWI10" s="3"/>
      <c r="DWJ10" s="3"/>
      <c r="DWK10" s="3"/>
      <c r="DWL10" s="3"/>
      <c r="DWM10" s="3"/>
      <c r="DWN10" s="3"/>
      <c r="DWO10" s="3"/>
      <c r="DWP10" s="3"/>
      <c r="DWQ10" s="3"/>
      <c r="DWR10" s="3"/>
      <c r="DWS10" s="3"/>
      <c r="DWT10" s="3"/>
      <c r="DWU10" s="3"/>
      <c r="DWV10" s="3"/>
      <c r="DWW10" s="3"/>
      <c r="DWX10" s="3"/>
      <c r="DWY10" s="3"/>
      <c r="DWZ10" s="3"/>
      <c r="DXA10" s="3"/>
      <c r="DXB10" s="3"/>
      <c r="DXC10" s="3"/>
      <c r="DXD10" s="3"/>
      <c r="DXE10" s="3"/>
      <c r="DXF10" s="3"/>
      <c r="DXG10" s="3"/>
      <c r="DXH10" s="3"/>
      <c r="DXI10" s="3"/>
      <c r="DXJ10" s="3"/>
      <c r="DXK10" s="3"/>
      <c r="DXL10" s="3"/>
      <c r="DXM10" s="3"/>
      <c r="DXN10" s="3"/>
      <c r="DXO10" s="3"/>
      <c r="DXP10" s="3"/>
      <c r="DXQ10" s="3"/>
      <c r="DXR10" s="3"/>
      <c r="DXS10" s="3"/>
      <c r="DXT10" s="3"/>
      <c r="DXU10" s="3"/>
      <c r="DXV10" s="3"/>
      <c r="DXW10" s="3"/>
      <c r="DXX10" s="3"/>
      <c r="DXY10" s="3"/>
      <c r="DXZ10" s="3"/>
      <c r="DYA10" s="3"/>
      <c r="DYB10" s="3"/>
      <c r="DYC10" s="3"/>
      <c r="DYD10" s="3"/>
      <c r="DYE10" s="3"/>
      <c r="DYF10" s="3"/>
      <c r="DYG10" s="3"/>
      <c r="DYH10" s="3"/>
      <c r="DYI10" s="3"/>
      <c r="DYJ10" s="3"/>
      <c r="DYK10" s="3"/>
      <c r="DYL10" s="3"/>
      <c r="DYM10" s="3"/>
      <c r="DYN10" s="3"/>
      <c r="DYO10" s="3"/>
      <c r="DYP10" s="3"/>
      <c r="DYQ10" s="3"/>
      <c r="DYR10" s="3"/>
      <c r="DYS10" s="3"/>
      <c r="DYT10" s="3"/>
      <c r="DYU10" s="3"/>
      <c r="DYV10" s="3"/>
      <c r="DYW10" s="3"/>
      <c r="DYX10" s="3"/>
      <c r="DYY10" s="3"/>
      <c r="DYZ10" s="3"/>
      <c r="DZA10" s="3"/>
      <c r="DZB10" s="3"/>
      <c r="DZC10" s="3"/>
      <c r="DZD10" s="3"/>
      <c r="DZE10" s="3"/>
      <c r="DZF10" s="3"/>
      <c r="DZG10" s="3"/>
      <c r="DZH10" s="3"/>
      <c r="DZI10" s="3"/>
      <c r="DZJ10" s="3"/>
      <c r="DZK10" s="3"/>
      <c r="DZL10" s="3"/>
      <c r="DZM10" s="3"/>
      <c r="DZN10" s="3"/>
      <c r="DZO10" s="3"/>
      <c r="DZP10" s="3"/>
      <c r="DZQ10" s="3"/>
      <c r="DZR10" s="3"/>
      <c r="DZS10" s="3"/>
      <c r="DZT10" s="3"/>
      <c r="DZU10" s="3"/>
      <c r="DZV10" s="3"/>
      <c r="DZW10" s="3"/>
      <c r="DZX10" s="3"/>
      <c r="DZY10" s="3"/>
      <c r="DZZ10" s="3"/>
      <c r="EAA10" s="3"/>
      <c r="EAB10" s="3"/>
      <c r="EAC10" s="3"/>
      <c r="EAD10" s="3"/>
      <c r="EAE10" s="3"/>
      <c r="EAF10" s="3"/>
      <c r="EAG10" s="3"/>
      <c r="EAH10" s="3"/>
      <c r="EAI10" s="3"/>
      <c r="EAJ10" s="3"/>
      <c r="EAK10" s="3"/>
      <c r="EAL10" s="3"/>
      <c r="EAM10" s="3"/>
      <c r="EAN10" s="3"/>
      <c r="EAO10" s="3"/>
      <c r="EAP10" s="3"/>
      <c r="EAQ10" s="3"/>
      <c r="EAR10" s="3"/>
      <c r="EAS10" s="3"/>
      <c r="EAT10" s="3"/>
      <c r="EAU10" s="3"/>
      <c r="EAV10" s="3"/>
      <c r="EAW10" s="3"/>
      <c r="EAX10" s="3"/>
      <c r="EAY10" s="3"/>
      <c r="EAZ10" s="3"/>
      <c r="EBA10" s="3"/>
      <c r="EBB10" s="3"/>
      <c r="EBC10" s="3"/>
      <c r="EBD10" s="3"/>
      <c r="EBE10" s="3"/>
      <c r="EBF10" s="3"/>
      <c r="EBG10" s="3"/>
      <c r="EBH10" s="3"/>
      <c r="EBI10" s="3"/>
      <c r="EBJ10" s="3"/>
      <c r="EBK10" s="3"/>
      <c r="EBL10" s="3"/>
      <c r="EBM10" s="3"/>
      <c r="EBN10" s="3"/>
      <c r="EBO10" s="3"/>
      <c r="EBP10" s="3"/>
      <c r="EBQ10" s="3"/>
      <c r="EBR10" s="3"/>
      <c r="EBS10" s="3"/>
      <c r="EBT10" s="3"/>
      <c r="EBU10" s="3"/>
      <c r="EBV10" s="3"/>
      <c r="EBW10" s="3"/>
      <c r="EBX10" s="3"/>
      <c r="EBY10" s="3"/>
      <c r="EBZ10" s="3"/>
      <c r="ECA10" s="3"/>
      <c r="ECB10" s="3"/>
      <c r="ECC10" s="3"/>
      <c r="ECD10" s="3"/>
      <c r="ECE10" s="3"/>
      <c r="ECF10" s="3"/>
      <c r="ECG10" s="3"/>
      <c r="ECH10" s="3"/>
      <c r="ECI10" s="3"/>
      <c r="ECJ10" s="3"/>
      <c r="ECK10" s="3"/>
      <c r="ECL10" s="3"/>
      <c r="ECM10" s="3"/>
      <c r="ECN10" s="3"/>
      <c r="ECO10" s="3"/>
      <c r="ECP10" s="3"/>
      <c r="ECQ10" s="3"/>
      <c r="ECR10" s="3"/>
      <c r="ECS10" s="3"/>
      <c r="ECT10" s="3"/>
      <c r="ECU10" s="3"/>
      <c r="ECV10" s="3"/>
      <c r="ECW10" s="3"/>
      <c r="ECX10" s="3"/>
      <c r="ECY10" s="3"/>
      <c r="ECZ10" s="3"/>
      <c r="EDA10" s="3"/>
      <c r="EDB10" s="3"/>
      <c r="EDC10" s="3"/>
      <c r="EDD10" s="3"/>
      <c r="EDE10" s="3"/>
      <c r="EDF10" s="3"/>
      <c r="EDG10" s="3"/>
      <c r="EDH10" s="3"/>
      <c r="EDI10" s="3"/>
      <c r="EDJ10" s="3"/>
      <c r="EDK10" s="3"/>
      <c r="EDL10" s="3"/>
      <c r="EDM10" s="3"/>
      <c r="EDN10" s="3"/>
      <c r="EDO10" s="3"/>
      <c r="EDP10" s="3"/>
      <c r="EDQ10" s="3"/>
      <c r="EDR10" s="3"/>
      <c r="EDS10" s="3"/>
      <c r="EDT10" s="3"/>
      <c r="EDU10" s="3"/>
      <c r="EDV10" s="3"/>
      <c r="EDW10" s="3"/>
      <c r="EDX10" s="3"/>
      <c r="EDY10" s="3"/>
      <c r="EDZ10" s="3"/>
      <c r="EEA10" s="3"/>
      <c r="EEB10" s="3"/>
      <c r="EEC10" s="3"/>
      <c r="EED10" s="3"/>
      <c r="EEE10" s="3"/>
      <c r="EEF10" s="3"/>
      <c r="EEG10" s="3"/>
      <c r="EEH10" s="3"/>
      <c r="EEI10" s="3"/>
      <c r="EEJ10" s="3"/>
      <c r="EEK10" s="3"/>
      <c r="EEL10" s="3"/>
      <c r="EEM10" s="3"/>
      <c r="EEN10" s="3"/>
      <c r="EEO10" s="3"/>
      <c r="EEP10" s="3"/>
      <c r="EEQ10" s="3"/>
      <c r="EER10" s="3"/>
      <c r="EES10" s="3"/>
      <c r="EET10" s="3"/>
      <c r="EEU10" s="3"/>
      <c r="EEV10" s="3"/>
      <c r="EEW10" s="3"/>
      <c r="EEX10" s="3"/>
      <c r="EEY10" s="3"/>
      <c r="EEZ10" s="3"/>
      <c r="EFA10" s="3"/>
      <c r="EFB10" s="3"/>
      <c r="EFC10" s="3"/>
      <c r="EFD10" s="3"/>
      <c r="EFE10" s="3"/>
      <c r="EFF10" s="3"/>
      <c r="EFG10" s="3"/>
      <c r="EFH10" s="3"/>
      <c r="EFI10" s="3"/>
      <c r="EFJ10" s="3"/>
      <c r="EFK10" s="3"/>
      <c r="EFL10" s="3"/>
      <c r="EFM10" s="3"/>
      <c r="EFN10" s="3"/>
      <c r="EFO10" s="3"/>
      <c r="EFP10" s="3"/>
      <c r="EFQ10" s="3"/>
      <c r="EFR10" s="3"/>
      <c r="EFS10" s="3"/>
      <c r="EFT10" s="3"/>
      <c r="EFU10" s="3"/>
      <c r="EFV10" s="3"/>
      <c r="EFW10" s="3"/>
      <c r="EFX10" s="3"/>
      <c r="EFY10" s="3"/>
      <c r="EFZ10" s="3"/>
      <c r="EGA10" s="3"/>
      <c r="EGB10" s="3"/>
      <c r="EGC10" s="3"/>
      <c r="EGD10" s="3"/>
      <c r="EGE10" s="3"/>
      <c r="EGF10" s="3"/>
      <c r="EGG10" s="3"/>
      <c r="EGH10" s="3"/>
      <c r="EGI10" s="3"/>
      <c r="EGJ10" s="3"/>
      <c r="EGK10" s="3"/>
      <c r="EGL10" s="3"/>
      <c r="EGM10" s="3"/>
      <c r="EGN10" s="3"/>
      <c r="EGO10" s="3"/>
      <c r="EGP10" s="3"/>
      <c r="EGQ10" s="3"/>
      <c r="EGR10" s="3"/>
      <c r="EGS10" s="3"/>
      <c r="EGT10" s="3"/>
      <c r="EGU10" s="3"/>
      <c r="EGV10" s="3"/>
      <c r="EGW10" s="3"/>
      <c r="EGX10" s="3"/>
      <c r="EGY10" s="3"/>
      <c r="EGZ10" s="3"/>
      <c r="EHA10" s="3"/>
      <c r="EHB10" s="3"/>
      <c r="EHC10" s="3"/>
      <c r="EHD10" s="3"/>
      <c r="EHE10" s="3"/>
      <c r="EHF10" s="3"/>
      <c r="EHG10" s="3"/>
      <c r="EHH10" s="3"/>
      <c r="EHI10" s="3"/>
      <c r="EHJ10" s="3"/>
      <c r="EHK10" s="3"/>
      <c r="EHL10" s="3"/>
      <c r="EHM10" s="3"/>
      <c r="EHN10" s="3"/>
      <c r="EHO10" s="3"/>
      <c r="EHP10" s="3"/>
      <c r="EHQ10" s="3"/>
      <c r="EHR10" s="3"/>
      <c r="EHS10" s="3"/>
      <c r="EHT10" s="3"/>
      <c r="EHU10" s="3"/>
      <c r="EHV10" s="3"/>
      <c r="EHW10" s="3"/>
      <c r="EHX10" s="3"/>
      <c r="EHY10" s="3"/>
      <c r="EHZ10" s="3"/>
      <c r="EIA10" s="3"/>
      <c r="EIB10" s="3"/>
      <c r="EIC10" s="3"/>
      <c r="EID10" s="3"/>
      <c r="EIE10" s="3"/>
      <c r="EIF10" s="3"/>
      <c r="EIG10" s="3"/>
      <c r="EIH10" s="3"/>
      <c r="EII10" s="3"/>
      <c r="EIJ10" s="3"/>
      <c r="EIK10" s="3"/>
      <c r="EIL10" s="3"/>
      <c r="EIM10" s="3"/>
      <c r="EIN10" s="3"/>
      <c r="EIO10" s="3"/>
      <c r="EIP10" s="3"/>
      <c r="EIQ10" s="3"/>
      <c r="EIR10" s="3"/>
      <c r="EIS10" s="3"/>
      <c r="EIT10" s="3"/>
      <c r="EIU10" s="3"/>
      <c r="EIV10" s="3"/>
      <c r="EIW10" s="3"/>
      <c r="EIX10" s="3"/>
      <c r="EIY10" s="3"/>
      <c r="EIZ10" s="3"/>
      <c r="EJA10" s="3"/>
      <c r="EJB10" s="3"/>
      <c r="EJC10" s="3"/>
      <c r="EJD10" s="3"/>
      <c r="EJE10" s="3"/>
      <c r="EJF10" s="3"/>
      <c r="EJG10" s="3"/>
      <c r="EJH10" s="3"/>
      <c r="EJI10" s="3"/>
      <c r="EJJ10" s="3"/>
      <c r="EJK10" s="3"/>
      <c r="EJL10" s="3"/>
      <c r="EJM10" s="3"/>
      <c r="EJN10" s="3"/>
      <c r="EJO10" s="3"/>
      <c r="EJP10" s="3"/>
      <c r="EJQ10" s="3"/>
      <c r="EJR10" s="3"/>
      <c r="EJS10" s="3"/>
      <c r="EJT10" s="3"/>
      <c r="EJU10" s="3"/>
      <c r="EJV10" s="3"/>
      <c r="EJW10" s="3"/>
      <c r="EJX10" s="3"/>
      <c r="EJY10" s="3"/>
      <c r="EJZ10" s="3"/>
      <c r="EKA10" s="3"/>
      <c r="EKB10" s="3"/>
      <c r="EKC10" s="3"/>
      <c r="EKD10" s="3"/>
      <c r="EKE10" s="3"/>
      <c r="EKF10" s="3"/>
      <c r="EKG10" s="3"/>
      <c r="EKH10" s="3"/>
      <c r="EKI10" s="3"/>
      <c r="EKJ10" s="3"/>
      <c r="EKK10" s="3"/>
      <c r="EKL10" s="3"/>
      <c r="EKM10" s="3"/>
      <c r="EKN10" s="3"/>
      <c r="EKO10" s="3"/>
      <c r="EKP10" s="3"/>
      <c r="EKQ10" s="3"/>
      <c r="EKR10" s="3"/>
      <c r="EKS10" s="3"/>
      <c r="EKT10" s="3"/>
      <c r="EKU10" s="3"/>
      <c r="EKV10" s="3"/>
      <c r="EKW10" s="3"/>
      <c r="EKX10" s="3"/>
      <c r="EKY10" s="3"/>
      <c r="EKZ10" s="3"/>
      <c r="ELA10" s="3"/>
      <c r="ELB10" s="3"/>
      <c r="ELC10" s="3"/>
      <c r="ELD10" s="3"/>
      <c r="ELE10" s="3"/>
      <c r="ELF10" s="3"/>
      <c r="ELG10" s="3"/>
      <c r="ELH10" s="3"/>
      <c r="ELI10" s="3"/>
      <c r="ELJ10" s="3"/>
      <c r="ELK10" s="3"/>
      <c r="ELL10" s="3"/>
      <c r="ELM10" s="3"/>
      <c r="ELN10" s="3"/>
      <c r="ELO10" s="3"/>
      <c r="ELP10" s="3"/>
      <c r="ELQ10" s="3"/>
      <c r="ELR10" s="3"/>
      <c r="ELS10" s="3"/>
      <c r="ELT10" s="3"/>
      <c r="ELU10" s="3"/>
      <c r="ELV10" s="3"/>
      <c r="ELW10" s="3"/>
      <c r="ELX10" s="3"/>
      <c r="ELY10" s="3"/>
      <c r="ELZ10" s="3"/>
      <c r="EMA10" s="3"/>
      <c r="EMB10" s="3"/>
      <c r="EMC10" s="3"/>
      <c r="EMD10" s="3"/>
      <c r="EME10" s="3"/>
      <c r="EMF10" s="3"/>
      <c r="EMG10" s="3"/>
      <c r="EMH10" s="3"/>
      <c r="EMI10" s="3"/>
      <c r="EMJ10" s="3"/>
      <c r="EMK10" s="3"/>
      <c r="EML10" s="3"/>
      <c r="EMM10" s="3"/>
      <c r="EMN10" s="3"/>
      <c r="EMO10" s="3"/>
      <c r="EMP10" s="3"/>
      <c r="EMQ10" s="3"/>
      <c r="EMR10" s="3"/>
      <c r="EMS10" s="3"/>
      <c r="EMT10" s="3"/>
      <c r="EMU10" s="3"/>
      <c r="EMV10" s="3"/>
      <c r="EMW10" s="3"/>
      <c r="EMX10" s="3"/>
      <c r="EMY10" s="3"/>
      <c r="EMZ10" s="3"/>
      <c r="ENA10" s="3"/>
      <c r="ENB10" s="3"/>
      <c r="ENC10" s="3"/>
      <c r="END10" s="3"/>
      <c r="ENE10" s="3"/>
      <c r="ENF10" s="3"/>
      <c r="ENG10" s="3"/>
      <c r="ENH10" s="3"/>
      <c r="ENI10" s="3"/>
      <c r="ENJ10" s="3"/>
      <c r="ENK10" s="3"/>
      <c r="ENL10" s="3"/>
      <c r="ENM10" s="3"/>
      <c r="ENN10" s="3"/>
      <c r="ENO10" s="3"/>
      <c r="ENP10" s="3"/>
      <c r="ENQ10" s="3"/>
      <c r="ENR10" s="3"/>
      <c r="ENS10" s="3"/>
      <c r="ENT10" s="3"/>
      <c r="ENU10" s="3"/>
      <c r="ENV10" s="3"/>
      <c r="ENW10" s="3"/>
      <c r="ENX10" s="3"/>
      <c r="ENY10" s="3"/>
      <c r="ENZ10" s="3"/>
      <c r="EOA10" s="3"/>
      <c r="EOB10" s="3"/>
      <c r="EOC10" s="3"/>
      <c r="EOD10" s="3"/>
      <c r="EOE10" s="3"/>
      <c r="EOF10" s="3"/>
      <c r="EOG10" s="3"/>
      <c r="EOH10" s="3"/>
      <c r="EOI10" s="3"/>
      <c r="EOJ10" s="3"/>
      <c r="EOK10" s="3"/>
      <c r="EOL10" s="3"/>
      <c r="EOM10" s="3"/>
      <c r="EON10" s="3"/>
      <c r="EOO10" s="3"/>
      <c r="EOP10" s="3"/>
      <c r="EOQ10" s="3"/>
      <c r="EOR10" s="3"/>
      <c r="EOS10" s="3"/>
      <c r="EOT10" s="3"/>
      <c r="EOU10" s="3"/>
      <c r="EOV10" s="3"/>
      <c r="EOW10" s="3"/>
      <c r="EOX10" s="3"/>
      <c r="EOY10" s="3"/>
      <c r="EOZ10" s="3"/>
      <c r="EPA10" s="3"/>
      <c r="EPB10" s="3"/>
      <c r="EPC10" s="3"/>
      <c r="EPD10" s="3"/>
      <c r="EPE10" s="3"/>
      <c r="EPF10" s="3"/>
      <c r="EPG10" s="3"/>
      <c r="EPH10" s="3"/>
      <c r="EPI10" s="3"/>
      <c r="EPJ10" s="3"/>
      <c r="EPK10" s="3"/>
      <c r="EPL10" s="3"/>
      <c r="EPM10" s="3"/>
      <c r="EPN10" s="3"/>
      <c r="EPO10" s="3"/>
      <c r="EPP10" s="3"/>
      <c r="EPQ10" s="3"/>
      <c r="EPR10" s="3"/>
      <c r="EPS10" s="3"/>
      <c r="EPT10" s="3"/>
      <c r="EPU10" s="3"/>
      <c r="EPV10" s="3"/>
      <c r="EPW10" s="3"/>
      <c r="EPX10" s="3"/>
      <c r="EPY10" s="3"/>
      <c r="EPZ10" s="3"/>
      <c r="EQA10" s="3"/>
      <c r="EQB10" s="3"/>
      <c r="EQC10" s="3"/>
      <c r="EQD10" s="3"/>
      <c r="EQE10" s="3"/>
      <c r="EQF10" s="3"/>
      <c r="EQG10" s="3"/>
      <c r="EQH10" s="3"/>
      <c r="EQI10" s="3"/>
      <c r="EQJ10" s="3"/>
      <c r="EQK10" s="3"/>
      <c r="EQL10" s="3"/>
      <c r="EQM10" s="3"/>
      <c r="EQN10" s="3"/>
      <c r="EQO10" s="3"/>
      <c r="EQP10" s="3"/>
      <c r="EQQ10" s="3"/>
      <c r="EQR10" s="3"/>
      <c r="EQS10" s="3"/>
      <c r="EQT10" s="3"/>
      <c r="EQU10" s="3"/>
      <c r="EQV10" s="3"/>
      <c r="EQW10" s="3"/>
      <c r="EQX10" s="3"/>
      <c r="EQY10" s="3"/>
      <c r="EQZ10" s="3"/>
      <c r="ERA10" s="3"/>
      <c r="ERB10" s="3"/>
      <c r="ERC10" s="3"/>
      <c r="ERD10" s="3"/>
      <c r="ERE10" s="3"/>
      <c r="ERF10" s="3"/>
      <c r="ERG10" s="3"/>
      <c r="ERH10" s="3"/>
      <c r="ERI10" s="3"/>
      <c r="ERJ10" s="3"/>
      <c r="ERK10" s="3"/>
      <c r="ERL10" s="3"/>
      <c r="ERM10" s="3"/>
      <c r="ERN10" s="3"/>
      <c r="ERO10" s="3"/>
      <c r="ERP10" s="3"/>
      <c r="ERQ10" s="3"/>
      <c r="ERR10" s="3"/>
      <c r="ERS10" s="3"/>
      <c r="ERT10" s="3"/>
      <c r="ERU10" s="3"/>
      <c r="ERV10" s="3"/>
      <c r="ERW10" s="3"/>
      <c r="ERX10" s="3"/>
      <c r="ERY10" s="3"/>
      <c r="ERZ10" s="3"/>
      <c r="ESA10" s="3"/>
      <c r="ESB10" s="3"/>
      <c r="ESC10" s="3"/>
      <c r="ESD10" s="3"/>
      <c r="ESE10" s="3"/>
      <c r="ESF10" s="3"/>
      <c r="ESG10" s="3"/>
      <c r="ESH10" s="3"/>
      <c r="ESI10" s="3"/>
      <c r="ESJ10" s="3"/>
      <c r="ESK10" s="3"/>
      <c r="ESL10" s="3"/>
      <c r="ESM10" s="3"/>
      <c r="ESN10" s="3"/>
      <c r="ESO10" s="3"/>
      <c r="ESP10" s="3"/>
      <c r="ESQ10" s="3"/>
      <c r="ESR10" s="3"/>
      <c r="ESS10" s="3"/>
      <c r="EST10" s="3"/>
      <c r="ESU10" s="3"/>
      <c r="ESV10" s="3"/>
      <c r="ESW10" s="3"/>
      <c r="ESX10" s="3"/>
      <c r="ESY10" s="3"/>
      <c r="ESZ10" s="3"/>
      <c r="ETA10" s="3"/>
      <c r="ETB10" s="3"/>
      <c r="ETC10" s="3"/>
      <c r="ETD10" s="3"/>
      <c r="ETE10" s="3"/>
      <c r="ETF10" s="3"/>
      <c r="ETG10" s="3"/>
      <c r="ETH10" s="3"/>
      <c r="ETI10" s="3"/>
      <c r="ETJ10" s="3"/>
      <c r="ETK10" s="3"/>
      <c r="ETL10" s="3"/>
      <c r="ETM10" s="3"/>
      <c r="ETN10" s="3"/>
      <c r="ETO10" s="3"/>
      <c r="ETP10" s="3"/>
      <c r="ETQ10" s="3"/>
      <c r="ETR10" s="3"/>
      <c r="ETS10" s="3"/>
      <c r="ETT10" s="3"/>
      <c r="ETU10" s="3"/>
      <c r="ETV10" s="3"/>
      <c r="ETW10" s="3"/>
      <c r="ETX10" s="3"/>
      <c r="ETY10" s="3"/>
      <c r="ETZ10" s="3"/>
      <c r="EUA10" s="3"/>
      <c r="EUB10" s="3"/>
      <c r="EUC10" s="3"/>
      <c r="EUD10" s="3"/>
      <c r="EUE10" s="3"/>
      <c r="EUF10" s="3"/>
      <c r="EUG10" s="3"/>
      <c r="EUH10" s="3"/>
      <c r="EUI10" s="3"/>
      <c r="EUJ10" s="3"/>
      <c r="EUK10" s="3"/>
      <c r="EUL10" s="3"/>
      <c r="EUM10" s="3"/>
      <c r="EUN10" s="3"/>
      <c r="EUO10" s="3"/>
      <c r="EUP10" s="3"/>
      <c r="EUQ10" s="3"/>
      <c r="EUR10" s="3"/>
      <c r="EUS10" s="3"/>
      <c r="EUT10" s="3"/>
      <c r="EUU10" s="3"/>
      <c r="EUV10" s="3"/>
      <c r="EUW10" s="3"/>
      <c r="EUX10" s="3"/>
      <c r="EUY10" s="3"/>
      <c r="EUZ10" s="3"/>
      <c r="EVA10" s="3"/>
      <c r="EVB10" s="3"/>
      <c r="EVC10" s="3"/>
      <c r="EVD10" s="3"/>
      <c r="EVE10" s="3"/>
      <c r="EVF10" s="3"/>
      <c r="EVG10" s="3"/>
      <c r="EVH10" s="3"/>
      <c r="EVI10" s="3"/>
      <c r="EVJ10" s="3"/>
      <c r="EVK10" s="3"/>
      <c r="EVL10" s="3"/>
      <c r="EVM10" s="3"/>
      <c r="EVN10" s="3"/>
      <c r="EVO10" s="3"/>
      <c r="EVP10" s="3"/>
      <c r="EVQ10" s="3"/>
      <c r="EVR10" s="3"/>
      <c r="EVS10" s="3"/>
      <c r="EVT10" s="3"/>
      <c r="EVU10" s="3"/>
      <c r="EVV10" s="3"/>
      <c r="EVW10" s="3"/>
      <c r="EVX10" s="3"/>
      <c r="EVY10" s="3"/>
      <c r="EVZ10" s="3"/>
      <c r="EWA10" s="3"/>
      <c r="EWB10" s="3"/>
      <c r="EWC10" s="3"/>
      <c r="EWD10" s="3"/>
      <c r="EWE10" s="3"/>
      <c r="EWF10" s="3"/>
      <c r="EWG10" s="3"/>
      <c r="EWH10" s="3"/>
      <c r="EWI10" s="3"/>
      <c r="EWJ10" s="3"/>
      <c r="EWK10" s="3"/>
      <c r="EWL10" s="3"/>
      <c r="EWM10" s="3"/>
      <c r="EWN10" s="3"/>
      <c r="EWO10" s="3"/>
      <c r="EWP10" s="3"/>
      <c r="EWQ10" s="3"/>
      <c r="EWR10" s="3"/>
      <c r="EWS10" s="3"/>
      <c r="EWT10" s="3"/>
      <c r="EWU10" s="3"/>
      <c r="EWV10" s="3"/>
      <c r="EWW10" s="3"/>
      <c r="EWX10" s="3"/>
      <c r="EWY10" s="3"/>
      <c r="EWZ10" s="3"/>
      <c r="EXA10" s="3"/>
      <c r="EXB10" s="3"/>
      <c r="EXC10" s="3"/>
      <c r="EXD10" s="3"/>
      <c r="EXE10" s="3"/>
      <c r="EXF10" s="3"/>
      <c r="EXG10" s="3"/>
      <c r="EXH10" s="3"/>
      <c r="EXI10" s="3"/>
      <c r="EXJ10" s="3"/>
      <c r="EXK10" s="3"/>
      <c r="EXL10" s="3"/>
      <c r="EXM10" s="3"/>
      <c r="EXN10" s="3"/>
      <c r="EXO10" s="3"/>
      <c r="EXP10" s="3"/>
      <c r="EXQ10" s="3"/>
      <c r="EXR10" s="3"/>
      <c r="EXS10" s="3"/>
      <c r="EXT10" s="3"/>
      <c r="EXU10" s="3"/>
      <c r="EXV10" s="3"/>
      <c r="EXW10" s="3"/>
      <c r="EXX10" s="3"/>
      <c r="EXY10" s="3"/>
      <c r="EXZ10" s="3"/>
      <c r="EYA10" s="3"/>
      <c r="EYB10" s="3"/>
      <c r="EYC10" s="3"/>
      <c r="EYD10" s="3"/>
      <c r="EYE10" s="3"/>
      <c r="EYF10" s="3"/>
      <c r="EYG10" s="3"/>
      <c r="EYH10" s="3"/>
      <c r="EYI10" s="3"/>
      <c r="EYJ10" s="3"/>
      <c r="EYK10" s="3"/>
      <c r="EYL10" s="3"/>
      <c r="EYM10" s="3"/>
      <c r="EYN10" s="3"/>
      <c r="EYO10" s="3"/>
      <c r="EYP10" s="3"/>
      <c r="EYQ10" s="3"/>
      <c r="EYR10" s="3"/>
      <c r="EYS10" s="3"/>
      <c r="EYT10" s="3"/>
      <c r="EYU10" s="3"/>
      <c r="EYV10" s="3"/>
      <c r="EYW10" s="3"/>
      <c r="EYX10" s="3"/>
      <c r="EYY10" s="3"/>
      <c r="EYZ10" s="3"/>
      <c r="EZA10" s="3"/>
      <c r="EZB10" s="3"/>
      <c r="EZC10" s="3"/>
      <c r="EZD10" s="3"/>
      <c r="EZE10" s="3"/>
      <c r="EZF10" s="3"/>
      <c r="EZG10" s="3"/>
      <c r="EZH10" s="3"/>
      <c r="EZI10" s="3"/>
      <c r="EZJ10" s="3"/>
      <c r="EZK10" s="3"/>
      <c r="EZL10" s="3"/>
      <c r="EZM10" s="3"/>
      <c r="EZN10" s="3"/>
      <c r="EZO10" s="3"/>
      <c r="EZP10" s="3"/>
      <c r="EZQ10" s="3"/>
      <c r="EZR10" s="3"/>
      <c r="EZS10" s="3"/>
      <c r="EZT10" s="3"/>
      <c r="EZU10" s="3"/>
      <c r="EZV10" s="3"/>
      <c r="EZW10" s="3"/>
      <c r="EZX10" s="3"/>
      <c r="EZY10" s="3"/>
      <c r="EZZ10" s="3"/>
      <c r="FAA10" s="3"/>
      <c r="FAB10" s="3"/>
      <c r="FAC10" s="3"/>
      <c r="FAD10" s="3"/>
      <c r="FAE10" s="3"/>
      <c r="FAF10" s="3"/>
      <c r="FAG10" s="3"/>
      <c r="FAH10" s="3"/>
      <c r="FAI10" s="3"/>
      <c r="FAJ10" s="3"/>
      <c r="FAK10" s="3"/>
      <c r="FAL10" s="3"/>
      <c r="FAM10" s="3"/>
      <c r="FAN10" s="3"/>
      <c r="FAO10" s="3"/>
      <c r="FAP10" s="3"/>
      <c r="FAQ10" s="3"/>
      <c r="FAR10" s="3"/>
      <c r="FAS10" s="3"/>
      <c r="FAT10" s="3"/>
      <c r="FAU10" s="3"/>
      <c r="FAV10" s="3"/>
      <c r="FAW10" s="3"/>
      <c r="FAX10" s="3"/>
      <c r="FAY10" s="3"/>
      <c r="FAZ10" s="3"/>
      <c r="FBA10" s="3"/>
      <c r="FBB10" s="3"/>
      <c r="FBC10" s="3"/>
      <c r="FBD10" s="3"/>
      <c r="FBE10" s="3"/>
      <c r="FBF10" s="3"/>
      <c r="FBG10" s="3"/>
      <c r="FBH10" s="3"/>
      <c r="FBI10" s="3"/>
      <c r="FBJ10" s="3"/>
      <c r="FBK10" s="3"/>
      <c r="FBL10" s="3"/>
      <c r="FBM10" s="3"/>
      <c r="FBN10" s="3"/>
      <c r="FBO10" s="3"/>
      <c r="FBP10" s="3"/>
      <c r="FBQ10" s="3"/>
      <c r="FBR10" s="3"/>
      <c r="FBS10" s="3"/>
      <c r="FBT10" s="3"/>
      <c r="FBU10" s="3"/>
      <c r="FBV10" s="3"/>
      <c r="FBW10" s="3"/>
      <c r="FBX10" s="3"/>
      <c r="FBY10" s="3"/>
      <c r="FBZ10" s="3"/>
      <c r="FCA10" s="3"/>
      <c r="FCB10" s="3"/>
      <c r="FCC10" s="3"/>
      <c r="FCD10" s="3"/>
      <c r="FCE10" s="3"/>
      <c r="FCF10" s="3"/>
      <c r="FCG10" s="3"/>
      <c r="FCH10" s="3"/>
      <c r="FCI10" s="3"/>
      <c r="FCJ10" s="3"/>
      <c r="FCK10" s="3"/>
      <c r="FCL10" s="3"/>
      <c r="FCM10" s="3"/>
      <c r="FCN10" s="3"/>
      <c r="FCO10" s="3"/>
      <c r="FCP10" s="3"/>
      <c r="FCQ10" s="3"/>
      <c r="FCR10" s="3"/>
      <c r="FCS10" s="3"/>
      <c r="FCT10" s="3"/>
      <c r="FCU10" s="3"/>
      <c r="FCV10" s="3"/>
      <c r="FCW10" s="3"/>
      <c r="FCX10" s="3"/>
      <c r="FCY10" s="3"/>
      <c r="FCZ10" s="3"/>
      <c r="FDA10" s="3"/>
      <c r="FDB10" s="3"/>
      <c r="FDC10" s="3"/>
      <c r="FDD10" s="3"/>
      <c r="FDE10" s="3"/>
      <c r="FDF10" s="3"/>
      <c r="FDG10" s="3"/>
      <c r="FDH10" s="3"/>
      <c r="FDI10" s="3"/>
      <c r="FDJ10" s="3"/>
      <c r="FDK10" s="3"/>
      <c r="FDL10" s="3"/>
      <c r="FDM10" s="3"/>
      <c r="FDN10" s="3"/>
      <c r="FDO10" s="3"/>
      <c r="FDP10" s="3"/>
      <c r="FDQ10" s="3"/>
      <c r="FDR10" s="3"/>
      <c r="FDS10" s="3"/>
      <c r="FDT10" s="3"/>
      <c r="FDU10" s="3"/>
      <c r="FDV10" s="3"/>
      <c r="FDW10" s="3"/>
      <c r="FDX10" s="3"/>
      <c r="FDY10" s="3"/>
      <c r="FDZ10" s="3"/>
      <c r="FEA10" s="3"/>
      <c r="FEB10" s="3"/>
      <c r="FEC10" s="3"/>
      <c r="FED10" s="3"/>
      <c r="FEE10" s="3"/>
      <c r="FEF10" s="3"/>
      <c r="FEG10" s="3"/>
      <c r="FEH10" s="3"/>
      <c r="FEI10" s="3"/>
      <c r="FEJ10" s="3"/>
      <c r="FEK10" s="3"/>
      <c r="FEL10" s="3"/>
      <c r="FEM10" s="3"/>
      <c r="FEN10" s="3"/>
      <c r="FEO10" s="3"/>
      <c r="FEP10" s="3"/>
      <c r="FEQ10" s="3"/>
      <c r="FER10" s="3"/>
      <c r="FES10" s="3"/>
      <c r="FET10" s="3"/>
      <c r="FEU10" s="3"/>
      <c r="FEV10" s="3"/>
      <c r="FEW10" s="3"/>
      <c r="FEX10" s="3"/>
      <c r="FEY10" s="3"/>
      <c r="FEZ10" s="3"/>
      <c r="FFA10" s="3"/>
      <c r="FFB10" s="3"/>
      <c r="FFC10" s="3"/>
      <c r="FFD10" s="3"/>
      <c r="FFE10" s="3"/>
      <c r="FFF10" s="3"/>
      <c r="FFG10" s="3"/>
      <c r="FFH10" s="3"/>
      <c r="FFI10" s="3"/>
      <c r="FFJ10" s="3"/>
      <c r="FFK10" s="3"/>
      <c r="FFL10" s="3"/>
      <c r="FFM10" s="3"/>
      <c r="FFN10" s="3"/>
      <c r="FFO10" s="3"/>
      <c r="FFP10" s="3"/>
      <c r="FFQ10" s="3"/>
      <c r="FFR10" s="3"/>
      <c r="FFS10" s="3"/>
      <c r="FFT10" s="3"/>
      <c r="FFU10" s="3"/>
      <c r="FFV10" s="3"/>
      <c r="FFW10" s="3"/>
      <c r="FFX10" s="3"/>
      <c r="FFY10" s="3"/>
      <c r="FFZ10" s="3"/>
      <c r="FGA10" s="3"/>
      <c r="FGB10" s="3"/>
      <c r="FGC10" s="3"/>
      <c r="FGD10" s="3"/>
      <c r="FGE10" s="3"/>
      <c r="FGF10" s="3"/>
      <c r="FGG10" s="3"/>
      <c r="FGH10" s="3"/>
      <c r="FGI10" s="3"/>
      <c r="FGJ10" s="3"/>
      <c r="FGK10" s="3"/>
      <c r="FGL10" s="3"/>
      <c r="FGM10" s="3"/>
      <c r="FGN10" s="3"/>
      <c r="FGO10" s="3"/>
      <c r="FGP10" s="3"/>
      <c r="FGQ10" s="3"/>
      <c r="FGR10" s="3"/>
      <c r="FGS10" s="3"/>
      <c r="FGT10" s="3"/>
      <c r="FGU10" s="3"/>
      <c r="FGV10" s="3"/>
      <c r="FGW10" s="3"/>
      <c r="FGX10" s="3"/>
      <c r="FGY10" s="3"/>
      <c r="FGZ10" s="3"/>
      <c r="FHA10" s="3"/>
      <c r="FHB10" s="3"/>
      <c r="FHC10" s="3"/>
      <c r="FHD10" s="3"/>
      <c r="FHE10" s="3"/>
      <c r="FHF10" s="3"/>
      <c r="FHG10" s="3"/>
      <c r="FHH10" s="3"/>
      <c r="FHI10" s="3"/>
      <c r="FHJ10" s="3"/>
      <c r="FHK10" s="3"/>
      <c r="FHL10" s="3"/>
      <c r="FHM10" s="3"/>
      <c r="FHN10" s="3"/>
      <c r="FHO10" s="3"/>
      <c r="FHP10" s="3"/>
      <c r="FHQ10" s="3"/>
      <c r="FHR10" s="3"/>
      <c r="FHS10" s="3"/>
      <c r="FHT10" s="3"/>
      <c r="FHU10" s="3"/>
      <c r="FHV10" s="3"/>
      <c r="FHW10" s="3"/>
      <c r="FHX10" s="3"/>
      <c r="FHY10" s="3"/>
      <c r="FHZ10" s="3"/>
      <c r="FIA10" s="3"/>
      <c r="FIB10" s="3"/>
      <c r="FIC10" s="3"/>
      <c r="FID10" s="3"/>
      <c r="FIE10" s="3"/>
      <c r="FIF10" s="3"/>
      <c r="FIG10" s="3"/>
      <c r="FIH10" s="3"/>
      <c r="FII10" s="3"/>
      <c r="FIJ10" s="3"/>
      <c r="FIK10" s="3"/>
      <c r="FIL10" s="3"/>
      <c r="FIM10" s="3"/>
      <c r="FIN10" s="3"/>
      <c r="FIO10" s="3"/>
      <c r="FIP10" s="3"/>
      <c r="FIQ10" s="3"/>
      <c r="FIR10" s="3"/>
      <c r="FIS10" s="3"/>
      <c r="FIT10" s="3"/>
      <c r="FIU10" s="3"/>
      <c r="FIV10" s="3"/>
      <c r="FIW10" s="3"/>
      <c r="FIX10" s="3"/>
      <c r="FIY10" s="3"/>
      <c r="FIZ10" s="3"/>
      <c r="FJA10" s="3"/>
      <c r="FJB10" s="3"/>
      <c r="FJC10" s="3"/>
      <c r="FJD10" s="3"/>
      <c r="FJE10" s="3"/>
      <c r="FJF10" s="3"/>
      <c r="FJG10" s="3"/>
      <c r="FJH10" s="3"/>
      <c r="FJI10" s="3"/>
      <c r="FJJ10" s="3"/>
      <c r="FJK10" s="3"/>
      <c r="FJL10" s="3"/>
      <c r="FJM10" s="3"/>
      <c r="FJN10" s="3"/>
      <c r="FJO10" s="3"/>
      <c r="FJP10" s="3"/>
      <c r="FJQ10" s="3"/>
      <c r="FJR10" s="3"/>
      <c r="FJS10" s="3"/>
      <c r="FJT10" s="3"/>
      <c r="FJU10" s="3"/>
      <c r="FJV10" s="3"/>
      <c r="FJW10" s="3"/>
      <c r="FJX10" s="3"/>
      <c r="FJY10" s="3"/>
      <c r="FJZ10" s="3"/>
      <c r="FKA10" s="3"/>
      <c r="FKB10" s="3"/>
      <c r="FKC10" s="3"/>
      <c r="FKD10" s="3"/>
      <c r="FKE10" s="3"/>
      <c r="FKF10" s="3"/>
      <c r="FKG10" s="3"/>
      <c r="FKH10" s="3"/>
      <c r="FKI10" s="3"/>
      <c r="FKJ10" s="3"/>
      <c r="FKK10" s="3"/>
      <c r="FKL10" s="3"/>
      <c r="FKM10" s="3"/>
      <c r="FKN10" s="3"/>
      <c r="FKO10" s="3"/>
      <c r="FKP10" s="3"/>
      <c r="FKQ10" s="3"/>
      <c r="FKR10" s="3"/>
      <c r="FKS10" s="3"/>
      <c r="FKT10" s="3"/>
      <c r="FKU10" s="3"/>
      <c r="FKV10" s="3"/>
      <c r="FKW10" s="3"/>
      <c r="FKX10" s="3"/>
      <c r="FKY10" s="3"/>
      <c r="FKZ10" s="3"/>
      <c r="FLA10" s="3"/>
      <c r="FLB10" s="3"/>
      <c r="FLC10" s="3"/>
      <c r="FLD10" s="3"/>
      <c r="FLE10" s="3"/>
      <c r="FLF10" s="3"/>
      <c r="FLG10" s="3"/>
      <c r="FLH10" s="3"/>
      <c r="FLI10" s="3"/>
      <c r="FLJ10" s="3"/>
      <c r="FLK10" s="3"/>
      <c r="FLL10" s="3"/>
      <c r="FLM10" s="3"/>
      <c r="FLN10" s="3"/>
      <c r="FLO10" s="3"/>
      <c r="FLP10" s="3"/>
      <c r="FLQ10" s="3"/>
      <c r="FLR10" s="3"/>
      <c r="FLS10" s="3"/>
      <c r="FLT10" s="3"/>
      <c r="FLU10" s="3"/>
      <c r="FLV10" s="3"/>
      <c r="FLW10" s="3"/>
      <c r="FLX10" s="3"/>
      <c r="FLY10" s="3"/>
      <c r="FLZ10" s="3"/>
      <c r="FMA10" s="3"/>
      <c r="FMB10" s="3"/>
      <c r="FMC10" s="3"/>
      <c r="FMD10" s="3"/>
      <c r="FME10" s="3"/>
      <c r="FMF10" s="3"/>
      <c r="FMG10" s="3"/>
      <c r="FMH10" s="3"/>
      <c r="FMI10" s="3"/>
      <c r="FMJ10" s="3"/>
      <c r="FMK10" s="3"/>
      <c r="FML10" s="3"/>
      <c r="FMM10" s="3"/>
      <c r="FMN10" s="3"/>
      <c r="FMO10" s="3"/>
      <c r="FMP10" s="3"/>
      <c r="FMQ10" s="3"/>
      <c r="FMR10" s="3"/>
      <c r="FMS10" s="3"/>
      <c r="FMT10" s="3"/>
      <c r="FMU10" s="3"/>
      <c r="FMV10" s="3"/>
      <c r="FMW10" s="3"/>
      <c r="FMX10" s="3"/>
      <c r="FMY10" s="3"/>
      <c r="FMZ10" s="3"/>
      <c r="FNA10" s="3"/>
      <c r="FNB10" s="3"/>
      <c r="FNC10" s="3"/>
      <c r="FND10" s="3"/>
      <c r="FNE10" s="3"/>
      <c r="FNF10" s="3"/>
      <c r="FNG10" s="3"/>
      <c r="FNH10" s="3"/>
      <c r="FNI10" s="3"/>
      <c r="FNJ10" s="3"/>
      <c r="FNK10" s="3"/>
      <c r="FNL10" s="3"/>
      <c r="FNM10" s="3"/>
      <c r="FNN10" s="3"/>
      <c r="FNO10" s="3"/>
      <c r="FNP10" s="3"/>
      <c r="FNQ10" s="3"/>
      <c r="FNR10" s="3"/>
      <c r="FNS10" s="3"/>
      <c r="FNT10" s="3"/>
      <c r="FNU10" s="3"/>
      <c r="FNV10" s="3"/>
      <c r="FNW10" s="3"/>
      <c r="FNX10" s="3"/>
      <c r="FNY10" s="3"/>
      <c r="FNZ10" s="3"/>
      <c r="FOA10" s="3"/>
      <c r="FOB10" s="3"/>
      <c r="FOC10" s="3"/>
      <c r="FOD10" s="3"/>
      <c r="FOE10" s="3"/>
      <c r="FOF10" s="3"/>
      <c r="FOG10" s="3"/>
      <c r="FOH10" s="3"/>
      <c r="FOI10" s="3"/>
      <c r="FOJ10" s="3"/>
      <c r="FOK10" s="3"/>
      <c r="FOL10" s="3"/>
      <c r="FOM10" s="3"/>
      <c r="FON10" s="3"/>
      <c r="FOO10" s="3"/>
      <c r="FOP10" s="3"/>
      <c r="FOQ10" s="3"/>
      <c r="FOR10" s="3"/>
      <c r="FOS10" s="3"/>
      <c r="FOT10" s="3"/>
      <c r="FOU10" s="3"/>
      <c r="FOV10" s="3"/>
      <c r="FOW10" s="3"/>
      <c r="FOX10" s="3"/>
      <c r="FOY10" s="3"/>
      <c r="FOZ10" s="3"/>
      <c r="FPA10" s="3"/>
      <c r="FPB10" s="3"/>
      <c r="FPC10" s="3"/>
      <c r="FPD10" s="3"/>
      <c r="FPE10" s="3"/>
      <c r="FPF10" s="3"/>
      <c r="FPG10" s="3"/>
      <c r="FPH10" s="3"/>
      <c r="FPI10" s="3"/>
      <c r="FPJ10" s="3"/>
      <c r="FPK10" s="3"/>
      <c r="FPL10" s="3"/>
      <c r="FPM10" s="3"/>
      <c r="FPN10" s="3"/>
      <c r="FPO10" s="3"/>
      <c r="FPP10" s="3"/>
      <c r="FPQ10" s="3"/>
      <c r="FPR10" s="3"/>
      <c r="FPS10" s="3"/>
      <c r="FPT10" s="3"/>
      <c r="FPU10" s="3"/>
      <c r="FPV10" s="3"/>
      <c r="FPW10" s="3"/>
      <c r="FPX10" s="3"/>
      <c r="FPY10" s="3"/>
      <c r="FPZ10" s="3"/>
      <c r="FQA10" s="3"/>
      <c r="FQB10" s="3"/>
      <c r="FQC10" s="3"/>
      <c r="FQD10" s="3"/>
      <c r="FQE10" s="3"/>
      <c r="FQF10" s="3"/>
      <c r="FQG10" s="3"/>
      <c r="FQH10" s="3"/>
      <c r="FQI10" s="3"/>
      <c r="FQJ10" s="3"/>
      <c r="FQK10" s="3"/>
      <c r="FQL10" s="3"/>
      <c r="FQM10" s="3"/>
      <c r="FQN10" s="3"/>
      <c r="FQO10" s="3"/>
      <c r="FQP10" s="3"/>
      <c r="FQQ10" s="3"/>
      <c r="FQR10" s="3"/>
      <c r="FQS10" s="3"/>
      <c r="FQT10" s="3"/>
      <c r="FQU10" s="3"/>
      <c r="FQV10" s="3"/>
      <c r="FQW10" s="3"/>
      <c r="FQX10" s="3"/>
      <c r="FQY10" s="3"/>
      <c r="FQZ10" s="3"/>
      <c r="FRA10" s="3"/>
      <c r="FRB10" s="3"/>
      <c r="FRC10" s="3"/>
      <c r="FRD10" s="3"/>
      <c r="FRE10" s="3"/>
      <c r="FRF10" s="3"/>
      <c r="FRG10" s="3"/>
      <c r="FRH10" s="3"/>
      <c r="FRI10" s="3"/>
      <c r="FRJ10" s="3"/>
      <c r="FRK10" s="3"/>
      <c r="FRL10" s="3"/>
      <c r="FRM10" s="3"/>
      <c r="FRN10" s="3"/>
      <c r="FRO10" s="3"/>
      <c r="FRP10" s="3"/>
      <c r="FRQ10" s="3"/>
      <c r="FRR10" s="3"/>
      <c r="FRS10" s="3"/>
      <c r="FRT10" s="3"/>
      <c r="FRU10" s="3"/>
      <c r="FRV10" s="3"/>
      <c r="FRW10" s="3"/>
      <c r="FRX10" s="3"/>
      <c r="FRY10" s="3"/>
      <c r="FRZ10" s="3"/>
      <c r="FSA10" s="3"/>
      <c r="FSB10" s="3"/>
      <c r="FSC10" s="3"/>
      <c r="FSD10" s="3"/>
      <c r="FSE10" s="3"/>
      <c r="FSF10" s="3"/>
      <c r="FSG10" s="3"/>
      <c r="FSH10" s="3"/>
      <c r="FSI10" s="3"/>
      <c r="FSJ10" s="3"/>
      <c r="FSK10" s="3"/>
      <c r="FSL10" s="3"/>
      <c r="FSM10" s="3"/>
      <c r="FSN10" s="3"/>
      <c r="FSO10" s="3"/>
      <c r="FSP10" s="3"/>
      <c r="FSQ10" s="3"/>
      <c r="FSR10" s="3"/>
      <c r="FSS10" s="3"/>
      <c r="FST10" s="3"/>
      <c r="FSU10" s="3"/>
      <c r="FSV10" s="3"/>
      <c r="FSW10" s="3"/>
      <c r="FSX10" s="3"/>
      <c r="FSY10" s="3"/>
      <c r="FSZ10" s="3"/>
      <c r="FTA10" s="3"/>
      <c r="FTB10" s="3"/>
      <c r="FTC10" s="3"/>
      <c r="FTD10" s="3"/>
      <c r="FTE10" s="3"/>
      <c r="FTF10" s="3"/>
      <c r="FTG10" s="3"/>
      <c r="FTH10" s="3"/>
      <c r="FTI10" s="3"/>
      <c r="FTJ10" s="3"/>
      <c r="FTK10" s="3"/>
      <c r="FTL10" s="3"/>
      <c r="FTM10" s="3"/>
      <c r="FTN10" s="3"/>
      <c r="FTO10" s="3"/>
      <c r="FTP10" s="3"/>
      <c r="FTQ10" s="3"/>
      <c r="FTR10" s="3"/>
      <c r="FTS10" s="3"/>
      <c r="FTT10" s="3"/>
      <c r="FTU10" s="3"/>
      <c r="FTV10" s="3"/>
      <c r="FTW10" s="3"/>
      <c r="FTX10" s="3"/>
      <c r="FTY10" s="3"/>
      <c r="FTZ10" s="3"/>
      <c r="FUA10" s="3"/>
      <c r="FUB10" s="3"/>
      <c r="FUC10" s="3"/>
      <c r="FUD10" s="3"/>
      <c r="FUE10" s="3"/>
      <c r="FUF10" s="3"/>
      <c r="FUG10" s="3"/>
      <c r="FUH10" s="3"/>
      <c r="FUI10" s="3"/>
      <c r="FUJ10" s="3"/>
      <c r="FUK10" s="3"/>
      <c r="FUL10" s="3"/>
      <c r="FUM10" s="3"/>
      <c r="FUN10" s="3"/>
      <c r="FUO10" s="3"/>
      <c r="FUP10" s="3"/>
      <c r="FUQ10" s="3"/>
      <c r="FUR10" s="3"/>
      <c r="FUS10" s="3"/>
      <c r="FUT10" s="3"/>
      <c r="FUU10" s="3"/>
      <c r="FUV10" s="3"/>
      <c r="FUW10" s="3"/>
      <c r="FUX10" s="3"/>
      <c r="FUY10" s="3"/>
      <c r="FUZ10" s="3"/>
      <c r="FVA10" s="3"/>
      <c r="FVB10" s="3"/>
      <c r="FVC10" s="3"/>
      <c r="FVD10" s="3"/>
      <c r="FVE10" s="3"/>
      <c r="FVF10" s="3"/>
      <c r="FVG10" s="3"/>
      <c r="FVH10" s="3"/>
      <c r="FVI10" s="3"/>
      <c r="FVJ10" s="3"/>
      <c r="FVK10" s="3"/>
      <c r="FVL10" s="3"/>
      <c r="FVM10" s="3"/>
      <c r="FVN10" s="3"/>
      <c r="FVO10" s="3"/>
      <c r="FVP10" s="3"/>
      <c r="FVQ10" s="3"/>
      <c r="FVR10" s="3"/>
      <c r="FVS10" s="3"/>
      <c r="FVT10" s="3"/>
      <c r="FVU10" s="3"/>
      <c r="FVV10" s="3"/>
      <c r="FVW10" s="3"/>
      <c r="FVX10" s="3"/>
      <c r="FVY10" s="3"/>
      <c r="FVZ10" s="3"/>
      <c r="FWA10" s="3"/>
      <c r="FWB10" s="3"/>
      <c r="FWC10" s="3"/>
      <c r="FWD10" s="3"/>
      <c r="FWE10" s="3"/>
      <c r="FWF10" s="3"/>
      <c r="FWG10" s="3"/>
      <c r="FWH10" s="3"/>
      <c r="FWI10" s="3"/>
      <c r="FWJ10" s="3"/>
      <c r="FWK10" s="3"/>
      <c r="FWL10" s="3"/>
      <c r="FWM10" s="3"/>
      <c r="FWN10" s="3"/>
      <c r="FWO10" s="3"/>
      <c r="FWP10" s="3"/>
      <c r="FWQ10" s="3"/>
      <c r="FWR10" s="3"/>
      <c r="FWS10" s="3"/>
      <c r="FWT10" s="3"/>
      <c r="FWU10" s="3"/>
      <c r="FWV10" s="3"/>
      <c r="FWW10" s="3"/>
      <c r="FWX10" s="3"/>
      <c r="FWY10" s="3"/>
      <c r="FWZ10" s="3"/>
      <c r="FXA10" s="3"/>
      <c r="FXB10" s="3"/>
      <c r="FXC10" s="3"/>
      <c r="FXD10" s="3"/>
      <c r="FXE10" s="3"/>
      <c r="FXF10" s="3"/>
      <c r="FXG10" s="3"/>
      <c r="FXH10" s="3"/>
      <c r="FXI10" s="3"/>
      <c r="FXJ10" s="3"/>
      <c r="FXK10" s="3"/>
      <c r="FXL10" s="3"/>
      <c r="FXM10" s="3"/>
      <c r="FXN10" s="3"/>
      <c r="FXO10" s="3"/>
      <c r="FXP10" s="3"/>
      <c r="FXQ10" s="3"/>
      <c r="FXR10" s="3"/>
      <c r="FXS10" s="3"/>
      <c r="FXT10" s="3"/>
      <c r="FXU10" s="3"/>
      <c r="FXV10" s="3"/>
      <c r="FXW10" s="3"/>
      <c r="FXX10" s="3"/>
      <c r="FXY10" s="3"/>
      <c r="FXZ10" s="3"/>
      <c r="FYA10" s="3"/>
      <c r="FYB10" s="3"/>
      <c r="FYC10" s="3"/>
      <c r="FYD10" s="3"/>
      <c r="FYE10" s="3"/>
      <c r="FYF10" s="3"/>
      <c r="FYG10" s="3"/>
      <c r="FYH10" s="3"/>
      <c r="FYI10" s="3"/>
      <c r="FYJ10" s="3"/>
      <c r="FYK10" s="3"/>
      <c r="FYL10" s="3"/>
      <c r="FYM10" s="3"/>
      <c r="FYN10" s="3"/>
      <c r="FYO10" s="3"/>
      <c r="FYP10" s="3"/>
      <c r="FYQ10" s="3"/>
      <c r="FYR10" s="3"/>
      <c r="FYS10" s="3"/>
      <c r="FYT10" s="3"/>
      <c r="FYU10" s="3"/>
      <c r="FYV10" s="3"/>
      <c r="FYW10" s="3"/>
      <c r="FYX10" s="3"/>
      <c r="FYY10" s="3"/>
      <c r="FYZ10" s="3"/>
      <c r="FZA10" s="3"/>
      <c r="FZB10" s="3"/>
      <c r="FZC10" s="3"/>
      <c r="FZD10" s="3"/>
      <c r="FZE10" s="3"/>
      <c r="FZF10" s="3"/>
      <c r="FZG10" s="3"/>
      <c r="FZH10" s="3"/>
      <c r="FZI10" s="3"/>
      <c r="FZJ10" s="3"/>
      <c r="FZK10" s="3"/>
      <c r="FZL10" s="3"/>
      <c r="FZM10" s="3"/>
      <c r="FZN10" s="3"/>
      <c r="FZO10" s="3"/>
      <c r="FZP10" s="3"/>
      <c r="FZQ10" s="3"/>
      <c r="FZR10" s="3"/>
      <c r="FZS10" s="3"/>
      <c r="FZT10" s="3"/>
      <c r="FZU10" s="3"/>
      <c r="FZV10" s="3"/>
      <c r="FZW10" s="3"/>
      <c r="FZX10" s="3"/>
      <c r="FZY10" s="3"/>
      <c r="FZZ10" s="3"/>
      <c r="GAA10" s="3"/>
      <c r="GAB10" s="3"/>
      <c r="GAC10" s="3"/>
      <c r="GAD10" s="3"/>
      <c r="GAE10" s="3"/>
      <c r="GAF10" s="3"/>
      <c r="GAG10" s="3"/>
      <c r="GAH10" s="3"/>
      <c r="GAI10" s="3"/>
      <c r="GAJ10" s="3"/>
      <c r="GAK10" s="3"/>
      <c r="GAL10" s="3"/>
      <c r="GAM10" s="3"/>
      <c r="GAN10" s="3"/>
      <c r="GAO10" s="3"/>
      <c r="GAP10" s="3"/>
      <c r="GAQ10" s="3"/>
      <c r="GAR10" s="3"/>
      <c r="GAS10" s="3"/>
      <c r="GAT10" s="3"/>
      <c r="GAU10" s="3"/>
      <c r="GAV10" s="3"/>
      <c r="GAW10" s="3"/>
      <c r="GAX10" s="3"/>
      <c r="GAY10" s="3"/>
      <c r="GAZ10" s="3"/>
      <c r="GBA10" s="3"/>
      <c r="GBB10" s="3"/>
      <c r="GBC10" s="3"/>
      <c r="GBD10" s="3"/>
      <c r="GBE10" s="3"/>
      <c r="GBF10" s="3"/>
      <c r="GBG10" s="3"/>
      <c r="GBH10" s="3"/>
      <c r="GBI10" s="3"/>
      <c r="GBJ10" s="3"/>
      <c r="GBK10" s="3"/>
      <c r="GBL10" s="3"/>
      <c r="GBM10" s="3"/>
      <c r="GBN10" s="3"/>
      <c r="GBO10" s="3"/>
      <c r="GBP10" s="3"/>
      <c r="GBQ10" s="3"/>
      <c r="GBR10" s="3"/>
      <c r="GBS10" s="3"/>
      <c r="GBT10" s="3"/>
      <c r="GBU10" s="3"/>
      <c r="GBV10" s="3"/>
      <c r="GBW10" s="3"/>
      <c r="GBX10" s="3"/>
      <c r="GBY10" s="3"/>
      <c r="GBZ10" s="3"/>
      <c r="GCA10" s="3"/>
      <c r="GCB10" s="3"/>
      <c r="GCC10" s="3"/>
      <c r="GCD10" s="3"/>
      <c r="GCE10" s="3"/>
      <c r="GCF10" s="3"/>
      <c r="GCG10" s="3"/>
      <c r="GCH10" s="3"/>
      <c r="GCI10" s="3"/>
      <c r="GCJ10" s="3"/>
      <c r="GCK10" s="3"/>
      <c r="GCL10" s="3"/>
      <c r="GCM10" s="3"/>
      <c r="GCN10" s="3"/>
      <c r="GCO10" s="3"/>
      <c r="GCP10" s="3"/>
      <c r="GCQ10" s="3"/>
      <c r="GCR10" s="3"/>
      <c r="GCS10" s="3"/>
      <c r="GCT10" s="3"/>
      <c r="GCU10" s="3"/>
      <c r="GCV10" s="3"/>
      <c r="GCW10" s="3"/>
      <c r="GCX10" s="3"/>
      <c r="GCY10" s="3"/>
      <c r="GCZ10" s="3"/>
      <c r="GDA10" s="3"/>
      <c r="GDB10" s="3"/>
      <c r="GDC10" s="3"/>
      <c r="GDD10" s="3"/>
      <c r="GDE10" s="3"/>
      <c r="GDF10" s="3"/>
      <c r="GDG10" s="3"/>
      <c r="GDH10" s="3"/>
      <c r="GDI10" s="3"/>
      <c r="GDJ10" s="3"/>
      <c r="GDK10" s="3"/>
      <c r="GDL10" s="3"/>
      <c r="GDM10" s="3"/>
      <c r="GDN10" s="3"/>
      <c r="GDO10" s="3"/>
      <c r="GDP10" s="3"/>
      <c r="GDQ10" s="3"/>
      <c r="GDR10" s="3"/>
      <c r="GDS10" s="3"/>
      <c r="GDT10" s="3"/>
      <c r="GDU10" s="3"/>
      <c r="GDV10" s="3"/>
      <c r="GDW10" s="3"/>
      <c r="GDX10" s="3"/>
      <c r="GDY10" s="3"/>
      <c r="GDZ10" s="3"/>
      <c r="GEA10" s="3"/>
      <c r="GEB10" s="3"/>
      <c r="GEC10" s="3"/>
      <c r="GED10" s="3"/>
      <c r="GEE10" s="3"/>
      <c r="GEF10" s="3"/>
      <c r="GEG10" s="3"/>
      <c r="GEH10" s="3"/>
      <c r="GEI10" s="3"/>
      <c r="GEJ10" s="3"/>
      <c r="GEK10" s="3"/>
      <c r="GEL10" s="3"/>
      <c r="GEM10" s="3"/>
      <c r="GEN10" s="3"/>
      <c r="GEO10" s="3"/>
      <c r="GEP10" s="3"/>
      <c r="GEQ10" s="3"/>
      <c r="GER10" s="3"/>
      <c r="GES10" s="3"/>
      <c r="GET10" s="3"/>
      <c r="GEU10" s="3"/>
      <c r="GEV10" s="3"/>
      <c r="GEW10" s="3"/>
      <c r="GEX10" s="3"/>
      <c r="GEY10" s="3"/>
      <c r="GEZ10" s="3"/>
      <c r="GFA10" s="3"/>
      <c r="GFB10" s="3"/>
      <c r="GFC10" s="3"/>
      <c r="GFD10" s="3"/>
      <c r="GFE10" s="3"/>
      <c r="GFF10" s="3"/>
      <c r="GFG10" s="3"/>
      <c r="GFH10" s="3"/>
      <c r="GFI10" s="3"/>
      <c r="GFJ10" s="3"/>
      <c r="GFK10" s="3"/>
      <c r="GFL10" s="3"/>
      <c r="GFM10" s="3"/>
      <c r="GFN10" s="3"/>
      <c r="GFO10" s="3"/>
      <c r="GFP10" s="3"/>
      <c r="GFQ10" s="3"/>
      <c r="GFR10" s="3"/>
      <c r="GFS10" s="3"/>
      <c r="GFT10" s="3"/>
      <c r="GFU10" s="3"/>
      <c r="GFV10" s="3"/>
      <c r="GFW10" s="3"/>
      <c r="GFX10" s="3"/>
      <c r="GFY10" s="3"/>
      <c r="GFZ10" s="3"/>
      <c r="GGA10" s="3"/>
      <c r="GGB10" s="3"/>
      <c r="GGC10" s="3"/>
      <c r="GGD10" s="3"/>
      <c r="GGE10" s="3"/>
      <c r="GGF10" s="3"/>
      <c r="GGG10" s="3"/>
      <c r="GGH10" s="3"/>
      <c r="GGI10" s="3"/>
      <c r="GGJ10" s="3"/>
      <c r="GGK10" s="3"/>
      <c r="GGL10" s="3"/>
      <c r="GGM10" s="3"/>
      <c r="GGN10" s="3"/>
      <c r="GGO10" s="3"/>
      <c r="GGP10" s="3"/>
      <c r="GGQ10" s="3"/>
      <c r="GGR10" s="3"/>
      <c r="GGS10" s="3"/>
      <c r="GGT10" s="3"/>
      <c r="GGU10" s="3"/>
      <c r="GGV10" s="3"/>
      <c r="GGW10" s="3"/>
      <c r="GGX10" s="3"/>
      <c r="GGY10" s="3"/>
      <c r="GGZ10" s="3"/>
      <c r="GHA10" s="3"/>
      <c r="GHB10" s="3"/>
      <c r="GHC10" s="3"/>
      <c r="GHD10" s="3"/>
      <c r="GHE10" s="3"/>
      <c r="GHF10" s="3"/>
      <c r="GHG10" s="3"/>
      <c r="GHH10" s="3"/>
      <c r="GHI10" s="3"/>
      <c r="GHJ10" s="3"/>
      <c r="GHK10" s="3"/>
      <c r="GHL10" s="3"/>
      <c r="GHM10" s="3"/>
      <c r="GHN10" s="3"/>
      <c r="GHO10" s="3"/>
      <c r="GHP10" s="3"/>
      <c r="GHQ10" s="3"/>
      <c r="GHR10" s="3"/>
      <c r="GHS10" s="3"/>
      <c r="GHT10" s="3"/>
      <c r="GHU10" s="3"/>
      <c r="GHV10" s="3"/>
      <c r="GHW10" s="3"/>
      <c r="GHX10" s="3"/>
      <c r="GHY10" s="3"/>
      <c r="GHZ10" s="3"/>
      <c r="GIA10" s="3"/>
      <c r="GIB10" s="3"/>
      <c r="GIC10" s="3"/>
      <c r="GID10" s="3"/>
      <c r="GIE10" s="3"/>
      <c r="GIF10" s="3"/>
      <c r="GIG10" s="3"/>
      <c r="GIH10" s="3"/>
      <c r="GII10" s="3"/>
      <c r="GIJ10" s="3"/>
      <c r="GIK10" s="3"/>
      <c r="GIL10" s="3"/>
      <c r="GIM10" s="3"/>
      <c r="GIN10" s="3"/>
      <c r="GIO10" s="3"/>
      <c r="GIP10" s="3"/>
      <c r="GIQ10" s="3"/>
      <c r="GIR10" s="3"/>
      <c r="GIS10" s="3"/>
      <c r="GIT10" s="3"/>
      <c r="GIU10" s="3"/>
      <c r="GIV10" s="3"/>
      <c r="GIW10" s="3"/>
      <c r="GIX10" s="3"/>
      <c r="GIY10" s="3"/>
      <c r="GIZ10" s="3"/>
      <c r="GJA10" s="3"/>
      <c r="GJB10" s="3"/>
      <c r="GJC10" s="3"/>
      <c r="GJD10" s="3"/>
      <c r="GJE10" s="3"/>
      <c r="GJF10" s="3"/>
      <c r="GJG10" s="3"/>
      <c r="GJH10" s="3"/>
      <c r="GJI10" s="3"/>
      <c r="GJJ10" s="3"/>
      <c r="GJK10" s="3"/>
      <c r="GJL10" s="3"/>
      <c r="GJM10" s="3"/>
      <c r="GJN10" s="3"/>
      <c r="GJO10" s="3"/>
      <c r="GJP10" s="3"/>
      <c r="GJQ10" s="3"/>
      <c r="GJR10" s="3"/>
      <c r="GJS10" s="3"/>
      <c r="GJT10" s="3"/>
      <c r="GJU10" s="3"/>
      <c r="GJV10" s="3"/>
      <c r="GJW10" s="3"/>
      <c r="GJX10" s="3"/>
      <c r="GJY10" s="3"/>
      <c r="GJZ10" s="3"/>
      <c r="GKA10" s="3"/>
      <c r="GKB10" s="3"/>
      <c r="GKC10" s="3"/>
      <c r="GKD10" s="3"/>
      <c r="GKE10" s="3"/>
      <c r="GKF10" s="3"/>
      <c r="GKG10" s="3"/>
      <c r="GKH10" s="3"/>
      <c r="GKI10" s="3"/>
      <c r="GKJ10" s="3"/>
      <c r="GKK10" s="3"/>
      <c r="GKL10" s="3"/>
      <c r="GKM10" s="3"/>
      <c r="GKN10" s="3"/>
      <c r="GKO10" s="3"/>
      <c r="GKP10" s="3"/>
      <c r="GKQ10" s="3"/>
      <c r="GKR10" s="3"/>
      <c r="GKS10" s="3"/>
      <c r="GKT10" s="3"/>
      <c r="GKU10" s="3"/>
      <c r="GKV10" s="3"/>
      <c r="GKW10" s="3"/>
      <c r="GKX10" s="3"/>
      <c r="GKY10" s="3"/>
      <c r="GKZ10" s="3"/>
      <c r="GLA10" s="3"/>
      <c r="GLB10" s="3"/>
      <c r="GLC10" s="3"/>
      <c r="GLD10" s="3"/>
      <c r="GLE10" s="3"/>
      <c r="GLF10" s="3"/>
      <c r="GLG10" s="3"/>
      <c r="GLH10" s="3"/>
      <c r="GLI10" s="3"/>
      <c r="GLJ10" s="3"/>
      <c r="GLK10" s="3"/>
      <c r="GLL10" s="3"/>
      <c r="GLM10" s="3"/>
      <c r="GLN10" s="3"/>
      <c r="GLO10" s="3"/>
      <c r="GLP10" s="3"/>
      <c r="GLQ10" s="3"/>
      <c r="GLR10" s="3"/>
      <c r="GLS10" s="3"/>
      <c r="GLT10" s="3"/>
      <c r="GLU10" s="3"/>
      <c r="GLV10" s="3"/>
      <c r="GLW10" s="3"/>
      <c r="GLX10" s="3"/>
      <c r="GLY10" s="3"/>
      <c r="GLZ10" s="3"/>
      <c r="GMA10" s="3"/>
      <c r="GMB10" s="3"/>
      <c r="GMC10" s="3"/>
      <c r="GMD10" s="3"/>
      <c r="GME10" s="3"/>
      <c r="GMF10" s="3"/>
      <c r="GMG10" s="3"/>
      <c r="GMH10" s="3"/>
      <c r="GMI10" s="3"/>
      <c r="GMJ10" s="3"/>
      <c r="GMK10" s="3"/>
      <c r="GML10" s="3"/>
      <c r="GMM10" s="3"/>
      <c r="GMN10" s="3"/>
      <c r="GMO10" s="3"/>
      <c r="GMP10" s="3"/>
      <c r="GMQ10" s="3"/>
      <c r="GMR10" s="3"/>
      <c r="GMS10" s="3"/>
      <c r="GMT10" s="3"/>
      <c r="GMU10" s="3"/>
      <c r="GMV10" s="3"/>
      <c r="GMW10" s="3"/>
      <c r="GMX10" s="3"/>
      <c r="GMY10" s="3"/>
      <c r="GMZ10" s="3"/>
      <c r="GNA10" s="3"/>
      <c r="GNB10" s="3"/>
      <c r="GNC10" s="3"/>
      <c r="GND10" s="3"/>
      <c r="GNE10" s="3"/>
      <c r="GNF10" s="3"/>
      <c r="GNG10" s="3"/>
      <c r="GNH10" s="3"/>
      <c r="GNI10" s="3"/>
      <c r="GNJ10" s="3"/>
      <c r="GNK10" s="3"/>
      <c r="GNL10" s="3"/>
      <c r="GNM10" s="3"/>
      <c r="GNN10" s="3"/>
      <c r="GNO10" s="3"/>
      <c r="GNP10" s="3"/>
      <c r="GNQ10" s="3"/>
      <c r="GNR10" s="3"/>
      <c r="GNS10" s="3"/>
      <c r="GNT10" s="3"/>
      <c r="GNU10" s="3"/>
      <c r="GNV10" s="3"/>
      <c r="GNW10" s="3"/>
      <c r="GNX10" s="3"/>
      <c r="GNY10" s="3"/>
      <c r="GNZ10" s="3"/>
      <c r="GOA10" s="3"/>
      <c r="GOB10" s="3"/>
      <c r="GOC10" s="3"/>
      <c r="GOD10" s="3"/>
      <c r="GOE10" s="3"/>
      <c r="GOF10" s="3"/>
      <c r="GOG10" s="3"/>
      <c r="GOH10" s="3"/>
      <c r="GOI10" s="3"/>
      <c r="GOJ10" s="3"/>
      <c r="GOK10" s="3"/>
      <c r="GOL10" s="3"/>
      <c r="GOM10" s="3"/>
      <c r="GON10" s="3"/>
      <c r="GOO10" s="3"/>
      <c r="GOP10" s="3"/>
      <c r="GOQ10" s="3"/>
      <c r="GOR10" s="3"/>
      <c r="GOS10" s="3"/>
      <c r="GOT10" s="3"/>
      <c r="GOU10" s="3"/>
      <c r="GOV10" s="3"/>
      <c r="GOW10" s="3"/>
      <c r="GOX10" s="3"/>
      <c r="GOY10" s="3"/>
      <c r="GOZ10" s="3"/>
      <c r="GPA10" s="3"/>
      <c r="GPB10" s="3"/>
      <c r="GPC10" s="3"/>
      <c r="GPD10" s="3"/>
      <c r="GPE10" s="3"/>
      <c r="GPF10" s="3"/>
      <c r="GPG10" s="3"/>
      <c r="GPH10" s="3"/>
      <c r="GPI10" s="3"/>
      <c r="GPJ10" s="3"/>
      <c r="GPK10" s="3"/>
      <c r="GPL10" s="3"/>
      <c r="GPM10" s="3"/>
      <c r="GPN10" s="3"/>
      <c r="GPO10" s="3"/>
      <c r="GPP10" s="3"/>
      <c r="GPQ10" s="3"/>
      <c r="GPR10" s="3"/>
      <c r="GPS10" s="3"/>
      <c r="GPT10" s="3"/>
      <c r="GPU10" s="3"/>
      <c r="GPV10" s="3"/>
      <c r="GPW10" s="3"/>
      <c r="GPX10" s="3"/>
      <c r="GPY10" s="3"/>
      <c r="GPZ10" s="3"/>
      <c r="GQA10" s="3"/>
      <c r="GQB10" s="3"/>
      <c r="GQC10" s="3"/>
      <c r="GQD10" s="3"/>
      <c r="GQE10" s="3"/>
      <c r="GQF10" s="3"/>
      <c r="GQG10" s="3"/>
      <c r="GQH10" s="3"/>
      <c r="GQI10" s="3"/>
      <c r="GQJ10" s="3"/>
      <c r="GQK10" s="3"/>
      <c r="GQL10" s="3"/>
      <c r="GQM10" s="3"/>
      <c r="GQN10" s="3"/>
      <c r="GQO10" s="3"/>
      <c r="GQP10" s="3"/>
      <c r="GQQ10" s="3"/>
      <c r="GQR10" s="3"/>
      <c r="GQS10" s="3"/>
      <c r="GQT10" s="3"/>
      <c r="GQU10" s="3"/>
      <c r="GQV10" s="3"/>
      <c r="GQW10" s="3"/>
      <c r="GQX10" s="3"/>
      <c r="GQY10" s="3"/>
      <c r="GQZ10" s="3"/>
      <c r="GRA10" s="3"/>
      <c r="GRB10" s="3"/>
      <c r="GRC10" s="3"/>
      <c r="GRD10" s="3"/>
      <c r="GRE10" s="3"/>
      <c r="GRF10" s="3"/>
      <c r="GRG10" s="3"/>
      <c r="GRH10" s="3"/>
      <c r="GRI10" s="3"/>
      <c r="GRJ10" s="3"/>
      <c r="GRK10" s="3"/>
      <c r="GRL10" s="3"/>
      <c r="GRM10" s="3"/>
      <c r="GRN10" s="3"/>
      <c r="GRO10" s="3"/>
      <c r="GRP10" s="3"/>
      <c r="GRQ10" s="3"/>
      <c r="GRR10" s="3"/>
      <c r="GRS10" s="3"/>
      <c r="GRT10" s="3"/>
      <c r="GRU10" s="3"/>
      <c r="GRV10" s="3"/>
      <c r="GRW10" s="3"/>
      <c r="GRX10" s="3"/>
      <c r="GRY10" s="3"/>
      <c r="GRZ10" s="3"/>
      <c r="GSA10" s="3"/>
      <c r="GSB10" s="3"/>
      <c r="GSC10" s="3"/>
      <c r="GSD10" s="3"/>
      <c r="GSE10" s="3"/>
      <c r="GSF10" s="3"/>
      <c r="GSG10" s="3"/>
      <c r="GSH10" s="3"/>
      <c r="GSI10" s="3"/>
      <c r="GSJ10" s="3"/>
      <c r="GSK10" s="3"/>
      <c r="GSL10" s="3"/>
      <c r="GSM10" s="3"/>
      <c r="GSN10" s="3"/>
      <c r="GSO10" s="3"/>
      <c r="GSP10" s="3"/>
      <c r="GSQ10" s="3"/>
      <c r="GSR10" s="3"/>
      <c r="GSS10" s="3"/>
      <c r="GST10" s="3"/>
      <c r="GSU10" s="3"/>
      <c r="GSV10" s="3"/>
      <c r="GSW10" s="3"/>
      <c r="GSX10" s="3"/>
      <c r="GSY10" s="3"/>
      <c r="GSZ10" s="3"/>
      <c r="GTA10" s="3"/>
      <c r="GTB10" s="3"/>
      <c r="GTC10" s="3"/>
      <c r="GTD10" s="3"/>
      <c r="GTE10" s="3"/>
      <c r="GTF10" s="3"/>
      <c r="GTG10" s="3"/>
      <c r="GTH10" s="3"/>
      <c r="GTI10" s="3"/>
      <c r="GTJ10" s="3"/>
      <c r="GTK10" s="3"/>
      <c r="GTL10" s="3"/>
      <c r="GTM10" s="3"/>
      <c r="GTN10" s="3"/>
      <c r="GTO10" s="3"/>
      <c r="GTP10" s="3"/>
      <c r="GTQ10" s="3"/>
      <c r="GTR10" s="3"/>
      <c r="GTS10" s="3"/>
      <c r="GTT10" s="3"/>
      <c r="GTU10" s="3"/>
      <c r="GTV10" s="3"/>
      <c r="GTW10" s="3"/>
      <c r="GTX10" s="3"/>
      <c r="GTY10" s="3"/>
      <c r="GTZ10" s="3"/>
      <c r="GUA10" s="3"/>
      <c r="GUB10" s="3"/>
      <c r="GUC10" s="3"/>
      <c r="GUD10" s="3"/>
      <c r="GUE10" s="3"/>
      <c r="GUF10" s="3"/>
      <c r="GUG10" s="3"/>
      <c r="GUH10" s="3"/>
      <c r="GUI10" s="3"/>
      <c r="GUJ10" s="3"/>
      <c r="GUK10" s="3"/>
      <c r="GUL10" s="3"/>
      <c r="GUM10" s="3"/>
      <c r="GUN10" s="3"/>
      <c r="GUO10" s="3"/>
      <c r="GUP10" s="3"/>
      <c r="GUQ10" s="3"/>
      <c r="GUR10" s="3"/>
      <c r="GUS10" s="3"/>
      <c r="GUT10" s="3"/>
      <c r="GUU10" s="3"/>
      <c r="GUV10" s="3"/>
      <c r="GUW10" s="3"/>
      <c r="GUX10" s="3"/>
      <c r="GUY10" s="3"/>
      <c r="GUZ10" s="3"/>
      <c r="GVA10" s="3"/>
      <c r="GVB10" s="3"/>
      <c r="GVC10" s="3"/>
      <c r="GVD10" s="3"/>
      <c r="GVE10" s="3"/>
      <c r="GVF10" s="3"/>
      <c r="GVG10" s="3"/>
      <c r="GVH10" s="3"/>
      <c r="GVI10" s="3"/>
      <c r="GVJ10" s="3"/>
      <c r="GVK10" s="3"/>
      <c r="GVL10" s="3"/>
      <c r="GVM10" s="3"/>
      <c r="GVN10" s="3"/>
      <c r="GVO10" s="3"/>
      <c r="GVP10" s="3"/>
      <c r="GVQ10" s="3"/>
      <c r="GVR10" s="3"/>
      <c r="GVS10" s="3"/>
      <c r="GVT10" s="3"/>
      <c r="GVU10" s="3"/>
      <c r="GVV10" s="3"/>
      <c r="GVW10" s="3"/>
      <c r="GVX10" s="3"/>
      <c r="GVY10" s="3"/>
      <c r="GVZ10" s="3"/>
      <c r="GWA10" s="3"/>
      <c r="GWB10" s="3"/>
      <c r="GWC10" s="3"/>
      <c r="GWD10" s="3"/>
      <c r="GWE10" s="3"/>
      <c r="GWF10" s="3"/>
      <c r="GWG10" s="3"/>
      <c r="GWH10" s="3"/>
      <c r="GWI10" s="3"/>
      <c r="GWJ10" s="3"/>
      <c r="GWK10" s="3"/>
      <c r="GWL10" s="3"/>
      <c r="GWM10" s="3"/>
      <c r="GWN10" s="3"/>
      <c r="GWO10" s="3"/>
      <c r="GWP10" s="3"/>
      <c r="GWQ10" s="3"/>
      <c r="GWR10" s="3"/>
      <c r="GWS10" s="3"/>
      <c r="GWT10" s="3"/>
      <c r="GWU10" s="3"/>
      <c r="GWV10" s="3"/>
      <c r="GWW10" s="3"/>
      <c r="GWX10" s="3"/>
      <c r="GWY10" s="3"/>
      <c r="GWZ10" s="3"/>
      <c r="GXA10" s="3"/>
      <c r="GXB10" s="3"/>
      <c r="GXC10" s="3"/>
      <c r="GXD10" s="3"/>
      <c r="GXE10" s="3"/>
      <c r="GXF10" s="3"/>
      <c r="GXG10" s="3"/>
      <c r="GXH10" s="3"/>
      <c r="GXI10" s="3"/>
      <c r="GXJ10" s="3"/>
      <c r="GXK10" s="3"/>
      <c r="GXL10" s="3"/>
      <c r="GXM10" s="3"/>
      <c r="GXN10" s="3"/>
      <c r="GXO10" s="3"/>
      <c r="GXP10" s="3"/>
      <c r="GXQ10" s="3"/>
      <c r="GXR10" s="3"/>
      <c r="GXS10" s="3"/>
      <c r="GXT10" s="3"/>
      <c r="GXU10" s="3"/>
      <c r="GXV10" s="3"/>
      <c r="GXW10" s="3"/>
      <c r="GXX10" s="3"/>
      <c r="GXY10" s="3"/>
      <c r="GXZ10" s="3"/>
      <c r="GYA10" s="3"/>
      <c r="GYB10" s="3"/>
      <c r="GYC10" s="3"/>
      <c r="GYD10" s="3"/>
      <c r="GYE10" s="3"/>
      <c r="GYF10" s="3"/>
      <c r="GYG10" s="3"/>
      <c r="GYH10" s="3"/>
      <c r="GYI10" s="3"/>
      <c r="GYJ10" s="3"/>
      <c r="GYK10" s="3"/>
      <c r="GYL10" s="3"/>
      <c r="GYM10" s="3"/>
      <c r="GYN10" s="3"/>
      <c r="GYO10" s="3"/>
      <c r="GYP10" s="3"/>
      <c r="GYQ10" s="3"/>
      <c r="GYR10" s="3"/>
      <c r="GYS10" s="3"/>
      <c r="GYT10" s="3"/>
      <c r="GYU10" s="3"/>
      <c r="GYV10" s="3"/>
      <c r="GYW10" s="3"/>
      <c r="GYX10" s="3"/>
      <c r="GYY10" s="3"/>
      <c r="GYZ10" s="3"/>
      <c r="GZA10" s="3"/>
      <c r="GZB10" s="3"/>
      <c r="GZC10" s="3"/>
      <c r="GZD10" s="3"/>
      <c r="GZE10" s="3"/>
      <c r="GZF10" s="3"/>
      <c r="GZG10" s="3"/>
      <c r="GZH10" s="3"/>
      <c r="GZI10" s="3"/>
      <c r="GZJ10" s="3"/>
      <c r="GZK10" s="3"/>
      <c r="GZL10" s="3"/>
      <c r="GZM10" s="3"/>
      <c r="GZN10" s="3"/>
      <c r="GZO10" s="3"/>
      <c r="GZP10" s="3"/>
      <c r="GZQ10" s="3"/>
      <c r="GZR10" s="3"/>
      <c r="GZS10" s="3"/>
      <c r="GZT10" s="3"/>
      <c r="GZU10" s="3"/>
      <c r="GZV10" s="3"/>
      <c r="GZW10" s="3"/>
      <c r="GZX10" s="3"/>
      <c r="GZY10" s="3"/>
      <c r="GZZ10" s="3"/>
      <c r="HAA10" s="3"/>
      <c r="HAB10" s="3"/>
      <c r="HAC10" s="3"/>
      <c r="HAD10" s="3"/>
      <c r="HAE10" s="3"/>
      <c r="HAF10" s="3"/>
      <c r="HAG10" s="3"/>
      <c r="HAH10" s="3"/>
      <c r="HAI10" s="3"/>
      <c r="HAJ10" s="3"/>
      <c r="HAK10" s="3"/>
      <c r="HAL10" s="3"/>
      <c r="HAM10" s="3"/>
      <c r="HAN10" s="3"/>
      <c r="HAO10" s="3"/>
      <c r="HAP10" s="3"/>
      <c r="HAQ10" s="3"/>
      <c r="HAR10" s="3"/>
      <c r="HAS10" s="3"/>
      <c r="HAT10" s="3"/>
      <c r="HAU10" s="3"/>
      <c r="HAV10" s="3"/>
      <c r="HAW10" s="3"/>
      <c r="HAX10" s="3"/>
      <c r="HAY10" s="3"/>
      <c r="HAZ10" s="3"/>
      <c r="HBA10" s="3"/>
      <c r="HBB10" s="3"/>
      <c r="HBC10" s="3"/>
      <c r="HBD10" s="3"/>
      <c r="HBE10" s="3"/>
      <c r="HBF10" s="3"/>
      <c r="HBG10" s="3"/>
      <c r="HBH10" s="3"/>
      <c r="HBI10" s="3"/>
      <c r="HBJ10" s="3"/>
      <c r="HBK10" s="3"/>
      <c r="HBL10" s="3"/>
      <c r="HBM10" s="3"/>
      <c r="HBN10" s="3"/>
      <c r="HBO10" s="3"/>
      <c r="HBP10" s="3"/>
      <c r="HBQ10" s="3"/>
      <c r="HBR10" s="3"/>
      <c r="HBS10" s="3"/>
      <c r="HBT10" s="3"/>
      <c r="HBU10" s="3"/>
      <c r="HBV10" s="3"/>
      <c r="HBW10" s="3"/>
      <c r="HBX10" s="3"/>
      <c r="HBY10" s="3"/>
      <c r="HBZ10" s="3"/>
      <c r="HCA10" s="3"/>
      <c r="HCB10" s="3"/>
      <c r="HCC10" s="3"/>
      <c r="HCD10" s="3"/>
      <c r="HCE10" s="3"/>
      <c r="HCF10" s="3"/>
      <c r="HCG10" s="3"/>
      <c r="HCH10" s="3"/>
      <c r="HCI10" s="3"/>
      <c r="HCJ10" s="3"/>
      <c r="HCK10" s="3"/>
      <c r="HCL10" s="3"/>
      <c r="HCM10" s="3"/>
      <c r="HCN10" s="3"/>
      <c r="HCO10" s="3"/>
      <c r="HCP10" s="3"/>
      <c r="HCQ10" s="3"/>
      <c r="HCR10" s="3"/>
      <c r="HCS10" s="3"/>
      <c r="HCT10" s="3"/>
      <c r="HCU10" s="3"/>
      <c r="HCV10" s="3"/>
      <c r="HCW10" s="3"/>
      <c r="HCX10" s="3"/>
      <c r="HCY10" s="3"/>
      <c r="HCZ10" s="3"/>
      <c r="HDA10" s="3"/>
      <c r="HDB10" s="3"/>
      <c r="HDC10" s="3"/>
      <c r="HDD10" s="3"/>
      <c r="HDE10" s="3"/>
      <c r="HDF10" s="3"/>
      <c r="HDG10" s="3"/>
      <c r="HDH10" s="3"/>
      <c r="HDI10" s="3"/>
      <c r="HDJ10" s="3"/>
      <c r="HDK10" s="3"/>
      <c r="HDL10" s="3"/>
      <c r="HDM10" s="3"/>
      <c r="HDN10" s="3"/>
      <c r="HDO10" s="3"/>
      <c r="HDP10" s="3"/>
      <c r="HDQ10" s="3"/>
      <c r="HDR10" s="3"/>
      <c r="HDS10" s="3"/>
      <c r="HDT10" s="3"/>
      <c r="HDU10" s="3"/>
      <c r="HDV10" s="3"/>
      <c r="HDW10" s="3"/>
      <c r="HDX10" s="3"/>
      <c r="HDY10" s="3"/>
      <c r="HDZ10" s="3"/>
      <c r="HEA10" s="3"/>
      <c r="HEB10" s="3"/>
      <c r="HEC10" s="3"/>
      <c r="HED10" s="3"/>
      <c r="HEE10" s="3"/>
      <c r="HEF10" s="3"/>
      <c r="HEG10" s="3"/>
      <c r="HEH10" s="3"/>
      <c r="HEI10" s="3"/>
      <c r="HEJ10" s="3"/>
      <c r="HEK10" s="3"/>
      <c r="HEL10" s="3"/>
      <c r="HEM10" s="3"/>
      <c r="HEN10" s="3"/>
      <c r="HEO10" s="3"/>
      <c r="HEP10" s="3"/>
      <c r="HEQ10" s="3"/>
      <c r="HER10" s="3"/>
      <c r="HES10" s="3"/>
      <c r="HET10" s="3"/>
      <c r="HEU10" s="3"/>
      <c r="HEV10" s="3"/>
      <c r="HEW10" s="3"/>
      <c r="HEX10" s="3"/>
      <c r="HEY10" s="3"/>
      <c r="HEZ10" s="3"/>
      <c r="HFA10" s="3"/>
      <c r="HFB10" s="3"/>
      <c r="HFC10" s="3"/>
      <c r="HFD10" s="3"/>
      <c r="HFE10" s="3"/>
      <c r="HFF10" s="3"/>
      <c r="HFG10" s="3"/>
      <c r="HFH10" s="3"/>
      <c r="HFI10" s="3"/>
      <c r="HFJ10" s="3"/>
      <c r="HFK10" s="3"/>
      <c r="HFL10" s="3"/>
      <c r="HFM10" s="3"/>
      <c r="HFN10" s="3"/>
      <c r="HFO10" s="3"/>
      <c r="HFP10" s="3"/>
      <c r="HFQ10" s="3"/>
      <c r="HFR10" s="3"/>
      <c r="HFS10" s="3"/>
      <c r="HFT10" s="3"/>
      <c r="HFU10" s="3"/>
      <c r="HFV10" s="3"/>
      <c r="HFW10" s="3"/>
      <c r="HFX10" s="3"/>
      <c r="HFY10" s="3"/>
      <c r="HFZ10" s="3"/>
      <c r="HGA10" s="3"/>
      <c r="HGB10" s="3"/>
      <c r="HGC10" s="3"/>
      <c r="HGD10" s="3"/>
      <c r="HGE10" s="3"/>
      <c r="HGF10" s="3"/>
      <c r="HGG10" s="3"/>
      <c r="HGH10" s="3"/>
      <c r="HGI10" s="3"/>
      <c r="HGJ10" s="3"/>
      <c r="HGK10" s="3"/>
      <c r="HGL10" s="3"/>
      <c r="HGM10" s="3"/>
      <c r="HGN10" s="3"/>
      <c r="HGO10" s="3"/>
      <c r="HGP10" s="3"/>
      <c r="HGQ10" s="3"/>
      <c r="HGR10" s="3"/>
      <c r="HGS10" s="3"/>
      <c r="HGT10" s="3"/>
      <c r="HGU10" s="3"/>
      <c r="HGV10" s="3"/>
      <c r="HGW10" s="3"/>
      <c r="HGX10" s="3"/>
      <c r="HGY10" s="3"/>
      <c r="HGZ10" s="3"/>
      <c r="HHA10" s="3"/>
      <c r="HHB10" s="3"/>
      <c r="HHC10" s="3"/>
      <c r="HHD10" s="3"/>
      <c r="HHE10" s="3"/>
      <c r="HHF10" s="3"/>
      <c r="HHG10" s="3"/>
      <c r="HHH10" s="3"/>
      <c r="HHI10" s="3"/>
      <c r="HHJ10" s="3"/>
      <c r="HHK10" s="3"/>
      <c r="HHL10" s="3"/>
      <c r="HHM10" s="3"/>
      <c r="HHN10" s="3"/>
      <c r="HHO10" s="3"/>
      <c r="HHP10" s="3"/>
      <c r="HHQ10" s="3"/>
      <c r="HHR10" s="3"/>
      <c r="HHS10" s="3"/>
      <c r="HHT10" s="3"/>
      <c r="HHU10" s="3"/>
      <c r="HHV10" s="3"/>
      <c r="HHW10" s="3"/>
      <c r="HHX10" s="3"/>
      <c r="HHY10" s="3"/>
      <c r="HHZ10" s="3"/>
      <c r="HIA10" s="3"/>
      <c r="HIB10" s="3"/>
      <c r="HIC10" s="3"/>
      <c r="HID10" s="3"/>
      <c r="HIE10" s="3"/>
      <c r="HIF10" s="3"/>
      <c r="HIG10" s="3"/>
      <c r="HIH10" s="3"/>
      <c r="HII10" s="3"/>
      <c r="HIJ10" s="3"/>
      <c r="HIK10" s="3"/>
      <c r="HIL10" s="3"/>
      <c r="HIM10" s="3"/>
      <c r="HIN10" s="3"/>
      <c r="HIO10" s="3"/>
      <c r="HIP10" s="3"/>
      <c r="HIQ10" s="3"/>
      <c r="HIR10" s="3"/>
      <c r="HIS10" s="3"/>
      <c r="HIT10" s="3"/>
      <c r="HIU10" s="3"/>
      <c r="HIV10" s="3"/>
      <c r="HIW10" s="3"/>
      <c r="HIX10" s="3"/>
      <c r="HIY10" s="3"/>
      <c r="HIZ10" s="3"/>
      <c r="HJA10" s="3"/>
      <c r="HJB10" s="3"/>
      <c r="HJC10" s="3"/>
      <c r="HJD10" s="3"/>
      <c r="HJE10" s="3"/>
      <c r="HJF10" s="3"/>
      <c r="HJG10" s="3"/>
      <c r="HJH10" s="3"/>
      <c r="HJI10" s="3"/>
      <c r="HJJ10" s="3"/>
      <c r="HJK10" s="3"/>
      <c r="HJL10" s="3"/>
      <c r="HJM10" s="3"/>
      <c r="HJN10" s="3"/>
      <c r="HJO10" s="3"/>
      <c r="HJP10" s="3"/>
      <c r="HJQ10" s="3"/>
      <c r="HJR10" s="3"/>
      <c r="HJS10" s="3"/>
      <c r="HJT10" s="3"/>
      <c r="HJU10" s="3"/>
      <c r="HJV10" s="3"/>
      <c r="HJW10" s="3"/>
      <c r="HJX10" s="3"/>
      <c r="HJY10" s="3"/>
      <c r="HJZ10" s="3"/>
      <c r="HKA10" s="3"/>
      <c r="HKB10" s="3"/>
      <c r="HKC10" s="3"/>
      <c r="HKD10" s="3"/>
      <c r="HKE10" s="3"/>
      <c r="HKF10" s="3"/>
      <c r="HKG10" s="3"/>
      <c r="HKH10" s="3"/>
      <c r="HKI10" s="3"/>
      <c r="HKJ10" s="3"/>
      <c r="HKK10" s="3"/>
      <c r="HKL10" s="3"/>
      <c r="HKM10" s="3"/>
      <c r="HKN10" s="3"/>
      <c r="HKO10" s="3"/>
      <c r="HKP10" s="3"/>
      <c r="HKQ10" s="3"/>
      <c r="HKR10" s="3"/>
      <c r="HKS10" s="3"/>
      <c r="HKT10" s="3"/>
      <c r="HKU10" s="3"/>
      <c r="HKV10" s="3"/>
      <c r="HKW10" s="3"/>
      <c r="HKX10" s="3"/>
      <c r="HKY10" s="3"/>
      <c r="HKZ10" s="3"/>
      <c r="HLA10" s="3"/>
      <c r="HLB10" s="3"/>
      <c r="HLC10" s="3"/>
      <c r="HLD10" s="3"/>
      <c r="HLE10" s="3"/>
      <c r="HLF10" s="3"/>
      <c r="HLG10" s="3"/>
      <c r="HLH10" s="3"/>
      <c r="HLI10" s="3"/>
      <c r="HLJ10" s="3"/>
      <c r="HLK10" s="3"/>
      <c r="HLL10" s="3"/>
      <c r="HLM10" s="3"/>
      <c r="HLN10" s="3"/>
      <c r="HLO10" s="3"/>
      <c r="HLP10" s="3"/>
      <c r="HLQ10" s="3"/>
      <c r="HLR10" s="3"/>
      <c r="HLS10" s="3"/>
      <c r="HLT10" s="3"/>
      <c r="HLU10" s="3"/>
      <c r="HLV10" s="3"/>
      <c r="HLW10" s="3"/>
      <c r="HLX10" s="3"/>
      <c r="HLY10" s="3"/>
      <c r="HLZ10" s="3"/>
      <c r="HMA10" s="3"/>
      <c r="HMB10" s="3"/>
      <c r="HMC10" s="3"/>
      <c r="HMD10" s="3"/>
      <c r="HME10" s="3"/>
      <c r="HMF10" s="3"/>
      <c r="HMG10" s="3"/>
      <c r="HMH10" s="3"/>
      <c r="HMI10" s="3"/>
      <c r="HMJ10" s="3"/>
      <c r="HMK10" s="3"/>
      <c r="HML10" s="3"/>
      <c r="HMM10" s="3"/>
      <c r="HMN10" s="3"/>
      <c r="HMO10" s="3"/>
      <c r="HMP10" s="3"/>
      <c r="HMQ10" s="3"/>
      <c r="HMR10" s="3"/>
      <c r="HMS10" s="3"/>
      <c r="HMT10" s="3"/>
      <c r="HMU10" s="3"/>
      <c r="HMV10" s="3"/>
      <c r="HMW10" s="3"/>
      <c r="HMX10" s="3"/>
      <c r="HMY10" s="3"/>
      <c r="HMZ10" s="3"/>
      <c r="HNA10" s="3"/>
      <c r="HNB10" s="3"/>
      <c r="HNC10" s="3"/>
      <c r="HND10" s="3"/>
      <c r="HNE10" s="3"/>
      <c r="HNF10" s="3"/>
      <c r="HNG10" s="3"/>
      <c r="HNH10" s="3"/>
      <c r="HNI10" s="3"/>
      <c r="HNJ10" s="3"/>
      <c r="HNK10" s="3"/>
      <c r="HNL10" s="3"/>
      <c r="HNM10" s="3"/>
      <c r="HNN10" s="3"/>
      <c r="HNO10" s="3"/>
      <c r="HNP10" s="3"/>
      <c r="HNQ10" s="3"/>
      <c r="HNR10" s="3"/>
      <c r="HNS10" s="3"/>
      <c r="HNT10" s="3"/>
      <c r="HNU10" s="3"/>
      <c r="HNV10" s="3"/>
      <c r="HNW10" s="3"/>
      <c r="HNX10" s="3"/>
      <c r="HNY10" s="3"/>
      <c r="HNZ10" s="3"/>
      <c r="HOA10" s="3"/>
      <c r="HOB10" s="3"/>
      <c r="HOC10" s="3"/>
      <c r="HOD10" s="3"/>
      <c r="HOE10" s="3"/>
      <c r="HOF10" s="3"/>
      <c r="HOG10" s="3"/>
      <c r="HOH10" s="3"/>
      <c r="HOI10" s="3"/>
      <c r="HOJ10" s="3"/>
      <c r="HOK10" s="3"/>
      <c r="HOL10" s="3"/>
      <c r="HOM10" s="3"/>
      <c r="HON10" s="3"/>
      <c r="HOO10" s="3"/>
      <c r="HOP10" s="3"/>
      <c r="HOQ10" s="3"/>
      <c r="HOR10" s="3"/>
      <c r="HOS10" s="3"/>
      <c r="HOT10" s="3"/>
      <c r="HOU10" s="3"/>
      <c r="HOV10" s="3"/>
      <c r="HOW10" s="3"/>
      <c r="HOX10" s="3"/>
      <c r="HOY10" s="3"/>
      <c r="HOZ10" s="3"/>
      <c r="HPA10" s="3"/>
      <c r="HPB10" s="3"/>
      <c r="HPC10" s="3"/>
      <c r="HPD10" s="3"/>
      <c r="HPE10" s="3"/>
      <c r="HPF10" s="3"/>
      <c r="HPG10" s="3"/>
      <c r="HPH10" s="3"/>
      <c r="HPI10" s="3"/>
      <c r="HPJ10" s="3"/>
      <c r="HPK10" s="3"/>
      <c r="HPL10" s="3"/>
      <c r="HPM10" s="3"/>
      <c r="HPN10" s="3"/>
      <c r="HPO10" s="3"/>
      <c r="HPP10" s="3"/>
      <c r="HPQ10" s="3"/>
      <c r="HPR10" s="3"/>
      <c r="HPS10" s="3"/>
      <c r="HPT10" s="3"/>
      <c r="HPU10" s="3"/>
      <c r="HPV10" s="3"/>
      <c r="HPW10" s="3"/>
      <c r="HPX10" s="3"/>
      <c r="HPY10" s="3"/>
      <c r="HPZ10" s="3"/>
      <c r="HQA10" s="3"/>
      <c r="HQB10" s="3"/>
      <c r="HQC10" s="3"/>
      <c r="HQD10" s="3"/>
      <c r="HQE10" s="3"/>
      <c r="HQF10" s="3"/>
      <c r="HQG10" s="3"/>
      <c r="HQH10" s="3"/>
      <c r="HQI10" s="3"/>
      <c r="HQJ10" s="3"/>
      <c r="HQK10" s="3"/>
      <c r="HQL10" s="3"/>
      <c r="HQM10" s="3"/>
      <c r="HQN10" s="3"/>
      <c r="HQO10" s="3"/>
      <c r="HQP10" s="3"/>
      <c r="HQQ10" s="3"/>
      <c r="HQR10" s="3"/>
      <c r="HQS10" s="3"/>
      <c r="HQT10" s="3"/>
      <c r="HQU10" s="3"/>
      <c r="HQV10" s="3"/>
      <c r="HQW10" s="3"/>
      <c r="HQX10" s="3"/>
      <c r="HQY10" s="3"/>
      <c r="HQZ10" s="3"/>
      <c r="HRA10" s="3"/>
      <c r="HRB10" s="3"/>
      <c r="HRC10" s="3"/>
      <c r="HRD10" s="3"/>
      <c r="HRE10" s="3"/>
      <c r="HRF10" s="3"/>
      <c r="HRG10" s="3"/>
      <c r="HRH10" s="3"/>
      <c r="HRI10" s="3"/>
      <c r="HRJ10" s="3"/>
      <c r="HRK10" s="3"/>
      <c r="HRL10" s="3"/>
      <c r="HRM10" s="3"/>
      <c r="HRN10" s="3"/>
      <c r="HRO10" s="3"/>
      <c r="HRP10" s="3"/>
      <c r="HRQ10" s="3"/>
      <c r="HRR10" s="3"/>
      <c r="HRS10" s="3"/>
      <c r="HRT10" s="3"/>
      <c r="HRU10" s="3"/>
      <c r="HRV10" s="3"/>
      <c r="HRW10" s="3"/>
      <c r="HRX10" s="3"/>
      <c r="HRY10" s="3"/>
      <c r="HRZ10" s="3"/>
      <c r="HSA10" s="3"/>
      <c r="HSB10" s="3"/>
      <c r="HSC10" s="3"/>
      <c r="HSD10" s="3"/>
      <c r="HSE10" s="3"/>
      <c r="HSF10" s="3"/>
      <c r="HSG10" s="3"/>
      <c r="HSH10" s="3"/>
      <c r="HSI10" s="3"/>
      <c r="HSJ10" s="3"/>
      <c r="HSK10" s="3"/>
      <c r="HSL10" s="3"/>
      <c r="HSM10" s="3"/>
      <c r="HSN10" s="3"/>
      <c r="HSO10" s="3"/>
      <c r="HSP10" s="3"/>
      <c r="HSQ10" s="3"/>
      <c r="HSR10" s="3"/>
      <c r="HSS10" s="3"/>
      <c r="HST10" s="3"/>
      <c r="HSU10" s="3"/>
      <c r="HSV10" s="3"/>
      <c r="HSW10" s="3"/>
      <c r="HSX10" s="3"/>
      <c r="HSY10" s="3"/>
      <c r="HSZ10" s="3"/>
      <c r="HTA10" s="3"/>
      <c r="HTB10" s="3"/>
      <c r="HTC10" s="3"/>
      <c r="HTD10" s="3"/>
      <c r="HTE10" s="3"/>
      <c r="HTF10" s="3"/>
      <c r="HTG10" s="3"/>
      <c r="HTH10" s="3"/>
      <c r="HTI10" s="3"/>
      <c r="HTJ10" s="3"/>
      <c r="HTK10" s="3"/>
      <c r="HTL10" s="3"/>
      <c r="HTM10" s="3"/>
      <c r="HTN10" s="3"/>
      <c r="HTO10" s="3"/>
      <c r="HTP10" s="3"/>
      <c r="HTQ10" s="3"/>
      <c r="HTR10" s="3"/>
      <c r="HTS10" s="3"/>
      <c r="HTT10" s="3"/>
      <c r="HTU10" s="3"/>
      <c r="HTV10" s="3"/>
      <c r="HTW10" s="3"/>
      <c r="HTX10" s="3"/>
      <c r="HTY10" s="3"/>
      <c r="HTZ10" s="3"/>
      <c r="HUA10" s="3"/>
      <c r="HUB10" s="3"/>
      <c r="HUC10" s="3"/>
      <c r="HUD10" s="3"/>
      <c r="HUE10" s="3"/>
      <c r="HUF10" s="3"/>
      <c r="HUG10" s="3"/>
      <c r="HUH10" s="3"/>
      <c r="HUI10" s="3"/>
      <c r="HUJ10" s="3"/>
      <c r="HUK10" s="3"/>
      <c r="HUL10" s="3"/>
      <c r="HUM10" s="3"/>
      <c r="HUN10" s="3"/>
      <c r="HUO10" s="3"/>
      <c r="HUP10" s="3"/>
      <c r="HUQ10" s="3"/>
      <c r="HUR10" s="3"/>
      <c r="HUS10" s="3"/>
      <c r="HUT10" s="3"/>
      <c r="HUU10" s="3"/>
      <c r="HUV10" s="3"/>
      <c r="HUW10" s="3"/>
      <c r="HUX10" s="3"/>
      <c r="HUY10" s="3"/>
      <c r="HUZ10" s="3"/>
      <c r="HVA10" s="3"/>
      <c r="HVB10" s="3"/>
      <c r="HVC10" s="3"/>
      <c r="HVD10" s="3"/>
      <c r="HVE10" s="3"/>
      <c r="HVF10" s="3"/>
      <c r="HVG10" s="3"/>
      <c r="HVH10" s="3"/>
      <c r="HVI10" s="3"/>
      <c r="HVJ10" s="3"/>
      <c r="HVK10" s="3"/>
      <c r="HVL10" s="3"/>
      <c r="HVM10" s="3"/>
      <c r="HVN10" s="3"/>
      <c r="HVO10" s="3"/>
      <c r="HVP10" s="3"/>
      <c r="HVQ10" s="3"/>
      <c r="HVR10" s="3"/>
      <c r="HVS10" s="3"/>
      <c r="HVT10" s="3"/>
      <c r="HVU10" s="3"/>
      <c r="HVV10" s="3"/>
      <c r="HVW10" s="3"/>
      <c r="HVX10" s="3"/>
      <c r="HVY10" s="3"/>
      <c r="HVZ10" s="3"/>
      <c r="HWA10" s="3"/>
      <c r="HWB10" s="3"/>
      <c r="HWC10" s="3"/>
      <c r="HWD10" s="3"/>
      <c r="HWE10" s="3"/>
      <c r="HWF10" s="3"/>
      <c r="HWG10" s="3"/>
      <c r="HWH10" s="3"/>
      <c r="HWI10" s="3"/>
      <c r="HWJ10" s="3"/>
      <c r="HWK10" s="3"/>
      <c r="HWL10" s="3"/>
      <c r="HWM10" s="3"/>
      <c r="HWN10" s="3"/>
      <c r="HWO10" s="3"/>
      <c r="HWP10" s="3"/>
      <c r="HWQ10" s="3"/>
      <c r="HWR10" s="3"/>
      <c r="HWS10" s="3"/>
      <c r="HWT10" s="3"/>
      <c r="HWU10" s="3"/>
      <c r="HWV10" s="3"/>
      <c r="HWW10" s="3"/>
      <c r="HWX10" s="3"/>
      <c r="HWY10" s="3"/>
      <c r="HWZ10" s="3"/>
      <c r="HXA10" s="3"/>
      <c r="HXB10" s="3"/>
      <c r="HXC10" s="3"/>
      <c r="HXD10" s="3"/>
      <c r="HXE10" s="3"/>
      <c r="HXF10" s="3"/>
      <c r="HXG10" s="3"/>
      <c r="HXH10" s="3"/>
      <c r="HXI10" s="3"/>
      <c r="HXJ10" s="3"/>
      <c r="HXK10" s="3"/>
      <c r="HXL10" s="3"/>
      <c r="HXM10" s="3"/>
      <c r="HXN10" s="3"/>
      <c r="HXO10" s="3"/>
      <c r="HXP10" s="3"/>
      <c r="HXQ10" s="3"/>
      <c r="HXR10" s="3"/>
      <c r="HXS10" s="3"/>
      <c r="HXT10" s="3"/>
      <c r="HXU10" s="3"/>
      <c r="HXV10" s="3"/>
      <c r="HXW10" s="3"/>
      <c r="HXX10" s="3"/>
      <c r="HXY10" s="3"/>
      <c r="HXZ10" s="3"/>
      <c r="HYA10" s="3"/>
      <c r="HYB10" s="3"/>
      <c r="HYC10" s="3"/>
      <c r="HYD10" s="3"/>
      <c r="HYE10" s="3"/>
      <c r="HYF10" s="3"/>
      <c r="HYG10" s="3"/>
      <c r="HYH10" s="3"/>
      <c r="HYI10" s="3"/>
      <c r="HYJ10" s="3"/>
      <c r="HYK10" s="3"/>
      <c r="HYL10" s="3"/>
      <c r="HYM10" s="3"/>
      <c r="HYN10" s="3"/>
      <c r="HYO10" s="3"/>
      <c r="HYP10" s="3"/>
      <c r="HYQ10" s="3"/>
      <c r="HYR10" s="3"/>
      <c r="HYS10" s="3"/>
      <c r="HYT10" s="3"/>
      <c r="HYU10" s="3"/>
      <c r="HYV10" s="3"/>
      <c r="HYW10" s="3"/>
      <c r="HYX10" s="3"/>
      <c r="HYY10" s="3"/>
      <c r="HYZ10" s="3"/>
      <c r="HZA10" s="3"/>
      <c r="HZB10" s="3"/>
      <c r="HZC10" s="3"/>
      <c r="HZD10" s="3"/>
      <c r="HZE10" s="3"/>
      <c r="HZF10" s="3"/>
      <c r="HZG10" s="3"/>
      <c r="HZH10" s="3"/>
      <c r="HZI10" s="3"/>
      <c r="HZJ10" s="3"/>
      <c r="HZK10" s="3"/>
      <c r="HZL10" s="3"/>
      <c r="HZM10" s="3"/>
      <c r="HZN10" s="3"/>
      <c r="HZO10" s="3"/>
      <c r="HZP10" s="3"/>
      <c r="HZQ10" s="3"/>
      <c r="HZR10" s="3"/>
      <c r="HZS10" s="3"/>
      <c r="HZT10" s="3"/>
      <c r="HZU10" s="3"/>
      <c r="HZV10" s="3"/>
      <c r="HZW10" s="3"/>
      <c r="HZX10" s="3"/>
      <c r="HZY10" s="3"/>
      <c r="HZZ10" s="3"/>
      <c r="IAA10" s="3"/>
      <c r="IAB10" s="3"/>
      <c r="IAC10" s="3"/>
      <c r="IAD10" s="3"/>
      <c r="IAE10" s="3"/>
      <c r="IAF10" s="3"/>
      <c r="IAG10" s="3"/>
      <c r="IAH10" s="3"/>
      <c r="IAI10" s="3"/>
      <c r="IAJ10" s="3"/>
      <c r="IAK10" s="3"/>
      <c r="IAL10" s="3"/>
      <c r="IAM10" s="3"/>
      <c r="IAN10" s="3"/>
      <c r="IAO10" s="3"/>
      <c r="IAP10" s="3"/>
      <c r="IAQ10" s="3"/>
      <c r="IAR10" s="3"/>
      <c r="IAS10" s="3"/>
      <c r="IAT10" s="3"/>
      <c r="IAU10" s="3"/>
      <c r="IAV10" s="3"/>
      <c r="IAW10" s="3"/>
      <c r="IAX10" s="3"/>
      <c r="IAY10" s="3"/>
      <c r="IAZ10" s="3"/>
      <c r="IBA10" s="3"/>
      <c r="IBB10" s="3"/>
      <c r="IBC10" s="3"/>
      <c r="IBD10" s="3"/>
      <c r="IBE10" s="3"/>
      <c r="IBF10" s="3"/>
      <c r="IBG10" s="3"/>
      <c r="IBH10" s="3"/>
      <c r="IBI10" s="3"/>
      <c r="IBJ10" s="3"/>
      <c r="IBK10" s="3"/>
      <c r="IBL10" s="3"/>
      <c r="IBM10" s="3"/>
      <c r="IBN10" s="3"/>
      <c r="IBO10" s="3"/>
      <c r="IBP10" s="3"/>
      <c r="IBQ10" s="3"/>
      <c r="IBR10" s="3"/>
      <c r="IBS10" s="3"/>
      <c r="IBT10" s="3"/>
      <c r="IBU10" s="3"/>
      <c r="IBV10" s="3"/>
      <c r="IBW10" s="3"/>
      <c r="IBX10" s="3"/>
      <c r="IBY10" s="3"/>
      <c r="IBZ10" s="3"/>
      <c r="ICA10" s="3"/>
      <c r="ICB10" s="3"/>
      <c r="ICC10" s="3"/>
      <c r="ICD10" s="3"/>
      <c r="ICE10" s="3"/>
      <c r="ICF10" s="3"/>
      <c r="ICG10" s="3"/>
      <c r="ICH10" s="3"/>
      <c r="ICI10" s="3"/>
      <c r="ICJ10" s="3"/>
      <c r="ICK10" s="3"/>
      <c r="ICL10" s="3"/>
      <c r="ICM10" s="3"/>
      <c r="ICN10" s="3"/>
      <c r="ICO10" s="3"/>
      <c r="ICP10" s="3"/>
      <c r="ICQ10" s="3"/>
      <c r="ICR10" s="3"/>
      <c r="ICS10" s="3"/>
      <c r="ICT10" s="3"/>
      <c r="ICU10" s="3"/>
      <c r="ICV10" s="3"/>
      <c r="ICW10" s="3"/>
      <c r="ICX10" s="3"/>
      <c r="ICY10" s="3"/>
      <c r="ICZ10" s="3"/>
      <c r="IDA10" s="3"/>
      <c r="IDB10" s="3"/>
      <c r="IDC10" s="3"/>
      <c r="IDD10" s="3"/>
      <c r="IDE10" s="3"/>
      <c r="IDF10" s="3"/>
      <c r="IDG10" s="3"/>
      <c r="IDH10" s="3"/>
      <c r="IDI10" s="3"/>
      <c r="IDJ10" s="3"/>
      <c r="IDK10" s="3"/>
      <c r="IDL10" s="3"/>
      <c r="IDM10" s="3"/>
      <c r="IDN10" s="3"/>
      <c r="IDO10" s="3"/>
      <c r="IDP10" s="3"/>
      <c r="IDQ10" s="3"/>
      <c r="IDR10" s="3"/>
      <c r="IDS10" s="3"/>
      <c r="IDT10" s="3"/>
      <c r="IDU10" s="3"/>
      <c r="IDV10" s="3"/>
      <c r="IDW10" s="3"/>
      <c r="IDX10" s="3"/>
      <c r="IDY10" s="3"/>
      <c r="IDZ10" s="3"/>
      <c r="IEA10" s="3"/>
      <c r="IEB10" s="3"/>
      <c r="IEC10" s="3"/>
      <c r="IED10" s="3"/>
      <c r="IEE10" s="3"/>
      <c r="IEF10" s="3"/>
      <c r="IEG10" s="3"/>
      <c r="IEH10" s="3"/>
      <c r="IEI10" s="3"/>
      <c r="IEJ10" s="3"/>
      <c r="IEK10" s="3"/>
      <c r="IEL10" s="3"/>
      <c r="IEM10" s="3"/>
      <c r="IEN10" s="3"/>
      <c r="IEO10" s="3"/>
      <c r="IEP10" s="3"/>
      <c r="IEQ10" s="3"/>
      <c r="IER10" s="3"/>
      <c r="IES10" s="3"/>
      <c r="IET10" s="3"/>
      <c r="IEU10" s="3"/>
      <c r="IEV10" s="3"/>
      <c r="IEW10" s="3"/>
      <c r="IEX10" s="3"/>
      <c r="IEY10" s="3"/>
      <c r="IEZ10" s="3"/>
      <c r="IFA10" s="3"/>
      <c r="IFB10" s="3"/>
      <c r="IFC10" s="3"/>
      <c r="IFD10" s="3"/>
      <c r="IFE10" s="3"/>
      <c r="IFF10" s="3"/>
      <c r="IFG10" s="3"/>
      <c r="IFH10" s="3"/>
      <c r="IFI10" s="3"/>
      <c r="IFJ10" s="3"/>
      <c r="IFK10" s="3"/>
      <c r="IFL10" s="3"/>
      <c r="IFM10" s="3"/>
      <c r="IFN10" s="3"/>
      <c r="IFO10" s="3"/>
      <c r="IFP10" s="3"/>
      <c r="IFQ10" s="3"/>
      <c r="IFR10" s="3"/>
      <c r="IFS10" s="3"/>
      <c r="IFT10" s="3"/>
      <c r="IFU10" s="3"/>
      <c r="IFV10" s="3"/>
      <c r="IFW10" s="3"/>
      <c r="IFX10" s="3"/>
      <c r="IFY10" s="3"/>
      <c r="IFZ10" s="3"/>
      <c r="IGA10" s="3"/>
      <c r="IGB10" s="3"/>
      <c r="IGC10" s="3"/>
      <c r="IGD10" s="3"/>
      <c r="IGE10" s="3"/>
      <c r="IGF10" s="3"/>
      <c r="IGG10" s="3"/>
      <c r="IGH10" s="3"/>
      <c r="IGI10" s="3"/>
      <c r="IGJ10" s="3"/>
      <c r="IGK10" s="3"/>
      <c r="IGL10" s="3"/>
      <c r="IGM10" s="3"/>
      <c r="IGN10" s="3"/>
      <c r="IGO10" s="3"/>
      <c r="IGP10" s="3"/>
      <c r="IGQ10" s="3"/>
      <c r="IGR10" s="3"/>
      <c r="IGS10" s="3"/>
      <c r="IGT10" s="3"/>
      <c r="IGU10" s="3"/>
      <c r="IGV10" s="3"/>
      <c r="IGW10" s="3"/>
      <c r="IGX10" s="3"/>
      <c r="IGY10" s="3"/>
      <c r="IGZ10" s="3"/>
      <c r="IHA10" s="3"/>
      <c r="IHB10" s="3"/>
      <c r="IHC10" s="3"/>
      <c r="IHD10" s="3"/>
      <c r="IHE10" s="3"/>
      <c r="IHF10" s="3"/>
      <c r="IHG10" s="3"/>
      <c r="IHH10" s="3"/>
      <c r="IHI10" s="3"/>
      <c r="IHJ10" s="3"/>
      <c r="IHK10" s="3"/>
      <c r="IHL10" s="3"/>
      <c r="IHM10" s="3"/>
      <c r="IHN10" s="3"/>
      <c r="IHO10" s="3"/>
      <c r="IHP10" s="3"/>
      <c r="IHQ10" s="3"/>
      <c r="IHR10" s="3"/>
      <c r="IHS10" s="3"/>
      <c r="IHT10" s="3"/>
      <c r="IHU10" s="3"/>
      <c r="IHV10" s="3"/>
      <c r="IHW10" s="3"/>
      <c r="IHX10" s="3"/>
      <c r="IHY10" s="3"/>
      <c r="IHZ10" s="3"/>
      <c r="IIA10" s="3"/>
      <c r="IIB10" s="3"/>
      <c r="IIC10" s="3"/>
      <c r="IID10" s="3"/>
      <c r="IIE10" s="3"/>
      <c r="IIF10" s="3"/>
      <c r="IIG10" s="3"/>
      <c r="IIH10" s="3"/>
      <c r="III10" s="3"/>
      <c r="IIJ10" s="3"/>
      <c r="IIK10" s="3"/>
      <c r="IIL10" s="3"/>
      <c r="IIM10" s="3"/>
      <c r="IIN10" s="3"/>
      <c r="IIO10" s="3"/>
      <c r="IIP10" s="3"/>
      <c r="IIQ10" s="3"/>
      <c r="IIR10" s="3"/>
      <c r="IIS10" s="3"/>
      <c r="IIT10" s="3"/>
      <c r="IIU10" s="3"/>
      <c r="IIV10" s="3"/>
      <c r="IIW10" s="3"/>
      <c r="IIX10" s="3"/>
      <c r="IIY10" s="3"/>
      <c r="IIZ10" s="3"/>
      <c r="IJA10" s="3"/>
      <c r="IJB10" s="3"/>
      <c r="IJC10" s="3"/>
      <c r="IJD10" s="3"/>
      <c r="IJE10" s="3"/>
      <c r="IJF10" s="3"/>
      <c r="IJG10" s="3"/>
      <c r="IJH10" s="3"/>
      <c r="IJI10" s="3"/>
      <c r="IJJ10" s="3"/>
      <c r="IJK10" s="3"/>
      <c r="IJL10" s="3"/>
      <c r="IJM10" s="3"/>
      <c r="IJN10" s="3"/>
      <c r="IJO10" s="3"/>
      <c r="IJP10" s="3"/>
      <c r="IJQ10" s="3"/>
      <c r="IJR10" s="3"/>
      <c r="IJS10" s="3"/>
      <c r="IJT10" s="3"/>
      <c r="IJU10" s="3"/>
      <c r="IJV10" s="3"/>
      <c r="IJW10" s="3"/>
      <c r="IJX10" s="3"/>
      <c r="IJY10" s="3"/>
      <c r="IJZ10" s="3"/>
      <c r="IKA10" s="3"/>
      <c r="IKB10" s="3"/>
      <c r="IKC10" s="3"/>
      <c r="IKD10" s="3"/>
      <c r="IKE10" s="3"/>
      <c r="IKF10" s="3"/>
      <c r="IKG10" s="3"/>
      <c r="IKH10" s="3"/>
      <c r="IKI10" s="3"/>
      <c r="IKJ10" s="3"/>
      <c r="IKK10" s="3"/>
      <c r="IKL10" s="3"/>
      <c r="IKM10" s="3"/>
      <c r="IKN10" s="3"/>
      <c r="IKO10" s="3"/>
      <c r="IKP10" s="3"/>
      <c r="IKQ10" s="3"/>
      <c r="IKR10" s="3"/>
      <c r="IKS10" s="3"/>
      <c r="IKT10" s="3"/>
      <c r="IKU10" s="3"/>
      <c r="IKV10" s="3"/>
      <c r="IKW10" s="3"/>
      <c r="IKX10" s="3"/>
      <c r="IKY10" s="3"/>
      <c r="IKZ10" s="3"/>
      <c r="ILA10" s="3"/>
      <c r="ILB10" s="3"/>
      <c r="ILC10" s="3"/>
      <c r="ILD10" s="3"/>
      <c r="ILE10" s="3"/>
      <c r="ILF10" s="3"/>
      <c r="ILG10" s="3"/>
      <c r="ILH10" s="3"/>
      <c r="ILI10" s="3"/>
      <c r="ILJ10" s="3"/>
      <c r="ILK10" s="3"/>
      <c r="ILL10" s="3"/>
      <c r="ILM10" s="3"/>
      <c r="ILN10" s="3"/>
      <c r="ILO10" s="3"/>
      <c r="ILP10" s="3"/>
      <c r="ILQ10" s="3"/>
      <c r="ILR10" s="3"/>
      <c r="ILS10" s="3"/>
      <c r="ILT10" s="3"/>
      <c r="ILU10" s="3"/>
      <c r="ILV10" s="3"/>
      <c r="ILW10" s="3"/>
      <c r="ILX10" s="3"/>
      <c r="ILY10" s="3"/>
      <c r="ILZ10" s="3"/>
      <c r="IMA10" s="3"/>
      <c r="IMB10" s="3"/>
      <c r="IMC10" s="3"/>
      <c r="IMD10" s="3"/>
      <c r="IME10" s="3"/>
      <c r="IMF10" s="3"/>
      <c r="IMG10" s="3"/>
      <c r="IMH10" s="3"/>
      <c r="IMI10" s="3"/>
      <c r="IMJ10" s="3"/>
      <c r="IMK10" s="3"/>
      <c r="IML10" s="3"/>
      <c r="IMM10" s="3"/>
      <c r="IMN10" s="3"/>
      <c r="IMO10" s="3"/>
      <c r="IMP10" s="3"/>
      <c r="IMQ10" s="3"/>
      <c r="IMR10" s="3"/>
      <c r="IMS10" s="3"/>
      <c r="IMT10" s="3"/>
      <c r="IMU10" s="3"/>
      <c r="IMV10" s="3"/>
      <c r="IMW10" s="3"/>
      <c r="IMX10" s="3"/>
      <c r="IMY10" s="3"/>
      <c r="IMZ10" s="3"/>
      <c r="INA10" s="3"/>
      <c r="INB10" s="3"/>
      <c r="INC10" s="3"/>
      <c r="IND10" s="3"/>
      <c r="INE10" s="3"/>
      <c r="INF10" s="3"/>
      <c r="ING10" s="3"/>
      <c r="INH10" s="3"/>
      <c r="INI10" s="3"/>
      <c r="INJ10" s="3"/>
      <c r="INK10" s="3"/>
      <c r="INL10" s="3"/>
      <c r="INM10" s="3"/>
      <c r="INN10" s="3"/>
      <c r="INO10" s="3"/>
      <c r="INP10" s="3"/>
      <c r="INQ10" s="3"/>
      <c r="INR10" s="3"/>
      <c r="INS10" s="3"/>
      <c r="INT10" s="3"/>
      <c r="INU10" s="3"/>
      <c r="INV10" s="3"/>
      <c r="INW10" s="3"/>
      <c r="INX10" s="3"/>
      <c r="INY10" s="3"/>
      <c r="INZ10" s="3"/>
      <c r="IOA10" s="3"/>
      <c r="IOB10" s="3"/>
      <c r="IOC10" s="3"/>
      <c r="IOD10" s="3"/>
      <c r="IOE10" s="3"/>
      <c r="IOF10" s="3"/>
      <c r="IOG10" s="3"/>
      <c r="IOH10" s="3"/>
      <c r="IOI10" s="3"/>
      <c r="IOJ10" s="3"/>
      <c r="IOK10" s="3"/>
      <c r="IOL10" s="3"/>
      <c r="IOM10" s="3"/>
      <c r="ION10" s="3"/>
      <c r="IOO10" s="3"/>
      <c r="IOP10" s="3"/>
      <c r="IOQ10" s="3"/>
      <c r="IOR10" s="3"/>
      <c r="IOS10" s="3"/>
      <c r="IOT10" s="3"/>
      <c r="IOU10" s="3"/>
      <c r="IOV10" s="3"/>
      <c r="IOW10" s="3"/>
      <c r="IOX10" s="3"/>
      <c r="IOY10" s="3"/>
      <c r="IOZ10" s="3"/>
      <c r="IPA10" s="3"/>
      <c r="IPB10" s="3"/>
      <c r="IPC10" s="3"/>
      <c r="IPD10" s="3"/>
      <c r="IPE10" s="3"/>
      <c r="IPF10" s="3"/>
      <c r="IPG10" s="3"/>
      <c r="IPH10" s="3"/>
      <c r="IPI10" s="3"/>
      <c r="IPJ10" s="3"/>
      <c r="IPK10" s="3"/>
      <c r="IPL10" s="3"/>
      <c r="IPM10" s="3"/>
      <c r="IPN10" s="3"/>
      <c r="IPO10" s="3"/>
      <c r="IPP10" s="3"/>
      <c r="IPQ10" s="3"/>
      <c r="IPR10" s="3"/>
      <c r="IPS10" s="3"/>
      <c r="IPT10" s="3"/>
      <c r="IPU10" s="3"/>
      <c r="IPV10" s="3"/>
      <c r="IPW10" s="3"/>
      <c r="IPX10" s="3"/>
      <c r="IPY10" s="3"/>
      <c r="IPZ10" s="3"/>
      <c r="IQA10" s="3"/>
      <c r="IQB10" s="3"/>
      <c r="IQC10" s="3"/>
      <c r="IQD10" s="3"/>
      <c r="IQE10" s="3"/>
      <c r="IQF10" s="3"/>
      <c r="IQG10" s="3"/>
      <c r="IQH10" s="3"/>
      <c r="IQI10" s="3"/>
      <c r="IQJ10" s="3"/>
      <c r="IQK10" s="3"/>
      <c r="IQL10" s="3"/>
      <c r="IQM10" s="3"/>
      <c r="IQN10" s="3"/>
      <c r="IQO10" s="3"/>
      <c r="IQP10" s="3"/>
      <c r="IQQ10" s="3"/>
      <c r="IQR10" s="3"/>
      <c r="IQS10" s="3"/>
      <c r="IQT10" s="3"/>
      <c r="IQU10" s="3"/>
      <c r="IQV10" s="3"/>
      <c r="IQW10" s="3"/>
      <c r="IQX10" s="3"/>
      <c r="IQY10" s="3"/>
      <c r="IQZ10" s="3"/>
      <c r="IRA10" s="3"/>
      <c r="IRB10" s="3"/>
      <c r="IRC10" s="3"/>
      <c r="IRD10" s="3"/>
      <c r="IRE10" s="3"/>
      <c r="IRF10" s="3"/>
      <c r="IRG10" s="3"/>
      <c r="IRH10" s="3"/>
      <c r="IRI10" s="3"/>
      <c r="IRJ10" s="3"/>
      <c r="IRK10" s="3"/>
      <c r="IRL10" s="3"/>
      <c r="IRM10" s="3"/>
      <c r="IRN10" s="3"/>
      <c r="IRO10" s="3"/>
      <c r="IRP10" s="3"/>
      <c r="IRQ10" s="3"/>
      <c r="IRR10" s="3"/>
      <c r="IRS10" s="3"/>
      <c r="IRT10" s="3"/>
      <c r="IRU10" s="3"/>
      <c r="IRV10" s="3"/>
      <c r="IRW10" s="3"/>
      <c r="IRX10" s="3"/>
      <c r="IRY10" s="3"/>
      <c r="IRZ10" s="3"/>
      <c r="ISA10" s="3"/>
      <c r="ISB10" s="3"/>
      <c r="ISC10" s="3"/>
      <c r="ISD10" s="3"/>
      <c r="ISE10" s="3"/>
      <c r="ISF10" s="3"/>
      <c r="ISG10" s="3"/>
      <c r="ISH10" s="3"/>
      <c r="ISI10" s="3"/>
      <c r="ISJ10" s="3"/>
      <c r="ISK10" s="3"/>
      <c r="ISL10" s="3"/>
      <c r="ISM10" s="3"/>
      <c r="ISN10" s="3"/>
      <c r="ISO10" s="3"/>
      <c r="ISP10" s="3"/>
      <c r="ISQ10" s="3"/>
      <c r="ISR10" s="3"/>
      <c r="ISS10" s="3"/>
      <c r="IST10" s="3"/>
      <c r="ISU10" s="3"/>
      <c r="ISV10" s="3"/>
      <c r="ISW10" s="3"/>
      <c r="ISX10" s="3"/>
      <c r="ISY10" s="3"/>
      <c r="ISZ10" s="3"/>
      <c r="ITA10" s="3"/>
      <c r="ITB10" s="3"/>
      <c r="ITC10" s="3"/>
      <c r="ITD10" s="3"/>
      <c r="ITE10" s="3"/>
      <c r="ITF10" s="3"/>
      <c r="ITG10" s="3"/>
      <c r="ITH10" s="3"/>
      <c r="ITI10" s="3"/>
      <c r="ITJ10" s="3"/>
      <c r="ITK10" s="3"/>
      <c r="ITL10" s="3"/>
      <c r="ITM10" s="3"/>
      <c r="ITN10" s="3"/>
      <c r="ITO10" s="3"/>
      <c r="ITP10" s="3"/>
      <c r="ITQ10" s="3"/>
      <c r="ITR10" s="3"/>
      <c r="ITS10" s="3"/>
      <c r="ITT10" s="3"/>
      <c r="ITU10" s="3"/>
      <c r="ITV10" s="3"/>
      <c r="ITW10" s="3"/>
      <c r="ITX10" s="3"/>
      <c r="ITY10" s="3"/>
      <c r="ITZ10" s="3"/>
      <c r="IUA10" s="3"/>
      <c r="IUB10" s="3"/>
      <c r="IUC10" s="3"/>
      <c r="IUD10" s="3"/>
      <c r="IUE10" s="3"/>
      <c r="IUF10" s="3"/>
      <c r="IUG10" s="3"/>
      <c r="IUH10" s="3"/>
      <c r="IUI10" s="3"/>
      <c r="IUJ10" s="3"/>
      <c r="IUK10" s="3"/>
      <c r="IUL10" s="3"/>
      <c r="IUM10" s="3"/>
      <c r="IUN10" s="3"/>
      <c r="IUO10" s="3"/>
      <c r="IUP10" s="3"/>
      <c r="IUQ10" s="3"/>
      <c r="IUR10" s="3"/>
      <c r="IUS10" s="3"/>
      <c r="IUT10" s="3"/>
      <c r="IUU10" s="3"/>
      <c r="IUV10" s="3"/>
      <c r="IUW10" s="3"/>
      <c r="IUX10" s="3"/>
      <c r="IUY10" s="3"/>
      <c r="IUZ10" s="3"/>
      <c r="IVA10" s="3"/>
      <c r="IVB10" s="3"/>
      <c r="IVC10" s="3"/>
      <c r="IVD10" s="3"/>
      <c r="IVE10" s="3"/>
      <c r="IVF10" s="3"/>
      <c r="IVG10" s="3"/>
      <c r="IVH10" s="3"/>
      <c r="IVI10" s="3"/>
      <c r="IVJ10" s="3"/>
      <c r="IVK10" s="3"/>
      <c r="IVL10" s="3"/>
      <c r="IVM10" s="3"/>
      <c r="IVN10" s="3"/>
      <c r="IVO10" s="3"/>
      <c r="IVP10" s="3"/>
      <c r="IVQ10" s="3"/>
      <c r="IVR10" s="3"/>
      <c r="IVS10" s="3"/>
      <c r="IVT10" s="3"/>
      <c r="IVU10" s="3"/>
      <c r="IVV10" s="3"/>
      <c r="IVW10" s="3"/>
      <c r="IVX10" s="3"/>
      <c r="IVY10" s="3"/>
      <c r="IVZ10" s="3"/>
      <c r="IWA10" s="3"/>
      <c r="IWB10" s="3"/>
      <c r="IWC10" s="3"/>
      <c r="IWD10" s="3"/>
      <c r="IWE10" s="3"/>
      <c r="IWF10" s="3"/>
      <c r="IWG10" s="3"/>
      <c r="IWH10" s="3"/>
      <c r="IWI10" s="3"/>
      <c r="IWJ10" s="3"/>
      <c r="IWK10" s="3"/>
      <c r="IWL10" s="3"/>
      <c r="IWM10" s="3"/>
      <c r="IWN10" s="3"/>
      <c r="IWO10" s="3"/>
      <c r="IWP10" s="3"/>
      <c r="IWQ10" s="3"/>
      <c r="IWR10" s="3"/>
      <c r="IWS10" s="3"/>
      <c r="IWT10" s="3"/>
      <c r="IWU10" s="3"/>
      <c r="IWV10" s="3"/>
      <c r="IWW10" s="3"/>
      <c r="IWX10" s="3"/>
      <c r="IWY10" s="3"/>
      <c r="IWZ10" s="3"/>
      <c r="IXA10" s="3"/>
      <c r="IXB10" s="3"/>
      <c r="IXC10" s="3"/>
      <c r="IXD10" s="3"/>
      <c r="IXE10" s="3"/>
      <c r="IXF10" s="3"/>
      <c r="IXG10" s="3"/>
      <c r="IXH10" s="3"/>
      <c r="IXI10" s="3"/>
      <c r="IXJ10" s="3"/>
      <c r="IXK10" s="3"/>
      <c r="IXL10" s="3"/>
      <c r="IXM10" s="3"/>
      <c r="IXN10" s="3"/>
      <c r="IXO10" s="3"/>
      <c r="IXP10" s="3"/>
      <c r="IXQ10" s="3"/>
      <c r="IXR10" s="3"/>
      <c r="IXS10" s="3"/>
      <c r="IXT10" s="3"/>
      <c r="IXU10" s="3"/>
      <c r="IXV10" s="3"/>
      <c r="IXW10" s="3"/>
      <c r="IXX10" s="3"/>
      <c r="IXY10" s="3"/>
      <c r="IXZ10" s="3"/>
      <c r="IYA10" s="3"/>
      <c r="IYB10" s="3"/>
      <c r="IYC10" s="3"/>
      <c r="IYD10" s="3"/>
      <c r="IYE10" s="3"/>
      <c r="IYF10" s="3"/>
      <c r="IYG10" s="3"/>
      <c r="IYH10" s="3"/>
      <c r="IYI10" s="3"/>
      <c r="IYJ10" s="3"/>
      <c r="IYK10" s="3"/>
      <c r="IYL10" s="3"/>
      <c r="IYM10" s="3"/>
      <c r="IYN10" s="3"/>
      <c r="IYO10" s="3"/>
      <c r="IYP10" s="3"/>
      <c r="IYQ10" s="3"/>
      <c r="IYR10" s="3"/>
      <c r="IYS10" s="3"/>
      <c r="IYT10" s="3"/>
      <c r="IYU10" s="3"/>
      <c r="IYV10" s="3"/>
      <c r="IYW10" s="3"/>
      <c r="IYX10" s="3"/>
      <c r="IYY10" s="3"/>
      <c r="IYZ10" s="3"/>
      <c r="IZA10" s="3"/>
      <c r="IZB10" s="3"/>
      <c r="IZC10" s="3"/>
      <c r="IZD10" s="3"/>
      <c r="IZE10" s="3"/>
      <c r="IZF10" s="3"/>
      <c r="IZG10" s="3"/>
      <c r="IZH10" s="3"/>
      <c r="IZI10" s="3"/>
      <c r="IZJ10" s="3"/>
      <c r="IZK10" s="3"/>
      <c r="IZL10" s="3"/>
      <c r="IZM10" s="3"/>
      <c r="IZN10" s="3"/>
      <c r="IZO10" s="3"/>
      <c r="IZP10" s="3"/>
      <c r="IZQ10" s="3"/>
      <c r="IZR10" s="3"/>
      <c r="IZS10" s="3"/>
      <c r="IZT10" s="3"/>
      <c r="IZU10" s="3"/>
      <c r="IZV10" s="3"/>
      <c r="IZW10" s="3"/>
      <c r="IZX10" s="3"/>
      <c r="IZY10" s="3"/>
      <c r="IZZ10" s="3"/>
      <c r="JAA10" s="3"/>
      <c r="JAB10" s="3"/>
      <c r="JAC10" s="3"/>
      <c r="JAD10" s="3"/>
      <c r="JAE10" s="3"/>
      <c r="JAF10" s="3"/>
      <c r="JAG10" s="3"/>
      <c r="JAH10" s="3"/>
      <c r="JAI10" s="3"/>
      <c r="JAJ10" s="3"/>
      <c r="JAK10" s="3"/>
      <c r="JAL10" s="3"/>
      <c r="JAM10" s="3"/>
      <c r="JAN10" s="3"/>
      <c r="JAO10" s="3"/>
      <c r="JAP10" s="3"/>
      <c r="JAQ10" s="3"/>
      <c r="JAR10" s="3"/>
      <c r="JAS10" s="3"/>
      <c r="JAT10" s="3"/>
      <c r="JAU10" s="3"/>
      <c r="JAV10" s="3"/>
      <c r="JAW10" s="3"/>
      <c r="JAX10" s="3"/>
      <c r="JAY10" s="3"/>
      <c r="JAZ10" s="3"/>
      <c r="JBA10" s="3"/>
      <c r="JBB10" s="3"/>
      <c r="JBC10" s="3"/>
      <c r="JBD10" s="3"/>
      <c r="JBE10" s="3"/>
      <c r="JBF10" s="3"/>
      <c r="JBG10" s="3"/>
      <c r="JBH10" s="3"/>
      <c r="JBI10" s="3"/>
      <c r="JBJ10" s="3"/>
      <c r="JBK10" s="3"/>
      <c r="JBL10" s="3"/>
      <c r="JBM10" s="3"/>
      <c r="JBN10" s="3"/>
      <c r="JBO10" s="3"/>
      <c r="JBP10" s="3"/>
      <c r="JBQ10" s="3"/>
      <c r="JBR10" s="3"/>
      <c r="JBS10" s="3"/>
      <c r="JBT10" s="3"/>
      <c r="JBU10" s="3"/>
      <c r="JBV10" s="3"/>
      <c r="JBW10" s="3"/>
      <c r="JBX10" s="3"/>
      <c r="JBY10" s="3"/>
      <c r="JBZ10" s="3"/>
      <c r="JCA10" s="3"/>
      <c r="JCB10" s="3"/>
      <c r="JCC10" s="3"/>
      <c r="JCD10" s="3"/>
      <c r="JCE10" s="3"/>
      <c r="JCF10" s="3"/>
      <c r="JCG10" s="3"/>
      <c r="JCH10" s="3"/>
      <c r="JCI10" s="3"/>
      <c r="JCJ10" s="3"/>
      <c r="JCK10" s="3"/>
      <c r="JCL10" s="3"/>
      <c r="JCM10" s="3"/>
      <c r="JCN10" s="3"/>
      <c r="JCO10" s="3"/>
      <c r="JCP10" s="3"/>
      <c r="JCQ10" s="3"/>
      <c r="JCR10" s="3"/>
      <c r="JCS10" s="3"/>
      <c r="JCT10" s="3"/>
      <c r="JCU10" s="3"/>
      <c r="JCV10" s="3"/>
      <c r="JCW10" s="3"/>
      <c r="JCX10" s="3"/>
      <c r="JCY10" s="3"/>
      <c r="JCZ10" s="3"/>
      <c r="JDA10" s="3"/>
      <c r="JDB10" s="3"/>
      <c r="JDC10" s="3"/>
      <c r="JDD10" s="3"/>
      <c r="JDE10" s="3"/>
      <c r="JDF10" s="3"/>
      <c r="JDG10" s="3"/>
      <c r="JDH10" s="3"/>
      <c r="JDI10" s="3"/>
      <c r="JDJ10" s="3"/>
      <c r="JDK10" s="3"/>
      <c r="JDL10" s="3"/>
      <c r="JDM10" s="3"/>
      <c r="JDN10" s="3"/>
      <c r="JDO10" s="3"/>
      <c r="JDP10" s="3"/>
      <c r="JDQ10" s="3"/>
      <c r="JDR10" s="3"/>
      <c r="JDS10" s="3"/>
      <c r="JDT10" s="3"/>
      <c r="JDU10" s="3"/>
      <c r="JDV10" s="3"/>
      <c r="JDW10" s="3"/>
      <c r="JDX10" s="3"/>
      <c r="JDY10" s="3"/>
      <c r="JDZ10" s="3"/>
      <c r="JEA10" s="3"/>
      <c r="JEB10" s="3"/>
      <c r="JEC10" s="3"/>
      <c r="JED10" s="3"/>
      <c r="JEE10" s="3"/>
      <c r="JEF10" s="3"/>
      <c r="JEG10" s="3"/>
      <c r="JEH10" s="3"/>
      <c r="JEI10" s="3"/>
      <c r="JEJ10" s="3"/>
      <c r="JEK10" s="3"/>
      <c r="JEL10" s="3"/>
      <c r="JEM10" s="3"/>
      <c r="JEN10" s="3"/>
      <c r="JEO10" s="3"/>
      <c r="JEP10" s="3"/>
      <c r="JEQ10" s="3"/>
      <c r="JER10" s="3"/>
      <c r="JES10" s="3"/>
      <c r="JET10" s="3"/>
      <c r="JEU10" s="3"/>
      <c r="JEV10" s="3"/>
      <c r="JEW10" s="3"/>
      <c r="JEX10" s="3"/>
      <c r="JEY10" s="3"/>
      <c r="JEZ10" s="3"/>
      <c r="JFA10" s="3"/>
      <c r="JFB10" s="3"/>
      <c r="JFC10" s="3"/>
      <c r="JFD10" s="3"/>
      <c r="JFE10" s="3"/>
      <c r="JFF10" s="3"/>
      <c r="JFG10" s="3"/>
      <c r="JFH10" s="3"/>
      <c r="JFI10" s="3"/>
      <c r="JFJ10" s="3"/>
      <c r="JFK10" s="3"/>
      <c r="JFL10" s="3"/>
      <c r="JFM10" s="3"/>
      <c r="JFN10" s="3"/>
      <c r="JFO10" s="3"/>
      <c r="JFP10" s="3"/>
      <c r="JFQ10" s="3"/>
      <c r="JFR10" s="3"/>
      <c r="JFS10" s="3"/>
      <c r="JFT10" s="3"/>
      <c r="JFU10" s="3"/>
      <c r="JFV10" s="3"/>
      <c r="JFW10" s="3"/>
      <c r="JFX10" s="3"/>
      <c r="JFY10" s="3"/>
      <c r="JFZ10" s="3"/>
      <c r="JGA10" s="3"/>
      <c r="JGB10" s="3"/>
      <c r="JGC10" s="3"/>
      <c r="JGD10" s="3"/>
      <c r="JGE10" s="3"/>
      <c r="JGF10" s="3"/>
      <c r="JGG10" s="3"/>
      <c r="JGH10" s="3"/>
      <c r="JGI10" s="3"/>
      <c r="JGJ10" s="3"/>
      <c r="JGK10" s="3"/>
      <c r="JGL10" s="3"/>
      <c r="JGM10" s="3"/>
      <c r="JGN10" s="3"/>
      <c r="JGO10" s="3"/>
      <c r="JGP10" s="3"/>
      <c r="JGQ10" s="3"/>
      <c r="JGR10" s="3"/>
      <c r="JGS10" s="3"/>
      <c r="JGT10" s="3"/>
      <c r="JGU10" s="3"/>
      <c r="JGV10" s="3"/>
      <c r="JGW10" s="3"/>
      <c r="JGX10" s="3"/>
      <c r="JGY10" s="3"/>
      <c r="JGZ10" s="3"/>
      <c r="JHA10" s="3"/>
      <c r="JHB10" s="3"/>
      <c r="JHC10" s="3"/>
      <c r="JHD10" s="3"/>
      <c r="JHE10" s="3"/>
      <c r="JHF10" s="3"/>
      <c r="JHG10" s="3"/>
      <c r="JHH10" s="3"/>
      <c r="JHI10" s="3"/>
      <c r="JHJ10" s="3"/>
      <c r="JHK10" s="3"/>
      <c r="JHL10" s="3"/>
      <c r="JHM10" s="3"/>
      <c r="JHN10" s="3"/>
      <c r="JHO10" s="3"/>
      <c r="JHP10" s="3"/>
      <c r="JHQ10" s="3"/>
      <c r="JHR10" s="3"/>
      <c r="JHS10" s="3"/>
      <c r="JHT10" s="3"/>
      <c r="JHU10" s="3"/>
      <c r="JHV10" s="3"/>
      <c r="JHW10" s="3"/>
      <c r="JHX10" s="3"/>
      <c r="JHY10" s="3"/>
      <c r="JHZ10" s="3"/>
      <c r="JIA10" s="3"/>
      <c r="JIB10" s="3"/>
      <c r="JIC10" s="3"/>
      <c r="JID10" s="3"/>
      <c r="JIE10" s="3"/>
      <c r="JIF10" s="3"/>
      <c r="JIG10" s="3"/>
      <c r="JIH10" s="3"/>
      <c r="JII10" s="3"/>
      <c r="JIJ10" s="3"/>
      <c r="JIK10" s="3"/>
      <c r="JIL10" s="3"/>
      <c r="JIM10" s="3"/>
      <c r="JIN10" s="3"/>
      <c r="JIO10" s="3"/>
      <c r="JIP10" s="3"/>
      <c r="JIQ10" s="3"/>
      <c r="JIR10" s="3"/>
      <c r="JIS10" s="3"/>
      <c r="JIT10" s="3"/>
      <c r="JIU10" s="3"/>
      <c r="JIV10" s="3"/>
      <c r="JIW10" s="3"/>
      <c r="JIX10" s="3"/>
      <c r="JIY10" s="3"/>
      <c r="JIZ10" s="3"/>
      <c r="JJA10" s="3"/>
      <c r="JJB10" s="3"/>
      <c r="JJC10" s="3"/>
      <c r="JJD10" s="3"/>
      <c r="JJE10" s="3"/>
      <c r="JJF10" s="3"/>
      <c r="JJG10" s="3"/>
      <c r="JJH10" s="3"/>
      <c r="JJI10" s="3"/>
      <c r="JJJ10" s="3"/>
      <c r="JJK10" s="3"/>
      <c r="JJL10" s="3"/>
      <c r="JJM10" s="3"/>
      <c r="JJN10" s="3"/>
      <c r="JJO10" s="3"/>
      <c r="JJP10" s="3"/>
      <c r="JJQ10" s="3"/>
      <c r="JJR10" s="3"/>
      <c r="JJS10" s="3"/>
      <c r="JJT10" s="3"/>
      <c r="JJU10" s="3"/>
      <c r="JJV10" s="3"/>
      <c r="JJW10" s="3"/>
      <c r="JJX10" s="3"/>
      <c r="JJY10" s="3"/>
      <c r="JJZ10" s="3"/>
      <c r="JKA10" s="3"/>
      <c r="JKB10" s="3"/>
      <c r="JKC10" s="3"/>
      <c r="JKD10" s="3"/>
      <c r="JKE10" s="3"/>
      <c r="JKF10" s="3"/>
      <c r="JKG10" s="3"/>
      <c r="JKH10" s="3"/>
      <c r="JKI10" s="3"/>
      <c r="JKJ10" s="3"/>
      <c r="JKK10" s="3"/>
      <c r="JKL10" s="3"/>
      <c r="JKM10" s="3"/>
      <c r="JKN10" s="3"/>
      <c r="JKO10" s="3"/>
      <c r="JKP10" s="3"/>
      <c r="JKQ10" s="3"/>
      <c r="JKR10" s="3"/>
      <c r="JKS10" s="3"/>
      <c r="JKT10" s="3"/>
      <c r="JKU10" s="3"/>
      <c r="JKV10" s="3"/>
      <c r="JKW10" s="3"/>
      <c r="JKX10" s="3"/>
      <c r="JKY10" s="3"/>
      <c r="JKZ10" s="3"/>
      <c r="JLA10" s="3"/>
      <c r="JLB10" s="3"/>
      <c r="JLC10" s="3"/>
      <c r="JLD10" s="3"/>
      <c r="JLE10" s="3"/>
      <c r="JLF10" s="3"/>
      <c r="JLG10" s="3"/>
      <c r="JLH10" s="3"/>
      <c r="JLI10" s="3"/>
      <c r="JLJ10" s="3"/>
      <c r="JLK10" s="3"/>
      <c r="JLL10" s="3"/>
      <c r="JLM10" s="3"/>
      <c r="JLN10" s="3"/>
      <c r="JLO10" s="3"/>
      <c r="JLP10" s="3"/>
      <c r="JLQ10" s="3"/>
      <c r="JLR10" s="3"/>
      <c r="JLS10" s="3"/>
      <c r="JLT10" s="3"/>
      <c r="JLU10" s="3"/>
      <c r="JLV10" s="3"/>
      <c r="JLW10" s="3"/>
      <c r="JLX10" s="3"/>
      <c r="JLY10" s="3"/>
      <c r="JLZ10" s="3"/>
      <c r="JMA10" s="3"/>
      <c r="JMB10" s="3"/>
      <c r="JMC10" s="3"/>
      <c r="JMD10" s="3"/>
      <c r="JME10" s="3"/>
      <c r="JMF10" s="3"/>
      <c r="JMG10" s="3"/>
      <c r="JMH10" s="3"/>
      <c r="JMI10" s="3"/>
      <c r="JMJ10" s="3"/>
      <c r="JMK10" s="3"/>
      <c r="JML10" s="3"/>
      <c r="JMM10" s="3"/>
      <c r="JMN10" s="3"/>
      <c r="JMO10" s="3"/>
      <c r="JMP10" s="3"/>
      <c r="JMQ10" s="3"/>
      <c r="JMR10" s="3"/>
      <c r="JMS10" s="3"/>
      <c r="JMT10" s="3"/>
      <c r="JMU10" s="3"/>
      <c r="JMV10" s="3"/>
      <c r="JMW10" s="3"/>
      <c r="JMX10" s="3"/>
      <c r="JMY10" s="3"/>
      <c r="JMZ10" s="3"/>
      <c r="JNA10" s="3"/>
      <c r="JNB10" s="3"/>
      <c r="JNC10" s="3"/>
      <c r="JND10" s="3"/>
      <c r="JNE10" s="3"/>
      <c r="JNF10" s="3"/>
      <c r="JNG10" s="3"/>
      <c r="JNH10" s="3"/>
      <c r="JNI10" s="3"/>
      <c r="JNJ10" s="3"/>
      <c r="JNK10" s="3"/>
      <c r="JNL10" s="3"/>
      <c r="JNM10" s="3"/>
      <c r="JNN10" s="3"/>
      <c r="JNO10" s="3"/>
      <c r="JNP10" s="3"/>
      <c r="JNQ10" s="3"/>
      <c r="JNR10" s="3"/>
      <c r="JNS10" s="3"/>
      <c r="JNT10" s="3"/>
      <c r="JNU10" s="3"/>
      <c r="JNV10" s="3"/>
      <c r="JNW10" s="3"/>
      <c r="JNX10" s="3"/>
      <c r="JNY10" s="3"/>
      <c r="JNZ10" s="3"/>
      <c r="JOA10" s="3"/>
      <c r="JOB10" s="3"/>
      <c r="JOC10" s="3"/>
      <c r="JOD10" s="3"/>
      <c r="JOE10" s="3"/>
      <c r="JOF10" s="3"/>
      <c r="JOG10" s="3"/>
      <c r="JOH10" s="3"/>
      <c r="JOI10" s="3"/>
      <c r="JOJ10" s="3"/>
      <c r="JOK10" s="3"/>
      <c r="JOL10" s="3"/>
      <c r="JOM10" s="3"/>
      <c r="JON10" s="3"/>
      <c r="JOO10" s="3"/>
      <c r="JOP10" s="3"/>
      <c r="JOQ10" s="3"/>
      <c r="JOR10" s="3"/>
      <c r="JOS10" s="3"/>
      <c r="JOT10" s="3"/>
      <c r="JOU10" s="3"/>
      <c r="JOV10" s="3"/>
      <c r="JOW10" s="3"/>
      <c r="JOX10" s="3"/>
      <c r="JOY10" s="3"/>
      <c r="JOZ10" s="3"/>
      <c r="JPA10" s="3"/>
      <c r="JPB10" s="3"/>
      <c r="JPC10" s="3"/>
      <c r="JPD10" s="3"/>
      <c r="JPE10" s="3"/>
      <c r="JPF10" s="3"/>
      <c r="JPG10" s="3"/>
      <c r="JPH10" s="3"/>
      <c r="JPI10" s="3"/>
      <c r="JPJ10" s="3"/>
      <c r="JPK10" s="3"/>
      <c r="JPL10" s="3"/>
      <c r="JPM10" s="3"/>
      <c r="JPN10" s="3"/>
      <c r="JPO10" s="3"/>
      <c r="JPP10" s="3"/>
      <c r="JPQ10" s="3"/>
      <c r="JPR10" s="3"/>
      <c r="JPS10" s="3"/>
      <c r="JPT10" s="3"/>
      <c r="JPU10" s="3"/>
      <c r="JPV10" s="3"/>
      <c r="JPW10" s="3"/>
      <c r="JPX10" s="3"/>
      <c r="JPY10" s="3"/>
      <c r="JPZ10" s="3"/>
      <c r="JQA10" s="3"/>
      <c r="JQB10" s="3"/>
      <c r="JQC10" s="3"/>
      <c r="JQD10" s="3"/>
      <c r="JQE10" s="3"/>
      <c r="JQF10" s="3"/>
      <c r="JQG10" s="3"/>
      <c r="JQH10" s="3"/>
      <c r="JQI10" s="3"/>
      <c r="JQJ10" s="3"/>
      <c r="JQK10" s="3"/>
      <c r="JQL10" s="3"/>
      <c r="JQM10" s="3"/>
      <c r="JQN10" s="3"/>
      <c r="JQO10" s="3"/>
      <c r="JQP10" s="3"/>
      <c r="JQQ10" s="3"/>
      <c r="JQR10" s="3"/>
      <c r="JQS10" s="3"/>
      <c r="JQT10" s="3"/>
      <c r="JQU10" s="3"/>
      <c r="JQV10" s="3"/>
      <c r="JQW10" s="3"/>
      <c r="JQX10" s="3"/>
      <c r="JQY10" s="3"/>
      <c r="JQZ10" s="3"/>
      <c r="JRA10" s="3"/>
      <c r="JRB10" s="3"/>
      <c r="JRC10" s="3"/>
      <c r="JRD10" s="3"/>
      <c r="JRE10" s="3"/>
      <c r="JRF10" s="3"/>
      <c r="JRG10" s="3"/>
      <c r="JRH10" s="3"/>
      <c r="JRI10" s="3"/>
      <c r="JRJ10" s="3"/>
      <c r="JRK10" s="3"/>
      <c r="JRL10" s="3"/>
      <c r="JRM10" s="3"/>
      <c r="JRN10" s="3"/>
      <c r="JRO10" s="3"/>
      <c r="JRP10" s="3"/>
      <c r="JRQ10" s="3"/>
      <c r="JRR10" s="3"/>
      <c r="JRS10" s="3"/>
      <c r="JRT10" s="3"/>
      <c r="JRU10" s="3"/>
      <c r="JRV10" s="3"/>
      <c r="JRW10" s="3"/>
      <c r="JRX10" s="3"/>
      <c r="JRY10" s="3"/>
      <c r="JRZ10" s="3"/>
      <c r="JSA10" s="3"/>
      <c r="JSB10" s="3"/>
      <c r="JSC10" s="3"/>
      <c r="JSD10" s="3"/>
      <c r="JSE10" s="3"/>
      <c r="JSF10" s="3"/>
      <c r="JSG10" s="3"/>
      <c r="JSH10" s="3"/>
      <c r="JSI10" s="3"/>
      <c r="JSJ10" s="3"/>
      <c r="JSK10" s="3"/>
      <c r="JSL10" s="3"/>
      <c r="JSM10" s="3"/>
      <c r="JSN10" s="3"/>
      <c r="JSO10" s="3"/>
      <c r="JSP10" s="3"/>
      <c r="JSQ10" s="3"/>
      <c r="JSR10" s="3"/>
      <c r="JSS10" s="3"/>
      <c r="JST10" s="3"/>
      <c r="JSU10" s="3"/>
      <c r="JSV10" s="3"/>
      <c r="JSW10" s="3"/>
      <c r="JSX10" s="3"/>
      <c r="JSY10" s="3"/>
      <c r="JSZ10" s="3"/>
      <c r="JTA10" s="3"/>
      <c r="JTB10" s="3"/>
      <c r="JTC10" s="3"/>
      <c r="JTD10" s="3"/>
      <c r="JTE10" s="3"/>
      <c r="JTF10" s="3"/>
      <c r="JTG10" s="3"/>
      <c r="JTH10" s="3"/>
      <c r="JTI10" s="3"/>
      <c r="JTJ10" s="3"/>
      <c r="JTK10" s="3"/>
      <c r="JTL10" s="3"/>
      <c r="JTM10" s="3"/>
      <c r="JTN10" s="3"/>
      <c r="JTO10" s="3"/>
      <c r="JTP10" s="3"/>
      <c r="JTQ10" s="3"/>
      <c r="JTR10" s="3"/>
      <c r="JTS10" s="3"/>
      <c r="JTT10" s="3"/>
      <c r="JTU10" s="3"/>
      <c r="JTV10" s="3"/>
      <c r="JTW10" s="3"/>
      <c r="JTX10" s="3"/>
      <c r="JTY10" s="3"/>
      <c r="JTZ10" s="3"/>
      <c r="JUA10" s="3"/>
      <c r="JUB10" s="3"/>
      <c r="JUC10" s="3"/>
      <c r="JUD10" s="3"/>
      <c r="JUE10" s="3"/>
      <c r="JUF10" s="3"/>
      <c r="JUG10" s="3"/>
      <c r="JUH10" s="3"/>
      <c r="JUI10" s="3"/>
      <c r="JUJ10" s="3"/>
      <c r="JUK10" s="3"/>
      <c r="JUL10" s="3"/>
      <c r="JUM10" s="3"/>
      <c r="JUN10" s="3"/>
      <c r="JUO10" s="3"/>
      <c r="JUP10" s="3"/>
      <c r="JUQ10" s="3"/>
      <c r="JUR10" s="3"/>
      <c r="JUS10" s="3"/>
      <c r="JUT10" s="3"/>
      <c r="JUU10" s="3"/>
      <c r="JUV10" s="3"/>
      <c r="JUW10" s="3"/>
      <c r="JUX10" s="3"/>
      <c r="JUY10" s="3"/>
      <c r="JUZ10" s="3"/>
      <c r="JVA10" s="3"/>
      <c r="JVB10" s="3"/>
      <c r="JVC10" s="3"/>
      <c r="JVD10" s="3"/>
      <c r="JVE10" s="3"/>
      <c r="JVF10" s="3"/>
      <c r="JVG10" s="3"/>
      <c r="JVH10" s="3"/>
      <c r="JVI10" s="3"/>
      <c r="JVJ10" s="3"/>
      <c r="JVK10" s="3"/>
      <c r="JVL10" s="3"/>
      <c r="JVM10" s="3"/>
      <c r="JVN10" s="3"/>
      <c r="JVO10" s="3"/>
      <c r="JVP10" s="3"/>
      <c r="JVQ10" s="3"/>
      <c r="JVR10" s="3"/>
      <c r="JVS10" s="3"/>
      <c r="JVT10" s="3"/>
      <c r="JVU10" s="3"/>
      <c r="JVV10" s="3"/>
      <c r="JVW10" s="3"/>
      <c r="JVX10" s="3"/>
      <c r="JVY10" s="3"/>
      <c r="JVZ10" s="3"/>
      <c r="JWA10" s="3"/>
      <c r="JWB10" s="3"/>
      <c r="JWC10" s="3"/>
      <c r="JWD10" s="3"/>
      <c r="JWE10" s="3"/>
      <c r="JWF10" s="3"/>
      <c r="JWG10" s="3"/>
      <c r="JWH10" s="3"/>
      <c r="JWI10" s="3"/>
      <c r="JWJ10" s="3"/>
      <c r="JWK10" s="3"/>
      <c r="JWL10" s="3"/>
      <c r="JWM10" s="3"/>
      <c r="JWN10" s="3"/>
      <c r="JWO10" s="3"/>
      <c r="JWP10" s="3"/>
      <c r="JWQ10" s="3"/>
      <c r="JWR10" s="3"/>
      <c r="JWS10" s="3"/>
      <c r="JWT10" s="3"/>
      <c r="JWU10" s="3"/>
      <c r="JWV10" s="3"/>
      <c r="JWW10" s="3"/>
      <c r="JWX10" s="3"/>
      <c r="JWY10" s="3"/>
      <c r="JWZ10" s="3"/>
      <c r="JXA10" s="3"/>
      <c r="JXB10" s="3"/>
      <c r="JXC10" s="3"/>
      <c r="JXD10" s="3"/>
      <c r="JXE10" s="3"/>
      <c r="JXF10" s="3"/>
      <c r="JXG10" s="3"/>
      <c r="JXH10" s="3"/>
      <c r="JXI10" s="3"/>
      <c r="JXJ10" s="3"/>
      <c r="JXK10" s="3"/>
      <c r="JXL10" s="3"/>
      <c r="JXM10" s="3"/>
      <c r="JXN10" s="3"/>
      <c r="JXO10" s="3"/>
      <c r="JXP10" s="3"/>
      <c r="JXQ10" s="3"/>
      <c r="JXR10" s="3"/>
      <c r="JXS10" s="3"/>
      <c r="JXT10" s="3"/>
      <c r="JXU10" s="3"/>
      <c r="JXV10" s="3"/>
      <c r="JXW10" s="3"/>
      <c r="JXX10" s="3"/>
      <c r="JXY10" s="3"/>
      <c r="JXZ10" s="3"/>
      <c r="JYA10" s="3"/>
      <c r="JYB10" s="3"/>
      <c r="JYC10" s="3"/>
      <c r="JYD10" s="3"/>
      <c r="JYE10" s="3"/>
      <c r="JYF10" s="3"/>
      <c r="JYG10" s="3"/>
      <c r="JYH10" s="3"/>
      <c r="JYI10" s="3"/>
      <c r="JYJ10" s="3"/>
      <c r="JYK10" s="3"/>
      <c r="JYL10" s="3"/>
      <c r="JYM10" s="3"/>
      <c r="JYN10" s="3"/>
      <c r="JYO10" s="3"/>
      <c r="JYP10" s="3"/>
      <c r="JYQ10" s="3"/>
      <c r="JYR10" s="3"/>
      <c r="JYS10" s="3"/>
      <c r="JYT10" s="3"/>
      <c r="JYU10" s="3"/>
      <c r="JYV10" s="3"/>
      <c r="JYW10" s="3"/>
      <c r="JYX10" s="3"/>
      <c r="JYY10" s="3"/>
      <c r="JYZ10" s="3"/>
      <c r="JZA10" s="3"/>
      <c r="JZB10" s="3"/>
      <c r="JZC10" s="3"/>
      <c r="JZD10" s="3"/>
      <c r="JZE10" s="3"/>
      <c r="JZF10" s="3"/>
      <c r="JZG10" s="3"/>
      <c r="JZH10" s="3"/>
      <c r="JZI10" s="3"/>
      <c r="JZJ10" s="3"/>
      <c r="JZK10" s="3"/>
      <c r="JZL10" s="3"/>
      <c r="JZM10" s="3"/>
      <c r="JZN10" s="3"/>
      <c r="JZO10" s="3"/>
      <c r="JZP10" s="3"/>
      <c r="JZQ10" s="3"/>
      <c r="JZR10" s="3"/>
      <c r="JZS10" s="3"/>
      <c r="JZT10" s="3"/>
      <c r="JZU10" s="3"/>
      <c r="JZV10" s="3"/>
      <c r="JZW10" s="3"/>
      <c r="JZX10" s="3"/>
      <c r="JZY10" s="3"/>
      <c r="JZZ10" s="3"/>
      <c r="KAA10" s="3"/>
      <c r="KAB10" s="3"/>
      <c r="KAC10" s="3"/>
      <c r="KAD10" s="3"/>
      <c r="KAE10" s="3"/>
      <c r="KAF10" s="3"/>
      <c r="KAG10" s="3"/>
      <c r="KAH10" s="3"/>
      <c r="KAI10" s="3"/>
      <c r="KAJ10" s="3"/>
      <c r="KAK10" s="3"/>
      <c r="KAL10" s="3"/>
      <c r="KAM10" s="3"/>
      <c r="KAN10" s="3"/>
      <c r="KAO10" s="3"/>
      <c r="KAP10" s="3"/>
      <c r="KAQ10" s="3"/>
      <c r="KAR10" s="3"/>
      <c r="KAS10" s="3"/>
      <c r="KAT10" s="3"/>
      <c r="KAU10" s="3"/>
      <c r="KAV10" s="3"/>
      <c r="KAW10" s="3"/>
      <c r="KAX10" s="3"/>
      <c r="KAY10" s="3"/>
      <c r="KAZ10" s="3"/>
      <c r="KBA10" s="3"/>
      <c r="KBB10" s="3"/>
      <c r="KBC10" s="3"/>
      <c r="KBD10" s="3"/>
      <c r="KBE10" s="3"/>
      <c r="KBF10" s="3"/>
      <c r="KBG10" s="3"/>
      <c r="KBH10" s="3"/>
      <c r="KBI10" s="3"/>
      <c r="KBJ10" s="3"/>
      <c r="KBK10" s="3"/>
      <c r="KBL10" s="3"/>
      <c r="KBM10" s="3"/>
      <c r="KBN10" s="3"/>
      <c r="KBO10" s="3"/>
      <c r="KBP10" s="3"/>
      <c r="KBQ10" s="3"/>
      <c r="KBR10" s="3"/>
      <c r="KBS10" s="3"/>
      <c r="KBT10" s="3"/>
      <c r="KBU10" s="3"/>
      <c r="KBV10" s="3"/>
      <c r="KBW10" s="3"/>
      <c r="KBX10" s="3"/>
      <c r="KBY10" s="3"/>
      <c r="KBZ10" s="3"/>
      <c r="KCA10" s="3"/>
      <c r="KCB10" s="3"/>
      <c r="KCC10" s="3"/>
      <c r="KCD10" s="3"/>
      <c r="KCE10" s="3"/>
      <c r="KCF10" s="3"/>
      <c r="KCG10" s="3"/>
      <c r="KCH10" s="3"/>
      <c r="KCI10" s="3"/>
      <c r="KCJ10" s="3"/>
      <c r="KCK10" s="3"/>
      <c r="KCL10" s="3"/>
      <c r="KCM10" s="3"/>
      <c r="KCN10" s="3"/>
      <c r="KCO10" s="3"/>
      <c r="KCP10" s="3"/>
      <c r="KCQ10" s="3"/>
      <c r="KCR10" s="3"/>
      <c r="KCS10" s="3"/>
      <c r="KCT10" s="3"/>
      <c r="KCU10" s="3"/>
      <c r="KCV10" s="3"/>
      <c r="KCW10" s="3"/>
      <c r="KCX10" s="3"/>
      <c r="KCY10" s="3"/>
      <c r="KCZ10" s="3"/>
      <c r="KDA10" s="3"/>
      <c r="KDB10" s="3"/>
      <c r="KDC10" s="3"/>
      <c r="KDD10" s="3"/>
      <c r="KDE10" s="3"/>
      <c r="KDF10" s="3"/>
      <c r="KDG10" s="3"/>
      <c r="KDH10" s="3"/>
      <c r="KDI10" s="3"/>
      <c r="KDJ10" s="3"/>
      <c r="KDK10" s="3"/>
      <c r="KDL10" s="3"/>
      <c r="KDM10" s="3"/>
      <c r="KDN10" s="3"/>
      <c r="KDO10" s="3"/>
      <c r="KDP10" s="3"/>
      <c r="KDQ10" s="3"/>
      <c r="KDR10" s="3"/>
      <c r="KDS10" s="3"/>
      <c r="KDT10" s="3"/>
      <c r="KDU10" s="3"/>
      <c r="KDV10" s="3"/>
      <c r="KDW10" s="3"/>
      <c r="KDX10" s="3"/>
      <c r="KDY10" s="3"/>
      <c r="KDZ10" s="3"/>
      <c r="KEA10" s="3"/>
      <c r="KEB10" s="3"/>
      <c r="KEC10" s="3"/>
      <c r="KED10" s="3"/>
      <c r="KEE10" s="3"/>
      <c r="KEF10" s="3"/>
      <c r="KEG10" s="3"/>
      <c r="KEH10" s="3"/>
      <c r="KEI10" s="3"/>
      <c r="KEJ10" s="3"/>
      <c r="KEK10" s="3"/>
      <c r="KEL10" s="3"/>
      <c r="KEM10" s="3"/>
      <c r="KEN10" s="3"/>
      <c r="KEO10" s="3"/>
      <c r="KEP10" s="3"/>
      <c r="KEQ10" s="3"/>
      <c r="KER10" s="3"/>
      <c r="KES10" s="3"/>
      <c r="KET10" s="3"/>
      <c r="KEU10" s="3"/>
      <c r="KEV10" s="3"/>
      <c r="KEW10" s="3"/>
      <c r="KEX10" s="3"/>
      <c r="KEY10" s="3"/>
      <c r="KEZ10" s="3"/>
      <c r="KFA10" s="3"/>
      <c r="KFB10" s="3"/>
      <c r="KFC10" s="3"/>
      <c r="KFD10" s="3"/>
      <c r="KFE10" s="3"/>
      <c r="KFF10" s="3"/>
      <c r="KFG10" s="3"/>
      <c r="KFH10" s="3"/>
      <c r="KFI10" s="3"/>
      <c r="KFJ10" s="3"/>
      <c r="KFK10" s="3"/>
      <c r="KFL10" s="3"/>
      <c r="KFM10" s="3"/>
      <c r="KFN10" s="3"/>
      <c r="KFO10" s="3"/>
      <c r="KFP10" s="3"/>
      <c r="KFQ10" s="3"/>
      <c r="KFR10" s="3"/>
      <c r="KFS10" s="3"/>
      <c r="KFT10" s="3"/>
      <c r="KFU10" s="3"/>
      <c r="KFV10" s="3"/>
      <c r="KFW10" s="3"/>
      <c r="KFX10" s="3"/>
      <c r="KFY10" s="3"/>
      <c r="KFZ10" s="3"/>
      <c r="KGA10" s="3"/>
      <c r="KGB10" s="3"/>
      <c r="KGC10" s="3"/>
      <c r="KGD10" s="3"/>
      <c r="KGE10" s="3"/>
      <c r="KGF10" s="3"/>
      <c r="KGG10" s="3"/>
      <c r="KGH10" s="3"/>
      <c r="KGI10" s="3"/>
      <c r="KGJ10" s="3"/>
      <c r="KGK10" s="3"/>
      <c r="KGL10" s="3"/>
      <c r="KGM10" s="3"/>
      <c r="KGN10" s="3"/>
      <c r="KGO10" s="3"/>
      <c r="KGP10" s="3"/>
      <c r="KGQ10" s="3"/>
      <c r="KGR10" s="3"/>
      <c r="KGS10" s="3"/>
      <c r="KGT10" s="3"/>
      <c r="KGU10" s="3"/>
      <c r="KGV10" s="3"/>
      <c r="KGW10" s="3"/>
      <c r="KGX10" s="3"/>
      <c r="KGY10" s="3"/>
      <c r="KGZ10" s="3"/>
      <c r="KHA10" s="3"/>
      <c r="KHB10" s="3"/>
      <c r="KHC10" s="3"/>
      <c r="KHD10" s="3"/>
      <c r="KHE10" s="3"/>
      <c r="KHF10" s="3"/>
      <c r="KHG10" s="3"/>
      <c r="KHH10" s="3"/>
      <c r="KHI10" s="3"/>
      <c r="KHJ10" s="3"/>
      <c r="KHK10" s="3"/>
      <c r="KHL10" s="3"/>
      <c r="KHM10" s="3"/>
      <c r="KHN10" s="3"/>
      <c r="KHO10" s="3"/>
      <c r="KHP10" s="3"/>
      <c r="KHQ10" s="3"/>
      <c r="KHR10" s="3"/>
      <c r="KHS10" s="3"/>
      <c r="KHT10" s="3"/>
      <c r="KHU10" s="3"/>
      <c r="KHV10" s="3"/>
      <c r="KHW10" s="3"/>
      <c r="KHX10" s="3"/>
      <c r="KHY10" s="3"/>
      <c r="KHZ10" s="3"/>
      <c r="KIA10" s="3"/>
      <c r="KIB10" s="3"/>
      <c r="KIC10" s="3"/>
      <c r="KID10" s="3"/>
      <c r="KIE10" s="3"/>
      <c r="KIF10" s="3"/>
      <c r="KIG10" s="3"/>
      <c r="KIH10" s="3"/>
      <c r="KII10" s="3"/>
      <c r="KIJ10" s="3"/>
      <c r="KIK10" s="3"/>
      <c r="KIL10" s="3"/>
      <c r="KIM10" s="3"/>
      <c r="KIN10" s="3"/>
      <c r="KIO10" s="3"/>
      <c r="KIP10" s="3"/>
      <c r="KIQ10" s="3"/>
      <c r="KIR10" s="3"/>
      <c r="KIS10" s="3"/>
      <c r="KIT10" s="3"/>
      <c r="KIU10" s="3"/>
      <c r="KIV10" s="3"/>
      <c r="KIW10" s="3"/>
      <c r="KIX10" s="3"/>
      <c r="KIY10" s="3"/>
      <c r="KIZ10" s="3"/>
      <c r="KJA10" s="3"/>
      <c r="KJB10" s="3"/>
      <c r="KJC10" s="3"/>
      <c r="KJD10" s="3"/>
      <c r="KJE10" s="3"/>
      <c r="KJF10" s="3"/>
      <c r="KJG10" s="3"/>
      <c r="KJH10" s="3"/>
      <c r="KJI10" s="3"/>
      <c r="KJJ10" s="3"/>
      <c r="KJK10" s="3"/>
      <c r="KJL10" s="3"/>
      <c r="KJM10" s="3"/>
      <c r="KJN10" s="3"/>
      <c r="KJO10" s="3"/>
      <c r="KJP10" s="3"/>
      <c r="KJQ10" s="3"/>
      <c r="KJR10" s="3"/>
      <c r="KJS10" s="3"/>
      <c r="KJT10" s="3"/>
      <c r="KJU10" s="3"/>
      <c r="KJV10" s="3"/>
      <c r="KJW10" s="3"/>
      <c r="KJX10" s="3"/>
      <c r="KJY10" s="3"/>
      <c r="KJZ10" s="3"/>
      <c r="KKA10" s="3"/>
      <c r="KKB10" s="3"/>
      <c r="KKC10" s="3"/>
      <c r="KKD10" s="3"/>
      <c r="KKE10" s="3"/>
      <c r="KKF10" s="3"/>
      <c r="KKG10" s="3"/>
      <c r="KKH10" s="3"/>
      <c r="KKI10" s="3"/>
      <c r="KKJ10" s="3"/>
      <c r="KKK10" s="3"/>
      <c r="KKL10" s="3"/>
      <c r="KKM10" s="3"/>
      <c r="KKN10" s="3"/>
      <c r="KKO10" s="3"/>
      <c r="KKP10" s="3"/>
      <c r="KKQ10" s="3"/>
      <c r="KKR10" s="3"/>
      <c r="KKS10" s="3"/>
      <c r="KKT10" s="3"/>
      <c r="KKU10" s="3"/>
      <c r="KKV10" s="3"/>
      <c r="KKW10" s="3"/>
      <c r="KKX10" s="3"/>
      <c r="KKY10" s="3"/>
      <c r="KKZ10" s="3"/>
      <c r="KLA10" s="3"/>
      <c r="KLB10" s="3"/>
      <c r="KLC10" s="3"/>
      <c r="KLD10" s="3"/>
      <c r="KLE10" s="3"/>
      <c r="KLF10" s="3"/>
      <c r="KLG10" s="3"/>
      <c r="KLH10" s="3"/>
      <c r="KLI10" s="3"/>
      <c r="KLJ10" s="3"/>
      <c r="KLK10" s="3"/>
      <c r="KLL10" s="3"/>
      <c r="KLM10" s="3"/>
      <c r="KLN10" s="3"/>
      <c r="KLO10" s="3"/>
      <c r="KLP10" s="3"/>
      <c r="KLQ10" s="3"/>
      <c r="KLR10" s="3"/>
      <c r="KLS10" s="3"/>
      <c r="KLT10" s="3"/>
      <c r="KLU10" s="3"/>
      <c r="KLV10" s="3"/>
      <c r="KLW10" s="3"/>
      <c r="KLX10" s="3"/>
      <c r="KLY10" s="3"/>
      <c r="KLZ10" s="3"/>
      <c r="KMA10" s="3"/>
      <c r="KMB10" s="3"/>
      <c r="KMC10" s="3"/>
      <c r="KMD10" s="3"/>
      <c r="KME10" s="3"/>
      <c r="KMF10" s="3"/>
      <c r="KMG10" s="3"/>
      <c r="KMH10" s="3"/>
      <c r="KMI10" s="3"/>
      <c r="KMJ10" s="3"/>
      <c r="KMK10" s="3"/>
      <c r="KML10" s="3"/>
      <c r="KMM10" s="3"/>
      <c r="KMN10" s="3"/>
      <c r="KMO10" s="3"/>
      <c r="KMP10" s="3"/>
      <c r="KMQ10" s="3"/>
      <c r="KMR10" s="3"/>
      <c r="KMS10" s="3"/>
      <c r="KMT10" s="3"/>
      <c r="KMU10" s="3"/>
      <c r="KMV10" s="3"/>
      <c r="KMW10" s="3"/>
      <c r="KMX10" s="3"/>
      <c r="KMY10" s="3"/>
      <c r="KMZ10" s="3"/>
      <c r="KNA10" s="3"/>
      <c r="KNB10" s="3"/>
      <c r="KNC10" s="3"/>
      <c r="KND10" s="3"/>
      <c r="KNE10" s="3"/>
      <c r="KNF10" s="3"/>
      <c r="KNG10" s="3"/>
      <c r="KNH10" s="3"/>
      <c r="KNI10" s="3"/>
      <c r="KNJ10" s="3"/>
      <c r="KNK10" s="3"/>
      <c r="KNL10" s="3"/>
      <c r="KNM10" s="3"/>
      <c r="KNN10" s="3"/>
      <c r="KNO10" s="3"/>
      <c r="KNP10" s="3"/>
      <c r="KNQ10" s="3"/>
      <c r="KNR10" s="3"/>
      <c r="KNS10" s="3"/>
      <c r="KNT10" s="3"/>
      <c r="KNU10" s="3"/>
      <c r="KNV10" s="3"/>
      <c r="KNW10" s="3"/>
      <c r="KNX10" s="3"/>
      <c r="KNY10" s="3"/>
      <c r="KNZ10" s="3"/>
      <c r="KOA10" s="3"/>
      <c r="KOB10" s="3"/>
      <c r="KOC10" s="3"/>
      <c r="KOD10" s="3"/>
      <c r="KOE10" s="3"/>
      <c r="KOF10" s="3"/>
      <c r="KOG10" s="3"/>
      <c r="KOH10" s="3"/>
      <c r="KOI10" s="3"/>
      <c r="KOJ10" s="3"/>
      <c r="KOK10" s="3"/>
      <c r="KOL10" s="3"/>
      <c r="KOM10" s="3"/>
      <c r="KON10" s="3"/>
      <c r="KOO10" s="3"/>
      <c r="KOP10" s="3"/>
      <c r="KOQ10" s="3"/>
      <c r="KOR10" s="3"/>
      <c r="KOS10" s="3"/>
      <c r="KOT10" s="3"/>
      <c r="KOU10" s="3"/>
      <c r="KOV10" s="3"/>
      <c r="KOW10" s="3"/>
      <c r="KOX10" s="3"/>
      <c r="KOY10" s="3"/>
      <c r="KOZ10" s="3"/>
      <c r="KPA10" s="3"/>
      <c r="KPB10" s="3"/>
      <c r="KPC10" s="3"/>
      <c r="KPD10" s="3"/>
      <c r="KPE10" s="3"/>
      <c r="KPF10" s="3"/>
      <c r="KPG10" s="3"/>
      <c r="KPH10" s="3"/>
      <c r="KPI10" s="3"/>
      <c r="KPJ10" s="3"/>
      <c r="KPK10" s="3"/>
      <c r="KPL10" s="3"/>
      <c r="KPM10" s="3"/>
      <c r="KPN10" s="3"/>
      <c r="KPO10" s="3"/>
      <c r="KPP10" s="3"/>
      <c r="KPQ10" s="3"/>
      <c r="KPR10" s="3"/>
      <c r="KPS10" s="3"/>
      <c r="KPT10" s="3"/>
      <c r="KPU10" s="3"/>
      <c r="KPV10" s="3"/>
      <c r="KPW10" s="3"/>
      <c r="KPX10" s="3"/>
      <c r="KPY10" s="3"/>
      <c r="KPZ10" s="3"/>
      <c r="KQA10" s="3"/>
      <c r="KQB10" s="3"/>
      <c r="KQC10" s="3"/>
      <c r="KQD10" s="3"/>
      <c r="KQE10" s="3"/>
      <c r="KQF10" s="3"/>
      <c r="KQG10" s="3"/>
      <c r="KQH10" s="3"/>
      <c r="KQI10" s="3"/>
      <c r="KQJ10" s="3"/>
      <c r="KQK10" s="3"/>
      <c r="KQL10" s="3"/>
      <c r="KQM10" s="3"/>
      <c r="KQN10" s="3"/>
      <c r="KQO10" s="3"/>
      <c r="KQP10" s="3"/>
      <c r="KQQ10" s="3"/>
      <c r="KQR10" s="3"/>
      <c r="KQS10" s="3"/>
      <c r="KQT10" s="3"/>
      <c r="KQU10" s="3"/>
      <c r="KQV10" s="3"/>
      <c r="KQW10" s="3"/>
      <c r="KQX10" s="3"/>
      <c r="KQY10" s="3"/>
      <c r="KQZ10" s="3"/>
      <c r="KRA10" s="3"/>
      <c r="KRB10" s="3"/>
      <c r="KRC10" s="3"/>
      <c r="KRD10" s="3"/>
      <c r="KRE10" s="3"/>
      <c r="KRF10" s="3"/>
      <c r="KRG10" s="3"/>
      <c r="KRH10" s="3"/>
      <c r="KRI10" s="3"/>
      <c r="KRJ10" s="3"/>
      <c r="KRK10" s="3"/>
      <c r="KRL10" s="3"/>
      <c r="KRM10" s="3"/>
      <c r="KRN10" s="3"/>
      <c r="KRO10" s="3"/>
      <c r="KRP10" s="3"/>
      <c r="KRQ10" s="3"/>
      <c r="KRR10" s="3"/>
      <c r="KRS10" s="3"/>
      <c r="KRT10" s="3"/>
      <c r="KRU10" s="3"/>
      <c r="KRV10" s="3"/>
      <c r="KRW10" s="3"/>
      <c r="KRX10" s="3"/>
      <c r="KRY10" s="3"/>
      <c r="KRZ10" s="3"/>
      <c r="KSA10" s="3"/>
      <c r="KSB10" s="3"/>
      <c r="KSC10" s="3"/>
      <c r="KSD10" s="3"/>
      <c r="KSE10" s="3"/>
      <c r="KSF10" s="3"/>
      <c r="KSG10" s="3"/>
      <c r="KSH10" s="3"/>
      <c r="KSI10" s="3"/>
      <c r="KSJ10" s="3"/>
      <c r="KSK10" s="3"/>
      <c r="KSL10" s="3"/>
      <c r="KSM10" s="3"/>
      <c r="KSN10" s="3"/>
      <c r="KSO10" s="3"/>
      <c r="KSP10" s="3"/>
      <c r="KSQ10" s="3"/>
      <c r="KSR10" s="3"/>
      <c r="KSS10" s="3"/>
      <c r="KST10" s="3"/>
      <c r="KSU10" s="3"/>
      <c r="KSV10" s="3"/>
      <c r="KSW10" s="3"/>
      <c r="KSX10" s="3"/>
      <c r="KSY10" s="3"/>
      <c r="KSZ10" s="3"/>
      <c r="KTA10" s="3"/>
      <c r="KTB10" s="3"/>
      <c r="KTC10" s="3"/>
      <c r="KTD10" s="3"/>
      <c r="KTE10" s="3"/>
      <c r="KTF10" s="3"/>
      <c r="KTG10" s="3"/>
      <c r="KTH10" s="3"/>
      <c r="KTI10" s="3"/>
      <c r="KTJ10" s="3"/>
      <c r="KTK10" s="3"/>
      <c r="KTL10" s="3"/>
      <c r="KTM10" s="3"/>
      <c r="KTN10" s="3"/>
      <c r="KTO10" s="3"/>
      <c r="KTP10" s="3"/>
      <c r="KTQ10" s="3"/>
      <c r="KTR10" s="3"/>
      <c r="KTS10" s="3"/>
      <c r="KTT10" s="3"/>
      <c r="KTU10" s="3"/>
      <c r="KTV10" s="3"/>
      <c r="KTW10" s="3"/>
      <c r="KTX10" s="3"/>
      <c r="KTY10" s="3"/>
      <c r="KTZ10" s="3"/>
      <c r="KUA10" s="3"/>
      <c r="KUB10" s="3"/>
      <c r="KUC10" s="3"/>
      <c r="KUD10" s="3"/>
      <c r="KUE10" s="3"/>
      <c r="KUF10" s="3"/>
      <c r="KUG10" s="3"/>
      <c r="KUH10" s="3"/>
      <c r="KUI10" s="3"/>
      <c r="KUJ10" s="3"/>
      <c r="KUK10" s="3"/>
      <c r="KUL10" s="3"/>
      <c r="KUM10" s="3"/>
      <c r="KUN10" s="3"/>
      <c r="KUO10" s="3"/>
      <c r="KUP10" s="3"/>
      <c r="KUQ10" s="3"/>
      <c r="KUR10" s="3"/>
      <c r="KUS10" s="3"/>
      <c r="KUT10" s="3"/>
      <c r="KUU10" s="3"/>
      <c r="KUV10" s="3"/>
      <c r="KUW10" s="3"/>
      <c r="KUX10" s="3"/>
      <c r="KUY10" s="3"/>
      <c r="KUZ10" s="3"/>
      <c r="KVA10" s="3"/>
      <c r="KVB10" s="3"/>
      <c r="KVC10" s="3"/>
      <c r="KVD10" s="3"/>
      <c r="KVE10" s="3"/>
      <c r="KVF10" s="3"/>
      <c r="KVG10" s="3"/>
      <c r="KVH10" s="3"/>
      <c r="KVI10" s="3"/>
      <c r="KVJ10" s="3"/>
      <c r="KVK10" s="3"/>
      <c r="KVL10" s="3"/>
      <c r="KVM10" s="3"/>
      <c r="KVN10" s="3"/>
      <c r="KVO10" s="3"/>
      <c r="KVP10" s="3"/>
      <c r="KVQ10" s="3"/>
      <c r="KVR10" s="3"/>
      <c r="KVS10" s="3"/>
      <c r="KVT10" s="3"/>
      <c r="KVU10" s="3"/>
      <c r="KVV10" s="3"/>
      <c r="KVW10" s="3"/>
      <c r="KVX10" s="3"/>
      <c r="KVY10" s="3"/>
      <c r="KVZ10" s="3"/>
      <c r="KWA10" s="3"/>
      <c r="KWB10" s="3"/>
      <c r="KWC10" s="3"/>
      <c r="KWD10" s="3"/>
      <c r="KWE10" s="3"/>
      <c r="KWF10" s="3"/>
      <c r="KWG10" s="3"/>
      <c r="KWH10" s="3"/>
      <c r="KWI10" s="3"/>
      <c r="KWJ10" s="3"/>
      <c r="KWK10" s="3"/>
      <c r="KWL10" s="3"/>
      <c r="KWM10" s="3"/>
      <c r="KWN10" s="3"/>
      <c r="KWO10" s="3"/>
      <c r="KWP10" s="3"/>
      <c r="KWQ10" s="3"/>
      <c r="KWR10" s="3"/>
      <c r="KWS10" s="3"/>
      <c r="KWT10" s="3"/>
      <c r="KWU10" s="3"/>
      <c r="KWV10" s="3"/>
      <c r="KWW10" s="3"/>
      <c r="KWX10" s="3"/>
      <c r="KWY10" s="3"/>
      <c r="KWZ10" s="3"/>
      <c r="KXA10" s="3"/>
      <c r="KXB10" s="3"/>
      <c r="KXC10" s="3"/>
      <c r="KXD10" s="3"/>
      <c r="KXE10" s="3"/>
      <c r="KXF10" s="3"/>
      <c r="KXG10" s="3"/>
      <c r="KXH10" s="3"/>
      <c r="KXI10" s="3"/>
      <c r="KXJ10" s="3"/>
      <c r="KXK10" s="3"/>
      <c r="KXL10" s="3"/>
      <c r="KXM10" s="3"/>
      <c r="KXN10" s="3"/>
      <c r="KXO10" s="3"/>
      <c r="KXP10" s="3"/>
      <c r="KXQ10" s="3"/>
      <c r="KXR10" s="3"/>
      <c r="KXS10" s="3"/>
      <c r="KXT10" s="3"/>
      <c r="KXU10" s="3"/>
      <c r="KXV10" s="3"/>
      <c r="KXW10" s="3"/>
      <c r="KXX10" s="3"/>
      <c r="KXY10" s="3"/>
      <c r="KXZ10" s="3"/>
      <c r="KYA10" s="3"/>
      <c r="KYB10" s="3"/>
      <c r="KYC10" s="3"/>
      <c r="KYD10" s="3"/>
      <c r="KYE10" s="3"/>
      <c r="KYF10" s="3"/>
      <c r="KYG10" s="3"/>
      <c r="KYH10" s="3"/>
      <c r="KYI10" s="3"/>
      <c r="KYJ10" s="3"/>
      <c r="KYK10" s="3"/>
      <c r="KYL10" s="3"/>
      <c r="KYM10" s="3"/>
      <c r="KYN10" s="3"/>
      <c r="KYO10" s="3"/>
      <c r="KYP10" s="3"/>
      <c r="KYQ10" s="3"/>
      <c r="KYR10" s="3"/>
      <c r="KYS10" s="3"/>
      <c r="KYT10" s="3"/>
      <c r="KYU10" s="3"/>
      <c r="KYV10" s="3"/>
      <c r="KYW10" s="3"/>
      <c r="KYX10" s="3"/>
      <c r="KYY10" s="3"/>
      <c r="KYZ10" s="3"/>
      <c r="KZA10" s="3"/>
      <c r="KZB10" s="3"/>
      <c r="KZC10" s="3"/>
      <c r="KZD10" s="3"/>
      <c r="KZE10" s="3"/>
      <c r="KZF10" s="3"/>
      <c r="KZG10" s="3"/>
      <c r="KZH10" s="3"/>
      <c r="KZI10" s="3"/>
      <c r="KZJ10" s="3"/>
      <c r="KZK10" s="3"/>
      <c r="KZL10" s="3"/>
      <c r="KZM10" s="3"/>
      <c r="KZN10" s="3"/>
      <c r="KZO10" s="3"/>
      <c r="KZP10" s="3"/>
      <c r="KZQ10" s="3"/>
      <c r="KZR10" s="3"/>
      <c r="KZS10" s="3"/>
      <c r="KZT10" s="3"/>
      <c r="KZU10" s="3"/>
      <c r="KZV10" s="3"/>
      <c r="KZW10" s="3"/>
      <c r="KZX10" s="3"/>
      <c r="KZY10" s="3"/>
      <c r="KZZ10" s="3"/>
      <c r="LAA10" s="3"/>
      <c r="LAB10" s="3"/>
      <c r="LAC10" s="3"/>
      <c r="LAD10" s="3"/>
      <c r="LAE10" s="3"/>
      <c r="LAF10" s="3"/>
      <c r="LAG10" s="3"/>
      <c r="LAH10" s="3"/>
      <c r="LAI10" s="3"/>
      <c r="LAJ10" s="3"/>
      <c r="LAK10" s="3"/>
      <c r="LAL10" s="3"/>
      <c r="LAM10" s="3"/>
      <c r="LAN10" s="3"/>
      <c r="LAO10" s="3"/>
      <c r="LAP10" s="3"/>
      <c r="LAQ10" s="3"/>
      <c r="LAR10" s="3"/>
      <c r="LAS10" s="3"/>
      <c r="LAT10" s="3"/>
      <c r="LAU10" s="3"/>
      <c r="LAV10" s="3"/>
      <c r="LAW10" s="3"/>
      <c r="LAX10" s="3"/>
      <c r="LAY10" s="3"/>
      <c r="LAZ10" s="3"/>
      <c r="LBA10" s="3"/>
      <c r="LBB10" s="3"/>
      <c r="LBC10" s="3"/>
      <c r="LBD10" s="3"/>
      <c r="LBE10" s="3"/>
      <c r="LBF10" s="3"/>
      <c r="LBG10" s="3"/>
      <c r="LBH10" s="3"/>
      <c r="LBI10" s="3"/>
      <c r="LBJ10" s="3"/>
      <c r="LBK10" s="3"/>
      <c r="LBL10" s="3"/>
      <c r="LBM10" s="3"/>
      <c r="LBN10" s="3"/>
      <c r="LBO10" s="3"/>
      <c r="LBP10" s="3"/>
      <c r="LBQ10" s="3"/>
      <c r="LBR10" s="3"/>
      <c r="LBS10" s="3"/>
      <c r="LBT10" s="3"/>
      <c r="LBU10" s="3"/>
      <c r="LBV10" s="3"/>
      <c r="LBW10" s="3"/>
      <c r="LBX10" s="3"/>
      <c r="LBY10" s="3"/>
      <c r="LBZ10" s="3"/>
      <c r="LCA10" s="3"/>
      <c r="LCB10" s="3"/>
      <c r="LCC10" s="3"/>
      <c r="LCD10" s="3"/>
      <c r="LCE10" s="3"/>
      <c r="LCF10" s="3"/>
      <c r="LCG10" s="3"/>
      <c r="LCH10" s="3"/>
      <c r="LCI10" s="3"/>
      <c r="LCJ10" s="3"/>
      <c r="LCK10" s="3"/>
      <c r="LCL10" s="3"/>
      <c r="LCM10" s="3"/>
      <c r="LCN10" s="3"/>
      <c r="LCO10" s="3"/>
      <c r="LCP10" s="3"/>
      <c r="LCQ10" s="3"/>
      <c r="LCR10" s="3"/>
      <c r="LCS10" s="3"/>
      <c r="LCT10" s="3"/>
      <c r="LCU10" s="3"/>
      <c r="LCV10" s="3"/>
      <c r="LCW10" s="3"/>
      <c r="LCX10" s="3"/>
      <c r="LCY10" s="3"/>
      <c r="LCZ10" s="3"/>
      <c r="LDA10" s="3"/>
      <c r="LDB10" s="3"/>
      <c r="LDC10" s="3"/>
      <c r="LDD10" s="3"/>
      <c r="LDE10" s="3"/>
      <c r="LDF10" s="3"/>
      <c r="LDG10" s="3"/>
      <c r="LDH10" s="3"/>
      <c r="LDI10" s="3"/>
      <c r="LDJ10" s="3"/>
      <c r="LDK10" s="3"/>
      <c r="LDL10" s="3"/>
      <c r="LDM10" s="3"/>
      <c r="LDN10" s="3"/>
      <c r="LDO10" s="3"/>
      <c r="LDP10" s="3"/>
      <c r="LDQ10" s="3"/>
      <c r="LDR10" s="3"/>
      <c r="LDS10" s="3"/>
      <c r="LDT10" s="3"/>
      <c r="LDU10" s="3"/>
      <c r="LDV10" s="3"/>
      <c r="LDW10" s="3"/>
      <c r="LDX10" s="3"/>
      <c r="LDY10" s="3"/>
      <c r="LDZ10" s="3"/>
      <c r="LEA10" s="3"/>
      <c r="LEB10" s="3"/>
      <c r="LEC10" s="3"/>
      <c r="LED10" s="3"/>
      <c r="LEE10" s="3"/>
      <c r="LEF10" s="3"/>
      <c r="LEG10" s="3"/>
      <c r="LEH10" s="3"/>
      <c r="LEI10" s="3"/>
      <c r="LEJ10" s="3"/>
      <c r="LEK10" s="3"/>
      <c r="LEL10" s="3"/>
      <c r="LEM10" s="3"/>
      <c r="LEN10" s="3"/>
      <c r="LEO10" s="3"/>
      <c r="LEP10" s="3"/>
      <c r="LEQ10" s="3"/>
      <c r="LER10" s="3"/>
      <c r="LES10" s="3"/>
      <c r="LET10" s="3"/>
      <c r="LEU10" s="3"/>
      <c r="LEV10" s="3"/>
      <c r="LEW10" s="3"/>
      <c r="LEX10" s="3"/>
      <c r="LEY10" s="3"/>
      <c r="LEZ10" s="3"/>
      <c r="LFA10" s="3"/>
      <c r="LFB10" s="3"/>
      <c r="LFC10" s="3"/>
      <c r="LFD10" s="3"/>
      <c r="LFE10" s="3"/>
      <c r="LFF10" s="3"/>
      <c r="LFG10" s="3"/>
      <c r="LFH10" s="3"/>
      <c r="LFI10" s="3"/>
      <c r="LFJ10" s="3"/>
      <c r="LFK10" s="3"/>
      <c r="LFL10" s="3"/>
      <c r="LFM10" s="3"/>
      <c r="LFN10" s="3"/>
      <c r="LFO10" s="3"/>
      <c r="LFP10" s="3"/>
      <c r="LFQ10" s="3"/>
      <c r="LFR10" s="3"/>
      <c r="LFS10" s="3"/>
      <c r="LFT10" s="3"/>
      <c r="LFU10" s="3"/>
      <c r="LFV10" s="3"/>
      <c r="LFW10" s="3"/>
      <c r="LFX10" s="3"/>
      <c r="LFY10" s="3"/>
      <c r="LFZ10" s="3"/>
      <c r="LGA10" s="3"/>
      <c r="LGB10" s="3"/>
      <c r="LGC10" s="3"/>
      <c r="LGD10" s="3"/>
      <c r="LGE10" s="3"/>
      <c r="LGF10" s="3"/>
      <c r="LGG10" s="3"/>
      <c r="LGH10" s="3"/>
      <c r="LGI10" s="3"/>
      <c r="LGJ10" s="3"/>
      <c r="LGK10" s="3"/>
      <c r="LGL10" s="3"/>
      <c r="LGM10" s="3"/>
      <c r="LGN10" s="3"/>
      <c r="LGO10" s="3"/>
      <c r="LGP10" s="3"/>
      <c r="LGQ10" s="3"/>
      <c r="LGR10" s="3"/>
      <c r="LGS10" s="3"/>
      <c r="LGT10" s="3"/>
      <c r="LGU10" s="3"/>
      <c r="LGV10" s="3"/>
      <c r="LGW10" s="3"/>
      <c r="LGX10" s="3"/>
      <c r="LGY10" s="3"/>
      <c r="LGZ10" s="3"/>
      <c r="LHA10" s="3"/>
      <c r="LHB10" s="3"/>
      <c r="LHC10" s="3"/>
      <c r="LHD10" s="3"/>
      <c r="LHE10" s="3"/>
      <c r="LHF10" s="3"/>
      <c r="LHG10" s="3"/>
      <c r="LHH10" s="3"/>
      <c r="LHI10" s="3"/>
      <c r="LHJ10" s="3"/>
      <c r="LHK10" s="3"/>
      <c r="LHL10" s="3"/>
      <c r="LHM10" s="3"/>
      <c r="LHN10" s="3"/>
      <c r="LHO10" s="3"/>
      <c r="LHP10" s="3"/>
      <c r="LHQ10" s="3"/>
      <c r="LHR10" s="3"/>
      <c r="LHS10" s="3"/>
      <c r="LHT10" s="3"/>
      <c r="LHU10" s="3"/>
      <c r="LHV10" s="3"/>
      <c r="LHW10" s="3"/>
      <c r="LHX10" s="3"/>
      <c r="LHY10" s="3"/>
      <c r="LHZ10" s="3"/>
      <c r="LIA10" s="3"/>
      <c r="LIB10" s="3"/>
      <c r="LIC10" s="3"/>
      <c r="LID10" s="3"/>
      <c r="LIE10" s="3"/>
      <c r="LIF10" s="3"/>
      <c r="LIG10" s="3"/>
      <c r="LIH10" s="3"/>
      <c r="LII10" s="3"/>
      <c r="LIJ10" s="3"/>
      <c r="LIK10" s="3"/>
      <c r="LIL10" s="3"/>
      <c r="LIM10" s="3"/>
      <c r="LIN10" s="3"/>
      <c r="LIO10" s="3"/>
      <c r="LIP10" s="3"/>
      <c r="LIQ10" s="3"/>
      <c r="LIR10" s="3"/>
      <c r="LIS10" s="3"/>
      <c r="LIT10" s="3"/>
      <c r="LIU10" s="3"/>
      <c r="LIV10" s="3"/>
      <c r="LIW10" s="3"/>
      <c r="LIX10" s="3"/>
      <c r="LIY10" s="3"/>
      <c r="LIZ10" s="3"/>
      <c r="LJA10" s="3"/>
      <c r="LJB10" s="3"/>
      <c r="LJC10" s="3"/>
      <c r="LJD10" s="3"/>
      <c r="LJE10" s="3"/>
      <c r="LJF10" s="3"/>
      <c r="LJG10" s="3"/>
      <c r="LJH10" s="3"/>
      <c r="LJI10" s="3"/>
      <c r="LJJ10" s="3"/>
      <c r="LJK10" s="3"/>
      <c r="LJL10" s="3"/>
      <c r="LJM10" s="3"/>
      <c r="LJN10" s="3"/>
      <c r="LJO10" s="3"/>
      <c r="LJP10" s="3"/>
      <c r="LJQ10" s="3"/>
      <c r="LJR10" s="3"/>
      <c r="LJS10" s="3"/>
      <c r="LJT10" s="3"/>
      <c r="LJU10" s="3"/>
      <c r="LJV10" s="3"/>
      <c r="LJW10" s="3"/>
      <c r="LJX10" s="3"/>
      <c r="LJY10" s="3"/>
      <c r="LJZ10" s="3"/>
      <c r="LKA10" s="3"/>
      <c r="LKB10" s="3"/>
      <c r="LKC10" s="3"/>
      <c r="LKD10" s="3"/>
      <c r="LKE10" s="3"/>
      <c r="LKF10" s="3"/>
      <c r="LKG10" s="3"/>
      <c r="LKH10" s="3"/>
      <c r="LKI10" s="3"/>
      <c r="LKJ10" s="3"/>
      <c r="LKK10" s="3"/>
      <c r="LKL10" s="3"/>
      <c r="LKM10" s="3"/>
      <c r="LKN10" s="3"/>
      <c r="LKO10" s="3"/>
      <c r="LKP10" s="3"/>
      <c r="LKQ10" s="3"/>
      <c r="LKR10" s="3"/>
      <c r="LKS10" s="3"/>
      <c r="LKT10" s="3"/>
      <c r="LKU10" s="3"/>
      <c r="LKV10" s="3"/>
      <c r="LKW10" s="3"/>
      <c r="LKX10" s="3"/>
      <c r="LKY10" s="3"/>
      <c r="LKZ10" s="3"/>
      <c r="LLA10" s="3"/>
      <c r="LLB10" s="3"/>
      <c r="LLC10" s="3"/>
      <c r="LLD10" s="3"/>
      <c r="LLE10" s="3"/>
      <c r="LLF10" s="3"/>
      <c r="LLG10" s="3"/>
      <c r="LLH10" s="3"/>
      <c r="LLI10" s="3"/>
      <c r="LLJ10" s="3"/>
      <c r="LLK10" s="3"/>
      <c r="LLL10" s="3"/>
      <c r="LLM10" s="3"/>
      <c r="LLN10" s="3"/>
      <c r="LLO10" s="3"/>
      <c r="LLP10" s="3"/>
      <c r="LLQ10" s="3"/>
      <c r="LLR10" s="3"/>
      <c r="LLS10" s="3"/>
      <c r="LLT10" s="3"/>
      <c r="LLU10" s="3"/>
      <c r="LLV10" s="3"/>
      <c r="LLW10" s="3"/>
      <c r="LLX10" s="3"/>
      <c r="LLY10" s="3"/>
      <c r="LLZ10" s="3"/>
      <c r="LMA10" s="3"/>
      <c r="LMB10" s="3"/>
      <c r="LMC10" s="3"/>
      <c r="LMD10" s="3"/>
      <c r="LME10" s="3"/>
      <c r="LMF10" s="3"/>
      <c r="LMG10" s="3"/>
      <c r="LMH10" s="3"/>
      <c r="LMI10" s="3"/>
      <c r="LMJ10" s="3"/>
      <c r="LMK10" s="3"/>
      <c r="LML10" s="3"/>
      <c r="LMM10" s="3"/>
      <c r="LMN10" s="3"/>
      <c r="LMO10" s="3"/>
      <c r="LMP10" s="3"/>
      <c r="LMQ10" s="3"/>
      <c r="LMR10" s="3"/>
      <c r="LMS10" s="3"/>
      <c r="LMT10" s="3"/>
      <c r="LMU10" s="3"/>
      <c r="LMV10" s="3"/>
      <c r="LMW10" s="3"/>
      <c r="LMX10" s="3"/>
      <c r="LMY10" s="3"/>
      <c r="LMZ10" s="3"/>
      <c r="LNA10" s="3"/>
      <c r="LNB10" s="3"/>
      <c r="LNC10" s="3"/>
      <c r="LND10" s="3"/>
      <c r="LNE10" s="3"/>
      <c r="LNF10" s="3"/>
      <c r="LNG10" s="3"/>
      <c r="LNH10" s="3"/>
      <c r="LNI10" s="3"/>
      <c r="LNJ10" s="3"/>
      <c r="LNK10" s="3"/>
      <c r="LNL10" s="3"/>
      <c r="LNM10" s="3"/>
      <c r="LNN10" s="3"/>
      <c r="LNO10" s="3"/>
      <c r="LNP10" s="3"/>
      <c r="LNQ10" s="3"/>
      <c r="LNR10" s="3"/>
      <c r="LNS10" s="3"/>
      <c r="LNT10" s="3"/>
      <c r="LNU10" s="3"/>
      <c r="LNV10" s="3"/>
      <c r="LNW10" s="3"/>
      <c r="LNX10" s="3"/>
      <c r="LNY10" s="3"/>
      <c r="LNZ10" s="3"/>
      <c r="LOA10" s="3"/>
      <c r="LOB10" s="3"/>
      <c r="LOC10" s="3"/>
      <c r="LOD10" s="3"/>
      <c r="LOE10" s="3"/>
      <c r="LOF10" s="3"/>
      <c r="LOG10" s="3"/>
      <c r="LOH10" s="3"/>
      <c r="LOI10" s="3"/>
      <c r="LOJ10" s="3"/>
      <c r="LOK10" s="3"/>
      <c r="LOL10" s="3"/>
      <c r="LOM10" s="3"/>
      <c r="LON10" s="3"/>
      <c r="LOO10" s="3"/>
      <c r="LOP10" s="3"/>
      <c r="LOQ10" s="3"/>
      <c r="LOR10" s="3"/>
      <c r="LOS10" s="3"/>
      <c r="LOT10" s="3"/>
      <c r="LOU10" s="3"/>
      <c r="LOV10" s="3"/>
      <c r="LOW10" s="3"/>
      <c r="LOX10" s="3"/>
      <c r="LOY10" s="3"/>
      <c r="LOZ10" s="3"/>
      <c r="LPA10" s="3"/>
      <c r="LPB10" s="3"/>
      <c r="LPC10" s="3"/>
      <c r="LPD10" s="3"/>
      <c r="LPE10" s="3"/>
      <c r="LPF10" s="3"/>
      <c r="LPG10" s="3"/>
      <c r="LPH10" s="3"/>
      <c r="LPI10" s="3"/>
      <c r="LPJ10" s="3"/>
      <c r="LPK10" s="3"/>
      <c r="LPL10" s="3"/>
      <c r="LPM10" s="3"/>
      <c r="LPN10" s="3"/>
      <c r="LPO10" s="3"/>
      <c r="LPP10" s="3"/>
      <c r="LPQ10" s="3"/>
      <c r="LPR10" s="3"/>
      <c r="LPS10" s="3"/>
      <c r="LPT10" s="3"/>
      <c r="LPU10" s="3"/>
      <c r="LPV10" s="3"/>
      <c r="LPW10" s="3"/>
      <c r="LPX10" s="3"/>
      <c r="LPY10" s="3"/>
      <c r="LPZ10" s="3"/>
      <c r="LQA10" s="3"/>
      <c r="LQB10" s="3"/>
      <c r="LQC10" s="3"/>
      <c r="LQD10" s="3"/>
      <c r="LQE10" s="3"/>
      <c r="LQF10" s="3"/>
      <c r="LQG10" s="3"/>
      <c r="LQH10" s="3"/>
      <c r="LQI10" s="3"/>
      <c r="LQJ10" s="3"/>
      <c r="LQK10" s="3"/>
      <c r="LQL10" s="3"/>
      <c r="LQM10" s="3"/>
      <c r="LQN10" s="3"/>
      <c r="LQO10" s="3"/>
      <c r="LQP10" s="3"/>
      <c r="LQQ10" s="3"/>
      <c r="LQR10" s="3"/>
      <c r="LQS10" s="3"/>
      <c r="LQT10" s="3"/>
      <c r="LQU10" s="3"/>
      <c r="LQV10" s="3"/>
      <c r="LQW10" s="3"/>
      <c r="LQX10" s="3"/>
      <c r="LQY10" s="3"/>
      <c r="LQZ10" s="3"/>
      <c r="LRA10" s="3"/>
      <c r="LRB10" s="3"/>
      <c r="LRC10" s="3"/>
      <c r="LRD10" s="3"/>
      <c r="LRE10" s="3"/>
      <c r="LRF10" s="3"/>
      <c r="LRG10" s="3"/>
      <c r="LRH10" s="3"/>
      <c r="LRI10" s="3"/>
      <c r="LRJ10" s="3"/>
      <c r="LRK10" s="3"/>
      <c r="LRL10" s="3"/>
      <c r="LRM10" s="3"/>
      <c r="LRN10" s="3"/>
      <c r="LRO10" s="3"/>
      <c r="LRP10" s="3"/>
      <c r="LRQ10" s="3"/>
      <c r="LRR10" s="3"/>
      <c r="LRS10" s="3"/>
      <c r="LRT10" s="3"/>
      <c r="LRU10" s="3"/>
      <c r="LRV10" s="3"/>
      <c r="LRW10" s="3"/>
      <c r="LRX10" s="3"/>
      <c r="LRY10" s="3"/>
      <c r="LRZ10" s="3"/>
      <c r="LSA10" s="3"/>
      <c r="LSB10" s="3"/>
      <c r="LSC10" s="3"/>
      <c r="LSD10" s="3"/>
      <c r="LSE10" s="3"/>
      <c r="LSF10" s="3"/>
      <c r="LSG10" s="3"/>
      <c r="LSH10" s="3"/>
      <c r="LSI10" s="3"/>
      <c r="LSJ10" s="3"/>
      <c r="LSK10" s="3"/>
      <c r="LSL10" s="3"/>
      <c r="LSM10" s="3"/>
      <c r="LSN10" s="3"/>
      <c r="LSO10" s="3"/>
      <c r="LSP10" s="3"/>
      <c r="LSQ10" s="3"/>
      <c r="LSR10" s="3"/>
      <c r="LSS10" s="3"/>
      <c r="LST10" s="3"/>
      <c r="LSU10" s="3"/>
      <c r="LSV10" s="3"/>
      <c r="LSW10" s="3"/>
      <c r="LSX10" s="3"/>
      <c r="LSY10" s="3"/>
      <c r="LSZ10" s="3"/>
      <c r="LTA10" s="3"/>
      <c r="LTB10" s="3"/>
      <c r="LTC10" s="3"/>
      <c r="LTD10" s="3"/>
      <c r="LTE10" s="3"/>
      <c r="LTF10" s="3"/>
      <c r="LTG10" s="3"/>
      <c r="LTH10" s="3"/>
      <c r="LTI10" s="3"/>
      <c r="LTJ10" s="3"/>
      <c r="LTK10" s="3"/>
      <c r="LTL10" s="3"/>
      <c r="LTM10" s="3"/>
      <c r="LTN10" s="3"/>
      <c r="LTO10" s="3"/>
      <c r="LTP10" s="3"/>
      <c r="LTQ10" s="3"/>
      <c r="LTR10" s="3"/>
      <c r="LTS10" s="3"/>
      <c r="LTT10" s="3"/>
      <c r="LTU10" s="3"/>
      <c r="LTV10" s="3"/>
      <c r="LTW10" s="3"/>
      <c r="LTX10" s="3"/>
      <c r="LTY10" s="3"/>
      <c r="LTZ10" s="3"/>
      <c r="LUA10" s="3"/>
      <c r="LUB10" s="3"/>
      <c r="LUC10" s="3"/>
      <c r="LUD10" s="3"/>
      <c r="LUE10" s="3"/>
      <c r="LUF10" s="3"/>
      <c r="LUG10" s="3"/>
      <c r="LUH10" s="3"/>
      <c r="LUI10" s="3"/>
      <c r="LUJ10" s="3"/>
      <c r="LUK10" s="3"/>
      <c r="LUL10" s="3"/>
      <c r="LUM10" s="3"/>
      <c r="LUN10" s="3"/>
      <c r="LUO10" s="3"/>
      <c r="LUP10" s="3"/>
      <c r="LUQ10" s="3"/>
      <c r="LUR10" s="3"/>
      <c r="LUS10" s="3"/>
      <c r="LUT10" s="3"/>
      <c r="LUU10" s="3"/>
      <c r="LUV10" s="3"/>
      <c r="LUW10" s="3"/>
      <c r="LUX10" s="3"/>
      <c r="LUY10" s="3"/>
      <c r="LUZ10" s="3"/>
      <c r="LVA10" s="3"/>
      <c r="LVB10" s="3"/>
      <c r="LVC10" s="3"/>
      <c r="LVD10" s="3"/>
      <c r="LVE10" s="3"/>
      <c r="LVF10" s="3"/>
      <c r="LVG10" s="3"/>
      <c r="LVH10" s="3"/>
      <c r="LVI10" s="3"/>
      <c r="LVJ10" s="3"/>
      <c r="LVK10" s="3"/>
      <c r="LVL10" s="3"/>
      <c r="LVM10" s="3"/>
      <c r="LVN10" s="3"/>
      <c r="LVO10" s="3"/>
      <c r="LVP10" s="3"/>
      <c r="LVQ10" s="3"/>
      <c r="LVR10" s="3"/>
      <c r="LVS10" s="3"/>
      <c r="LVT10" s="3"/>
      <c r="LVU10" s="3"/>
      <c r="LVV10" s="3"/>
      <c r="LVW10" s="3"/>
      <c r="LVX10" s="3"/>
      <c r="LVY10" s="3"/>
      <c r="LVZ10" s="3"/>
      <c r="LWA10" s="3"/>
      <c r="LWB10" s="3"/>
      <c r="LWC10" s="3"/>
      <c r="LWD10" s="3"/>
      <c r="LWE10" s="3"/>
      <c r="LWF10" s="3"/>
      <c r="LWG10" s="3"/>
      <c r="LWH10" s="3"/>
      <c r="LWI10" s="3"/>
      <c r="LWJ10" s="3"/>
      <c r="LWK10" s="3"/>
      <c r="LWL10" s="3"/>
      <c r="LWM10" s="3"/>
      <c r="LWN10" s="3"/>
      <c r="LWO10" s="3"/>
      <c r="LWP10" s="3"/>
      <c r="LWQ10" s="3"/>
      <c r="LWR10" s="3"/>
      <c r="LWS10" s="3"/>
      <c r="LWT10" s="3"/>
      <c r="LWU10" s="3"/>
      <c r="LWV10" s="3"/>
      <c r="LWW10" s="3"/>
      <c r="LWX10" s="3"/>
      <c r="LWY10" s="3"/>
      <c r="LWZ10" s="3"/>
      <c r="LXA10" s="3"/>
      <c r="LXB10" s="3"/>
      <c r="LXC10" s="3"/>
      <c r="LXD10" s="3"/>
      <c r="LXE10" s="3"/>
      <c r="LXF10" s="3"/>
      <c r="LXG10" s="3"/>
      <c r="LXH10" s="3"/>
      <c r="LXI10" s="3"/>
      <c r="LXJ10" s="3"/>
      <c r="LXK10" s="3"/>
      <c r="LXL10" s="3"/>
      <c r="LXM10" s="3"/>
      <c r="LXN10" s="3"/>
      <c r="LXO10" s="3"/>
      <c r="LXP10" s="3"/>
      <c r="LXQ10" s="3"/>
      <c r="LXR10" s="3"/>
      <c r="LXS10" s="3"/>
      <c r="LXT10" s="3"/>
      <c r="LXU10" s="3"/>
      <c r="LXV10" s="3"/>
      <c r="LXW10" s="3"/>
      <c r="LXX10" s="3"/>
      <c r="LXY10" s="3"/>
      <c r="LXZ10" s="3"/>
      <c r="LYA10" s="3"/>
      <c r="LYB10" s="3"/>
      <c r="LYC10" s="3"/>
      <c r="LYD10" s="3"/>
      <c r="LYE10" s="3"/>
      <c r="LYF10" s="3"/>
      <c r="LYG10" s="3"/>
      <c r="LYH10" s="3"/>
      <c r="LYI10" s="3"/>
      <c r="LYJ10" s="3"/>
      <c r="LYK10" s="3"/>
      <c r="LYL10" s="3"/>
      <c r="LYM10" s="3"/>
      <c r="LYN10" s="3"/>
      <c r="LYO10" s="3"/>
      <c r="LYP10" s="3"/>
      <c r="LYQ10" s="3"/>
      <c r="LYR10" s="3"/>
      <c r="LYS10" s="3"/>
      <c r="LYT10" s="3"/>
      <c r="LYU10" s="3"/>
      <c r="LYV10" s="3"/>
      <c r="LYW10" s="3"/>
      <c r="LYX10" s="3"/>
      <c r="LYY10" s="3"/>
      <c r="LYZ10" s="3"/>
      <c r="LZA10" s="3"/>
      <c r="LZB10" s="3"/>
      <c r="LZC10" s="3"/>
      <c r="LZD10" s="3"/>
      <c r="LZE10" s="3"/>
      <c r="LZF10" s="3"/>
      <c r="LZG10" s="3"/>
      <c r="LZH10" s="3"/>
      <c r="LZI10" s="3"/>
      <c r="LZJ10" s="3"/>
      <c r="LZK10" s="3"/>
      <c r="LZL10" s="3"/>
      <c r="LZM10" s="3"/>
      <c r="LZN10" s="3"/>
      <c r="LZO10" s="3"/>
      <c r="LZP10" s="3"/>
      <c r="LZQ10" s="3"/>
      <c r="LZR10" s="3"/>
      <c r="LZS10" s="3"/>
      <c r="LZT10" s="3"/>
      <c r="LZU10" s="3"/>
      <c r="LZV10" s="3"/>
      <c r="LZW10" s="3"/>
      <c r="LZX10" s="3"/>
      <c r="LZY10" s="3"/>
      <c r="LZZ10" s="3"/>
      <c r="MAA10" s="3"/>
      <c r="MAB10" s="3"/>
      <c r="MAC10" s="3"/>
      <c r="MAD10" s="3"/>
      <c r="MAE10" s="3"/>
      <c r="MAF10" s="3"/>
      <c r="MAG10" s="3"/>
      <c r="MAH10" s="3"/>
      <c r="MAI10" s="3"/>
      <c r="MAJ10" s="3"/>
      <c r="MAK10" s="3"/>
      <c r="MAL10" s="3"/>
      <c r="MAM10" s="3"/>
      <c r="MAN10" s="3"/>
      <c r="MAO10" s="3"/>
      <c r="MAP10" s="3"/>
      <c r="MAQ10" s="3"/>
      <c r="MAR10" s="3"/>
      <c r="MAS10" s="3"/>
      <c r="MAT10" s="3"/>
      <c r="MAU10" s="3"/>
      <c r="MAV10" s="3"/>
      <c r="MAW10" s="3"/>
      <c r="MAX10" s="3"/>
      <c r="MAY10" s="3"/>
      <c r="MAZ10" s="3"/>
      <c r="MBA10" s="3"/>
      <c r="MBB10" s="3"/>
      <c r="MBC10" s="3"/>
      <c r="MBD10" s="3"/>
      <c r="MBE10" s="3"/>
      <c r="MBF10" s="3"/>
      <c r="MBG10" s="3"/>
      <c r="MBH10" s="3"/>
      <c r="MBI10" s="3"/>
      <c r="MBJ10" s="3"/>
      <c r="MBK10" s="3"/>
      <c r="MBL10" s="3"/>
      <c r="MBM10" s="3"/>
      <c r="MBN10" s="3"/>
      <c r="MBO10" s="3"/>
      <c r="MBP10" s="3"/>
      <c r="MBQ10" s="3"/>
      <c r="MBR10" s="3"/>
      <c r="MBS10" s="3"/>
      <c r="MBT10" s="3"/>
      <c r="MBU10" s="3"/>
      <c r="MBV10" s="3"/>
      <c r="MBW10" s="3"/>
      <c r="MBX10" s="3"/>
      <c r="MBY10" s="3"/>
      <c r="MBZ10" s="3"/>
      <c r="MCA10" s="3"/>
      <c r="MCB10" s="3"/>
      <c r="MCC10" s="3"/>
      <c r="MCD10" s="3"/>
      <c r="MCE10" s="3"/>
      <c r="MCF10" s="3"/>
      <c r="MCG10" s="3"/>
      <c r="MCH10" s="3"/>
      <c r="MCI10" s="3"/>
      <c r="MCJ10" s="3"/>
      <c r="MCK10" s="3"/>
      <c r="MCL10" s="3"/>
      <c r="MCM10" s="3"/>
      <c r="MCN10" s="3"/>
      <c r="MCO10" s="3"/>
      <c r="MCP10" s="3"/>
      <c r="MCQ10" s="3"/>
      <c r="MCR10" s="3"/>
      <c r="MCS10" s="3"/>
      <c r="MCT10" s="3"/>
      <c r="MCU10" s="3"/>
      <c r="MCV10" s="3"/>
      <c r="MCW10" s="3"/>
      <c r="MCX10" s="3"/>
      <c r="MCY10" s="3"/>
      <c r="MCZ10" s="3"/>
      <c r="MDA10" s="3"/>
      <c r="MDB10" s="3"/>
      <c r="MDC10" s="3"/>
      <c r="MDD10" s="3"/>
      <c r="MDE10" s="3"/>
      <c r="MDF10" s="3"/>
      <c r="MDG10" s="3"/>
      <c r="MDH10" s="3"/>
      <c r="MDI10" s="3"/>
      <c r="MDJ10" s="3"/>
      <c r="MDK10" s="3"/>
      <c r="MDL10" s="3"/>
      <c r="MDM10" s="3"/>
      <c r="MDN10" s="3"/>
      <c r="MDO10" s="3"/>
      <c r="MDP10" s="3"/>
      <c r="MDQ10" s="3"/>
      <c r="MDR10" s="3"/>
      <c r="MDS10" s="3"/>
      <c r="MDT10" s="3"/>
      <c r="MDU10" s="3"/>
      <c r="MDV10" s="3"/>
      <c r="MDW10" s="3"/>
      <c r="MDX10" s="3"/>
      <c r="MDY10" s="3"/>
      <c r="MDZ10" s="3"/>
      <c r="MEA10" s="3"/>
      <c r="MEB10" s="3"/>
      <c r="MEC10" s="3"/>
      <c r="MED10" s="3"/>
      <c r="MEE10" s="3"/>
      <c r="MEF10" s="3"/>
      <c r="MEG10" s="3"/>
      <c r="MEH10" s="3"/>
      <c r="MEI10" s="3"/>
      <c r="MEJ10" s="3"/>
      <c r="MEK10" s="3"/>
      <c r="MEL10" s="3"/>
      <c r="MEM10" s="3"/>
      <c r="MEN10" s="3"/>
      <c r="MEO10" s="3"/>
      <c r="MEP10" s="3"/>
      <c r="MEQ10" s="3"/>
      <c r="MER10" s="3"/>
      <c r="MES10" s="3"/>
      <c r="MET10" s="3"/>
      <c r="MEU10" s="3"/>
      <c r="MEV10" s="3"/>
      <c r="MEW10" s="3"/>
      <c r="MEX10" s="3"/>
      <c r="MEY10" s="3"/>
      <c r="MEZ10" s="3"/>
      <c r="MFA10" s="3"/>
      <c r="MFB10" s="3"/>
      <c r="MFC10" s="3"/>
      <c r="MFD10" s="3"/>
      <c r="MFE10" s="3"/>
      <c r="MFF10" s="3"/>
      <c r="MFG10" s="3"/>
      <c r="MFH10" s="3"/>
      <c r="MFI10" s="3"/>
      <c r="MFJ10" s="3"/>
      <c r="MFK10" s="3"/>
      <c r="MFL10" s="3"/>
      <c r="MFM10" s="3"/>
      <c r="MFN10" s="3"/>
      <c r="MFO10" s="3"/>
      <c r="MFP10" s="3"/>
      <c r="MFQ10" s="3"/>
      <c r="MFR10" s="3"/>
      <c r="MFS10" s="3"/>
      <c r="MFT10" s="3"/>
      <c r="MFU10" s="3"/>
      <c r="MFV10" s="3"/>
      <c r="MFW10" s="3"/>
      <c r="MFX10" s="3"/>
      <c r="MFY10" s="3"/>
      <c r="MFZ10" s="3"/>
      <c r="MGA10" s="3"/>
      <c r="MGB10" s="3"/>
      <c r="MGC10" s="3"/>
      <c r="MGD10" s="3"/>
      <c r="MGE10" s="3"/>
      <c r="MGF10" s="3"/>
      <c r="MGG10" s="3"/>
      <c r="MGH10" s="3"/>
      <c r="MGI10" s="3"/>
      <c r="MGJ10" s="3"/>
      <c r="MGK10" s="3"/>
      <c r="MGL10" s="3"/>
      <c r="MGM10" s="3"/>
      <c r="MGN10" s="3"/>
      <c r="MGO10" s="3"/>
      <c r="MGP10" s="3"/>
      <c r="MGQ10" s="3"/>
      <c r="MGR10" s="3"/>
      <c r="MGS10" s="3"/>
      <c r="MGT10" s="3"/>
      <c r="MGU10" s="3"/>
      <c r="MGV10" s="3"/>
      <c r="MGW10" s="3"/>
      <c r="MGX10" s="3"/>
      <c r="MGY10" s="3"/>
      <c r="MGZ10" s="3"/>
      <c r="MHA10" s="3"/>
      <c r="MHB10" s="3"/>
      <c r="MHC10" s="3"/>
      <c r="MHD10" s="3"/>
      <c r="MHE10" s="3"/>
      <c r="MHF10" s="3"/>
      <c r="MHG10" s="3"/>
      <c r="MHH10" s="3"/>
      <c r="MHI10" s="3"/>
      <c r="MHJ10" s="3"/>
      <c r="MHK10" s="3"/>
      <c r="MHL10" s="3"/>
      <c r="MHM10" s="3"/>
      <c r="MHN10" s="3"/>
      <c r="MHO10" s="3"/>
      <c r="MHP10" s="3"/>
      <c r="MHQ10" s="3"/>
      <c r="MHR10" s="3"/>
      <c r="MHS10" s="3"/>
      <c r="MHT10" s="3"/>
      <c r="MHU10" s="3"/>
      <c r="MHV10" s="3"/>
      <c r="MHW10" s="3"/>
      <c r="MHX10" s="3"/>
      <c r="MHY10" s="3"/>
      <c r="MHZ10" s="3"/>
      <c r="MIA10" s="3"/>
      <c r="MIB10" s="3"/>
      <c r="MIC10" s="3"/>
      <c r="MID10" s="3"/>
      <c r="MIE10" s="3"/>
      <c r="MIF10" s="3"/>
      <c r="MIG10" s="3"/>
      <c r="MIH10" s="3"/>
      <c r="MII10" s="3"/>
      <c r="MIJ10" s="3"/>
      <c r="MIK10" s="3"/>
      <c r="MIL10" s="3"/>
      <c r="MIM10" s="3"/>
      <c r="MIN10" s="3"/>
      <c r="MIO10" s="3"/>
      <c r="MIP10" s="3"/>
      <c r="MIQ10" s="3"/>
      <c r="MIR10" s="3"/>
      <c r="MIS10" s="3"/>
      <c r="MIT10" s="3"/>
      <c r="MIU10" s="3"/>
      <c r="MIV10" s="3"/>
      <c r="MIW10" s="3"/>
      <c r="MIX10" s="3"/>
      <c r="MIY10" s="3"/>
      <c r="MIZ10" s="3"/>
      <c r="MJA10" s="3"/>
      <c r="MJB10" s="3"/>
      <c r="MJC10" s="3"/>
      <c r="MJD10" s="3"/>
      <c r="MJE10" s="3"/>
      <c r="MJF10" s="3"/>
      <c r="MJG10" s="3"/>
      <c r="MJH10" s="3"/>
      <c r="MJI10" s="3"/>
      <c r="MJJ10" s="3"/>
      <c r="MJK10" s="3"/>
      <c r="MJL10" s="3"/>
      <c r="MJM10" s="3"/>
      <c r="MJN10" s="3"/>
      <c r="MJO10" s="3"/>
      <c r="MJP10" s="3"/>
      <c r="MJQ10" s="3"/>
      <c r="MJR10" s="3"/>
      <c r="MJS10" s="3"/>
      <c r="MJT10" s="3"/>
      <c r="MJU10" s="3"/>
      <c r="MJV10" s="3"/>
      <c r="MJW10" s="3"/>
      <c r="MJX10" s="3"/>
      <c r="MJY10" s="3"/>
      <c r="MJZ10" s="3"/>
      <c r="MKA10" s="3"/>
      <c r="MKB10" s="3"/>
      <c r="MKC10" s="3"/>
      <c r="MKD10" s="3"/>
      <c r="MKE10" s="3"/>
      <c r="MKF10" s="3"/>
      <c r="MKG10" s="3"/>
      <c r="MKH10" s="3"/>
      <c r="MKI10" s="3"/>
      <c r="MKJ10" s="3"/>
      <c r="MKK10" s="3"/>
      <c r="MKL10" s="3"/>
      <c r="MKM10" s="3"/>
      <c r="MKN10" s="3"/>
      <c r="MKO10" s="3"/>
      <c r="MKP10" s="3"/>
      <c r="MKQ10" s="3"/>
      <c r="MKR10" s="3"/>
      <c r="MKS10" s="3"/>
      <c r="MKT10" s="3"/>
      <c r="MKU10" s="3"/>
      <c r="MKV10" s="3"/>
      <c r="MKW10" s="3"/>
      <c r="MKX10" s="3"/>
      <c r="MKY10" s="3"/>
      <c r="MKZ10" s="3"/>
      <c r="MLA10" s="3"/>
      <c r="MLB10" s="3"/>
      <c r="MLC10" s="3"/>
      <c r="MLD10" s="3"/>
      <c r="MLE10" s="3"/>
      <c r="MLF10" s="3"/>
      <c r="MLG10" s="3"/>
      <c r="MLH10" s="3"/>
      <c r="MLI10" s="3"/>
      <c r="MLJ10" s="3"/>
      <c r="MLK10" s="3"/>
      <c r="MLL10" s="3"/>
      <c r="MLM10" s="3"/>
      <c r="MLN10" s="3"/>
      <c r="MLO10" s="3"/>
      <c r="MLP10" s="3"/>
      <c r="MLQ10" s="3"/>
      <c r="MLR10" s="3"/>
      <c r="MLS10" s="3"/>
      <c r="MLT10" s="3"/>
      <c r="MLU10" s="3"/>
      <c r="MLV10" s="3"/>
      <c r="MLW10" s="3"/>
      <c r="MLX10" s="3"/>
      <c r="MLY10" s="3"/>
      <c r="MLZ10" s="3"/>
      <c r="MMA10" s="3"/>
      <c r="MMB10" s="3"/>
      <c r="MMC10" s="3"/>
      <c r="MMD10" s="3"/>
      <c r="MME10" s="3"/>
      <c r="MMF10" s="3"/>
      <c r="MMG10" s="3"/>
      <c r="MMH10" s="3"/>
      <c r="MMI10" s="3"/>
      <c r="MMJ10" s="3"/>
      <c r="MMK10" s="3"/>
      <c r="MML10" s="3"/>
      <c r="MMM10" s="3"/>
      <c r="MMN10" s="3"/>
      <c r="MMO10" s="3"/>
      <c r="MMP10" s="3"/>
      <c r="MMQ10" s="3"/>
      <c r="MMR10" s="3"/>
      <c r="MMS10" s="3"/>
      <c r="MMT10" s="3"/>
      <c r="MMU10" s="3"/>
      <c r="MMV10" s="3"/>
      <c r="MMW10" s="3"/>
      <c r="MMX10" s="3"/>
      <c r="MMY10" s="3"/>
      <c r="MMZ10" s="3"/>
      <c r="MNA10" s="3"/>
      <c r="MNB10" s="3"/>
      <c r="MNC10" s="3"/>
      <c r="MND10" s="3"/>
      <c r="MNE10" s="3"/>
      <c r="MNF10" s="3"/>
      <c r="MNG10" s="3"/>
      <c r="MNH10" s="3"/>
      <c r="MNI10" s="3"/>
      <c r="MNJ10" s="3"/>
      <c r="MNK10" s="3"/>
      <c r="MNL10" s="3"/>
      <c r="MNM10" s="3"/>
      <c r="MNN10" s="3"/>
      <c r="MNO10" s="3"/>
      <c r="MNP10" s="3"/>
      <c r="MNQ10" s="3"/>
      <c r="MNR10" s="3"/>
      <c r="MNS10" s="3"/>
      <c r="MNT10" s="3"/>
      <c r="MNU10" s="3"/>
      <c r="MNV10" s="3"/>
      <c r="MNW10" s="3"/>
      <c r="MNX10" s="3"/>
      <c r="MNY10" s="3"/>
      <c r="MNZ10" s="3"/>
      <c r="MOA10" s="3"/>
      <c r="MOB10" s="3"/>
      <c r="MOC10" s="3"/>
      <c r="MOD10" s="3"/>
      <c r="MOE10" s="3"/>
      <c r="MOF10" s="3"/>
      <c r="MOG10" s="3"/>
      <c r="MOH10" s="3"/>
      <c r="MOI10" s="3"/>
      <c r="MOJ10" s="3"/>
      <c r="MOK10" s="3"/>
      <c r="MOL10" s="3"/>
      <c r="MOM10" s="3"/>
      <c r="MON10" s="3"/>
      <c r="MOO10" s="3"/>
      <c r="MOP10" s="3"/>
      <c r="MOQ10" s="3"/>
      <c r="MOR10" s="3"/>
      <c r="MOS10" s="3"/>
      <c r="MOT10" s="3"/>
      <c r="MOU10" s="3"/>
      <c r="MOV10" s="3"/>
      <c r="MOW10" s="3"/>
      <c r="MOX10" s="3"/>
      <c r="MOY10" s="3"/>
      <c r="MOZ10" s="3"/>
      <c r="MPA10" s="3"/>
      <c r="MPB10" s="3"/>
      <c r="MPC10" s="3"/>
      <c r="MPD10" s="3"/>
      <c r="MPE10" s="3"/>
      <c r="MPF10" s="3"/>
      <c r="MPG10" s="3"/>
      <c r="MPH10" s="3"/>
      <c r="MPI10" s="3"/>
      <c r="MPJ10" s="3"/>
      <c r="MPK10" s="3"/>
      <c r="MPL10" s="3"/>
      <c r="MPM10" s="3"/>
      <c r="MPN10" s="3"/>
      <c r="MPO10" s="3"/>
      <c r="MPP10" s="3"/>
      <c r="MPQ10" s="3"/>
      <c r="MPR10" s="3"/>
      <c r="MPS10" s="3"/>
      <c r="MPT10" s="3"/>
      <c r="MPU10" s="3"/>
      <c r="MPV10" s="3"/>
      <c r="MPW10" s="3"/>
      <c r="MPX10" s="3"/>
      <c r="MPY10" s="3"/>
      <c r="MPZ10" s="3"/>
      <c r="MQA10" s="3"/>
      <c r="MQB10" s="3"/>
      <c r="MQC10" s="3"/>
      <c r="MQD10" s="3"/>
      <c r="MQE10" s="3"/>
      <c r="MQF10" s="3"/>
      <c r="MQG10" s="3"/>
      <c r="MQH10" s="3"/>
      <c r="MQI10" s="3"/>
      <c r="MQJ10" s="3"/>
      <c r="MQK10" s="3"/>
      <c r="MQL10" s="3"/>
      <c r="MQM10" s="3"/>
      <c r="MQN10" s="3"/>
      <c r="MQO10" s="3"/>
      <c r="MQP10" s="3"/>
      <c r="MQQ10" s="3"/>
      <c r="MQR10" s="3"/>
      <c r="MQS10" s="3"/>
      <c r="MQT10" s="3"/>
      <c r="MQU10" s="3"/>
      <c r="MQV10" s="3"/>
      <c r="MQW10" s="3"/>
      <c r="MQX10" s="3"/>
      <c r="MQY10" s="3"/>
      <c r="MQZ10" s="3"/>
      <c r="MRA10" s="3"/>
      <c r="MRB10" s="3"/>
      <c r="MRC10" s="3"/>
      <c r="MRD10" s="3"/>
      <c r="MRE10" s="3"/>
      <c r="MRF10" s="3"/>
      <c r="MRG10" s="3"/>
      <c r="MRH10" s="3"/>
      <c r="MRI10" s="3"/>
      <c r="MRJ10" s="3"/>
      <c r="MRK10" s="3"/>
      <c r="MRL10" s="3"/>
      <c r="MRM10" s="3"/>
      <c r="MRN10" s="3"/>
      <c r="MRO10" s="3"/>
      <c r="MRP10" s="3"/>
      <c r="MRQ10" s="3"/>
      <c r="MRR10" s="3"/>
      <c r="MRS10" s="3"/>
      <c r="MRT10" s="3"/>
      <c r="MRU10" s="3"/>
      <c r="MRV10" s="3"/>
      <c r="MRW10" s="3"/>
      <c r="MRX10" s="3"/>
      <c r="MRY10" s="3"/>
      <c r="MRZ10" s="3"/>
      <c r="MSA10" s="3"/>
      <c r="MSB10" s="3"/>
      <c r="MSC10" s="3"/>
      <c r="MSD10" s="3"/>
      <c r="MSE10" s="3"/>
      <c r="MSF10" s="3"/>
      <c r="MSG10" s="3"/>
      <c r="MSH10" s="3"/>
      <c r="MSI10" s="3"/>
      <c r="MSJ10" s="3"/>
      <c r="MSK10" s="3"/>
      <c r="MSL10" s="3"/>
      <c r="MSM10" s="3"/>
      <c r="MSN10" s="3"/>
      <c r="MSO10" s="3"/>
      <c r="MSP10" s="3"/>
      <c r="MSQ10" s="3"/>
      <c r="MSR10" s="3"/>
      <c r="MSS10" s="3"/>
      <c r="MST10" s="3"/>
      <c r="MSU10" s="3"/>
      <c r="MSV10" s="3"/>
      <c r="MSW10" s="3"/>
      <c r="MSX10" s="3"/>
      <c r="MSY10" s="3"/>
      <c r="MSZ10" s="3"/>
      <c r="MTA10" s="3"/>
      <c r="MTB10" s="3"/>
      <c r="MTC10" s="3"/>
      <c r="MTD10" s="3"/>
      <c r="MTE10" s="3"/>
      <c r="MTF10" s="3"/>
      <c r="MTG10" s="3"/>
      <c r="MTH10" s="3"/>
      <c r="MTI10" s="3"/>
      <c r="MTJ10" s="3"/>
      <c r="MTK10" s="3"/>
      <c r="MTL10" s="3"/>
      <c r="MTM10" s="3"/>
      <c r="MTN10" s="3"/>
      <c r="MTO10" s="3"/>
      <c r="MTP10" s="3"/>
      <c r="MTQ10" s="3"/>
      <c r="MTR10" s="3"/>
      <c r="MTS10" s="3"/>
      <c r="MTT10" s="3"/>
      <c r="MTU10" s="3"/>
      <c r="MTV10" s="3"/>
      <c r="MTW10" s="3"/>
      <c r="MTX10" s="3"/>
      <c r="MTY10" s="3"/>
      <c r="MTZ10" s="3"/>
      <c r="MUA10" s="3"/>
      <c r="MUB10" s="3"/>
      <c r="MUC10" s="3"/>
      <c r="MUD10" s="3"/>
      <c r="MUE10" s="3"/>
      <c r="MUF10" s="3"/>
      <c r="MUG10" s="3"/>
      <c r="MUH10" s="3"/>
      <c r="MUI10" s="3"/>
      <c r="MUJ10" s="3"/>
      <c r="MUK10" s="3"/>
      <c r="MUL10" s="3"/>
      <c r="MUM10" s="3"/>
      <c r="MUN10" s="3"/>
      <c r="MUO10" s="3"/>
      <c r="MUP10" s="3"/>
      <c r="MUQ10" s="3"/>
      <c r="MUR10" s="3"/>
      <c r="MUS10" s="3"/>
      <c r="MUT10" s="3"/>
      <c r="MUU10" s="3"/>
      <c r="MUV10" s="3"/>
      <c r="MUW10" s="3"/>
      <c r="MUX10" s="3"/>
      <c r="MUY10" s="3"/>
      <c r="MUZ10" s="3"/>
      <c r="MVA10" s="3"/>
      <c r="MVB10" s="3"/>
      <c r="MVC10" s="3"/>
      <c r="MVD10" s="3"/>
      <c r="MVE10" s="3"/>
      <c r="MVF10" s="3"/>
      <c r="MVG10" s="3"/>
      <c r="MVH10" s="3"/>
      <c r="MVI10" s="3"/>
      <c r="MVJ10" s="3"/>
      <c r="MVK10" s="3"/>
      <c r="MVL10" s="3"/>
      <c r="MVM10" s="3"/>
      <c r="MVN10" s="3"/>
      <c r="MVO10" s="3"/>
      <c r="MVP10" s="3"/>
      <c r="MVQ10" s="3"/>
      <c r="MVR10" s="3"/>
      <c r="MVS10" s="3"/>
      <c r="MVT10" s="3"/>
      <c r="MVU10" s="3"/>
      <c r="MVV10" s="3"/>
      <c r="MVW10" s="3"/>
      <c r="MVX10" s="3"/>
      <c r="MVY10" s="3"/>
      <c r="MVZ10" s="3"/>
      <c r="MWA10" s="3"/>
      <c r="MWB10" s="3"/>
      <c r="MWC10" s="3"/>
      <c r="MWD10" s="3"/>
      <c r="MWE10" s="3"/>
      <c r="MWF10" s="3"/>
      <c r="MWG10" s="3"/>
      <c r="MWH10" s="3"/>
      <c r="MWI10" s="3"/>
      <c r="MWJ10" s="3"/>
      <c r="MWK10" s="3"/>
      <c r="MWL10" s="3"/>
      <c r="MWM10" s="3"/>
      <c r="MWN10" s="3"/>
      <c r="MWO10" s="3"/>
      <c r="MWP10" s="3"/>
      <c r="MWQ10" s="3"/>
      <c r="MWR10" s="3"/>
      <c r="MWS10" s="3"/>
      <c r="MWT10" s="3"/>
      <c r="MWU10" s="3"/>
      <c r="MWV10" s="3"/>
      <c r="MWW10" s="3"/>
      <c r="MWX10" s="3"/>
      <c r="MWY10" s="3"/>
      <c r="MWZ10" s="3"/>
      <c r="MXA10" s="3"/>
      <c r="MXB10" s="3"/>
      <c r="MXC10" s="3"/>
      <c r="MXD10" s="3"/>
      <c r="MXE10" s="3"/>
      <c r="MXF10" s="3"/>
      <c r="MXG10" s="3"/>
      <c r="MXH10" s="3"/>
      <c r="MXI10" s="3"/>
      <c r="MXJ10" s="3"/>
      <c r="MXK10" s="3"/>
      <c r="MXL10" s="3"/>
      <c r="MXM10" s="3"/>
      <c r="MXN10" s="3"/>
      <c r="MXO10" s="3"/>
      <c r="MXP10" s="3"/>
      <c r="MXQ10" s="3"/>
      <c r="MXR10" s="3"/>
      <c r="MXS10" s="3"/>
      <c r="MXT10" s="3"/>
      <c r="MXU10" s="3"/>
      <c r="MXV10" s="3"/>
      <c r="MXW10" s="3"/>
      <c r="MXX10" s="3"/>
      <c r="MXY10" s="3"/>
      <c r="MXZ10" s="3"/>
      <c r="MYA10" s="3"/>
      <c r="MYB10" s="3"/>
      <c r="MYC10" s="3"/>
      <c r="MYD10" s="3"/>
      <c r="MYE10" s="3"/>
      <c r="MYF10" s="3"/>
      <c r="MYG10" s="3"/>
      <c r="MYH10" s="3"/>
      <c r="MYI10" s="3"/>
      <c r="MYJ10" s="3"/>
      <c r="MYK10" s="3"/>
      <c r="MYL10" s="3"/>
      <c r="MYM10" s="3"/>
      <c r="MYN10" s="3"/>
      <c r="MYO10" s="3"/>
      <c r="MYP10" s="3"/>
      <c r="MYQ10" s="3"/>
      <c r="MYR10" s="3"/>
      <c r="MYS10" s="3"/>
      <c r="MYT10" s="3"/>
      <c r="MYU10" s="3"/>
      <c r="MYV10" s="3"/>
      <c r="MYW10" s="3"/>
      <c r="MYX10" s="3"/>
      <c r="MYY10" s="3"/>
      <c r="MYZ10" s="3"/>
      <c r="MZA10" s="3"/>
      <c r="MZB10" s="3"/>
      <c r="MZC10" s="3"/>
      <c r="MZD10" s="3"/>
      <c r="MZE10" s="3"/>
      <c r="MZF10" s="3"/>
      <c r="MZG10" s="3"/>
      <c r="MZH10" s="3"/>
      <c r="MZI10" s="3"/>
      <c r="MZJ10" s="3"/>
      <c r="MZK10" s="3"/>
      <c r="MZL10" s="3"/>
      <c r="MZM10" s="3"/>
      <c r="MZN10" s="3"/>
      <c r="MZO10" s="3"/>
      <c r="MZP10" s="3"/>
      <c r="MZQ10" s="3"/>
      <c r="MZR10" s="3"/>
      <c r="MZS10" s="3"/>
      <c r="MZT10" s="3"/>
      <c r="MZU10" s="3"/>
      <c r="MZV10" s="3"/>
      <c r="MZW10" s="3"/>
      <c r="MZX10" s="3"/>
      <c r="MZY10" s="3"/>
      <c r="MZZ10" s="3"/>
      <c r="NAA10" s="3"/>
      <c r="NAB10" s="3"/>
      <c r="NAC10" s="3"/>
      <c r="NAD10" s="3"/>
      <c r="NAE10" s="3"/>
      <c r="NAF10" s="3"/>
      <c r="NAG10" s="3"/>
      <c r="NAH10" s="3"/>
      <c r="NAI10" s="3"/>
      <c r="NAJ10" s="3"/>
      <c r="NAK10" s="3"/>
      <c r="NAL10" s="3"/>
      <c r="NAM10" s="3"/>
      <c r="NAN10" s="3"/>
      <c r="NAO10" s="3"/>
      <c r="NAP10" s="3"/>
      <c r="NAQ10" s="3"/>
      <c r="NAR10" s="3"/>
      <c r="NAS10" s="3"/>
      <c r="NAT10" s="3"/>
      <c r="NAU10" s="3"/>
      <c r="NAV10" s="3"/>
      <c r="NAW10" s="3"/>
      <c r="NAX10" s="3"/>
      <c r="NAY10" s="3"/>
      <c r="NAZ10" s="3"/>
      <c r="NBA10" s="3"/>
      <c r="NBB10" s="3"/>
      <c r="NBC10" s="3"/>
      <c r="NBD10" s="3"/>
      <c r="NBE10" s="3"/>
      <c r="NBF10" s="3"/>
      <c r="NBG10" s="3"/>
      <c r="NBH10" s="3"/>
      <c r="NBI10" s="3"/>
      <c r="NBJ10" s="3"/>
      <c r="NBK10" s="3"/>
      <c r="NBL10" s="3"/>
      <c r="NBM10" s="3"/>
      <c r="NBN10" s="3"/>
      <c r="NBO10" s="3"/>
      <c r="NBP10" s="3"/>
      <c r="NBQ10" s="3"/>
      <c r="NBR10" s="3"/>
      <c r="NBS10" s="3"/>
      <c r="NBT10" s="3"/>
      <c r="NBU10" s="3"/>
      <c r="NBV10" s="3"/>
      <c r="NBW10" s="3"/>
      <c r="NBX10" s="3"/>
      <c r="NBY10" s="3"/>
      <c r="NBZ10" s="3"/>
      <c r="NCA10" s="3"/>
      <c r="NCB10" s="3"/>
      <c r="NCC10" s="3"/>
      <c r="NCD10" s="3"/>
      <c r="NCE10" s="3"/>
      <c r="NCF10" s="3"/>
      <c r="NCG10" s="3"/>
      <c r="NCH10" s="3"/>
      <c r="NCI10" s="3"/>
      <c r="NCJ10" s="3"/>
      <c r="NCK10" s="3"/>
      <c r="NCL10" s="3"/>
      <c r="NCM10" s="3"/>
      <c r="NCN10" s="3"/>
      <c r="NCO10" s="3"/>
      <c r="NCP10" s="3"/>
      <c r="NCQ10" s="3"/>
      <c r="NCR10" s="3"/>
      <c r="NCS10" s="3"/>
      <c r="NCT10" s="3"/>
      <c r="NCU10" s="3"/>
      <c r="NCV10" s="3"/>
      <c r="NCW10" s="3"/>
      <c r="NCX10" s="3"/>
      <c r="NCY10" s="3"/>
      <c r="NCZ10" s="3"/>
      <c r="NDA10" s="3"/>
      <c r="NDB10" s="3"/>
      <c r="NDC10" s="3"/>
      <c r="NDD10" s="3"/>
      <c r="NDE10" s="3"/>
      <c r="NDF10" s="3"/>
      <c r="NDG10" s="3"/>
      <c r="NDH10" s="3"/>
      <c r="NDI10" s="3"/>
      <c r="NDJ10" s="3"/>
      <c r="NDK10" s="3"/>
      <c r="NDL10" s="3"/>
      <c r="NDM10" s="3"/>
      <c r="NDN10" s="3"/>
      <c r="NDO10" s="3"/>
      <c r="NDP10" s="3"/>
      <c r="NDQ10" s="3"/>
      <c r="NDR10" s="3"/>
      <c r="NDS10" s="3"/>
      <c r="NDT10" s="3"/>
      <c r="NDU10" s="3"/>
      <c r="NDV10" s="3"/>
      <c r="NDW10" s="3"/>
      <c r="NDX10" s="3"/>
      <c r="NDY10" s="3"/>
      <c r="NDZ10" s="3"/>
      <c r="NEA10" s="3"/>
      <c r="NEB10" s="3"/>
      <c r="NEC10" s="3"/>
      <c r="NED10" s="3"/>
      <c r="NEE10" s="3"/>
      <c r="NEF10" s="3"/>
      <c r="NEG10" s="3"/>
      <c r="NEH10" s="3"/>
      <c r="NEI10" s="3"/>
      <c r="NEJ10" s="3"/>
      <c r="NEK10" s="3"/>
      <c r="NEL10" s="3"/>
      <c r="NEM10" s="3"/>
      <c r="NEN10" s="3"/>
      <c r="NEO10" s="3"/>
      <c r="NEP10" s="3"/>
      <c r="NEQ10" s="3"/>
      <c r="NER10" s="3"/>
      <c r="NES10" s="3"/>
      <c r="NET10" s="3"/>
      <c r="NEU10" s="3"/>
      <c r="NEV10" s="3"/>
      <c r="NEW10" s="3"/>
      <c r="NEX10" s="3"/>
      <c r="NEY10" s="3"/>
      <c r="NEZ10" s="3"/>
      <c r="NFA10" s="3"/>
      <c r="NFB10" s="3"/>
      <c r="NFC10" s="3"/>
      <c r="NFD10" s="3"/>
      <c r="NFE10" s="3"/>
      <c r="NFF10" s="3"/>
      <c r="NFG10" s="3"/>
      <c r="NFH10" s="3"/>
      <c r="NFI10" s="3"/>
      <c r="NFJ10" s="3"/>
      <c r="NFK10" s="3"/>
      <c r="NFL10" s="3"/>
      <c r="NFM10" s="3"/>
      <c r="NFN10" s="3"/>
      <c r="NFO10" s="3"/>
      <c r="NFP10" s="3"/>
      <c r="NFQ10" s="3"/>
      <c r="NFR10" s="3"/>
      <c r="NFS10" s="3"/>
      <c r="NFT10" s="3"/>
      <c r="NFU10" s="3"/>
      <c r="NFV10" s="3"/>
      <c r="NFW10" s="3"/>
      <c r="NFX10" s="3"/>
      <c r="NFY10" s="3"/>
      <c r="NFZ10" s="3"/>
      <c r="NGA10" s="3"/>
      <c r="NGB10" s="3"/>
      <c r="NGC10" s="3"/>
      <c r="NGD10" s="3"/>
      <c r="NGE10" s="3"/>
      <c r="NGF10" s="3"/>
      <c r="NGG10" s="3"/>
      <c r="NGH10" s="3"/>
      <c r="NGI10" s="3"/>
      <c r="NGJ10" s="3"/>
      <c r="NGK10" s="3"/>
      <c r="NGL10" s="3"/>
      <c r="NGM10" s="3"/>
      <c r="NGN10" s="3"/>
      <c r="NGO10" s="3"/>
      <c r="NGP10" s="3"/>
      <c r="NGQ10" s="3"/>
      <c r="NGR10" s="3"/>
      <c r="NGS10" s="3"/>
      <c r="NGT10" s="3"/>
      <c r="NGU10" s="3"/>
      <c r="NGV10" s="3"/>
      <c r="NGW10" s="3"/>
      <c r="NGX10" s="3"/>
      <c r="NGY10" s="3"/>
      <c r="NGZ10" s="3"/>
      <c r="NHA10" s="3"/>
      <c r="NHB10" s="3"/>
      <c r="NHC10" s="3"/>
      <c r="NHD10" s="3"/>
      <c r="NHE10" s="3"/>
      <c r="NHF10" s="3"/>
      <c r="NHG10" s="3"/>
      <c r="NHH10" s="3"/>
      <c r="NHI10" s="3"/>
      <c r="NHJ10" s="3"/>
      <c r="NHK10" s="3"/>
      <c r="NHL10" s="3"/>
      <c r="NHM10" s="3"/>
      <c r="NHN10" s="3"/>
      <c r="NHO10" s="3"/>
      <c r="NHP10" s="3"/>
      <c r="NHQ10" s="3"/>
      <c r="NHR10" s="3"/>
      <c r="NHS10" s="3"/>
      <c r="NHT10" s="3"/>
      <c r="NHU10" s="3"/>
      <c r="NHV10" s="3"/>
      <c r="NHW10" s="3"/>
      <c r="NHX10" s="3"/>
      <c r="NHY10" s="3"/>
      <c r="NHZ10" s="3"/>
      <c r="NIA10" s="3"/>
      <c r="NIB10" s="3"/>
      <c r="NIC10" s="3"/>
      <c r="NID10" s="3"/>
      <c r="NIE10" s="3"/>
      <c r="NIF10" s="3"/>
      <c r="NIG10" s="3"/>
      <c r="NIH10" s="3"/>
      <c r="NII10" s="3"/>
      <c r="NIJ10" s="3"/>
      <c r="NIK10" s="3"/>
      <c r="NIL10" s="3"/>
      <c r="NIM10" s="3"/>
      <c r="NIN10" s="3"/>
      <c r="NIO10" s="3"/>
      <c r="NIP10" s="3"/>
      <c r="NIQ10" s="3"/>
      <c r="NIR10" s="3"/>
      <c r="NIS10" s="3"/>
      <c r="NIT10" s="3"/>
      <c r="NIU10" s="3"/>
      <c r="NIV10" s="3"/>
      <c r="NIW10" s="3"/>
      <c r="NIX10" s="3"/>
      <c r="NIY10" s="3"/>
      <c r="NIZ10" s="3"/>
      <c r="NJA10" s="3"/>
      <c r="NJB10" s="3"/>
      <c r="NJC10" s="3"/>
      <c r="NJD10" s="3"/>
      <c r="NJE10" s="3"/>
      <c r="NJF10" s="3"/>
      <c r="NJG10" s="3"/>
      <c r="NJH10" s="3"/>
      <c r="NJI10" s="3"/>
      <c r="NJJ10" s="3"/>
      <c r="NJK10" s="3"/>
      <c r="NJL10" s="3"/>
      <c r="NJM10" s="3"/>
      <c r="NJN10" s="3"/>
      <c r="NJO10" s="3"/>
      <c r="NJP10" s="3"/>
      <c r="NJQ10" s="3"/>
      <c r="NJR10" s="3"/>
      <c r="NJS10" s="3"/>
      <c r="NJT10" s="3"/>
      <c r="NJU10" s="3"/>
      <c r="NJV10" s="3"/>
      <c r="NJW10" s="3"/>
      <c r="NJX10" s="3"/>
      <c r="NJY10" s="3"/>
      <c r="NJZ10" s="3"/>
      <c r="NKA10" s="3"/>
      <c r="NKB10" s="3"/>
      <c r="NKC10" s="3"/>
      <c r="NKD10" s="3"/>
      <c r="NKE10" s="3"/>
      <c r="NKF10" s="3"/>
      <c r="NKG10" s="3"/>
      <c r="NKH10" s="3"/>
      <c r="NKI10" s="3"/>
      <c r="NKJ10" s="3"/>
      <c r="NKK10" s="3"/>
      <c r="NKL10" s="3"/>
      <c r="NKM10" s="3"/>
      <c r="NKN10" s="3"/>
      <c r="NKO10" s="3"/>
      <c r="NKP10" s="3"/>
      <c r="NKQ10" s="3"/>
      <c r="NKR10" s="3"/>
      <c r="NKS10" s="3"/>
      <c r="NKT10" s="3"/>
      <c r="NKU10" s="3"/>
      <c r="NKV10" s="3"/>
      <c r="NKW10" s="3"/>
      <c r="NKX10" s="3"/>
      <c r="NKY10" s="3"/>
      <c r="NKZ10" s="3"/>
      <c r="NLA10" s="3"/>
      <c r="NLB10" s="3"/>
      <c r="NLC10" s="3"/>
      <c r="NLD10" s="3"/>
      <c r="NLE10" s="3"/>
      <c r="NLF10" s="3"/>
      <c r="NLG10" s="3"/>
      <c r="NLH10" s="3"/>
      <c r="NLI10" s="3"/>
      <c r="NLJ10" s="3"/>
      <c r="NLK10" s="3"/>
      <c r="NLL10" s="3"/>
      <c r="NLM10" s="3"/>
      <c r="NLN10" s="3"/>
      <c r="NLO10" s="3"/>
      <c r="NLP10" s="3"/>
      <c r="NLQ10" s="3"/>
      <c r="NLR10" s="3"/>
      <c r="NLS10" s="3"/>
      <c r="NLT10" s="3"/>
      <c r="NLU10" s="3"/>
      <c r="NLV10" s="3"/>
      <c r="NLW10" s="3"/>
      <c r="NLX10" s="3"/>
      <c r="NLY10" s="3"/>
      <c r="NLZ10" s="3"/>
      <c r="NMA10" s="3"/>
      <c r="NMB10" s="3"/>
      <c r="NMC10" s="3"/>
      <c r="NMD10" s="3"/>
      <c r="NME10" s="3"/>
      <c r="NMF10" s="3"/>
      <c r="NMG10" s="3"/>
      <c r="NMH10" s="3"/>
      <c r="NMI10" s="3"/>
      <c r="NMJ10" s="3"/>
      <c r="NMK10" s="3"/>
      <c r="NML10" s="3"/>
      <c r="NMM10" s="3"/>
      <c r="NMN10" s="3"/>
      <c r="NMO10" s="3"/>
      <c r="NMP10" s="3"/>
      <c r="NMQ10" s="3"/>
      <c r="NMR10" s="3"/>
      <c r="NMS10" s="3"/>
      <c r="NMT10" s="3"/>
      <c r="NMU10" s="3"/>
      <c r="NMV10" s="3"/>
      <c r="NMW10" s="3"/>
      <c r="NMX10" s="3"/>
      <c r="NMY10" s="3"/>
      <c r="NMZ10" s="3"/>
      <c r="NNA10" s="3"/>
      <c r="NNB10" s="3"/>
      <c r="NNC10" s="3"/>
      <c r="NND10" s="3"/>
      <c r="NNE10" s="3"/>
      <c r="NNF10" s="3"/>
      <c r="NNG10" s="3"/>
      <c r="NNH10" s="3"/>
      <c r="NNI10" s="3"/>
      <c r="NNJ10" s="3"/>
      <c r="NNK10" s="3"/>
      <c r="NNL10" s="3"/>
      <c r="NNM10" s="3"/>
      <c r="NNN10" s="3"/>
      <c r="NNO10" s="3"/>
      <c r="NNP10" s="3"/>
      <c r="NNQ10" s="3"/>
      <c r="NNR10" s="3"/>
      <c r="NNS10" s="3"/>
      <c r="NNT10" s="3"/>
      <c r="NNU10" s="3"/>
      <c r="NNV10" s="3"/>
      <c r="NNW10" s="3"/>
      <c r="NNX10" s="3"/>
      <c r="NNY10" s="3"/>
      <c r="NNZ10" s="3"/>
      <c r="NOA10" s="3"/>
      <c r="NOB10" s="3"/>
      <c r="NOC10" s="3"/>
      <c r="NOD10" s="3"/>
      <c r="NOE10" s="3"/>
      <c r="NOF10" s="3"/>
      <c r="NOG10" s="3"/>
      <c r="NOH10" s="3"/>
      <c r="NOI10" s="3"/>
      <c r="NOJ10" s="3"/>
      <c r="NOK10" s="3"/>
      <c r="NOL10" s="3"/>
      <c r="NOM10" s="3"/>
      <c r="NON10" s="3"/>
      <c r="NOO10" s="3"/>
      <c r="NOP10" s="3"/>
      <c r="NOQ10" s="3"/>
      <c r="NOR10" s="3"/>
      <c r="NOS10" s="3"/>
      <c r="NOT10" s="3"/>
      <c r="NOU10" s="3"/>
      <c r="NOV10" s="3"/>
      <c r="NOW10" s="3"/>
      <c r="NOX10" s="3"/>
      <c r="NOY10" s="3"/>
      <c r="NOZ10" s="3"/>
      <c r="NPA10" s="3"/>
      <c r="NPB10" s="3"/>
      <c r="NPC10" s="3"/>
      <c r="NPD10" s="3"/>
      <c r="NPE10" s="3"/>
      <c r="NPF10" s="3"/>
      <c r="NPG10" s="3"/>
      <c r="NPH10" s="3"/>
      <c r="NPI10" s="3"/>
      <c r="NPJ10" s="3"/>
      <c r="NPK10" s="3"/>
      <c r="NPL10" s="3"/>
      <c r="NPM10" s="3"/>
      <c r="NPN10" s="3"/>
      <c r="NPO10" s="3"/>
      <c r="NPP10" s="3"/>
      <c r="NPQ10" s="3"/>
      <c r="NPR10" s="3"/>
      <c r="NPS10" s="3"/>
      <c r="NPT10" s="3"/>
      <c r="NPU10" s="3"/>
      <c r="NPV10" s="3"/>
      <c r="NPW10" s="3"/>
      <c r="NPX10" s="3"/>
      <c r="NPY10" s="3"/>
      <c r="NPZ10" s="3"/>
      <c r="NQA10" s="3"/>
      <c r="NQB10" s="3"/>
      <c r="NQC10" s="3"/>
      <c r="NQD10" s="3"/>
      <c r="NQE10" s="3"/>
      <c r="NQF10" s="3"/>
      <c r="NQG10" s="3"/>
      <c r="NQH10" s="3"/>
      <c r="NQI10" s="3"/>
      <c r="NQJ10" s="3"/>
      <c r="NQK10" s="3"/>
      <c r="NQL10" s="3"/>
      <c r="NQM10" s="3"/>
      <c r="NQN10" s="3"/>
      <c r="NQO10" s="3"/>
      <c r="NQP10" s="3"/>
      <c r="NQQ10" s="3"/>
      <c r="NQR10" s="3"/>
      <c r="NQS10" s="3"/>
      <c r="NQT10" s="3"/>
      <c r="NQU10" s="3"/>
      <c r="NQV10" s="3"/>
      <c r="NQW10" s="3"/>
      <c r="NQX10" s="3"/>
      <c r="NQY10" s="3"/>
      <c r="NQZ10" s="3"/>
      <c r="NRA10" s="3"/>
      <c r="NRB10" s="3"/>
      <c r="NRC10" s="3"/>
      <c r="NRD10" s="3"/>
      <c r="NRE10" s="3"/>
      <c r="NRF10" s="3"/>
      <c r="NRG10" s="3"/>
      <c r="NRH10" s="3"/>
      <c r="NRI10" s="3"/>
      <c r="NRJ10" s="3"/>
      <c r="NRK10" s="3"/>
      <c r="NRL10" s="3"/>
      <c r="NRM10" s="3"/>
      <c r="NRN10" s="3"/>
      <c r="NRO10" s="3"/>
      <c r="NRP10" s="3"/>
      <c r="NRQ10" s="3"/>
      <c r="NRR10" s="3"/>
      <c r="NRS10" s="3"/>
      <c r="NRT10" s="3"/>
      <c r="NRU10" s="3"/>
      <c r="NRV10" s="3"/>
      <c r="NRW10" s="3"/>
      <c r="NRX10" s="3"/>
      <c r="NRY10" s="3"/>
      <c r="NRZ10" s="3"/>
      <c r="NSA10" s="3"/>
      <c r="NSB10" s="3"/>
      <c r="NSC10" s="3"/>
      <c r="NSD10" s="3"/>
      <c r="NSE10" s="3"/>
      <c r="NSF10" s="3"/>
      <c r="NSG10" s="3"/>
      <c r="NSH10" s="3"/>
      <c r="NSI10" s="3"/>
      <c r="NSJ10" s="3"/>
      <c r="NSK10" s="3"/>
      <c r="NSL10" s="3"/>
      <c r="NSM10" s="3"/>
      <c r="NSN10" s="3"/>
      <c r="NSO10" s="3"/>
      <c r="NSP10" s="3"/>
      <c r="NSQ10" s="3"/>
      <c r="NSR10" s="3"/>
      <c r="NSS10" s="3"/>
      <c r="NST10" s="3"/>
      <c r="NSU10" s="3"/>
      <c r="NSV10" s="3"/>
      <c r="NSW10" s="3"/>
      <c r="NSX10" s="3"/>
      <c r="NSY10" s="3"/>
      <c r="NSZ10" s="3"/>
      <c r="NTA10" s="3"/>
      <c r="NTB10" s="3"/>
      <c r="NTC10" s="3"/>
      <c r="NTD10" s="3"/>
      <c r="NTE10" s="3"/>
      <c r="NTF10" s="3"/>
      <c r="NTG10" s="3"/>
      <c r="NTH10" s="3"/>
      <c r="NTI10" s="3"/>
      <c r="NTJ10" s="3"/>
      <c r="NTK10" s="3"/>
      <c r="NTL10" s="3"/>
      <c r="NTM10" s="3"/>
      <c r="NTN10" s="3"/>
      <c r="NTO10" s="3"/>
      <c r="NTP10" s="3"/>
      <c r="NTQ10" s="3"/>
      <c r="NTR10" s="3"/>
      <c r="NTS10" s="3"/>
      <c r="NTT10" s="3"/>
      <c r="NTU10" s="3"/>
      <c r="NTV10" s="3"/>
      <c r="NTW10" s="3"/>
      <c r="NTX10" s="3"/>
      <c r="NTY10" s="3"/>
      <c r="NTZ10" s="3"/>
      <c r="NUA10" s="3"/>
      <c r="NUB10" s="3"/>
      <c r="NUC10" s="3"/>
      <c r="NUD10" s="3"/>
      <c r="NUE10" s="3"/>
      <c r="NUF10" s="3"/>
      <c r="NUG10" s="3"/>
      <c r="NUH10" s="3"/>
      <c r="NUI10" s="3"/>
      <c r="NUJ10" s="3"/>
      <c r="NUK10" s="3"/>
      <c r="NUL10" s="3"/>
      <c r="NUM10" s="3"/>
      <c r="NUN10" s="3"/>
      <c r="NUO10" s="3"/>
      <c r="NUP10" s="3"/>
      <c r="NUQ10" s="3"/>
      <c r="NUR10" s="3"/>
      <c r="NUS10" s="3"/>
      <c r="NUT10" s="3"/>
      <c r="NUU10" s="3"/>
      <c r="NUV10" s="3"/>
      <c r="NUW10" s="3"/>
      <c r="NUX10" s="3"/>
      <c r="NUY10" s="3"/>
      <c r="NUZ10" s="3"/>
      <c r="NVA10" s="3"/>
      <c r="NVB10" s="3"/>
      <c r="NVC10" s="3"/>
      <c r="NVD10" s="3"/>
      <c r="NVE10" s="3"/>
      <c r="NVF10" s="3"/>
      <c r="NVG10" s="3"/>
      <c r="NVH10" s="3"/>
      <c r="NVI10" s="3"/>
      <c r="NVJ10" s="3"/>
      <c r="NVK10" s="3"/>
      <c r="NVL10" s="3"/>
      <c r="NVM10" s="3"/>
      <c r="NVN10" s="3"/>
      <c r="NVO10" s="3"/>
      <c r="NVP10" s="3"/>
      <c r="NVQ10" s="3"/>
      <c r="NVR10" s="3"/>
      <c r="NVS10" s="3"/>
      <c r="NVT10" s="3"/>
      <c r="NVU10" s="3"/>
      <c r="NVV10" s="3"/>
      <c r="NVW10" s="3"/>
      <c r="NVX10" s="3"/>
      <c r="NVY10" s="3"/>
      <c r="NVZ10" s="3"/>
      <c r="NWA10" s="3"/>
      <c r="NWB10" s="3"/>
      <c r="NWC10" s="3"/>
      <c r="NWD10" s="3"/>
      <c r="NWE10" s="3"/>
      <c r="NWF10" s="3"/>
      <c r="NWG10" s="3"/>
      <c r="NWH10" s="3"/>
      <c r="NWI10" s="3"/>
      <c r="NWJ10" s="3"/>
      <c r="NWK10" s="3"/>
      <c r="NWL10" s="3"/>
      <c r="NWM10" s="3"/>
      <c r="NWN10" s="3"/>
      <c r="NWO10" s="3"/>
      <c r="NWP10" s="3"/>
      <c r="NWQ10" s="3"/>
      <c r="NWR10" s="3"/>
      <c r="NWS10" s="3"/>
      <c r="NWT10" s="3"/>
      <c r="NWU10" s="3"/>
      <c r="NWV10" s="3"/>
      <c r="NWW10" s="3"/>
      <c r="NWX10" s="3"/>
      <c r="NWY10" s="3"/>
      <c r="NWZ10" s="3"/>
      <c r="NXA10" s="3"/>
      <c r="NXB10" s="3"/>
      <c r="NXC10" s="3"/>
      <c r="NXD10" s="3"/>
      <c r="NXE10" s="3"/>
      <c r="NXF10" s="3"/>
      <c r="NXG10" s="3"/>
      <c r="NXH10" s="3"/>
      <c r="NXI10" s="3"/>
      <c r="NXJ10" s="3"/>
      <c r="NXK10" s="3"/>
      <c r="NXL10" s="3"/>
      <c r="NXM10" s="3"/>
      <c r="NXN10" s="3"/>
      <c r="NXO10" s="3"/>
      <c r="NXP10" s="3"/>
      <c r="NXQ10" s="3"/>
      <c r="NXR10" s="3"/>
      <c r="NXS10" s="3"/>
      <c r="NXT10" s="3"/>
      <c r="NXU10" s="3"/>
      <c r="NXV10" s="3"/>
      <c r="NXW10" s="3"/>
      <c r="NXX10" s="3"/>
      <c r="NXY10" s="3"/>
      <c r="NXZ10" s="3"/>
      <c r="NYA10" s="3"/>
      <c r="NYB10" s="3"/>
      <c r="NYC10" s="3"/>
      <c r="NYD10" s="3"/>
      <c r="NYE10" s="3"/>
      <c r="NYF10" s="3"/>
      <c r="NYG10" s="3"/>
      <c r="NYH10" s="3"/>
      <c r="NYI10" s="3"/>
      <c r="NYJ10" s="3"/>
      <c r="NYK10" s="3"/>
      <c r="NYL10" s="3"/>
      <c r="NYM10" s="3"/>
      <c r="NYN10" s="3"/>
      <c r="NYO10" s="3"/>
      <c r="NYP10" s="3"/>
      <c r="NYQ10" s="3"/>
      <c r="NYR10" s="3"/>
      <c r="NYS10" s="3"/>
      <c r="NYT10" s="3"/>
      <c r="NYU10" s="3"/>
      <c r="NYV10" s="3"/>
      <c r="NYW10" s="3"/>
      <c r="NYX10" s="3"/>
      <c r="NYY10" s="3"/>
      <c r="NYZ10" s="3"/>
      <c r="NZA10" s="3"/>
      <c r="NZB10" s="3"/>
      <c r="NZC10" s="3"/>
      <c r="NZD10" s="3"/>
      <c r="NZE10" s="3"/>
      <c r="NZF10" s="3"/>
      <c r="NZG10" s="3"/>
      <c r="NZH10" s="3"/>
      <c r="NZI10" s="3"/>
      <c r="NZJ10" s="3"/>
      <c r="NZK10" s="3"/>
      <c r="NZL10" s="3"/>
      <c r="NZM10" s="3"/>
      <c r="NZN10" s="3"/>
      <c r="NZO10" s="3"/>
      <c r="NZP10" s="3"/>
      <c r="NZQ10" s="3"/>
      <c r="NZR10" s="3"/>
      <c r="NZS10" s="3"/>
      <c r="NZT10" s="3"/>
      <c r="NZU10" s="3"/>
      <c r="NZV10" s="3"/>
      <c r="NZW10" s="3"/>
      <c r="NZX10" s="3"/>
      <c r="NZY10" s="3"/>
      <c r="NZZ10" s="3"/>
      <c r="OAA10" s="3"/>
      <c r="OAB10" s="3"/>
      <c r="OAC10" s="3"/>
      <c r="OAD10" s="3"/>
      <c r="OAE10" s="3"/>
      <c r="OAF10" s="3"/>
      <c r="OAG10" s="3"/>
      <c r="OAH10" s="3"/>
      <c r="OAI10" s="3"/>
      <c r="OAJ10" s="3"/>
      <c r="OAK10" s="3"/>
      <c r="OAL10" s="3"/>
      <c r="OAM10" s="3"/>
      <c r="OAN10" s="3"/>
      <c r="OAO10" s="3"/>
      <c r="OAP10" s="3"/>
      <c r="OAQ10" s="3"/>
      <c r="OAR10" s="3"/>
      <c r="OAS10" s="3"/>
      <c r="OAT10" s="3"/>
      <c r="OAU10" s="3"/>
      <c r="OAV10" s="3"/>
      <c r="OAW10" s="3"/>
      <c r="OAX10" s="3"/>
      <c r="OAY10" s="3"/>
      <c r="OAZ10" s="3"/>
      <c r="OBA10" s="3"/>
      <c r="OBB10" s="3"/>
      <c r="OBC10" s="3"/>
      <c r="OBD10" s="3"/>
      <c r="OBE10" s="3"/>
      <c r="OBF10" s="3"/>
      <c r="OBG10" s="3"/>
      <c r="OBH10" s="3"/>
      <c r="OBI10" s="3"/>
      <c r="OBJ10" s="3"/>
      <c r="OBK10" s="3"/>
      <c r="OBL10" s="3"/>
      <c r="OBM10" s="3"/>
      <c r="OBN10" s="3"/>
      <c r="OBO10" s="3"/>
      <c r="OBP10" s="3"/>
      <c r="OBQ10" s="3"/>
      <c r="OBR10" s="3"/>
      <c r="OBS10" s="3"/>
      <c r="OBT10" s="3"/>
      <c r="OBU10" s="3"/>
      <c r="OBV10" s="3"/>
      <c r="OBW10" s="3"/>
      <c r="OBX10" s="3"/>
      <c r="OBY10" s="3"/>
      <c r="OBZ10" s="3"/>
      <c r="OCA10" s="3"/>
      <c r="OCB10" s="3"/>
      <c r="OCC10" s="3"/>
      <c r="OCD10" s="3"/>
      <c r="OCE10" s="3"/>
      <c r="OCF10" s="3"/>
      <c r="OCG10" s="3"/>
      <c r="OCH10" s="3"/>
      <c r="OCI10" s="3"/>
      <c r="OCJ10" s="3"/>
      <c r="OCK10" s="3"/>
      <c r="OCL10" s="3"/>
      <c r="OCM10" s="3"/>
      <c r="OCN10" s="3"/>
      <c r="OCO10" s="3"/>
      <c r="OCP10" s="3"/>
      <c r="OCQ10" s="3"/>
      <c r="OCR10" s="3"/>
      <c r="OCS10" s="3"/>
      <c r="OCT10" s="3"/>
      <c r="OCU10" s="3"/>
      <c r="OCV10" s="3"/>
      <c r="OCW10" s="3"/>
      <c r="OCX10" s="3"/>
      <c r="OCY10" s="3"/>
      <c r="OCZ10" s="3"/>
      <c r="ODA10" s="3"/>
      <c r="ODB10" s="3"/>
      <c r="ODC10" s="3"/>
      <c r="ODD10" s="3"/>
      <c r="ODE10" s="3"/>
      <c r="ODF10" s="3"/>
      <c r="ODG10" s="3"/>
      <c r="ODH10" s="3"/>
      <c r="ODI10" s="3"/>
      <c r="ODJ10" s="3"/>
      <c r="ODK10" s="3"/>
      <c r="ODL10" s="3"/>
      <c r="ODM10" s="3"/>
      <c r="ODN10" s="3"/>
      <c r="ODO10" s="3"/>
      <c r="ODP10" s="3"/>
      <c r="ODQ10" s="3"/>
      <c r="ODR10" s="3"/>
      <c r="ODS10" s="3"/>
      <c r="ODT10" s="3"/>
      <c r="ODU10" s="3"/>
      <c r="ODV10" s="3"/>
      <c r="ODW10" s="3"/>
      <c r="ODX10" s="3"/>
      <c r="ODY10" s="3"/>
      <c r="ODZ10" s="3"/>
      <c r="OEA10" s="3"/>
      <c r="OEB10" s="3"/>
      <c r="OEC10" s="3"/>
      <c r="OED10" s="3"/>
      <c r="OEE10" s="3"/>
      <c r="OEF10" s="3"/>
      <c r="OEG10" s="3"/>
      <c r="OEH10" s="3"/>
      <c r="OEI10" s="3"/>
      <c r="OEJ10" s="3"/>
      <c r="OEK10" s="3"/>
      <c r="OEL10" s="3"/>
      <c r="OEM10" s="3"/>
      <c r="OEN10" s="3"/>
      <c r="OEO10" s="3"/>
      <c r="OEP10" s="3"/>
      <c r="OEQ10" s="3"/>
      <c r="OER10" s="3"/>
      <c r="OES10" s="3"/>
      <c r="OET10" s="3"/>
      <c r="OEU10" s="3"/>
      <c r="OEV10" s="3"/>
      <c r="OEW10" s="3"/>
      <c r="OEX10" s="3"/>
      <c r="OEY10" s="3"/>
      <c r="OEZ10" s="3"/>
      <c r="OFA10" s="3"/>
      <c r="OFB10" s="3"/>
      <c r="OFC10" s="3"/>
      <c r="OFD10" s="3"/>
      <c r="OFE10" s="3"/>
      <c r="OFF10" s="3"/>
      <c r="OFG10" s="3"/>
      <c r="OFH10" s="3"/>
      <c r="OFI10" s="3"/>
      <c r="OFJ10" s="3"/>
      <c r="OFK10" s="3"/>
      <c r="OFL10" s="3"/>
      <c r="OFM10" s="3"/>
      <c r="OFN10" s="3"/>
      <c r="OFO10" s="3"/>
      <c r="OFP10" s="3"/>
      <c r="OFQ10" s="3"/>
      <c r="OFR10" s="3"/>
      <c r="OFS10" s="3"/>
      <c r="OFT10" s="3"/>
      <c r="OFU10" s="3"/>
      <c r="OFV10" s="3"/>
      <c r="OFW10" s="3"/>
      <c r="OFX10" s="3"/>
      <c r="OFY10" s="3"/>
      <c r="OFZ10" s="3"/>
      <c r="OGA10" s="3"/>
      <c r="OGB10" s="3"/>
      <c r="OGC10" s="3"/>
      <c r="OGD10" s="3"/>
      <c r="OGE10" s="3"/>
      <c r="OGF10" s="3"/>
      <c r="OGG10" s="3"/>
      <c r="OGH10" s="3"/>
      <c r="OGI10" s="3"/>
      <c r="OGJ10" s="3"/>
      <c r="OGK10" s="3"/>
      <c r="OGL10" s="3"/>
      <c r="OGM10" s="3"/>
      <c r="OGN10" s="3"/>
      <c r="OGO10" s="3"/>
      <c r="OGP10" s="3"/>
      <c r="OGQ10" s="3"/>
      <c r="OGR10" s="3"/>
      <c r="OGS10" s="3"/>
      <c r="OGT10" s="3"/>
      <c r="OGU10" s="3"/>
      <c r="OGV10" s="3"/>
      <c r="OGW10" s="3"/>
      <c r="OGX10" s="3"/>
      <c r="OGY10" s="3"/>
      <c r="OGZ10" s="3"/>
      <c r="OHA10" s="3"/>
      <c r="OHB10" s="3"/>
      <c r="OHC10" s="3"/>
      <c r="OHD10" s="3"/>
      <c r="OHE10" s="3"/>
      <c r="OHF10" s="3"/>
      <c r="OHG10" s="3"/>
      <c r="OHH10" s="3"/>
      <c r="OHI10" s="3"/>
      <c r="OHJ10" s="3"/>
      <c r="OHK10" s="3"/>
      <c r="OHL10" s="3"/>
      <c r="OHM10" s="3"/>
      <c r="OHN10" s="3"/>
      <c r="OHO10" s="3"/>
      <c r="OHP10" s="3"/>
      <c r="OHQ10" s="3"/>
      <c r="OHR10" s="3"/>
      <c r="OHS10" s="3"/>
      <c r="OHT10" s="3"/>
      <c r="OHU10" s="3"/>
      <c r="OHV10" s="3"/>
      <c r="OHW10" s="3"/>
      <c r="OHX10" s="3"/>
      <c r="OHY10" s="3"/>
      <c r="OHZ10" s="3"/>
      <c r="OIA10" s="3"/>
      <c r="OIB10" s="3"/>
      <c r="OIC10" s="3"/>
      <c r="OID10" s="3"/>
      <c r="OIE10" s="3"/>
      <c r="OIF10" s="3"/>
      <c r="OIG10" s="3"/>
      <c r="OIH10" s="3"/>
      <c r="OII10" s="3"/>
      <c r="OIJ10" s="3"/>
      <c r="OIK10" s="3"/>
      <c r="OIL10" s="3"/>
      <c r="OIM10" s="3"/>
      <c r="OIN10" s="3"/>
      <c r="OIO10" s="3"/>
      <c r="OIP10" s="3"/>
      <c r="OIQ10" s="3"/>
      <c r="OIR10" s="3"/>
      <c r="OIS10" s="3"/>
      <c r="OIT10" s="3"/>
      <c r="OIU10" s="3"/>
      <c r="OIV10" s="3"/>
      <c r="OIW10" s="3"/>
      <c r="OIX10" s="3"/>
      <c r="OIY10" s="3"/>
      <c r="OIZ10" s="3"/>
      <c r="OJA10" s="3"/>
      <c r="OJB10" s="3"/>
      <c r="OJC10" s="3"/>
      <c r="OJD10" s="3"/>
      <c r="OJE10" s="3"/>
      <c r="OJF10" s="3"/>
      <c r="OJG10" s="3"/>
      <c r="OJH10" s="3"/>
      <c r="OJI10" s="3"/>
      <c r="OJJ10" s="3"/>
      <c r="OJK10" s="3"/>
      <c r="OJL10" s="3"/>
      <c r="OJM10" s="3"/>
      <c r="OJN10" s="3"/>
      <c r="OJO10" s="3"/>
      <c r="OJP10" s="3"/>
      <c r="OJQ10" s="3"/>
      <c r="OJR10" s="3"/>
      <c r="OJS10" s="3"/>
      <c r="OJT10" s="3"/>
      <c r="OJU10" s="3"/>
      <c r="OJV10" s="3"/>
      <c r="OJW10" s="3"/>
      <c r="OJX10" s="3"/>
      <c r="OJY10" s="3"/>
      <c r="OJZ10" s="3"/>
      <c r="OKA10" s="3"/>
      <c r="OKB10" s="3"/>
      <c r="OKC10" s="3"/>
      <c r="OKD10" s="3"/>
      <c r="OKE10" s="3"/>
      <c r="OKF10" s="3"/>
      <c r="OKG10" s="3"/>
      <c r="OKH10" s="3"/>
      <c r="OKI10" s="3"/>
      <c r="OKJ10" s="3"/>
      <c r="OKK10" s="3"/>
      <c r="OKL10" s="3"/>
      <c r="OKM10" s="3"/>
      <c r="OKN10" s="3"/>
      <c r="OKO10" s="3"/>
      <c r="OKP10" s="3"/>
      <c r="OKQ10" s="3"/>
      <c r="OKR10" s="3"/>
      <c r="OKS10" s="3"/>
      <c r="OKT10" s="3"/>
      <c r="OKU10" s="3"/>
      <c r="OKV10" s="3"/>
      <c r="OKW10" s="3"/>
      <c r="OKX10" s="3"/>
      <c r="OKY10" s="3"/>
      <c r="OKZ10" s="3"/>
      <c r="OLA10" s="3"/>
      <c r="OLB10" s="3"/>
      <c r="OLC10" s="3"/>
      <c r="OLD10" s="3"/>
      <c r="OLE10" s="3"/>
      <c r="OLF10" s="3"/>
      <c r="OLG10" s="3"/>
      <c r="OLH10" s="3"/>
      <c r="OLI10" s="3"/>
      <c r="OLJ10" s="3"/>
      <c r="OLK10" s="3"/>
      <c r="OLL10" s="3"/>
      <c r="OLM10" s="3"/>
      <c r="OLN10" s="3"/>
      <c r="OLO10" s="3"/>
      <c r="OLP10" s="3"/>
      <c r="OLQ10" s="3"/>
      <c r="OLR10" s="3"/>
      <c r="OLS10" s="3"/>
      <c r="OLT10" s="3"/>
      <c r="OLU10" s="3"/>
      <c r="OLV10" s="3"/>
      <c r="OLW10" s="3"/>
      <c r="OLX10" s="3"/>
      <c r="OLY10" s="3"/>
      <c r="OLZ10" s="3"/>
      <c r="OMA10" s="3"/>
      <c r="OMB10" s="3"/>
      <c r="OMC10" s="3"/>
      <c r="OMD10" s="3"/>
      <c r="OME10" s="3"/>
      <c r="OMF10" s="3"/>
      <c r="OMG10" s="3"/>
      <c r="OMH10" s="3"/>
      <c r="OMI10" s="3"/>
      <c r="OMJ10" s="3"/>
      <c r="OMK10" s="3"/>
      <c r="OML10" s="3"/>
      <c r="OMM10" s="3"/>
      <c r="OMN10" s="3"/>
      <c r="OMO10" s="3"/>
      <c r="OMP10" s="3"/>
      <c r="OMQ10" s="3"/>
      <c r="OMR10" s="3"/>
      <c r="OMS10" s="3"/>
      <c r="OMT10" s="3"/>
      <c r="OMU10" s="3"/>
      <c r="OMV10" s="3"/>
      <c r="OMW10" s="3"/>
      <c r="OMX10" s="3"/>
      <c r="OMY10" s="3"/>
      <c r="OMZ10" s="3"/>
      <c r="ONA10" s="3"/>
      <c r="ONB10" s="3"/>
      <c r="ONC10" s="3"/>
      <c r="OND10" s="3"/>
      <c r="ONE10" s="3"/>
      <c r="ONF10" s="3"/>
      <c r="ONG10" s="3"/>
      <c r="ONH10" s="3"/>
      <c r="ONI10" s="3"/>
      <c r="ONJ10" s="3"/>
      <c r="ONK10" s="3"/>
      <c r="ONL10" s="3"/>
      <c r="ONM10" s="3"/>
      <c r="ONN10" s="3"/>
      <c r="ONO10" s="3"/>
      <c r="ONP10" s="3"/>
      <c r="ONQ10" s="3"/>
      <c r="ONR10" s="3"/>
      <c r="ONS10" s="3"/>
      <c r="ONT10" s="3"/>
      <c r="ONU10" s="3"/>
      <c r="ONV10" s="3"/>
      <c r="ONW10" s="3"/>
      <c r="ONX10" s="3"/>
      <c r="ONY10" s="3"/>
      <c r="ONZ10" s="3"/>
      <c r="OOA10" s="3"/>
      <c r="OOB10" s="3"/>
      <c r="OOC10" s="3"/>
      <c r="OOD10" s="3"/>
      <c r="OOE10" s="3"/>
      <c r="OOF10" s="3"/>
      <c r="OOG10" s="3"/>
      <c r="OOH10" s="3"/>
      <c r="OOI10" s="3"/>
      <c r="OOJ10" s="3"/>
      <c r="OOK10" s="3"/>
      <c r="OOL10" s="3"/>
      <c r="OOM10" s="3"/>
      <c r="OON10" s="3"/>
      <c r="OOO10" s="3"/>
      <c r="OOP10" s="3"/>
      <c r="OOQ10" s="3"/>
      <c r="OOR10" s="3"/>
      <c r="OOS10" s="3"/>
      <c r="OOT10" s="3"/>
      <c r="OOU10" s="3"/>
      <c r="OOV10" s="3"/>
      <c r="OOW10" s="3"/>
      <c r="OOX10" s="3"/>
      <c r="OOY10" s="3"/>
      <c r="OOZ10" s="3"/>
      <c r="OPA10" s="3"/>
      <c r="OPB10" s="3"/>
      <c r="OPC10" s="3"/>
      <c r="OPD10" s="3"/>
      <c r="OPE10" s="3"/>
      <c r="OPF10" s="3"/>
      <c r="OPG10" s="3"/>
      <c r="OPH10" s="3"/>
      <c r="OPI10" s="3"/>
      <c r="OPJ10" s="3"/>
      <c r="OPK10" s="3"/>
      <c r="OPL10" s="3"/>
      <c r="OPM10" s="3"/>
      <c r="OPN10" s="3"/>
      <c r="OPO10" s="3"/>
      <c r="OPP10" s="3"/>
      <c r="OPQ10" s="3"/>
      <c r="OPR10" s="3"/>
      <c r="OPS10" s="3"/>
      <c r="OPT10" s="3"/>
      <c r="OPU10" s="3"/>
      <c r="OPV10" s="3"/>
      <c r="OPW10" s="3"/>
      <c r="OPX10" s="3"/>
      <c r="OPY10" s="3"/>
      <c r="OPZ10" s="3"/>
      <c r="OQA10" s="3"/>
      <c r="OQB10" s="3"/>
      <c r="OQC10" s="3"/>
      <c r="OQD10" s="3"/>
      <c r="OQE10" s="3"/>
      <c r="OQF10" s="3"/>
      <c r="OQG10" s="3"/>
      <c r="OQH10" s="3"/>
      <c r="OQI10" s="3"/>
      <c r="OQJ10" s="3"/>
      <c r="OQK10" s="3"/>
      <c r="OQL10" s="3"/>
      <c r="OQM10" s="3"/>
      <c r="OQN10" s="3"/>
      <c r="OQO10" s="3"/>
      <c r="OQP10" s="3"/>
      <c r="OQQ10" s="3"/>
      <c r="OQR10" s="3"/>
      <c r="OQS10" s="3"/>
      <c r="OQT10" s="3"/>
      <c r="OQU10" s="3"/>
      <c r="OQV10" s="3"/>
      <c r="OQW10" s="3"/>
      <c r="OQX10" s="3"/>
      <c r="OQY10" s="3"/>
      <c r="OQZ10" s="3"/>
      <c r="ORA10" s="3"/>
      <c r="ORB10" s="3"/>
      <c r="ORC10" s="3"/>
      <c r="ORD10" s="3"/>
      <c r="ORE10" s="3"/>
      <c r="ORF10" s="3"/>
      <c r="ORG10" s="3"/>
      <c r="ORH10" s="3"/>
      <c r="ORI10" s="3"/>
      <c r="ORJ10" s="3"/>
      <c r="ORK10" s="3"/>
      <c r="ORL10" s="3"/>
      <c r="ORM10" s="3"/>
      <c r="ORN10" s="3"/>
      <c r="ORO10" s="3"/>
      <c r="ORP10" s="3"/>
      <c r="ORQ10" s="3"/>
      <c r="ORR10" s="3"/>
      <c r="ORS10" s="3"/>
      <c r="ORT10" s="3"/>
      <c r="ORU10" s="3"/>
      <c r="ORV10" s="3"/>
      <c r="ORW10" s="3"/>
      <c r="ORX10" s="3"/>
      <c r="ORY10" s="3"/>
      <c r="ORZ10" s="3"/>
      <c r="OSA10" s="3"/>
      <c r="OSB10" s="3"/>
      <c r="OSC10" s="3"/>
      <c r="OSD10" s="3"/>
      <c r="OSE10" s="3"/>
      <c r="OSF10" s="3"/>
      <c r="OSG10" s="3"/>
      <c r="OSH10" s="3"/>
      <c r="OSI10" s="3"/>
      <c r="OSJ10" s="3"/>
      <c r="OSK10" s="3"/>
      <c r="OSL10" s="3"/>
      <c r="OSM10" s="3"/>
      <c r="OSN10" s="3"/>
      <c r="OSO10" s="3"/>
      <c r="OSP10" s="3"/>
      <c r="OSQ10" s="3"/>
      <c r="OSR10" s="3"/>
      <c r="OSS10" s="3"/>
      <c r="OST10" s="3"/>
      <c r="OSU10" s="3"/>
      <c r="OSV10" s="3"/>
      <c r="OSW10" s="3"/>
      <c r="OSX10" s="3"/>
      <c r="OSY10" s="3"/>
      <c r="OSZ10" s="3"/>
      <c r="OTA10" s="3"/>
      <c r="OTB10" s="3"/>
      <c r="OTC10" s="3"/>
      <c r="OTD10" s="3"/>
      <c r="OTE10" s="3"/>
      <c r="OTF10" s="3"/>
      <c r="OTG10" s="3"/>
      <c r="OTH10" s="3"/>
      <c r="OTI10" s="3"/>
      <c r="OTJ10" s="3"/>
      <c r="OTK10" s="3"/>
      <c r="OTL10" s="3"/>
      <c r="OTM10" s="3"/>
      <c r="OTN10" s="3"/>
      <c r="OTO10" s="3"/>
      <c r="OTP10" s="3"/>
      <c r="OTQ10" s="3"/>
      <c r="OTR10" s="3"/>
      <c r="OTS10" s="3"/>
      <c r="OTT10" s="3"/>
      <c r="OTU10" s="3"/>
      <c r="OTV10" s="3"/>
      <c r="OTW10" s="3"/>
      <c r="OTX10" s="3"/>
      <c r="OTY10" s="3"/>
      <c r="OTZ10" s="3"/>
      <c r="OUA10" s="3"/>
      <c r="OUB10" s="3"/>
      <c r="OUC10" s="3"/>
      <c r="OUD10" s="3"/>
      <c r="OUE10" s="3"/>
      <c r="OUF10" s="3"/>
      <c r="OUG10" s="3"/>
      <c r="OUH10" s="3"/>
      <c r="OUI10" s="3"/>
      <c r="OUJ10" s="3"/>
      <c r="OUK10" s="3"/>
      <c r="OUL10" s="3"/>
      <c r="OUM10" s="3"/>
      <c r="OUN10" s="3"/>
      <c r="OUO10" s="3"/>
      <c r="OUP10" s="3"/>
      <c r="OUQ10" s="3"/>
      <c r="OUR10" s="3"/>
      <c r="OUS10" s="3"/>
      <c r="OUT10" s="3"/>
      <c r="OUU10" s="3"/>
      <c r="OUV10" s="3"/>
      <c r="OUW10" s="3"/>
      <c r="OUX10" s="3"/>
      <c r="OUY10" s="3"/>
      <c r="OUZ10" s="3"/>
      <c r="OVA10" s="3"/>
      <c r="OVB10" s="3"/>
      <c r="OVC10" s="3"/>
      <c r="OVD10" s="3"/>
      <c r="OVE10" s="3"/>
      <c r="OVF10" s="3"/>
      <c r="OVG10" s="3"/>
      <c r="OVH10" s="3"/>
      <c r="OVI10" s="3"/>
      <c r="OVJ10" s="3"/>
      <c r="OVK10" s="3"/>
      <c r="OVL10" s="3"/>
      <c r="OVM10" s="3"/>
      <c r="OVN10" s="3"/>
      <c r="OVO10" s="3"/>
      <c r="OVP10" s="3"/>
      <c r="OVQ10" s="3"/>
      <c r="OVR10" s="3"/>
      <c r="OVS10" s="3"/>
      <c r="OVT10" s="3"/>
      <c r="OVU10" s="3"/>
      <c r="OVV10" s="3"/>
      <c r="OVW10" s="3"/>
      <c r="OVX10" s="3"/>
      <c r="OVY10" s="3"/>
      <c r="OVZ10" s="3"/>
      <c r="OWA10" s="3"/>
      <c r="OWB10" s="3"/>
      <c r="OWC10" s="3"/>
      <c r="OWD10" s="3"/>
      <c r="OWE10" s="3"/>
      <c r="OWF10" s="3"/>
      <c r="OWG10" s="3"/>
      <c r="OWH10" s="3"/>
      <c r="OWI10" s="3"/>
      <c r="OWJ10" s="3"/>
      <c r="OWK10" s="3"/>
      <c r="OWL10" s="3"/>
      <c r="OWM10" s="3"/>
      <c r="OWN10" s="3"/>
      <c r="OWO10" s="3"/>
      <c r="OWP10" s="3"/>
      <c r="OWQ10" s="3"/>
      <c r="OWR10" s="3"/>
      <c r="OWS10" s="3"/>
      <c r="OWT10" s="3"/>
      <c r="OWU10" s="3"/>
      <c r="OWV10" s="3"/>
      <c r="OWW10" s="3"/>
      <c r="OWX10" s="3"/>
      <c r="OWY10" s="3"/>
      <c r="OWZ10" s="3"/>
      <c r="OXA10" s="3"/>
      <c r="OXB10" s="3"/>
      <c r="OXC10" s="3"/>
      <c r="OXD10" s="3"/>
      <c r="OXE10" s="3"/>
      <c r="OXF10" s="3"/>
      <c r="OXG10" s="3"/>
      <c r="OXH10" s="3"/>
      <c r="OXI10" s="3"/>
      <c r="OXJ10" s="3"/>
      <c r="OXK10" s="3"/>
      <c r="OXL10" s="3"/>
      <c r="OXM10" s="3"/>
      <c r="OXN10" s="3"/>
      <c r="OXO10" s="3"/>
      <c r="OXP10" s="3"/>
      <c r="OXQ10" s="3"/>
      <c r="OXR10" s="3"/>
      <c r="OXS10" s="3"/>
      <c r="OXT10" s="3"/>
      <c r="OXU10" s="3"/>
      <c r="OXV10" s="3"/>
      <c r="OXW10" s="3"/>
      <c r="OXX10" s="3"/>
      <c r="OXY10" s="3"/>
      <c r="OXZ10" s="3"/>
      <c r="OYA10" s="3"/>
      <c r="OYB10" s="3"/>
      <c r="OYC10" s="3"/>
      <c r="OYD10" s="3"/>
      <c r="OYE10" s="3"/>
      <c r="OYF10" s="3"/>
      <c r="OYG10" s="3"/>
      <c r="OYH10" s="3"/>
      <c r="OYI10" s="3"/>
      <c r="OYJ10" s="3"/>
      <c r="OYK10" s="3"/>
      <c r="OYL10" s="3"/>
      <c r="OYM10" s="3"/>
      <c r="OYN10" s="3"/>
      <c r="OYO10" s="3"/>
      <c r="OYP10" s="3"/>
      <c r="OYQ10" s="3"/>
      <c r="OYR10" s="3"/>
      <c r="OYS10" s="3"/>
      <c r="OYT10" s="3"/>
      <c r="OYU10" s="3"/>
      <c r="OYV10" s="3"/>
      <c r="OYW10" s="3"/>
      <c r="OYX10" s="3"/>
      <c r="OYY10" s="3"/>
      <c r="OYZ10" s="3"/>
      <c r="OZA10" s="3"/>
      <c r="OZB10" s="3"/>
      <c r="OZC10" s="3"/>
      <c r="OZD10" s="3"/>
      <c r="OZE10" s="3"/>
      <c r="OZF10" s="3"/>
      <c r="OZG10" s="3"/>
      <c r="OZH10" s="3"/>
      <c r="OZI10" s="3"/>
      <c r="OZJ10" s="3"/>
      <c r="OZK10" s="3"/>
      <c r="OZL10" s="3"/>
      <c r="OZM10" s="3"/>
      <c r="OZN10" s="3"/>
      <c r="OZO10" s="3"/>
      <c r="OZP10" s="3"/>
      <c r="OZQ10" s="3"/>
      <c r="OZR10" s="3"/>
      <c r="OZS10" s="3"/>
      <c r="OZT10" s="3"/>
      <c r="OZU10" s="3"/>
      <c r="OZV10" s="3"/>
      <c r="OZW10" s="3"/>
      <c r="OZX10" s="3"/>
      <c r="OZY10" s="3"/>
      <c r="OZZ10" s="3"/>
      <c r="PAA10" s="3"/>
      <c r="PAB10" s="3"/>
      <c r="PAC10" s="3"/>
      <c r="PAD10" s="3"/>
      <c r="PAE10" s="3"/>
      <c r="PAF10" s="3"/>
      <c r="PAG10" s="3"/>
      <c r="PAH10" s="3"/>
      <c r="PAI10" s="3"/>
      <c r="PAJ10" s="3"/>
      <c r="PAK10" s="3"/>
      <c r="PAL10" s="3"/>
      <c r="PAM10" s="3"/>
      <c r="PAN10" s="3"/>
      <c r="PAO10" s="3"/>
      <c r="PAP10" s="3"/>
      <c r="PAQ10" s="3"/>
      <c r="PAR10" s="3"/>
      <c r="PAS10" s="3"/>
      <c r="PAT10" s="3"/>
      <c r="PAU10" s="3"/>
      <c r="PAV10" s="3"/>
      <c r="PAW10" s="3"/>
      <c r="PAX10" s="3"/>
      <c r="PAY10" s="3"/>
      <c r="PAZ10" s="3"/>
      <c r="PBA10" s="3"/>
      <c r="PBB10" s="3"/>
      <c r="PBC10" s="3"/>
      <c r="PBD10" s="3"/>
      <c r="PBE10" s="3"/>
      <c r="PBF10" s="3"/>
      <c r="PBG10" s="3"/>
      <c r="PBH10" s="3"/>
      <c r="PBI10" s="3"/>
      <c r="PBJ10" s="3"/>
      <c r="PBK10" s="3"/>
      <c r="PBL10" s="3"/>
      <c r="PBM10" s="3"/>
      <c r="PBN10" s="3"/>
      <c r="PBO10" s="3"/>
      <c r="PBP10" s="3"/>
      <c r="PBQ10" s="3"/>
      <c r="PBR10" s="3"/>
      <c r="PBS10" s="3"/>
      <c r="PBT10" s="3"/>
      <c r="PBU10" s="3"/>
      <c r="PBV10" s="3"/>
      <c r="PBW10" s="3"/>
      <c r="PBX10" s="3"/>
      <c r="PBY10" s="3"/>
      <c r="PBZ10" s="3"/>
      <c r="PCA10" s="3"/>
      <c r="PCB10" s="3"/>
      <c r="PCC10" s="3"/>
      <c r="PCD10" s="3"/>
      <c r="PCE10" s="3"/>
      <c r="PCF10" s="3"/>
      <c r="PCG10" s="3"/>
      <c r="PCH10" s="3"/>
      <c r="PCI10" s="3"/>
      <c r="PCJ10" s="3"/>
      <c r="PCK10" s="3"/>
      <c r="PCL10" s="3"/>
      <c r="PCM10" s="3"/>
      <c r="PCN10" s="3"/>
      <c r="PCO10" s="3"/>
      <c r="PCP10" s="3"/>
      <c r="PCQ10" s="3"/>
      <c r="PCR10" s="3"/>
      <c r="PCS10" s="3"/>
      <c r="PCT10" s="3"/>
      <c r="PCU10" s="3"/>
      <c r="PCV10" s="3"/>
      <c r="PCW10" s="3"/>
      <c r="PCX10" s="3"/>
      <c r="PCY10" s="3"/>
      <c r="PCZ10" s="3"/>
      <c r="PDA10" s="3"/>
      <c r="PDB10" s="3"/>
      <c r="PDC10" s="3"/>
      <c r="PDD10" s="3"/>
      <c r="PDE10" s="3"/>
      <c r="PDF10" s="3"/>
      <c r="PDG10" s="3"/>
      <c r="PDH10" s="3"/>
      <c r="PDI10" s="3"/>
      <c r="PDJ10" s="3"/>
      <c r="PDK10" s="3"/>
      <c r="PDL10" s="3"/>
      <c r="PDM10" s="3"/>
      <c r="PDN10" s="3"/>
      <c r="PDO10" s="3"/>
      <c r="PDP10" s="3"/>
      <c r="PDQ10" s="3"/>
      <c r="PDR10" s="3"/>
      <c r="PDS10" s="3"/>
      <c r="PDT10" s="3"/>
      <c r="PDU10" s="3"/>
      <c r="PDV10" s="3"/>
      <c r="PDW10" s="3"/>
      <c r="PDX10" s="3"/>
      <c r="PDY10" s="3"/>
      <c r="PDZ10" s="3"/>
      <c r="PEA10" s="3"/>
      <c r="PEB10" s="3"/>
      <c r="PEC10" s="3"/>
      <c r="PED10" s="3"/>
      <c r="PEE10" s="3"/>
      <c r="PEF10" s="3"/>
      <c r="PEG10" s="3"/>
      <c r="PEH10" s="3"/>
      <c r="PEI10" s="3"/>
      <c r="PEJ10" s="3"/>
      <c r="PEK10" s="3"/>
      <c r="PEL10" s="3"/>
      <c r="PEM10" s="3"/>
      <c r="PEN10" s="3"/>
      <c r="PEO10" s="3"/>
      <c r="PEP10" s="3"/>
      <c r="PEQ10" s="3"/>
      <c r="PER10" s="3"/>
      <c r="PES10" s="3"/>
      <c r="PET10" s="3"/>
      <c r="PEU10" s="3"/>
      <c r="PEV10" s="3"/>
      <c r="PEW10" s="3"/>
      <c r="PEX10" s="3"/>
      <c r="PEY10" s="3"/>
      <c r="PEZ10" s="3"/>
      <c r="PFA10" s="3"/>
      <c r="PFB10" s="3"/>
      <c r="PFC10" s="3"/>
      <c r="PFD10" s="3"/>
      <c r="PFE10" s="3"/>
      <c r="PFF10" s="3"/>
      <c r="PFG10" s="3"/>
      <c r="PFH10" s="3"/>
      <c r="PFI10" s="3"/>
      <c r="PFJ10" s="3"/>
      <c r="PFK10" s="3"/>
      <c r="PFL10" s="3"/>
      <c r="PFM10" s="3"/>
      <c r="PFN10" s="3"/>
      <c r="PFO10" s="3"/>
      <c r="PFP10" s="3"/>
      <c r="PFQ10" s="3"/>
      <c r="PFR10" s="3"/>
      <c r="PFS10" s="3"/>
      <c r="PFT10" s="3"/>
      <c r="PFU10" s="3"/>
      <c r="PFV10" s="3"/>
      <c r="PFW10" s="3"/>
      <c r="PFX10" s="3"/>
      <c r="PFY10" s="3"/>
      <c r="PFZ10" s="3"/>
      <c r="PGA10" s="3"/>
      <c r="PGB10" s="3"/>
      <c r="PGC10" s="3"/>
      <c r="PGD10" s="3"/>
      <c r="PGE10" s="3"/>
      <c r="PGF10" s="3"/>
      <c r="PGG10" s="3"/>
      <c r="PGH10" s="3"/>
      <c r="PGI10" s="3"/>
      <c r="PGJ10" s="3"/>
      <c r="PGK10" s="3"/>
      <c r="PGL10" s="3"/>
      <c r="PGM10" s="3"/>
      <c r="PGN10" s="3"/>
      <c r="PGO10" s="3"/>
      <c r="PGP10" s="3"/>
      <c r="PGQ10" s="3"/>
      <c r="PGR10" s="3"/>
      <c r="PGS10" s="3"/>
      <c r="PGT10" s="3"/>
      <c r="PGU10" s="3"/>
      <c r="PGV10" s="3"/>
      <c r="PGW10" s="3"/>
      <c r="PGX10" s="3"/>
      <c r="PGY10" s="3"/>
      <c r="PGZ10" s="3"/>
      <c r="PHA10" s="3"/>
      <c r="PHB10" s="3"/>
      <c r="PHC10" s="3"/>
      <c r="PHD10" s="3"/>
      <c r="PHE10" s="3"/>
      <c r="PHF10" s="3"/>
      <c r="PHG10" s="3"/>
      <c r="PHH10" s="3"/>
      <c r="PHI10" s="3"/>
      <c r="PHJ10" s="3"/>
      <c r="PHK10" s="3"/>
      <c r="PHL10" s="3"/>
      <c r="PHM10" s="3"/>
      <c r="PHN10" s="3"/>
      <c r="PHO10" s="3"/>
      <c r="PHP10" s="3"/>
      <c r="PHQ10" s="3"/>
      <c r="PHR10" s="3"/>
      <c r="PHS10" s="3"/>
      <c r="PHT10" s="3"/>
      <c r="PHU10" s="3"/>
      <c r="PHV10" s="3"/>
      <c r="PHW10" s="3"/>
      <c r="PHX10" s="3"/>
      <c r="PHY10" s="3"/>
      <c r="PHZ10" s="3"/>
      <c r="PIA10" s="3"/>
      <c r="PIB10" s="3"/>
      <c r="PIC10" s="3"/>
      <c r="PID10" s="3"/>
      <c r="PIE10" s="3"/>
      <c r="PIF10" s="3"/>
      <c r="PIG10" s="3"/>
      <c r="PIH10" s="3"/>
      <c r="PII10" s="3"/>
      <c r="PIJ10" s="3"/>
      <c r="PIK10" s="3"/>
      <c r="PIL10" s="3"/>
      <c r="PIM10" s="3"/>
      <c r="PIN10" s="3"/>
      <c r="PIO10" s="3"/>
      <c r="PIP10" s="3"/>
      <c r="PIQ10" s="3"/>
      <c r="PIR10" s="3"/>
      <c r="PIS10" s="3"/>
      <c r="PIT10" s="3"/>
      <c r="PIU10" s="3"/>
      <c r="PIV10" s="3"/>
      <c r="PIW10" s="3"/>
      <c r="PIX10" s="3"/>
      <c r="PIY10" s="3"/>
      <c r="PIZ10" s="3"/>
      <c r="PJA10" s="3"/>
      <c r="PJB10" s="3"/>
      <c r="PJC10" s="3"/>
      <c r="PJD10" s="3"/>
      <c r="PJE10" s="3"/>
      <c r="PJF10" s="3"/>
      <c r="PJG10" s="3"/>
      <c r="PJH10" s="3"/>
      <c r="PJI10" s="3"/>
      <c r="PJJ10" s="3"/>
      <c r="PJK10" s="3"/>
      <c r="PJL10" s="3"/>
      <c r="PJM10" s="3"/>
      <c r="PJN10" s="3"/>
      <c r="PJO10" s="3"/>
      <c r="PJP10" s="3"/>
      <c r="PJQ10" s="3"/>
      <c r="PJR10" s="3"/>
      <c r="PJS10" s="3"/>
      <c r="PJT10" s="3"/>
      <c r="PJU10" s="3"/>
      <c r="PJV10" s="3"/>
      <c r="PJW10" s="3"/>
      <c r="PJX10" s="3"/>
      <c r="PJY10" s="3"/>
      <c r="PJZ10" s="3"/>
      <c r="PKA10" s="3"/>
      <c r="PKB10" s="3"/>
      <c r="PKC10" s="3"/>
      <c r="PKD10" s="3"/>
      <c r="PKE10" s="3"/>
      <c r="PKF10" s="3"/>
      <c r="PKG10" s="3"/>
      <c r="PKH10" s="3"/>
      <c r="PKI10" s="3"/>
      <c r="PKJ10" s="3"/>
      <c r="PKK10" s="3"/>
      <c r="PKL10" s="3"/>
      <c r="PKM10" s="3"/>
      <c r="PKN10" s="3"/>
      <c r="PKO10" s="3"/>
      <c r="PKP10" s="3"/>
      <c r="PKQ10" s="3"/>
      <c r="PKR10" s="3"/>
      <c r="PKS10" s="3"/>
      <c r="PKT10" s="3"/>
      <c r="PKU10" s="3"/>
      <c r="PKV10" s="3"/>
      <c r="PKW10" s="3"/>
      <c r="PKX10" s="3"/>
      <c r="PKY10" s="3"/>
      <c r="PKZ10" s="3"/>
      <c r="PLA10" s="3"/>
      <c r="PLB10" s="3"/>
      <c r="PLC10" s="3"/>
      <c r="PLD10" s="3"/>
      <c r="PLE10" s="3"/>
      <c r="PLF10" s="3"/>
      <c r="PLG10" s="3"/>
      <c r="PLH10" s="3"/>
      <c r="PLI10" s="3"/>
      <c r="PLJ10" s="3"/>
      <c r="PLK10" s="3"/>
      <c r="PLL10" s="3"/>
      <c r="PLM10" s="3"/>
      <c r="PLN10" s="3"/>
      <c r="PLO10" s="3"/>
      <c r="PLP10" s="3"/>
      <c r="PLQ10" s="3"/>
      <c r="PLR10" s="3"/>
      <c r="PLS10" s="3"/>
      <c r="PLT10" s="3"/>
      <c r="PLU10" s="3"/>
      <c r="PLV10" s="3"/>
      <c r="PLW10" s="3"/>
      <c r="PLX10" s="3"/>
      <c r="PLY10" s="3"/>
      <c r="PLZ10" s="3"/>
      <c r="PMA10" s="3"/>
      <c r="PMB10" s="3"/>
      <c r="PMC10" s="3"/>
      <c r="PMD10" s="3"/>
      <c r="PME10" s="3"/>
      <c r="PMF10" s="3"/>
      <c r="PMG10" s="3"/>
      <c r="PMH10" s="3"/>
      <c r="PMI10" s="3"/>
      <c r="PMJ10" s="3"/>
      <c r="PMK10" s="3"/>
      <c r="PML10" s="3"/>
      <c r="PMM10" s="3"/>
      <c r="PMN10" s="3"/>
      <c r="PMO10" s="3"/>
      <c r="PMP10" s="3"/>
      <c r="PMQ10" s="3"/>
      <c r="PMR10" s="3"/>
      <c r="PMS10" s="3"/>
      <c r="PMT10" s="3"/>
      <c r="PMU10" s="3"/>
      <c r="PMV10" s="3"/>
      <c r="PMW10" s="3"/>
      <c r="PMX10" s="3"/>
      <c r="PMY10" s="3"/>
      <c r="PMZ10" s="3"/>
      <c r="PNA10" s="3"/>
      <c r="PNB10" s="3"/>
      <c r="PNC10" s="3"/>
      <c r="PND10" s="3"/>
      <c r="PNE10" s="3"/>
      <c r="PNF10" s="3"/>
      <c r="PNG10" s="3"/>
      <c r="PNH10" s="3"/>
      <c r="PNI10" s="3"/>
      <c r="PNJ10" s="3"/>
      <c r="PNK10" s="3"/>
      <c r="PNL10" s="3"/>
      <c r="PNM10" s="3"/>
      <c r="PNN10" s="3"/>
      <c r="PNO10" s="3"/>
      <c r="PNP10" s="3"/>
      <c r="PNQ10" s="3"/>
      <c r="PNR10" s="3"/>
      <c r="PNS10" s="3"/>
      <c r="PNT10" s="3"/>
      <c r="PNU10" s="3"/>
      <c r="PNV10" s="3"/>
      <c r="PNW10" s="3"/>
      <c r="PNX10" s="3"/>
      <c r="PNY10" s="3"/>
      <c r="PNZ10" s="3"/>
      <c r="POA10" s="3"/>
      <c r="POB10" s="3"/>
      <c r="POC10" s="3"/>
      <c r="POD10" s="3"/>
      <c r="POE10" s="3"/>
      <c r="POF10" s="3"/>
      <c r="POG10" s="3"/>
      <c r="POH10" s="3"/>
      <c r="POI10" s="3"/>
      <c r="POJ10" s="3"/>
      <c r="POK10" s="3"/>
      <c r="POL10" s="3"/>
      <c r="POM10" s="3"/>
      <c r="PON10" s="3"/>
      <c r="POO10" s="3"/>
      <c r="POP10" s="3"/>
      <c r="POQ10" s="3"/>
      <c r="POR10" s="3"/>
      <c r="POS10" s="3"/>
      <c r="POT10" s="3"/>
      <c r="POU10" s="3"/>
      <c r="POV10" s="3"/>
      <c r="POW10" s="3"/>
      <c r="POX10" s="3"/>
      <c r="POY10" s="3"/>
      <c r="POZ10" s="3"/>
      <c r="PPA10" s="3"/>
      <c r="PPB10" s="3"/>
      <c r="PPC10" s="3"/>
      <c r="PPD10" s="3"/>
      <c r="PPE10" s="3"/>
      <c r="PPF10" s="3"/>
      <c r="PPG10" s="3"/>
      <c r="PPH10" s="3"/>
      <c r="PPI10" s="3"/>
      <c r="PPJ10" s="3"/>
      <c r="PPK10" s="3"/>
      <c r="PPL10" s="3"/>
      <c r="PPM10" s="3"/>
      <c r="PPN10" s="3"/>
      <c r="PPO10" s="3"/>
      <c r="PPP10" s="3"/>
      <c r="PPQ10" s="3"/>
      <c r="PPR10" s="3"/>
      <c r="PPS10" s="3"/>
      <c r="PPT10" s="3"/>
      <c r="PPU10" s="3"/>
      <c r="PPV10" s="3"/>
      <c r="PPW10" s="3"/>
      <c r="PPX10" s="3"/>
      <c r="PPY10" s="3"/>
      <c r="PPZ10" s="3"/>
      <c r="PQA10" s="3"/>
      <c r="PQB10" s="3"/>
      <c r="PQC10" s="3"/>
      <c r="PQD10" s="3"/>
      <c r="PQE10" s="3"/>
      <c r="PQF10" s="3"/>
      <c r="PQG10" s="3"/>
      <c r="PQH10" s="3"/>
      <c r="PQI10" s="3"/>
      <c r="PQJ10" s="3"/>
      <c r="PQK10" s="3"/>
      <c r="PQL10" s="3"/>
      <c r="PQM10" s="3"/>
      <c r="PQN10" s="3"/>
      <c r="PQO10" s="3"/>
      <c r="PQP10" s="3"/>
      <c r="PQQ10" s="3"/>
      <c r="PQR10" s="3"/>
      <c r="PQS10" s="3"/>
      <c r="PQT10" s="3"/>
      <c r="PQU10" s="3"/>
      <c r="PQV10" s="3"/>
      <c r="PQW10" s="3"/>
      <c r="PQX10" s="3"/>
      <c r="PQY10" s="3"/>
      <c r="PQZ10" s="3"/>
      <c r="PRA10" s="3"/>
      <c r="PRB10" s="3"/>
      <c r="PRC10" s="3"/>
      <c r="PRD10" s="3"/>
      <c r="PRE10" s="3"/>
      <c r="PRF10" s="3"/>
      <c r="PRG10" s="3"/>
      <c r="PRH10" s="3"/>
      <c r="PRI10" s="3"/>
      <c r="PRJ10" s="3"/>
      <c r="PRK10" s="3"/>
      <c r="PRL10" s="3"/>
      <c r="PRM10" s="3"/>
      <c r="PRN10" s="3"/>
      <c r="PRO10" s="3"/>
      <c r="PRP10" s="3"/>
      <c r="PRQ10" s="3"/>
      <c r="PRR10" s="3"/>
      <c r="PRS10" s="3"/>
      <c r="PRT10" s="3"/>
      <c r="PRU10" s="3"/>
      <c r="PRV10" s="3"/>
      <c r="PRW10" s="3"/>
      <c r="PRX10" s="3"/>
      <c r="PRY10" s="3"/>
      <c r="PRZ10" s="3"/>
      <c r="PSA10" s="3"/>
      <c r="PSB10" s="3"/>
      <c r="PSC10" s="3"/>
      <c r="PSD10" s="3"/>
      <c r="PSE10" s="3"/>
      <c r="PSF10" s="3"/>
      <c r="PSG10" s="3"/>
      <c r="PSH10" s="3"/>
      <c r="PSI10" s="3"/>
      <c r="PSJ10" s="3"/>
      <c r="PSK10" s="3"/>
      <c r="PSL10" s="3"/>
      <c r="PSM10" s="3"/>
      <c r="PSN10" s="3"/>
      <c r="PSO10" s="3"/>
      <c r="PSP10" s="3"/>
      <c r="PSQ10" s="3"/>
      <c r="PSR10" s="3"/>
      <c r="PSS10" s="3"/>
      <c r="PST10" s="3"/>
      <c r="PSU10" s="3"/>
      <c r="PSV10" s="3"/>
      <c r="PSW10" s="3"/>
      <c r="PSX10" s="3"/>
      <c r="PSY10" s="3"/>
      <c r="PSZ10" s="3"/>
      <c r="PTA10" s="3"/>
      <c r="PTB10" s="3"/>
      <c r="PTC10" s="3"/>
      <c r="PTD10" s="3"/>
      <c r="PTE10" s="3"/>
      <c r="PTF10" s="3"/>
      <c r="PTG10" s="3"/>
      <c r="PTH10" s="3"/>
      <c r="PTI10" s="3"/>
      <c r="PTJ10" s="3"/>
      <c r="PTK10" s="3"/>
      <c r="PTL10" s="3"/>
      <c r="PTM10" s="3"/>
      <c r="PTN10" s="3"/>
      <c r="PTO10" s="3"/>
      <c r="PTP10" s="3"/>
      <c r="PTQ10" s="3"/>
      <c r="PTR10" s="3"/>
      <c r="PTS10" s="3"/>
      <c r="PTT10" s="3"/>
      <c r="PTU10" s="3"/>
      <c r="PTV10" s="3"/>
      <c r="PTW10" s="3"/>
      <c r="PTX10" s="3"/>
      <c r="PTY10" s="3"/>
      <c r="PTZ10" s="3"/>
      <c r="PUA10" s="3"/>
      <c r="PUB10" s="3"/>
      <c r="PUC10" s="3"/>
      <c r="PUD10" s="3"/>
      <c r="PUE10" s="3"/>
      <c r="PUF10" s="3"/>
      <c r="PUG10" s="3"/>
      <c r="PUH10" s="3"/>
      <c r="PUI10" s="3"/>
      <c r="PUJ10" s="3"/>
      <c r="PUK10" s="3"/>
      <c r="PUL10" s="3"/>
      <c r="PUM10" s="3"/>
      <c r="PUN10" s="3"/>
      <c r="PUO10" s="3"/>
      <c r="PUP10" s="3"/>
      <c r="PUQ10" s="3"/>
      <c r="PUR10" s="3"/>
      <c r="PUS10" s="3"/>
      <c r="PUT10" s="3"/>
      <c r="PUU10" s="3"/>
      <c r="PUV10" s="3"/>
      <c r="PUW10" s="3"/>
      <c r="PUX10" s="3"/>
      <c r="PUY10" s="3"/>
      <c r="PUZ10" s="3"/>
      <c r="PVA10" s="3"/>
      <c r="PVB10" s="3"/>
      <c r="PVC10" s="3"/>
      <c r="PVD10" s="3"/>
      <c r="PVE10" s="3"/>
      <c r="PVF10" s="3"/>
      <c r="PVG10" s="3"/>
      <c r="PVH10" s="3"/>
      <c r="PVI10" s="3"/>
      <c r="PVJ10" s="3"/>
      <c r="PVK10" s="3"/>
      <c r="PVL10" s="3"/>
      <c r="PVM10" s="3"/>
      <c r="PVN10" s="3"/>
      <c r="PVO10" s="3"/>
      <c r="PVP10" s="3"/>
      <c r="PVQ10" s="3"/>
      <c r="PVR10" s="3"/>
      <c r="PVS10" s="3"/>
      <c r="PVT10" s="3"/>
      <c r="PVU10" s="3"/>
      <c r="PVV10" s="3"/>
      <c r="PVW10" s="3"/>
      <c r="PVX10" s="3"/>
      <c r="PVY10" s="3"/>
      <c r="PVZ10" s="3"/>
      <c r="PWA10" s="3"/>
      <c r="PWB10" s="3"/>
      <c r="PWC10" s="3"/>
      <c r="PWD10" s="3"/>
      <c r="PWE10" s="3"/>
      <c r="PWF10" s="3"/>
      <c r="PWG10" s="3"/>
      <c r="PWH10" s="3"/>
      <c r="PWI10" s="3"/>
      <c r="PWJ10" s="3"/>
      <c r="PWK10" s="3"/>
      <c r="PWL10" s="3"/>
      <c r="PWM10" s="3"/>
      <c r="PWN10" s="3"/>
      <c r="PWO10" s="3"/>
      <c r="PWP10" s="3"/>
      <c r="PWQ10" s="3"/>
      <c r="PWR10" s="3"/>
      <c r="PWS10" s="3"/>
      <c r="PWT10" s="3"/>
      <c r="PWU10" s="3"/>
      <c r="PWV10" s="3"/>
      <c r="PWW10" s="3"/>
      <c r="PWX10" s="3"/>
      <c r="PWY10" s="3"/>
      <c r="PWZ10" s="3"/>
      <c r="PXA10" s="3"/>
      <c r="PXB10" s="3"/>
      <c r="PXC10" s="3"/>
      <c r="PXD10" s="3"/>
      <c r="PXE10" s="3"/>
      <c r="PXF10" s="3"/>
      <c r="PXG10" s="3"/>
      <c r="PXH10" s="3"/>
      <c r="PXI10" s="3"/>
      <c r="PXJ10" s="3"/>
      <c r="PXK10" s="3"/>
      <c r="PXL10" s="3"/>
      <c r="PXM10" s="3"/>
      <c r="PXN10" s="3"/>
      <c r="PXO10" s="3"/>
      <c r="PXP10" s="3"/>
      <c r="PXQ10" s="3"/>
      <c r="PXR10" s="3"/>
      <c r="PXS10" s="3"/>
      <c r="PXT10" s="3"/>
      <c r="PXU10" s="3"/>
      <c r="PXV10" s="3"/>
      <c r="PXW10" s="3"/>
      <c r="PXX10" s="3"/>
      <c r="PXY10" s="3"/>
      <c r="PXZ10" s="3"/>
      <c r="PYA10" s="3"/>
      <c r="PYB10" s="3"/>
      <c r="PYC10" s="3"/>
      <c r="PYD10" s="3"/>
      <c r="PYE10" s="3"/>
      <c r="PYF10" s="3"/>
      <c r="PYG10" s="3"/>
      <c r="PYH10" s="3"/>
      <c r="PYI10" s="3"/>
      <c r="PYJ10" s="3"/>
      <c r="PYK10" s="3"/>
      <c r="PYL10" s="3"/>
      <c r="PYM10" s="3"/>
      <c r="PYN10" s="3"/>
      <c r="PYO10" s="3"/>
      <c r="PYP10" s="3"/>
      <c r="PYQ10" s="3"/>
      <c r="PYR10" s="3"/>
      <c r="PYS10" s="3"/>
      <c r="PYT10" s="3"/>
      <c r="PYU10" s="3"/>
      <c r="PYV10" s="3"/>
      <c r="PYW10" s="3"/>
      <c r="PYX10" s="3"/>
      <c r="PYY10" s="3"/>
      <c r="PYZ10" s="3"/>
      <c r="PZA10" s="3"/>
      <c r="PZB10" s="3"/>
      <c r="PZC10" s="3"/>
      <c r="PZD10" s="3"/>
      <c r="PZE10" s="3"/>
      <c r="PZF10" s="3"/>
      <c r="PZG10" s="3"/>
      <c r="PZH10" s="3"/>
      <c r="PZI10" s="3"/>
      <c r="PZJ10" s="3"/>
      <c r="PZK10" s="3"/>
      <c r="PZL10" s="3"/>
      <c r="PZM10" s="3"/>
      <c r="PZN10" s="3"/>
      <c r="PZO10" s="3"/>
      <c r="PZP10" s="3"/>
      <c r="PZQ10" s="3"/>
      <c r="PZR10" s="3"/>
      <c r="PZS10" s="3"/>
      <c r="PZT10" s="3"/>
      <c r="PZU10" s="3"/>
      <c r="PZV10" s="3"/>
      <c r="PZW10" s="3"/>
      <c r="PZX10" s="3"/>
      <c r="PZY10" s="3"/>
      <c r="PZZ10" s="3"/>
      <c r="QAA10" s="3"/>
      <c r="QAB10" s="3"/>
      <c r="QAC10" s="3"/>
      <c r="QAD10" s="3"/>
      <c r="QAE10" s="3"/>
      <c r="QAF10" s="3"/>
      <c r="QAG10" s="3"/>
      <c r="QAH10" s="3"/>
      <c r="QAI10" s="3"/>
      <c r="QAJ10" s="3"/>
      <c r="QAK10" s="3"/>
      <c r="QAL10" s="3"/>
      <c r="QAM10" s="3"/>
      <c r="QAN10" s="3"/>
      <c r="QAO10" s="3"/>
      <c r="QAP10" s="3"/>
      <c r="QAQ10" s="3"/>
      <c r="QAR10" s="3"/>
      <c r="QAS10" s="3"/>
      <c r="QAT10" s="3"/>
      <c r="QAU10" s="3"/>
      <c r="QAV10" s="3"/>
      <c r="QAW10" s="3"/>
      <c r="QAX10" s="3"/>
      <c r="QAY10" s="3"/>
      <c r="QAZ10" s="3"/>
      <c r="QBA10" s="3"/>
      <c r="QBB10" s="3"/>
      <c r="QBC10" s="3"/>
      <c r="QBD10" s="3"/>
      <c r="QBE10" s="3"/>
      <c r="QBF10" s="3"/>
      <c r="QBG10" s="3"/>
      <c r="QBH10" s="3"/>
      <c r="QBI10" s="3"/>
      <c r="QBJ10" s="3"/>
      <c r="QBK10" s="3"/>
      <c r="QBL10" s="3"/>
      <c r="QBM10" s="3"/>
      <c r="QBN10" s="3"/>
      <c r="QBO10" s="3"/>
      <c r="QBP10" s="3"/>
      <c r="QBQ10" s="3"/>
      <c r="QBR10" s="3"/>
      <c r="QBS10" s="3"/>
      <c r="QBT10" s="3"/>
      <c r="QBU10" s="3"/>
      <c r="QBV10" s="3"/>
      <c r="QBW10" s="3"/>
      <c r="QBX10" s="3"/>
      <c r="QBY10" s="3"/>
      <c r="QBZ10" s="3"/>
      <c r="QCA10" s="3"/>
      <c r="QCB10" s="3"/>
      <c r="QCC10" s="3"/>
      <c r="QCD10" s="3"/>
      <c r="QCE10" s="3"/>
      <c r="QCF10" s="3"/>
      <c r="QCG10" s="3"/>
      <c r="QCH10" s="3"/>
      <c r="QCI10" s="3"/>
      <c r="QCJ10" s="3"/>
      <c r="QCK10" s="3"/>
      <c r="QCL10" s="3"/>
      <c r="QCM10" s="3"/>
      <c r="QCN10" s="3"/>
      <c r="QCO10" s="3"/>
      <c r="QCP10" s="3"/>
      <c r="QCQ10" s="3"/>
      <c r="QCR10" s="3"/>
      <c r="QCS10" s="3"/>
      <c r="QCT10" s="3"/>
      <c r="QCU10" s="3"/>
      <c r="QCV10" s="3"/>
      <c r="QCW10" s="3"/>
      <c r="QCX10" s="3"/>
      <c r="QCY10" s="3"/>
      <c r="QCZ10" s="3"/>
      <c r="QDA10" s="3"/>
      <c r="QDB10" s="3"/>
      <c r="QDC10" s="3"/>
      <c r="QDD10" s="3"/>
      <c r="QDE10" s="3"/>
      <c r="QDF10" s="3"/>
      <c r="QDG10" s="3"/>
      <c r="QDH10" s="3"/>
      <c r="QDI10" s="3"/>
      <c r="QDJ10" s="3"/>
      <c r="QDK10" s="3"/>
      <c r="QDL10" s="3"/>
      <c r="QDM10" s="3"/>
      <c r="QDN10" s="3"/>
      <c r="QDO10" s="3"/>
      <c r="QDP10" s="3"/>
      <c r="QDQ10" s="3"/>
      <c r="QDR10" s="3"/>
      <c r="QDS10" s="3"/>
      <c r="QDT10" s="3"/>
      <c r="QDU10" s="3"/>
      <c r="QDV10" s="3"/>
      <c r="QDW10" s="3"/>
      <c r="QDX10" s="3"/>
      <c r="QDY10" s="3"/>
      <c r="QDZ10" s="3"/>
      <c r="QEA10" s="3"/>
      <c r="QEB10" s="3"/>
      <c r="QEC10" s="3"/>
      <c r="QED10" s="3"/>
      <c r="QEE10" s="3"/>
      <c r="QEF10" s="3"/>
      <c r="QEG10" s="3"/>
      <c r="QEH10" s="3"/>
      <c r="QEI10" s="3"/>
      <c r="QEJ10" s="3"/>
      <c r="QEK10" s="3"/>
      <c r="QEL10" s="3"/>
      <c r="QEM10" s="3"/>
      <c r="QEN10" s="3"/>
      <c r="QEO10" s="3"/>
      <c r="QEP10" s="3"/>
      <c r="QEQ10" s="3"/>
      <c r="QER10" s="3"/>
      <c r="QES10" s="3"/>
      <c r="QET10" s="3"/>
      <c r="QEU10" s="3"/>
      <c r="QEV10" s="3"/>
      <c r="QEW10" s="3"/>
      <c r="QEX10" s="3"/>
      <c r="QEY10" s="3"/>
      <c r="QEZ10" s="3"/>
      <c r="QFA10" s="3"/>
      <c r="QFB10" s="3"/>
      <c r="QFC10" s="3"/>
      <c r="QFD10" s="3"/>
      <c r="QFE10" s="3"/>
      <c r="QFF10" s="3"/>
      <c r="QFG10" s="3"/>
      <c r="QFH10" s="3"/>
      <c r="QFI10" s="3"/>
      <c r="QFJ10" s="3"/>
      <c r="QFK10" s="3"/>
      <c r="QFL10" s="3"/>
      <c r="QFM10" s="3"/>
      <c r="QFN10" s="3"/>
      <c r="QFO10" s="3"/>
      <c r="QFP10" s="3"/>
      <c r="QFQ10" s="3"/>
      <c r="QFR10" s="3"/>
      <c r="QFS10" s="3"/>
      <c r="QFT10" s="3"/>
      <c r="QFU10" s="3"/>
      <c r="QFV10" s="3"/>
      <c r="QFW10" s="3"/>
      <c r="QFX10" s="3"/>
      <c r="QFY10" s="3"/>
      <c r="QFZ10" s="3"/>
      <c r="QGA10" s="3"/>
      <c r="QGB10" s="3"/>
      <c r="QGC10" s="3"/>
      <c r="QGD10" s="3"/>
      <c r="QGE10" s="3"/>
      <c r="QGF10" s="3"/>
      <c r="QGG10" s="3"/>
      <c r="QGH10" s="3"/>
      <c r="QGI10" s="3"/>
      <c r="QGJ10" s="3"/>
      <c r="QGK10" s="3"/>
      <c r="QGL10" s="3"/>
      <c r="QGM10" s="3"/>
      <c r="QGN10" s="3"/>
      <c r="QGO10" s="3"/>
      <c r="QGP10" s="3"/>
      <c r="QGQ10" s="3"/>
      <c r="QGR10" s="3"/>
      <c r="QGS10" s="3"/>
      <c r="QGT10" s="3"/>
      <c r="QGU10" s="3"/>
      <c r="QGV10" s="3"/>
      <c r="QGW10" s="3"/>
      <c r="QGX10" s="3"/>
      <c r="QGY10" s="3"/>
      <c r="QGZ10" s="3"/>
      <c r="QHA10" s="3"/>
      <c r="QHB10" s="3"/>
      <c r="QHC10" s="3"/>
      <c r="QHD10" s="3"/>
      <c r="QHE10" s="3"/>
      <c r="QHF10" s="3"/>
      <c r="QHG10" s="3"/>
      <c r="QHH10" s="3"/>
      <c r="QHI10" s="3"/>
      <c r="QHJ10" s="3"/>
      <c r="QHK10" s="3"/>
      <c r="QHL10" s="3"/>
      <c r="QHM10" s="3"/>
      <c r="QHN10" s="3"/>
      <c r="QHO10" s="3"/>
      <c r="QHP10" s="3"/>
      <c r="QHQ10" s="3"/>
      <c r="QHR10" s="3"/>
      <c r="QHS10" s="3"/>
      <c r="QHT10" s="3"/>
      <c r="QHU10" s="3"/>
      <c r="QHV10" s="3"/>
      <c r="QHW10" s="3"/>
      <c r="QHX10" s="3"/>
      <c r="QHY10" s="3"/>
      <c r="QHZ10" s="3"/>
      <c r="QIA10" s="3"/>
      <c r="QIB10" s="3"/>
      <c r="QIC10" s="3"/>
      <c r="QID10" s="3"/>
      <c r="QIE10" s="3"/>
      <c r="QIF10" s="3"/>
      <c r="QIG10" s="3"/>
      <c r="QIH10" s="3"/>
      <c r="QII10" s="3"/>
      <c r="QIJ10" s="3"/>
      <c r="QIK10" s="3"/>
      <c r="QIL10" s="3"/>
      <c r="QIM10" s="3"/>
      <c r="QIN10" s="3"/>
      <c r="QIO10" s="3"/>
      <c r="QIP10" s="3"/>
      <c r="QIQ10" s="3"/>
      <c r="QIR10" s="3"/>
      <c r="QIS10" s="3"/>
      <c r="QIT10" s="3"/>
      <c r="QIU10" s="3"/>
      <c r="QIV10" s="3"/>
      <c r="QIW10" s="3"/>
      <c r="QIX10" s="3"/>
      <c r="QIY10" s="3"/>
      <c r="QIZ10" s="3"/>
      <c r="QJA10" s="3"/>
      <c r="QJB10" s="3"/>
      <c r="QJC10" s="3"/>
      <c r="QJD10" s="3"/>
      <c r="QJE10" s="3"/>
      <c r="QJF10" s="3"/>
      <c r="QJG10" s="3"/>
      <c r="QJH10" s="3"/>
      <c r="QJI10" s="3"/>
      <c r="QJJ10" s="3"/>
      <c r="QJK10" s="3"/>
      <c r="QJL10" s="3"/>
      <c r="QJM10" s="3"/>
      <c r="QJN10" s="3"/>
      <c r="QJO10" s="3"/>
      <c r="QJP10" s="3"/>
      <c r="QJQ10" s="3"/>
      <c r="QJR10" s="3"/>
      <c r="QJS10" s="3"/>
      <c r="QJT10" s="3"/>
      <c r="QJU10" s="3"/>
      <c r="QJV10" s="3"/>
      <c r="QJW10" s="3"/>
      <c r="QJX10" s="3"/>
      <c r="QJY10" s="3"/>
      <c r="QJZ10" s="3"/>
      <c r="QKA10" s="3"/>
      <c r="QKB10" s="3"/>
      <c r="QKC10" s="3"/>
      <c r="QKD10" s="3"/>
      <c r="QKE10" s="3"/>
      <c r="QKF10" s="3"/>
      <c r="QKG10" s="3"/>
      <c r="QKH10" s="3"/>
      <c r="QKI10" s="3"/>
      <c r="QKJ10" s="3"/>
      <c r="QKK10" s="3"/>
      <c r="QKL10" s="3"/>
      <c r="QKM10" s="3"/>
      <c r="QKN10" s="3"/>
      <c r="QKO10" s="3"/>
      <c r="QKP10" s="3"/>
      <c r="QKQ10" s="3"/>
      <c r="QKR10" s="3"/>
      <c r="QKS10" s="3"/>
      <c r="QKT10" s="3"/>
      <c r="QKU10" s="3"/>
      <c r="QKV10" s="3"/>
      <c r="QKW10" s="3"/>
      <c r="QKX10" s="3"/>
      <c r="QKY10" s="3"/>
      <c r="QKZ10" s="3"/>
      <c r="QLA10" s="3"/>
      <c r="QLB10" s="3"/>
      <c r="QLC10" s="3"/>
      <c r="QLD10" s="3"/>
      <c r="QLE10" s="3"/>
      <c r="QLF10" s="3"/>
      <c r="QLG10" s="3"/>
      <c r="QLH10" s="3"/>
      <c r="QLI10" s="3"/>
      <c r="QLJ10" s="3"/>
      <c r="QLK10" s="3"/>
      <c r="QLL10" s="3"/>
      <c r="QLM10" s="3"/>
      <c r="QLN10" s="3"/>
      <c r="QLO10" s="3"/>
      <c r="QLP10" s="3"/>
      <c r="QLQ10" s="3"/>
      <c r="QLR10" s="3"/>
      <c r="QLS10" s="3"/>
      <c r="QLT10" s="3"/>
      <c r="QLU10" s="3"/>
      <c r="QLV10" s="3"/>
      <c r="QLW10" s="3"/>
      <c r="QLX10" s="3"/>
      <c r="QLY10" s="3"/>
      <c r="QLZ10" s="3"/>
      <c r="QMA10" s="3"/>
      <c r="QMB10" s="3"/>
      <c r="QMC10" s="3"/>
      <c r="QMD10" s="3"/>
      <c r="QME10" s="3"/>
      <c r="QMF10" s="3"/>
      <c r="QMG10" s="3"/>
      <c r="QMH10" s="3"/>
      <c r="QMI10" s="3"/>
      <c r="QMJ10" s="3"/>
      <c r="QMK10" s="3"/>
      <c r="QML10" s="3"/>
      <c r="QMM10" s="3"/>
      <c r="QMN10" s="3"/>
      <c r="QMO10" s="3"/>
      <c r="QMP10" s="3"/>
      <c r="QMQ10" s="3"/>
      <c r="QMR10" s="3"/>
      <c r="QMS10" s="3"/>
      <c r="QMT10" s="3"/>
      <c r="QMU10" s="3"/>
      <c r="QMV10" s="3"/>
      <c r="QMW10" s="3"/>
      <c r="QMX10" s="3"/>
      <c r="QMY10" s="3"/>
      <c r="QMZ10" s="3"/>
      <c r="QNA10" s="3"/>
      <c r="QNB10" s="3"/>
      <c r="QNC10" s="3"/>
      <c r="QND10" s="3"/>
      <c r="QNE10" s="3"/>
      <c r="QNF10" s="3"/>
      <c r="QNG10" s="3"/>
      <c r="QNH10" s="3"/>
      <c r="QNI10" s="3"/>
      <c r="QNJ10" s="3"/>
      <c r="QNK10" s="3"/>
      <c r="QNL10" s="3"/>
      <c r="QNM10" s="3"/>
      <c r="QNN10" s="3"/>
      <c r="QNO10" s="3"/>
      <c r="QNP10" s="3"/>
      <c r="QNQ10" s="3"/>
      <c r="QNR10" s="3"/>
      <c r="QNS10" s="3"/>
      <c r="QNT10" s="3"/>
      <c r="QNU10" s="3"/>
      <c r="QNV10" s="3"/>
      <c r="QNW10" s="3"/>
      <c r="QNX10" s="3"/>
      <c r="QNY10" s="3"/>
      <c r="QNZ10" s="3"/>
      <c r="QOA10" s="3"/>
      <c r="QOB10" s="3"/>
      <c r="QOC10" s="3"/>
      <c r="QOD10" s="3"/>
      <c r="QOE10" s="3"/>
      <c r="QOF10" s="3"/>
      <c r="QOG10" s="3"/>
      <c r="QOH10" s="3"/>
      <c r="QOI10" s="3"/>
      <c r="QOJ10" s="3"/>
      <c r="QOK10" s="3"/>
      <c r="QOL10" s="3"/>
      <c r="QOM10" s="3"/>
      <c r="QON10" s="3"/>
      <c r="QOO10" s="3"/>
      <c r="QOP10" s="3"/>
      <c r="QOQ10" s="3"/>
      <c r="QOR10" s="3"/>
      <c r="QOS10" s="3"/>
      <c r="QOT10" s="3"/>
      <c r="QOU10" s="3"/>
      <c r="QOV10" s="3"/>
      <c r="QOW10" s="3"/>
      <c r="QOX10" s="3"/>
      <c r="QOY10" s="3"/>
      <c r="QOZ10" s="3"/>
      <c r="QPA10" s="3"/>
      <c r="QPB10" s="3"/>
      <c r="QPC10" s="3"/>
      <c r="QPD10" s="3"/>
      <c r="QPE10" s="3"/>
      <c r="QPF10" s="3"/>
      <c r="QPG10" s="3"/>
      <c r="QPH10" s="3"/>
      <c r="QPI10" s="3"/>
      <c r="QPJ10" s="3"/>
      <c r="QPK10" s="3"/>
      <c r="QPL10" s="3"/>
      <c r="QPM10" s="3"/>
      <c r="QPN10" s="3"/>
      <c r="QPO10" s="3"/>
      <c r="QPP10" s="3"/>
      <c r="QPQ10" s="3"/>
      <c r="QPR10" s="3"/>
      <c r="QPS10" s="3"/>
      <c r="QPT10" s="3"/>
      <c r="QPU10" s="3"/>
      <c r="QPV10" s="3"/>
      <c r="QPW10" s="3"/>
      <c r="QPX10" s="3"/>
      <c r="QPY10" s="3"/>
      <c r="QPZ10" s="3"/>
      <c r="QQA10" s="3"/>
      <c r="QQB10" s="3"/>
      <c r="QQC10" s="3"/>
      <c r="QQD10" s="3"/>
      <c r="QQE10" s="3"/>
      <c r="QQF10" s="3"/>
      <c r="QQG10" s="3"/>
      <c r="QQH10" s="3"/>
      <c r="QQI10" s="3"/>
      <c r="QQJ10" s="3"/>
      <c r="QQK10" s="3"/>
      <c r="QQL10" s="3"/>
      <c r="QQM10" s="3"/>
      <c r="QQN10" s="3"/>
      <c r="QQO10" s="3"/>
      <c r="QQP10" s="3"/>
      <c r="QQQ10" s="3"/>
      <c r="QQR10" s="3"/>
      <c r="QQS10" s="3"/>
      <c r="QQT10" s="3"/>
      <c r="QQU10" s="3"/>
      <c r="QQV10" s="3"/>
      <c r="QQW10" s="3"/>
      <c r="QQX10" s="3"/>
      <c r="QQY10" s="3"/>
      <c r="QQZ10" s="3"/>
      <c r="QRA10" s="3"/>
      <c r="QRB10" s="3"/>
      <c r="QRC10" s="3"/>
      <c r="QRD10" s="3"/>
      <c r="QRE10" s="3"/>
      <c r="QRF10" s="3"/>
      <c r="QRG10" s="3"/>
      <c r="QRH10" s="3"/>
      <c r="QRI10" s="3"/>
      <c r="QRJ10" s="3"/>
      <c r="QRK10" s="3"/>
      <c r="QRL10" s="3"/>
      <c r="QRM10" s="3"/>
      <c r="QRN10" s="3"/>
      <c r="QRO10" s="3"/>
      <c r="QRP10" s="3"/>
      <c r="QRQ10" s="3"/>
      <c r="QRR10" s="3"/>
      <c r="QRS10" s="3"/>
      <c r="QRT10" s="3"/>
      <c r="QRU10" s="3"/>
      <c r="QRV10" s="3"/>
      <c r="QRW10" s="3"/>
      <c r="QRX10" s="3"/>
      <c r="QRY10" s="3"/>
      <c r="QRZ10" s="3"/>
      <c r="QSA10" s="3"/>
      <c r="QSB10" s="3"/>
      <c r="QSC10" s="3"/>
      <c r="QSD10" s="3"/>
      <c r="QSE10" s="3"/>
      <c r="QSF10" s="3"/>
      <c r="QSG10" s="3"/>
      <c r="QSH10" s="3"/>
      <c r="QSI10" s="3"/>
      <c r="QSJ10" s="3"/>
      <c r="QSK10" s="3"/>
      <c r="QSL10" s="3"/>
      <c r="QSM10" s="3"/>
      <c r="QSN10" s="3"/>
      <c r="QSO10" s="3"/>
      <c r="QSP10" s="3"/>
      <c r="QSQ10" s="3"/>
      <c r="QSR10" s="3"/>
      <c r="QSS10" s="3"/>
      <c r="QST10" s="3"/>
      <c r="QSU10" s="3"/>
      <c r="QSV10" s="3"/>
      <c r="QSW10" s="3"/>
      <c r="QSX10" s="3"/>
      <c r="QSY10" s="3"/>
      <c r="QSZ10" s="3"/>
      <c r="QTA10" s="3"/>
      <c r="QTB10" s="3"/>
      <c r="QTC10" s="3"/>
      <c r="QTD10" s="3"/>
      <c r="QTE10" s="3"/>
      <c r="QTF10" s="3"/>
      <c r="QTG10" s="3"/>
      <c r="QTH10" s="3"/>
      <c r="QTI10" s="3"/>
      <c r="QTJ10" s="3"/>
      <c r="QTK10" s="3"/>
      <c r="QTL10" s="3"/>
      <c r="QTM10" s="3"/>
      <c r="QTN10" s="3"/>
      <c r="QTO10" s="3"/>
      <c r="QTP10" s="3"/>
      <c r="QTQ10" s="3"/>
      <c r="QTR10" s="3"/>
      <c r="QTS10" s="3"/>
      <c r="QTT10" s="3"/>
      <c r="QTU10" s="3"/>
      <c r="QTV10" s="3"/>
      <c r="QTW10" s="3"/>
      <c r="QTX10" s="3"/>
      <c r="QTY10" s="3"/>
      <c r="QTZ10" s="3"/>
      <c r="QUA10" s="3"/>
      <c r="QUB10" s="3"/>
      <c r="QUC10" s="3"/>
      <c r="QUD10" s="3"/>
      <c r="QUE10" s="3"/>
      <c r="QUF10" s="3"/>
      <c r="QUG10" s="3"/>
      <c r="QUH10" s="3"/>
      <c r="QUI10" s="3"/>
      <c r="QUJ10" s="3"/>
      <c r="QUK10" s="3"/>
      <c r="QUL10" s="3"/>
      <c r="QUM10" s="3"/>
      <c r="QUN10" s="3"/>
      <c r="QUO10" s="3"/>
      <c r="QUP10" s="3"/>
      <c r="QUQ10" s="3"/>
      <c r="QUR10" s="3"/>
      <c r="QUS10" s="3"/>
      <c r="QUT10" s="3"/>
      <c r="QUU10" s="3"/>
      <c r="QUV10" s="3"/>
      <c r="QUW10" s="3"/>
      <c r="QUX10" s="3"/>
      <c r="QUY10" s="3"/>
      <c r="QUZ10" s="3"/>
      <c r="QVA10" s="3"/>
      <c r="QVB10" s="3"/>
      <c r="QVC10" s="3"/>
      <c r="QVD10" s="3"/>
      <c r="QVE10" s="3"/>
      <c r="QVF10" s="3"/>
      <c r="QVG10" s="3"/>
      <c r="QVH10" s="3"/>
      <c r="QVI10" s="3"/>
      <c r="QVJ10" s="3"/>
      <c r="QVK10" s="3"/>
      <c r="QVL10" s="3"/>
      <c r="QVM10" s="3"/>
      <c r="QVN10" s="3"/>
      <c r="QVO10" s="3"/>
      <c r="QVP10" s="3"/>
      <c r="QVQ10" s="3"/>
      <c r="QVR10" s="3"/>
      <c r="QVS10" s="3"/>
      <c r="QVT10" s="3"/>
      <c r="QVU10" s="3"/>
      <c r="QVV10" s="3"/>
      <c r="QVW10" s="3"/>
      <c r="QVX10" s="3"/>
      <c r="QVY10" s="3"/>
      <c r="QVZ10" s="3"/>
      <c r="QWA10" s="3"/>
      <c r="QWB10" s="3"/>
      <c r="QWC10" s="3"/>
      <c r="QWD10" s="3"/>
      <c r="QWE10" s="3"/>
      <c r="QWF10" s="3"/>
      <c r="QWG10" s="3"/>
      <c r="QWH10" s="3"/>
      <c r="QWI10" s="3"/>
      <c r="QWJ10" s="3"/>
      <c r="QWK10" s="3"/>
      <c r="QWL10" s="3"/>
      <c r="QWM10" s="3"/>
      <c r="QWN10" s="3"/>
      <c r="QWO10" s="3"/>
      <c r="QWP10" s="3"/>
      <c r="QWQ10" s="3"/>
      <c r="QWR10" s="3"/>
      <c r="QWS10" s="3"/>
      <c r="QWT10" s="3"/>
      <c r="QWU10" s="3"/>
      <c r="QWV10" s="3"/>
      <c r="QWW10" s="3"/>
      <c r="QWX10" s="3"/>
      <c r="QWY10" s="3"/>
      <c r="QWZ10" s="3"/>
      <c r="QXA10" s="3"/>
      <c r="QXB10" s="3"/>
      <c r="QXC10" s="3"/>
      <c r="QXD10" s="3"/>
      <c r="QXE10" s="3"/>
      <c r="QXF10" s="3"/>
      <c r="QXG10" s="3"/>
      <c r="QXH10" s="3"/>
      <c r="QXI10" s="3"/>
      <c r="QXJ10" s="3"/>
      <c r="QXK10" s="3"/>
      <c r="QXL10" s="3"/>
      <c r="QXM10" s="3"/>
      <c r="QXN10" s="3"/>
      <c r="QXO10" s="3"/>
      <c r="QXP10" s="3"/>
      <c r="QXQ10" s="3"/>
      <c r="QXR10" s="3"/>
      <c r="QXS10" s="3"/>
      <c r="QXT10" s="3"/>
      <c r="QXU10" s="3"/>
      <c r="QXV10" s="3"/>
      <c r="QXW10" s="3"/>
      <c r="QXX10" s="3"/>
      <c r="QXY10" s="3"/>
      <c r="QXZ10" s="3"/>
      <c r="QYA10" s="3"/>
      <c r="QYB10" s="3"/>
      <c r="QYC10" s="3"/>
      <c r="QYD10" s="3"/>
      <c r="QYE10" s="3"/>
      <c r="QYF10" s="3"/>
      <c r="QYG10" s="3"/>
      <c r="QYH10" s="3"/>
      <c r="QYI10" s="3"/>
      <c r="QYJ10" s="3"/>
      <c r="QYK10" s="3"/>
      <c r="QYL10" s="3"/>
      <c r="QYM10" s="3"/>
      <c r="QYN10" s="3"/>
      <c r="QYO10" s="3"/>
      <c r="QYP10" s="3"/>
      <c r="QYQ10" s="3"/>
      <c r="QYR10" s="3"/>
      <c r="QYS10" s="3"/>
      <c r="QYT10" s="3"/>
      <c r="QYU10" s="3"/>
      <c r="QYV10" s="3"/>
      <c r="QYW10" s="3"/>
      <c r="QYX10" s="3"/>
      <c r="QYY10" s="3"/>
      <c r="QYZ10" s="3"/>
      <c r="QZA10" s="3"/>
      <c r="QZB10" s="3"/>
      <c r="QZC10" s="3"/>
      <c r="QZD10" s="3"/>
      <c r="QZE10" s="3"/>
      <c r="QZF10" s="3"/>
      <c r="QZG10" s="3"/>
      <c r="QZH10" s="3"/>
      <c r="QZI10" s="3"/>
      <c r="QZJ10" s="3"/>
      <c r="QZK10" s="3"/>
      <c r="QZL10" s="3"/>
      <c r="QZM10" s="3"/>
      <c r="QZN10" s="3"/>
      <c r="QZO10" s="3"/>
      <c r="QZP10" s="3"/>
      <c r="QZQ10" s="3"/>
      <c r="QZR10" s="3"/>
      <c r="QZS10" s="3"/>
      <c r="QZT10" s="3"/>
      <c r="QZU10" s="3"/>
      <c r="QZV10" s="3"/>
      <c r="QZW10" s="3"/>
      <c r="QZX10" s="3"/>
      <c r="QZY10" s="3"/>
      <c r="QZZ10" s="3"/>
      <c r="RAA10" s="3"/>
      <c r="RAB10" s="3"/>
      <c r="RAC10" s="3"/>
      <c r="RAD10" s="3"/>
      <c r="RAE10" s="3"/>
      <c r="RAF10" s="3"/>
      <c r="RAG10" s="3"/>
      <c r="RAH10" s="3"/>
      <c r="RAI10" s="3"/>
      <c r="RAJ10" s="3"/>
      <c r="RAK10" s="3"/>
      <c r="RAL10" s="3"/>
      <c r="RAM10" s="3"/>
      <c r="RAN10" s="3"/>
      <c r="RAO10" s="3"/>
      <c r="RAP10" s="3"/>
      <c r="RAQ10" s="3"/>
      <c r="RAR10" s="3"/>
      <c r="RAS10" s="3"/>
      <c r="RAT10" s="3"/>
      <c r="RAU10" s="3"/>
      <c r="RAV10" s="3"/>
      <c r="RAW10" s="3"/>
      <c r="RAX10" s="3"/>
      <c r="RAY10" s="3"/>
      <c r="RAZ10" s="3"/>
      <c r="RBA10" s="3"/>
      <c r="RBB10" s="3"/>
      <c r="RBC10" s="3"/>
      <c r="RBD10" s="3"/>
      <c r="RBE10" s="3"/>
      <c r="RBF10" s="3"/>
      <c r="RBG10" s="3"/>
      <c r="RBH10" s="3"/>
      <c r="RBI10" s="3"/>
      <c r="RBJ10" s="3"/>
      <c r="RBK10" s="3"/>
      <c r="RBL10" s="3"/>
      <c r="RBM10" s="3"/>
      <c r="RBN10" s="3"/>
      <c r="RBO10" s="3"/>
      <c r="RBP10" s="3"/>
      <c r="RBQ10" s="3"/>
      <c r="RBR10" s="3"/>
      <c r="RBS10" s="3"/>
      <c r="RBT10" s="3"/>
      <c r="RBU10" s="3"/>
      <c r="RBV10" s="3"/>
      <c r="RBW10" s="3"/>
      <c r="RBX10" s="3"/>
      <c r="RBY10" s="3"/>
      <c r="RBZ10" s="3"/>
      <c r="RCA10" s="3"/>
      <c r="RCB10" s="3"/>
      <c r="RCC10" s="3"/>
      <c r="RCD10" s="3"/>
      <c r="RCE10" s="3"/>
      <c r="RCF10" s="3"/>
      <c r="RCG10" s="3"/>
      <c r="RCH10" s="3"/>
      <c r="RCI10" s="3"/>
      <c r="RCJ10" s="3"/>
      <c r="RCK10" s="3"/>
      <c r="RCL10" s="3"/>
      <c r="RCM10" s="3"/>
      <c r="RCN10" s="3"/>
      <c r="RCO10" s="3"/>
      <c r="RCP10" s="3"/>
      <c r="RCQ10" s="3"/>
      <c r="RCR10" s="3"/>
      <c r="RCS10" s="3"/>
      <c r="RCT10" s="3"/>
      <c r="RCU10" s="3"/>
      <c r="RCV10" s="3"/>
      <c r="RCW10" s="3"/>
      <c r="RCX10" s="3"/>
      <c r="RCY10" s="3"/>
      <c r="RCZ10" s="3"/>
      <c r="RDA10" s="3"/>
      <c r="RDB10" s="3"/>
      <c r="RDC10" s="3"/>
      <c r="RDD10" s="3"/>
      <c r="RDE10" s="3"/>
      <c r="RDF10" s="3"/>
      <c r="RDG10" s="3"/>
      <c r="RDH10" s="3"/>
      <c r="RDI10" s="3"/>
      <c r="RDJ10" s="3"/>
      <c r="RDK10" s="3"/>
      <c r="RDL10" s="3"/>
      <c r="RDM10" s="3"/>
      <c r="RDN10" s="3"/>
      <c r="RDO10" s="3"/>
      <c r="RDP10" s="3"/>
      <c r="RDQ10" s="3"/>
      <c r="RDR10" s="3"/>
      <c r="RDS10" s="3"/>
      <c r="RDT10" s="3"/>
      <c r="RDU10" s="3"/>
      <c r="RDV10" s="3"/>
      <c r="RDW10" s="3"/>
      <c r="RDX10" s="3"/>
      <c r="RDY10" s="3"/>
      <c r="RDZ10" s="3"/>
      <c r="REA10" s="3"/>
      <c r="REB10" s="3"/>
      <c r="REC10" s="3"/>
      <c r="RED10" s="3"/>
      <c r="REE10" s="3"/>
      <c r="REF10" s="3"/>
      <c r="REG10" s="3"/>
      <c r="REH10" s="3"/>
      <c r="REI10" s="3"/>
      <c r="REJ10" s="3"/>
      <c r="REK10" s="3"/>
      <c r="REL10" s="3"/>
      <c r="REM10" s="3"/>
      <c r="REN10" s="3"/>
      <c r="REO10" s="3"/>
      <c r="REP10" s="3"/>
      <c r="REQ10" s="3"/>
      <c r="RER10" s="3"/>
      <c r="RES10" s="3"/>
      <c r="RET10" s="3"/>
      <c r="REU10" s="3"/>
      <c r="REV10" s="3"/>
      <c r="REW10" s="3"/>
      <c r="REX10" s="3"/>
      <c r="REY10" s="3"/>
      <c r="REZ10" s="3"/>
      <c r="RFA10" s="3"/>
      <c r="RFB10" s="3"/>
      <c r="RFC10" s="3"/>
      <c r="RFD10" s="3"/>
      <c r="RFE10" s="3"/>
      <c r="RFF10" s="3"/>
      <c r="RFG10" s="3"/>
      <c r="RFH10" s="3"/>
      <c r="RFI10" s="3"/>
      <c r="RFJ10" s="3"/>
      <c r="RFK10" s="3"/>
      <c r="RFL10" s="3"/>
      <c r="RFM10" s="3"/>
      <c r="RFN10" s="3"/>
      <c r="RFO10" s="3"/>
      <c r="RFP10" s="3"/>
      <c r="RFQ10" s="3"/>
      <c r="RFR10" s="3"/>
      <c r="RFS10" s="3"/>
      <c r="RFT10" s="3"/>
      <c r="RFU10" s="3"/>
      <c r="RFV10" s="3"/>
      <c r="RFW10" s="3"/>
      <c r="RFX10" s="3"/>
      <c r="RFY10" s="3"/>
      <c r="RFZ10" s="3"/>
      <c r="RGA10" s="3"/>
      <c r="RGB10" s="3"/>
      <c r="RGC10" s="3"/>
      <c r="RGD10" s="3"/>
      <c r="RGE10" s="3"/>
      <c r="RGF10" s="3"/>
      <c r="RGG10" s="3"/>
      <c r="RGH10" s="3"/>
      <c r="RGI10" s="3"/>
      <c r="RGJ10" s="3"/>
      <c r="RGK10" s="3"/>
      <c r="RGL10" s="3"/>
      <c r="RGM10" s="3"/>
      <c r="RGN10" s="3"/>
      <c r="RGO10" s="3"/>
      <c r="RGP10" s="3"/>
      <c r="RGQ10" s="3"/>
      <c r="RGR10" s="3"/>
      <c r="RGS10" s="3"/>
      <c r="RGT10" s="3"/>
      <c r="RGU10" s="3"/>
      <c r="RGV10" s="3"/>
      <c r="RGW10" s="3"/>
      <c r="RGX10" s="3"/>
      <c r="RGY10" s="3"/>
      <c r="RGZ10" s="3"/>
      <c r="RHA10" s="3"/>
      <c r="RHB10" s="3"/>
      <c r="RHC10" s="3"/>
      <c r="RHD10" s="3"/>
      <c r="RHE10" s="3"/>
      <c r="RHF10" s="3"/>
      <c r="RHG10" s="3"/>
      <c r="RHH10" s="3"/>
      <c r="RHI10" s="3"/>
      <c r="RHJ10" s="3"/>
      <c r="RHK10" s="3"/>
      <c r="RHL10" s="3"/>
      <c r="RHM10" s="3"/>
      <c r="RHN10" s="3"/>
      <c r="RHO10" s="3"/>
      <c r="RHP10" s="3"/>
      <c r="RHQ10" s="3"/>
      <c r="RHR10" s="3"/>
      <c r="RHS10" s="3"/>
      <c r="RHT10" s="3"/>
      <c r="RHU10" s="3"/>
      <c r="RHV10" s="3"/>
      <c r="RHW10" s="3"/>
      <c r="RHX10" s="3"/>
      <c r="RHY10" s="3"/>
      <c r="RHZ10" s="3"/>
      <c r="RIA10" s="3"/>
      <c r="RIB10" s="3"/>
      <c r="RIC10" s="3"/>
      <c r="RID10" s="3"/>
      <c r="RIE10" s="3"/>
      <c r="RIF10" s="3"/>
      <c r="RIG10" s="3"/>
      <c r="RIH10" s="3"/>
      <c r="RII10" s="3"/>
      <c r="RIJ10" s="3"/>
      <c r="RIK10" s="3"/>
      <c r="RIL10" s="3"/>
      <c r="RIM10" s="3"/>
      <c r="RIN10" s="3"/>
      <c r="RIO10" s="3"/>
      <c r="RIP10" s="3"/>
      <c r="RIQ10" s="3"/>
      <c r="RIR10" s="3"/>
      <c r="RIS10" s="3"/>
      <c r="RIT10" s="3"/>
      <c r="RIU10" s="3"/>
      <c r="RIV10" s="3"/>
      <c r="RIW10" s="3"/>
      <c r="RIX10" s="3"/>
      <c r="RIY10" s="3"/>
      <c r="RIZ10" s="3"/>
      <c r="RJA10" s="3"/>
      <c r="RJB10" s="3"/>
      <c r="RJC10" s="3"/>
      <c r="RJD10" s="3"/>
      <c r="RJE10" s="3"/>
      <c r="RJF10" s="3"/>
      <c r="RJG10" s="3"/>
      <c r="RJH10" s="3"/>
      <c r="RJI10" s="3"/>
      <c r="RJJ10" s="3"/>
      <c r="RJK10" s="3"/>
      <c r="RJL10" s="3"/>
      <c r="RJM10" s="3"/>
      <c r="RJN10" s="3"/>
      <c r="RJO10" s="3"/>
      <c r="RJP10" s="3"/>
      <c r="RJQ10" s="3"/>
      <c r="RJR10" s="3"/>
      <c r="RJS10" s="3"/>
      <c r="RJT10" s="3"/>
      <c r="RJU10" s="3"/>
      <c r="RJV10" s="3"/>
      <c r="RJW10" s="3"/>
      <c r="RJX10" s="3"/>
      <c r="RJY10" s="3"/>
      <c r="RJZ10" s="3"/>
      <c r="RKA10" s="3"/>
      <c r="RKB10" s="3"/>
      <c r="RKC10" s="3"/>
      <c r="RKD10" s="3"/>
      <c r="RKE10" s="3"/>
      <c r="RKF10" s="3"/>
      <c r="RKG10" s="3"/>
      <c r="RKH10" s="3"/>
      <c r="RKI10" s="3"/>
      <c r="RKJ10" s="3"/>
      <c r="RKK10" s="3"/>
      <c r="RKL10" s="3"/>
      <c r="RKM10" s="3"/>
      <c r="RKN10" s="3"/>
      <c r="RKO10" s="3"/>
      <c r="RKP10" s="3"/>
      <c r="RKQ10" s="3"/>
      <c r="RKR10" s="3"/>
      <c r="RKS10" s="3"/>
      <c r="RKT10" s="3"/>
      <c r="RKU10" s="3"/>
      <c r="RKV10" s="3"/>
      <c r="RKW10" s="3"/>
      <c r="RKX10" s="3"/>
      <c r="RKY10" s="3"/>
      <c r="RKZ10" s="3"/>
      <c r="RLA10" s="3"/>
      <c r="RLB10" s="3"/>
      <c r="RLC10" s="3"/>
      <c r="RLD10" s="3"/>
      <c r="RLE10" s="3"/>
      <c r="RLF10" s="3"/>
      <c r="RLG10" s="3"/>
      <c r="RLH10" s="3"/>
      <c r="RLI10" s="3"/>
      <c r="RLJ10" s="3"/>
      <c r="RLK10" s="3"/>
      <c r="RLL10" s="3"/>
      <c r="RLM10" s="3"/>
      <c r="RLN10" s="3"/>
      <c r="RLO10" s="3"/>
      <c r="RLP10" s="3"/>
      <c r="RLQ10" s="3"/>
      <c r="RLR10" s="3"/>
      <c r="RLS10" s="3"/>
      <c r="RLT10" s="3"/>
      <c r="RLU10" s="3"/>
      <c r="RLV10" s="3"/>
      <c r="RLW10" s="3"/>
      <c r="RLX10" s="3"/>
      <c r="RLY10" s="3"/>
      <c r="RLZ10" s="3"/>
      <c r="RMA10" s="3"/>
      <c r="RMB10" s="3"/>
      <c r="RMC10" s="3"/>
      <c r="RMD10" s="3"/>
      <c r="RME10" s="3"/>
      <c r="RMF10" s="3"/>
      <c r="RMG10" s="3"/>
      <c r="RMH10" s="3"/>
      <c r="RMI10" s="3"/>
      <c r="RMJ10" s="3"/>
      <c r="RMK10" s="3"/>
      <c r="RML10" s="3"/>
      <c r="RMM10" s="3"/>
      <c r="RMN10" s="3"/>
      <c r="RMO10" s="3"/>
      <c r="RMP10" s="3"/>
      <c r="RMQ10" s="3"/>
      <c r="RMR10" s="3"/>
      <c r="RMS10" s="3"/>
      <c r="RMT10" s="3"/>
      <c r="RMU10" s="3"/>
      <c r="RMV10" s="3"/>
      <c r="RMW10" s="3"/>
      <c r="RMX10" s="3"/>
      <c r="RMY10" s="3"/>
      <c r="RMZ10" s="3"/>
      <c r="RNA10" s="3"/>
      <c r="RNB10" s="3"/>
      <c r="RNC10" s="3"/>
      <c r="RND10" s="3"/>
      <c r="RNE10" s="3"/>
      <c r="RNF10" s="3"/>
      <c r="RNG10" s="3"/>
      <c r="RNH10" s="3"/>
      <c r="RNI10" s="3"/>
      <c r="RNJ10" s="3"/>
      <c r="RNK10" s="3"/>
      <c r="RNL10" s="3"/>
      <c r="RNM10" s="3"/>
      <c r="RNN10" s="3"/>
      <c r="RNO10" s="3"/>
      <c r="RNP10" s="3"/>
      <c r="RNQ10" s="3"/>
      <c r="RNR10" s="3"/>
      <c r="RNS10" s="3"/>
      <c r="RNT10" s="3"/>
      <c r="RNU10" s="3"/>
      <c r="RNV10" s="3"/>
      <c r="RNW10" s="3"/>
      <c r="RNX10" s="3"/>
      <c r="RNY10" s="3"/>
      <c r="RNZ10" s="3"/>
      <c r="ROA10" s="3"/>
      <c r="ROB10" s="3"/>
      <c r="ROC10" s="3"/>
      <c r="ROD10" s="3"/>
      <c r="ROE10" s="3"/>
      <c r="ROF10" s="3"/>
      <c r="ROG10" s="3"/>
      <c r="ROH10" s="3"/>
      <c r="ROI10" s="3"/>
      <c r="ROJ10" s="3"/>
      <c r="ROK10" s="3"/>
      <c r="ROL10" s="3"/>
      <c r="ROM10" s="3"/>
      <c r="RON10" s="3"/>
      <c r="ROO10" s="3"/>
      <c r="ROP10" s="3"/>
      <c r="ROQ10" s="3"/>
      <c r="ROR10" s="3"/>
      <c r="ROS10" s="3"/>
      <c r="ROT10" s="3"/>
      <c r="ROU10" s="3"/>
      <c r="ROV10" s="3"/>
      <c r="ROW10" s="3"/>
      <c r="ROX10" s="3"/>
      <c r="ROY10" s="3"/>
      <c r="ROZ10" s="3"/>
      <c r="RPA10" s="3"/>
      <c r="RPB10" s="3"/>
      <c r="RPC10" s="3"/>
      <c r="RPD10" s="3"/>
      <c r="RPE10" s="3"/>
      <c r="RPF10" s="3"/>
      <c r="RPG10" s="3"/>
      <c r="RPH10" s="3"/>
      <c r="RPI10" s="3"/>
      <c r="RPJ10" s="3"/>
      <c r="RPK10" s="3"/>
      <c r="RPL10" s="3"/>
      <c r="RPM10" s="3"/>
      <c r="RPN10" s="3"/>
      <c r="RPO10" s="3"/>
      <c r="RPP10" s="3"/>
      <c r="RPQ10" s="3"/>
      <c r="RPR10" s="3"/>
      <c r="RPS10" s="3"/>
      <c r="RPT10" s="3"/>
      <c r="RPU10" s="3"/>
      <c r="RPV10" s="3"/>
      <c r="RPW10" s="3"/>
      <c r="RPX10" s="3"/>
      <c r="RPY10" s="3"/>
      <c r="RPZ10" s="3"/>
      <c r="RQA10" s="3"/>
      <c r="RQB10" s="3"/>
      <c r="RQC10" s="3"/>
      <c r="RQD10" s="3"/>
      <c r="RQE10" s="3"/>
      <c r="RQF10" s="3"/>
      <c r="RQG10" s="3"/>
      <c r="RQH10" s="3"/>
      <c r="RQI10" s="3"/>
      <c r="RQJ10" s="3"/>
      <c r="RQK10" s="3"/>
      <c r="RQL10" s="3"/>
      <c r="RQM10" s="3"/>
      <c r="RQN10" s="3"/>
      <c r="RQO10" s="3"/>
      <c r="RQP10" s="3"/>
      <c r="RQQ10" s="3"/>
      <c r="RQR10" s="3"/>
      <c r="RQS10" s="3"/>
      <c r="RQT10" s="3"/>
      <c r="RQU10" s="3"/>
      <c r="RQV10" s="3"/>
      <c r="RQW10" s="3"/>
      <c r="RQX10" s="3"/>
      <c r="RQY10" s="3"/>
      <c r="RQZ10" s="3"/>
      <c r="RRA10" s="3"/>
      <c r="RRB10" s="3"/>
      <c r="RRC10" s="3"/>
      <c r="RRD10" s="3"/>
      <c r="RRE10" s="3"/>
      <c r="RRF10" s="3"/>
      <c r="RRG10" s="3"/>
      <c r="RRH10" s="3"/>
      <c r="RRI10" s="3"/>
      <c r="RRJ10" s="3"/>
      <c r="RRK10" s="3"/>
      <c r="RRL10" s="3"/>
      <c r="RRM10" s="3"/>
      <c r="RRN10" s="3"/>
      <c r="RRO10" s="3"/>
      <c r="RRP10" s="3"/>
      <c r="RRQ10" s="3"/>
      <c r="RRR10" s="3"/>
      <c r="RRS10" s="3"/>
      <c r="RRT10" s="3"/>
      <c r="RRU10" s="3"/>
      <c r="RRV10" s="3"/>
      <c r="RRW10" s="3"/>
      <c r="RRX10" s="3"/>
      <c r="RRY10" s="3"/>
      <c r="RRZ10" s="3"/>
      <c r="RSA10" s="3"/>
      <c r="RSB10" s="3"/>
      <c r="RSC10" s="3"/>
      <c r="RSD10" s="3"/>
      <c r="RSE10" s="3"/>
      <c r="RSF10" s="3"/>
      <c r="RSG10" s="3"/>
      <c r="RSH10" s="3"/>
      <c r="RSI10" s="3"/>
      <c r="RSJ10" s="3"/>
      <c r="RSK10" s="3"/>
      <c r="RSL10" s="3"/>
      <c r="RSM10" s="3"/>
      <c r="RSN10" s="3"/>
      <c r="RSO10" s="3"/>
      <c r="RSP10" s="3"/>
      <c r="RSQ10" s="3"/>
      <c r="RSR10" s="3"/>
      <c r="RSS10" s="3"/>
      <c r="RST10" s="3"/>
      <c r="RSU10" s="3"/>
      <c r="RSV10" s="3"/>
      <c r="RSW10" s="3"/>
      <c r="RSX10" s="3"/>
      <c r="RSY10" s="3"/>
      <c r="RSZ10" s="3"/>
      <c r="RTA10" s="3"/>
      <c r="RTB10" s="3"/>
      <c r="RTC10" s="3"/>
      <c r="RTD10" s="3"/>
      <c r="RTE10" s="3"/>
      <c r="RTF10" s="3"/>
      <c r="RTG10" s="3"/>
      <c r="RTH10" s="3"/>
      <c r="RTI10" s="3"/>
      <c r="RTJ10" s="3"/>
      <c r="RTK10" s="3"/>
      <c r="RTL10" s="3"/>
      <c r="RTM10" s="3"/>
      <c r="RTN10" s="3"/>
      <c r="RTO10" s="3"/>
      <c r="RTP10" s="3"/>
      <c r="RTQ10" s="3"/>
      <c r="RTR10" s="3"/>
      <c r="RTS10" s="3"/>
      <c r="RTT10" s="3"/>
      <c r="RTU10" s="3"/>
      <c r="RTV10" s="3"/>
      <c r="RTW10" s="3"/>
      <c r="RTX10" s="3"/>
      <c r="RTY10" s="3"/>
      <c r="RTZ10" s="3"/>
      <c r="RUA10" s="3"/>
      <c r="RUB10" s="3"/>
      <c r="RUC10" s="3"/>
      <c r="RUD10" s="3"/>
      <c r="RUE10" s="3"/>
      <c r="RUF10" s="3"/>
      <c r="RUG10" s="3"/>
      <c r="RUH10" s="3"/>
      <c r="RUI10" s="3"/>
      <c r="RUJ10" s="3"/>
      <c r="RUK10" s="3"/>
      <c r="RUL10" s="3"/>
      <c r="RUM10" s="3"/>
      <c r="RUN10" s="3"/>
      <c r="RUO10" s="3"/>
      <c r="RUP10" s="3"/>
      <c r="RUQ10" s="3"/>
      <c r="RUR10" s="3"/>
      <c r="RUS10" s="3"/>
      <c r="RUT10" s="3"/>
      <c r="RUU10" s="3"/>
      <c r="RUV10" s="3"/>
      <c r="RUW10" s="3"/>
      <c r="RUX10" s="3"/>
      <c r="RUY10" s="3"/>
      <c r="RUZ10" s="3"/>
      <c r="RVA10" s="3"/>
      <c r="RVB10" s="3"/>
      <c r="RVC10" s="3"/>
      <c r="RVD10" s="3"/>
      <c r="RVE10" s="3"/>
      <c r="RVF10" s="3"/>
      <c r="RVG10" s="3"/>
      <c r="RVH10" s="3"/>
      <c r="RVI10" s="3"/>
      <c r="RVJ10" s="3"/>
      <c r="RVK10" s="3"/>
      <c r="RVL10" s="3"/>
      <c r="RVM10" s="3"/>
      <c r="RVN10" s="3"/>
      <c r="RVO10" s="3"/>
      <c r="RVP10" s="3"/>
      <c r="RVQ10" s="3"/>
      <c r="RVR10" s="3"/>
      <c r="RVS10" s="3"/>
      <c r="RVT10" s="3"/>
      <c r="RVU10" s="3"/>
      <c r="RVV10" s="3"/>
      <c r="RVW10" s="3"/>
      <c r="RVX10" s="3"/>
      <c r="RVY10" s="3"/>
      <c r="RVZ10" s="3"/>
      <c r="RWA10" s="3"/>
      <c r="RWB10" s="3"/>
      <c r="RWC10" s="3"/>
      <c r="RWD10" s="3"/>
      <c r="RWE10" s="3"/>
      <c r="RWF10" s="3"/>
      <c r="RWG10" s="3"/>
      <c r="RWH10" s="3"/>
      <c r="RWI10" s="3"/>
      <c r="RWJ10" s="3"/>
      <c r="RWK10" s="3"/>
      <c r="RWL10" s="3"/>
      <c r="RWM10" s="3"/>
      <c r="RWN10" s="3"/>
      <c r="RWO10" s="3"/>
      <c r="RWP10" s="3"/>
      <c r="RWQ10" s="3"/>
      <c r="RWR10" s="3"/>
      <c r="RWS10" s="3"/>
      <c r="RWT10" s="3"/>
      <c r="RWU10" s="3"/>
      <c r="RWV10" s="3"/>
      <c r="RWW10" s="3"/>
      <c r="RWX10" s="3"/>
      <c r="RWY10" s="3"/>
      <c r="RWZ10" s="3"/>
      <c r="RXA10" s="3"/>
      <c r="RXB10" s="3"/>
      <c r="RXC10" s="3"/>
      <c r="RXD10" s="3"/>
      <c r="RXE10" s="3"/>
      <c r="RXF10" s="3"/>
      <c r="RXG10" s="3"/>
      <c r="RXH10" s="3"/>
      <c r="RXI10" s="3"/>
      <c r="RXJ10" s="3"/>
      <c r="RXK10" s="3"/>
      <c r="RXL10" s="3"/>
      <c r="RXM10" s="3"/>
      <c r="RXN10" s="3"/>
      <c r="RXO10" s="3"/>
      <c r="RXP10" s="3"/>
      <c r="RXQ10" s="3"/>
      <c r="RXR10" s="3"/>
      <c r="RXS10" s="3"/>
      <c r="RXT10" s="3"/>
      <c r="RXU10" s="3"/>
      <c r="RXV10" s="3"/>
      <c r="RXW10" s="3"/>
      <c r="RXX10" s="3"/>
      <c r="RXY10" s="3"/>
      <c r="RXZ10" s="3"/>
      <c r="RYA10" s="3"/>
      <c r="RYB10" s="3"/>
      <c r="RYC10" s="3"/>
      <c r="RYD10" s="3"/>
      <c r="RYE10" s="3"/>
      <c r="RYF10" s="3"/>
      <c r="RYG10" s="3"/>
      <c r="RYH10" s="3"/>
      <c r="RYI10" s="3"/>
      <c r="RYJ10" s="3"/>
      <c r="RYK10" s="3"/>
      <c r="RYL10" s="3"/>
      <c r="RYM10" s="3"/>
      <c r="RYN10" s="3"/>
      <c r="RYO10" s="3"/>
      <c r="RYP10" s="3"/>
      <c r="RYQ10" s="3"/>
      <c r="RYR10" s="3"/>
      <c r="RYS10" s="3"/>
      <c r="RYT10" s="3"/>
      <c r="RYU10" s="3"/>
      <c r="RYV10" s="3"/>
      <c r="RYW10" s="3"/>
      <c r="RYX10" s="3"/>
      <c r="RYY10" s="3"/>
      <c r="RYZ10" s="3"/>
      <c r="RZA10" s="3"/>
      <c r="RZB10" s="3"/>
      <c r="RZC10" s="3"/>
      <c r="RZD10" s="3"/>
      <c r="RZE10" s="3"/>
      <c r="RZF10" s="3"/>
      <c r="RZG10" s="3"/>
      <c r="RZH10" s="3"/>
      <c r="RZI10" s="3"/>
      <c r="RZJ10" s="3"/>
      <c r="RZK10" s="3"/>
      <c r="RZL10" s="3"/>
      <c r="RZM10" s="3"/>
      <c r="RZN10" s="3"/>
      <c r="RZO10" s="3"/>
      <c r="RZP10" s="3"/>
      <c r="RZQ10" s="3"/>
      <c r="RZR10" s="3"/>
      <c r="RZS10" s="3"/>
      <c r="RZT10" s="3"/>
      <c r="RZU10" s="3"/>
      <c r="RZV10" s="3"/>
      <c r="RZW10" s="3"/>
      <c r="RZX10" s="3"/>
      <c r="RZY10" s="3"/>
      <c r="RZZ10" s="3"/>
      <c r="SAA10" s="3"/>
      <c r="SAB10" s="3"/>
      <c r="SAC10" s="3"/>
      <c r="SAD10" s="3"/>
      <c r="SAE10" s="3"/>
      <c r="SAF10" s="3"/>
      <c r="SAG10" s="3"/>
      <c r="SAH10" s="3"/>
      <c r="SAI10" s="3"/>
      <c r="SAJ10" s="3"/>
      <c r="SAK10" s="3"/>
      <c r="SAL10" s="3"/>
      <c r="SAM10" s="3"/>
      <c r="SAN10" s="3"/>
      <c r="SAO10" s="3"/>
      <c r="SAP10" s="3"/>
      <c r="SAQ10" s="3"/>
      <c r="SAR10" s="3"/>
      <c r="SAS10" s="3"/>
      <c r="SAT10" s="3"/>
      <c r="SAU10" s="3"/>
      <c r="SAV10" s="3"/>
      <c r="SAW10" s="3"/>
      <c r="SAX10" s="3"/>
      <c r="SAY10" s="3"/>
      <c r="SAZ10" s="3"/>
      <c r="SBA10" s="3"/>
      <c r="SBB10" s="3"/>
      <c r="SBC10" s="3"/>
      <c r="SBD10" s="3"/>
      <c r="SBE10" s="3"/>
      <c r="SBF10" s="3"/>
      <c r="SBG10" s="3"/>
      <c r="SBH10" s="3"/>
      <c r="SBI10" s="3"/>
      <c r="SBJ10" s="3"/>
      <c r="SBK10" s="3"/>
      <c r="SBL10" s="3"/>
      <c r="SBM10" s="3"/>
      <c r="SBN10" s="3"/>
      <c r="SBO10" s="3"/>
      <c r="SBP10" s="3"/>
      <c r="SBQ10" s="3"/>
      <c r="SBR10" s="3"/>
      <c r="SBS10" s="3"/>
      <c r="SBT10" s="3"/>
      <c r="SBU10" s="3"/>
      <c r="SBV10" s="3"/>
      <c r="SBW10" s="3"/>
      <c r="SBX10" s="3"/>
      <c r="SBY10" s="3"/>
      <c r="SBZ10" s="3"/>
      <c r="SCA10" s="3"/>
      <c r="SCB10" s="3"/>
      <c r="SCC10" s="3"/>
      <c r="SCD10" s="3"/>
      <c r="SCE10" s="3"/>
      <c r="SCF10" s="3"/>
      <c r="SCG10" s="3"/>
      <c r="SCH10" s="3"/>
      <c r="SCI10" s="3"/>
      <c r="SCJ10" s="3"/>
      <c r="SCK10" s="3"/>
      <c r="SCL10" s="3"/>
      <c r="SCM10" s="3"/>
      <c r="SCN10" s="3"/>
      <c r="SCO10" s="3"/>
      <c r="SCP10" s="3"/>
      <c r="SCQ10" s="3"/>
      <c r="SCR10" s="3"/>
      <c r="SCS10" s="3"/>
      <c r="SCT10" s="3"/>
      <c r="SCU10" s="3"/>
      <c r="SCV10" s="3"/>
      <c r="SCW10" s="3"/>
      <c r="SCX10" s="3"/>
      <c r="SCY10" s="3"/>
      <c r="SCZ10" s="3"/>
      <c r="SDA10" s="3"/>
      <c r="SDB10" s="3"/>
      <c r="SDC10" s="3"/>
      <c r="SDD10" s="3"/>
      <c r="SDE10" s="3"/>
      <c r="SDF10" s="3"/>
      <c r="SDG10" s="3"/>
      <c r="SDH10" s="3"/>
      <c r="SDI10" s="3"/>
      <c r="SDJ10" s="3"/>
      <c r="SDK10" s="3"/>
      <c r="SDL10" s="3"/>
      <c r="SDM10" s="3"/>
      <c r="SDN10" s="3"/>
      <c r="SDO10" s="3"/>
      <c r="SDP10" s="3"/>
      <c r="SDQ10" s="3"/>
      <c r="SDR10" s="3"/>
      <c r="SDS10" s="3"/>
      <c r="SDT10" s="3"/>
      <c r="SDU10" s="3"/>
      <c r="SDV10" s="3"/>
      <c r="SDW10" s="3"/>
      <c r="SDX10" s="3"/>
      <c r="SDY10" s="3"/>
      <c r="SDZ10" s="3"/>
      <c r="SEA10" s="3"/>
      <c r="SEB10" s="3"/>
      <c r="SEC10" s="3"/>
      <c r="SED10" s="3"/>
      <c r="SEE10" s="3"/>
      <c r="SEF10" s="3"/>
      <c r="SEG10" s="3"/>
      <c r="SEH10" s="3"/>
      <c r="SEI10" s="3"/>
      <c r="SEJ10" s="3"/>
      <c r="SEK10" s="3"/>
      <c r="SEL10" s="3"/>
      <c r="SEM10" s="3"/>
      <c r="SEN10" s="3"/>
      <c r="SEO10" s="3"/>
      <c r="SEP10" s="3"/>
      <c r="SEQ10" s="3"/>
      <c r="SER10" s="3"/>
      <c r="SES10" s="3"/>
      <c r="SET10" s="3"/>
      <c r="SEU10" s="3"/>
      <c r="SEV10" s="3"/>
      <c r="SEW10" s="3"/>
      <c r="SEX10" s="3"/>
      <c r="SEY10" s="3"/>
      <c r="SEZ10" s="3"/>
      <c r="SFA10" s="3"/>
      <c r="SFB10" s="3"/>
      <c r="SFC10" s="3"/>
      <c r="SFD10" s="3"/>
      <c r="SFE10" s="3"/>
      <c r="SFF10" s="3"/>
      <c r="SFG10" s="3"/>
      <c r="SFH10" s="3"/>
      <c r="SFI10" s="3"/>
      <c r="SFJ10" s="3"/>
      <c r="SFK10" s="3"/>
      <c r="SFL10" s="3"/>
      <c r="SFM10" s="3"/>
      <c r="SFN10" s="3"/>
      <c r="SFO10" s="3"/>
      <c r="SFP10" s="3"/>
      <c r="SFQ10" s="3"/>
      <c r="SFR10" s="3"/>
      <c r="SFS10" s="3"/>
      <c r="SFT10" s="3"/>
      <c r="SFU10" s="3"/>
      <c r="SFV10" s="3"/>
      <c r="SFW10" s="3"/>
      <c r="SFX10" s="3"/>
      <c r="SFY10" s="3"/>
      <c r="SFZ10" s="3"/>
      <c r="SGA10" s="3"/>
      <c r="SGB10" s="3"/>
      <c r="SGC10" s="3"/>
      <c r="SGD10" s="3"/>
      <c r="SGE10" s="3"/>
      <c r="SGF10" s="3"/>
      <c r="SGG10" s="3"/>
      <c r="SGH10" s="3"/>
      <c r="SGI10" s="3"/>
      <c r="SGJ10" s="3"/>
      <c r="SGK10" s="3"/>
      <c r="SGL10" s="3"/>
      <c r="SGM10" s="3"/>
      <c r="SGN10" s="3"/>
      <c r="SGO10" s="3"/>
      <c r="SGP10" s="3"/>
      <c r="SGQ10" s="3"/>
      <c r="SGR10" s="3"/>
      <c r="SGS10" s="3"/>
      <c r="SGT10" s="3"/>
      <c r="SGU10" s="3"/>
      <c r="SGV10" s="3"/>
      <c r="SGW10" s="3"/>
      <c r="SGX10" s="3"/>
      <c r="SGY10" s="3"/>
      <c r="SGZ10" s="3"/>
      <c r="SHA10" s="3"/>
      <c r="SHB10" s="3"/>
      <c r="SHC10" s="3"/>
      <c r="SHD10" s="3"/>
      <c r="SHE10" s="3"/>
      <c r="SHF10" s="3"/>
      <c r="SHG10" s="3"/>
      <c r="SHH10" s="3"/>
      <c r="SHI10" s="3"/>
      <c r="SHJ10" s="3"/>
      <c r="SHK10" s="3"/>
      <c r="SHL10" s="3"/>
      <c r="SHM10" s="3"/>
      <c r="SHN10" s="3"/>
      <c r="SHO10" s="3"/>
      <c r="SHP10" s="3"/>
      <c r="SHQ10" s="3"/>
      <c r="SHR10" s="3"/>
      <c r="SHS10" s="3"/>
      <c r="SHT10" s="3"/>
      <c r="SHU10" s="3"/>
      <c r="SHV10" s="3"/>
      <c r="SHW10" s="3"/>
      <c r="SHX10" s="3"/>
      <c r="SHY10" s="3"/>
      <c r="SHZ10" s="3"/>
      <c r="SIA10" s="3"/>
      <c r="SIB10" s="3"/>
      <c r="SIC10" s="3"/>
      <c r="SID10" s="3"/>
      <c r="SIE10" s="3"/>
      <c r="SIF10" s="3"/>
      <c r="SIG10" s="3"/>
      <c r="SIH10" s="3"/>
      <c r="SII10" s="3"/>
      <c r="SIJ10" s="3"/>
      <c r="SIK10" s="3"/>
      <c r="SIL10" s="3"/>
      <c r="SIM10" s="3"/>
      <c r="SIN10" s="3"/>
      <c r="SIO10" s="3"/>
      <c r="SIP10" s="3"/>
      <c r="SIQ10" s="3"/>
      <c r="SIR10" s="3"/>
      <c r="SIS10" s="3"/>
      <c r="SIT10" s="3"/>
      <c r="SIU10" s="3"/>
      <c r="SIV10" s="3"/>
      <c r="SIW10" s="3"/>
      <c r="SIX10" s="3"/>
      <c r="SIY10" s="3"/>
      <c r="SIZ10" s="3"/>
      <c r="SJA10" s="3"/>
      <c r="SJB10" s="3"/>
      <c r="SJC10" s="3"/>
      <c r="SJD10" s="3"/>
      <c r="SJE10" s="3"/>
      <c r="SJF10" s="3"/>
      <c r="SJG10" s="3"/>
      <c r="SJH10" s="3"/>
      <c r="SJI10" s="3"/>
      <c r="SJJ10" s="3"/>
      <c r="SJK10" s="3"/>
      <c r="SJL10" s="3"/>
      <c r="SJM10" s="3"/>
      <c r="SJN10" s="3"/>
      <c r="SJO10" s="3"/>
      <c r="SJP10" s="3"/>
      <c r="SJQ10" s="3"/>
      <c r="SJR10" s="3"/>
      <c r="SJS10" s="3"/>
      <c r="SJT10" s="3"/>
      <c r="SJU10" s="3"/>
      <c r="SJV10" s="3"/>
      <c r="SJW10" s="3"/>
      <c r="SJX10" s="3"/>
      <c r="SJY10" s="3"/>
      <c r="SJZ10" s="3"/>
      <c r="SKA10" s="3"/>
      <c r="SKB10" s="3"/>
      <c r="SKC10" s="3"/>
      <c r="SKD10" s="3"/>
      <c r="SKE10" s="3"/>
      <c r="SKF10" s="3"/>
      <c r="SKG10" s="3"/>
      <c r="SKH10" s="3"/>
      <c r="SKI10" s="3"/>
      <c r="SKJ10" s="3"/>
      <c r="SKK10" s="3"/>
      <c r="SKL10" s="3"/>
      <c r="SKM10" s="3"/>
      <c r="SKN10" s="3"/>
      <c r="SKO10" s="3"/>
      <c r="SKP10" s="3"/>
      <c r="SKQ10" s="3"/>
      <c r="SKR10" s="3"/>
      <c r="SKS10" s="3"/>
      <c r="SKT10" s="3"/>
      <c r="SKU10" s="3"/>
      <c r="SKV10" s="3"/>
      <c r="SKW10" s="3"/>
      <c r="SKX10" s="3"/>
      <c r="SKY10" s="3"/>
      <c r="SKZ10" s="3"/>
      <c r="SLA10" s="3"/>
      <c r="SLB10" s="3"/>
      <c r="SLC10" s="3"/>
      <c r="SLD10" s="3"/>
      <c r="SLE10" s="3"/>
      <c r="SLF10" s="3"/>
      <c r="SLG10" s="3"/>
      <c r="SLH10" s="3"/>
      <c r="SLI10" s="3"/>
      <c r="SLJ10" s="3"/>
      <c r="SLK10" s="3"/>
      <c r="SLL10" s="3"/>
      <c r="SLM10" s="3"/>
      <c r="SLN10" s="3"/>
      <c r="SLO10" s="3"/>
      <c r="SLP10" s="3"/>
      <c r="SLQ10" s="3"/>
      <c r="SLR10" s="3"/>
      <c r="SLS10" s="3"/>
      <c r="SLT10" s="3"/>
      <c r="SLU10" s="3"/>
      <c r="SLV10" s="3"/>
      <c r="SLW10" s="3"/>
      <c r="SLX10" s="3"/>
      <c r="SLY10" s="3"/>
      <c r="SLZ10" s="3"/>
      <c r="SMA10" s="3"/>
      <c r="SMB10" s="3"/>
      <c r="SMC10" s="3"/>
      <c r="SMD10" s="3"/>
      <c r="SME10" s="3"/>
      <c r="SMF10" s="3"/>
      <c r="SMG10" s="3"/>
      <c r="SMH10" s="3"/>
      <c r="SMI10" s="3"/>
      <c r="SMJ10" s="3"/>
      <c r="SMK10" s="3"/>
      <c r="SML10" s="3"/>
      <c r="SMM10" s="3"/>
      <c r="SMN10" s="3"/>
      <c r="SMO10" s="3"/>
      <c r="SMP10" s="3"/>
      <c r="SMQ10" s="3"/>
      <c r="SMR10" s="3"/>
      <c r="SMS10" s="3"/>
      <c r="SMT10" s="3"/>
      <c r="SMU10" s="3"/>
      <c r="SMV10" s="3"/>
      <c r="SMW10" s="3"/>
      <c r="SMX10" s="3"/>
      <c r="SMY10" s="3"/>
      <c r="SMZ10" s="3"/>
      <c r="SNA10" s="3"/>
      <c r="SNB10" s="3"/>
      <c r="SNC10" s="3"/>
      <c r="SND10" s="3"/>
      <c r="SNE10" s="3"/>
      <c r="SNF10" s="3"/>
      <c r="SNG10" s="3"/>
      <c r="SNH10" s="3"/>
      <c r="SNI10" s="3"/>
      <c r="SNJ10" s="3"/>
      <c r="SNK10" s="3"/>
      <c r="SNL10" s="3"/>
      <c r="SNM10" s="3"/>
      <c r="SNN10" s="3"/>
      <c r="SNO10" s="3"/>
      <c r="SNP10" s="3"/>
      <c r="SNQ10" s="3"/>
      <c r="SNR10" s="3"/>
      <c r="SNS10" s="3"/>
      <c r="SNT10" s="3"/>
      <c r="SNU10" s="3"/>
      <c r="SNV10" s="3"/>
      <c r="SNW10" s="3"/>
      <c r="SNX10" s="3"/>
      <c r="SNY10" s="3"/>
      <c r="SNZ10" s="3"/>
      <c r="SOA10" s="3"/>
      <c r="SOB10" s="3"/>
      <c r="SOC10" s="3"/>
      <c r="SOD10" s="3"/>
      <c r="SOE10" s="3"/>
      <c r="SOF10" s="3"/>
      <c r="SOG10" s="3"/>
      <c r="SOH10" s="3"/>
      <c r="SOI10" s="3"/>
      <c r="SOJ10" s="3"/>
      <c r="SOK10" s="3"/>
      <c r="SOL10" s="3"/>
      <c r="SOM10" s="3"/>
      <c r="SON10" s="3"/>
      <c r="SOO10" s="3"/>
      <c r="SOP10" s="3"/>
      <c r="SOQ10" s="3"/>
      <c r="SOR10" s="3"/>
      <c r="SOS10" s="3"/>
      <c r="SOT10" s="3"/>
      <c r="SOU10" s="3"/>
      <c r="SOV10" s="3"/>
      <c r="SOW10" s="3"/>
      <c r="SOX10" s="3"/>
      <c r="SOY10" s="3"/>
      <c r="SOZ10" s="3"/>
      <c r="SPA10" s="3"/>
      <c r="SPB10" s="3"/>
      <c r="SPC10" s="3"/>
      <c r="SPD10" s="3"/>
      <c r="SPE10" s="3"/>
      <c r="SPF10" s="3"/>
      <c r="SPG10" s="3"/>
      <c r="SPH10" s="3"/>
      <c r="SPI10" s="3"/>
      <c r="SPJ10" s="3"/>
      <c r="SPK10" s="3"/>
      <c r="SPL10" s="3"/>
      <c r="SPM10" s="3"/>
      <c r="SPN10" s="3"/>
      <c r="SPO10" s="3"/>
      <c r="SPP10" s="3"/>
      <c r="SPQ10" s="3"/>
      <c r="SPR10" s="3"/>
      <c r="SPS10" s="3"/>
      <c r="SPT10" s="3"/>
      <c r="SPU10" s="3"/>
      <c r="SPV10" s="3"/>
      <c r="SPW10" s="3"/>
      <c r="SPX10" s="3"/>
      <c r="SPY10" s="3"/>
      <c r="SPZ10" s="3"/>
      <c r="SQA10" s="3"/>
      <c r="SQB10" s="3"/>
      <c r="SQC10" s="3"/>
      <c r="SQD10" s="3"/>
      <c r="SQE10" s="3"/>
      <c r="SQF10" s="3"/>
      <c r="SQG10" s="3"/>
      <c r="SQH10" s="3"/>
      <c r="SQI10" s="3"/>
      <c r="SQJ10" s="3"/>
      <c r="SQK10" s="3"/>
      <c r="SQL10" s="3"/>
      <c r="SQM10" s="3"/>
      <c r="SQN10" s="3"/>
      <c r="SQO10" s="3"/>
      <c r="SQP10" s="3"/>
      <c r="SQQ10" s="3"/>
      <c r="SQR10" s="3"/>
      <c r="SQS10" s="3"/>
      <c r="SQT10" s="3"/>
      <c r="SQU10" s="3"/>
      <c r="SQV10" s="3"/>
      <c r="SQW10" s="3"/>
      <c r="SQX10" s="3"/>
      <c r="SQY10" s="3"/>
      <c r="SQZ10" s="3"/>
      <c r="SRA10" s="3"/>
      <c r="SRB10" s="3"/>
      <c r="SRC10" s="3"/>
      <c r="SRD10" s="3"/>
      <c r="SRE10" s="3"/>
      <c r="SRF10" s="3"/>
      <c r="SRG10" s="3"/>
      <c r="SRH10" s="3"/>
      <c r="SRI10" s="3"/>
      <c r="SRJ10" s="3"/>
      <c r="SRK10" s="3"/>
      <c r="SRL10" s="3"/>
      <c r="SRM10" s="3"/>
      <c r="SRN10" s="3"/>
      <c r="SRO10" s="3"/>
      <c r="SRP10" s="3"/>
      <c r="SRQ10" s="3"/>
      <c r="SRR10" s="3"/>
      <c r="SRS10" s="3"/>
      <c r="SRT10" s="3"/>
      <c r="SRU10" s="3"/>
      <c r="SRV10" s="3"/>
      <c r="SRW10" s="3"/>
      <c r="SRX10" s="3"/>
      <c r="SRY10" s="3"/>
      <c r="SRZ10" s="3"/>
      <c r="SSA10" s="3"/>
      <c r="SSB10" s="3"/>
      <c r="SSC10" s="3"/>
      <c r="SSD10" s="3"/>
      <c r="SSE10" s="3"/>
      <c r="SSF10" s="3"/>
      <c r="SSG10" s="3"/>
      <c r="SSH10" s="3"/>
      <c r="SSI10" s="3"/>
      <c r="SSJ10" s="3"/>
      <c r="SSK10" s="3"/>
      <c r="SSL10" s="3"/>
      <c r="SSM10" s="3"/>
      <c r="SSN10" s="3"/>
      <c r="SSO10" s="3"/>
      <c r="SSP10" s="3"/>
      <c r="SSQ10" s="3"/>
      <c r="SSR10" s="3"/>
      <c r="SSS10" s="3"/>
      <c r="SST10" s="3"/>
      <c r="SSU10" s="3"/>
      <c r="SSV10" s="3"/>
      <c r="SSW10" s="3"/>
      <c r="SSX10" s="3"/>
      <c r="SSY10" s="3"/>
      <c r="SSZ10" s="3"/>
      <c r="STA10" s="3"/>
      <c r="STB10" s="3"/>
      <c r="STC10" s="3"/>
      <c r="STD10" s="3"/>
      <c r="STE10" s="3"/>
      <c r="STF10" s="3"/>
      <c r="STG10" s="3"/>
      <c r="STH10" s="3"/>
      <c r="STI10" s="3"/>
      <c r="STJ10" s="3"/>
      <c r="STK10" s="3"/>
      <c r="STL10" s="3"/>
      <c r="STM10" s="3"/>
      <c r="STN10" s="3"/>
      <c r="STO10" s="3"/>
      <c r="STP10" s="3"/>
      <c r="STQ10" s="3"/>
      <c r="STR10" s="3"/>
      <c r="STS10" s="3"/>
      <c r="STT10" s="3"/>
      <c r="STU10" s="3"/>
      <c r="STV10" s="3"/>
      <c r="STW10" s="3"/>
      <c r="STX10" s="3"/>
      <c r="STY10" s="3"/>
      <c r="STZ10" s="3"/>
      <c r="SUA10" s="3"/>
      <c r="SUB10" s="3"/>
      <c r="SUC10" s="3"/>
      <c r="SUD10" s="3"/>
      <c r="SUE10" s="3"/>
      <c r="SUF10" s="3"/>
      <c r="SUG10" s="3"/>
      <c r="SUH10" s="3"/>
      <c r="SUI10" s="3"/>
      <c r="SUJ10" s="3"/>
      <c r="SUK10" s="3"/>
      <c r="SUL10" s="3"/>
      <c r="SUM10" s="3"/>
      <c r="SUN10" s="3"/>
      <c r="SUO10" s="3"/>
      <c r="SUP10" s="3"/>
      <c r="SUQ10" s="3"/>
      <c r="SUR10" s="3"/>
      <c r="SUS10" s="3"/>
      <c r="SUT10" s="3"/>
      <c r="SUU10" s="3"/>
      <c r="SUV10" s="3"/>
      <c r="SUW10" s="3"/>
      <c r="SUX10" s="3"/>
      <c r="SUY10" s="3"/>
      <c r="SUZ10" s="3"/>
      <c r="SVA10" s="3"/>
      <c r="SVB10" s="3"/>
      <c r="SVC10" s="3"/>
      <c r="SVD10" s="3"/>
      <c r="SVE10" s="3"/>
      <c r="SVF10" s="3"/>
      <c r="SVG10" s="3"/>
      <c r="SVH10" s="3"/>
      <c r="SVI10" s="3"/>
      <c r="SVJ10" s="3"/>
      <c r="SVK10" s="3"/>
      <c r="SVL10" s="3"/>
      <c r="SVM10" s="3"/>
      <c r="SVN10" s="3"/>
      <c r="SVO10" s="3"/>
      <c r="SVP10" s="3"/>
      <c r="SVQ10" s="3"/>
      <c r="SVR10" s="3"/>
      <c r="SVS10" s="3"/>
      <c r="SVT10" s="3"/>
      <c r="SVU10" s="3"/>
      <c r="SVV10" s="3"/>
      <c r="SVW10" s="3"/>
      <c r="SVX10" s="3"/>
      <c r="SVY10" s="3"/>
      <c r="SVZ10" s="3"/>
      <c r="SWA10" s="3"/>
      <c r="SWB10" s="3"/>
      <c r="SWC10" s="3"/>
      <c r="SWD10" s="3"/>
      <c r="SWE10" s="3"/>
      <c r="SWF10" s="3"/>
      <c r="SWG10" s="3"/>
      <c r="SWH10" s="3"/>
      <c r="SWI10" s="3"/>
      <c r="SWJ10" s="3"/>
      <c r="SWK10" s="3"/>
      <c r="SWL10" s="3"/>
      <c r="SWM10" s="3"/>
      <c r="SWN10" s="3"/>
      <c r="SWO10" s="3"/>
      <c r="SWP10" s="3"/>
      <c r="SWQ10" s="3"/>
      <c r="SWR10" s="3"/>
      <c r="SWS10" s="3"/>
      <c r="SWT10" s="3"/>
      <c r="SWU10" s="3"/>
      <c r="SWV10" s="3"/>
      <c r="SWW10" s="3"/>
      <c r="SWX10" s="3"/>
      <c r="SWY10" s="3"/>
      <c r="SWZ10" s="3"/>
      <c r="SXA10" s="3"/>
      <c r="SXB10" s="3"/>
      <c r="SXC10" s="3"/>
      <c r="SXD10" s="3"/>
      <c r="SXE10" s="3"/>
      <c r="SXF10" s="3"/>
      <c r="SXG10" s="3"/>
      <c r="SXH10" s="3"/>
      <c r="SXI10" s="3"/>
      <c r="SXJ10" s="3"/>
      <c r="SXK10" s="3"/>
      <c r="SXL10" s="3"/>
      <c r="SXM10" s="3"/>
      <c r="SXN10" s="3"/>
      <c r="SXO10" s="3"/>
      <c r="SXP10" s="3"/>
      <c r="SXQ10" s="3"/>
      <c r="SXR10" s="3"/>
      <c r="SXS10" s="3"/>
      <c r="SXT10" s="3"/>
      <c r="SXU10" s="3"/>
      <c r="SXV10" s="3"/>
      <c r="SXW10" s="3"/>
      <c r="SXX10" s="3"/>
      <c r="SXY10" s="3"/>
      <c r="SXZ10" s="3"/>
      <c r="SYA10" s="3"/>
      <c r="SYB10" s="3"/>
      <c r="SYC10" s="3"/>
      <c r="SYD10" s="3"/>
      <c r="SYE10" s="3"/>
      <c r="SYF10" s="3"/>
      <c r="SYG10" s="3"/>
      <c r="SYH10" s="3"/>
      <c r="SYI10" s="3"/>
      <c r="SYJ10" s="3"/>
      <c r="SYK10" s="3"/>
      <c r="SYL10" s="3"/>
      <c r="SYM10" s="3"/>
      <c r="SYN10" s="3"/>
      <c r="SYO10" s="3"/>
      <c r="SYP10" s="3"/>
      <c r="SYQ10" s="3"/>
      <c r="SYR10" s="3"/>
      <c r="SYS10" s="3"/>
      <c r="SYT10" s="3"/>
      <c r="SYU10" s="3"/>
      <c r="SYV10" s="3"/>
      <c r="SYW10" s="3"/>
      <c r="SYX10" s="3"/>
      <c r="SYY10" s="3"/>
      <c r="SYZ10" s="3"/>
      <c r="SZA10" s="3"/>
      <c r="SZB10" s="3"/>
      <c r="SZC10" s="3"/>
      <c r="SZD10" s="3"/>
      <c r="SZE10" s="3"/>
      <c r="SZF10" s="3"/>
      <c r="SZG10" s="3"/>
      <c r="SZH10" s="3"/>
      <c r="SZI10" s="3"/>
      <c r="SZJ10" s="3"/>
      <c r="SZK10" s="3"/>
      <c r="SZL10" s="3"/>
      <c r="SZM10" s="3"/>
      <c r="SZN10" s="3"/>
      <c r="SZO10" s="3"/>
      <c r="SZP10" s="3"/>
      <c r="SZQ10" s="3"/>
      <c r="SZR10" s="3"/>
      <c r="SZS10" s="3"/>
      <c r="SZT10" s="3"/>
      <c r="SZU10" s="3"/>
      <c r="SZV10" s="3"/>
      <c r="SZW10" s="3"/>
      <c r="SZX10" s="3"/>
      <c r="SZY10" s="3"/>
      <c r="SZZ10" s="3"/>
      <c r="TAA10" s="3"/>
      <c r="TAB10" s="3"/>
      <c r="TAC10" s="3"/>
      <c r="TAD10" s="3"/>
      <c r="TAE10" s="3"/>
      <c r="TAF10" s="3"/>
      <c r="TAG10" s="3"/>
      <c r="TAH10" s="3"/>
      <c r="TAI10" s="3"/>
      <c r="TAJ10" s="3"/>
      <c r="TAK10" s="3"/>
      <c r="TAL10" s="3"/>
      <c r="TAM10" s="3"/>
      <c r="TAN10" s="3"/>
      <c r="TAO10" s="3"/>
      <c r="TAP10" s="3"/>
      <c r="TAQ10" s="3"/>
      <c r="TAR10" s="3"/>
      <c r="TAS10" s="3"/>
      <c r="TAT10" s="3"/>
      <c r="TAU10" s="3"/>
      <c r="TAV10" s="3"/>
      <c r="TAW10" s="3"/>
      <c r="TAX10" s="3"/>
      <c r="TAY10" s="3"/>
      <c r="TAZ10" s="3"/>
      <c r="TBA10" s="3"/>
      <c r="TBB10" s="3"/>
      <c r="TBC10" s="3"/>
      <c r="TBD10" s="3"/>
      <c r="TBE10" s="3"/>
      <c r="TBF10" s="3"/>
      <c r="TBG10" s="3"/>
      <c r="TBH10" s="3"/>
      <c r="TBI10" s="3"/>
      <c r="TBJ10" s="3"/>
      <c r="TBK10" s="3"/>
      <c r="TBL10" s="3"/>
      <c r="TBM10" s="3"/>
      <c r="TBN10" s="3"/>
      <c r="TBO10" s="3"/>
      <c r="TBP10" s="3"/>
      <c r="TBQ10" s="3"/>
      <c r="TBR10" s="3"/>
      <c r="TBS10" s="3"/>
      <c r="TBT10" s="3"/>
      <c r="TBU10" s="3"/>
      <c r="TBV10" s="3"/>
      <c r="TBW10" s="3"/>
      <c r="TBX10" s="3"/>
      <c r="TBY10" s="3"/>
      <c r="TBZ10" s="3"/>
      <c r="TCA10" s="3"/>
      <c r="TCB10" s="3"/>
      <c r="TCC10" s="3"/>
      <c r="TCD10" s="3"/>
      <c r="TCE10" s="3"/>
      <c r="TCF10" s="3"/>
      <c r="TCG10" s="3"/>
      <c r="TCH10" s="3"/>
      <c r="TCI10" s="3"/>
      <c r="TCJ10" s="3"/>
      <c r="TCK10" s="3"/>
      <c r="TCL10" s="3"/>
      <c r="TCM10" s="3"/>
      <c r="TCN10" s="3"/>
      <c r="TCO10" s="3"/>
      <c r="TCP10" s="3"/>
      <c r="TCQ10" s="3"/>
      <c r="TCR10" s="3"/>
      <c r="TCS10" s="3"/>
      <c r="TCT10" s="3"/>
      <c r="TCU10" s="3"/>
      <c r="TCV10" s="3"/>
      <c r="TCW10" s="3"/>
      <c r="TCX10" s="3"/>
      <c r="TCY10" s="3"/>
      <c r="TCZ10" s="3"/>
      <c r="TDA10" s="3"/>
      <c r="TDB10" s="3"/>
      <c r="TDC10" s="3"/>
      <c r="TDD10" s="3"/>
      <c r="TDE10" s="3"/>
      <c r="TDF10" s="3"/>
      <c r="TDG10" s="3"/>
      <c r="TDH10" s="3"/>
      <c r="TDI10" s="3"/>
      <c r="TDJ10" s="3"/>
      <c r="TDK10" s="3"/>
      <c r="TDL10" s="3"/>
      <c r="TDM10" s="3"/>
      <c r="TDN10" s="3"/>
      <c r="TDO10" s="3"/>
      <c r="TDP10" s="3"/>
      <c r="TDQ10" s="3"/>
      <c r="TDR10" s="3"/>
      <c r="TDS10" s="3"/>
      <c r="TDT10" s="3"/>
      <c r="TDU10" s="3"/>
      <c r="TDV10" s="3"/>
      <c r="TDW10" s="3"/>
      <c r="TDX10" s="3"/>
      <c r="TDY10" s="3"/>
      <c r="TDZ10" s="3"/>
      <c r="TEA10" s="3"/>
      <c r="TEB10" s="3"/>
      <c r="TEC10" s="3"/>
      <c r="TED10" s="3"/>
      <c r="TEE10" s="3"/>
      <c r="TEF10" s="3"/>
      <c r="TEG10" s="3"/>
      <c r="TEH10" s="3"/>
      <c r="TEI10" s="3"/>
      <c r="TEJ10" s="3"/>
      <c r="TEK10" s="3"/>
      <c r="TEL10" s="3"/>
      <c r="TEM10" s="3"/>
      <c r="TEN10" s="3"/>
      <c r="TEO10" s="3"/>
      <c r="TEP10" s="3"/>
      <c r="TEQ10" s="3"/>
      <c r="TER10" s="3"/>
      <c r="TES10" s="3"/>
      <c r="TET10" s="3"/>
      <c r="TEU10" s="3"/>
      <c r="TEV10" s="3"/>
      <c r="TEW10" s="3"/>
      <c r="TEX10" s="3"/>
      <c r="TEY10" s="3"/>
      <c r="TEZ10" s="3"/>
      <c r="TFA10" s="3"/>
      <c r="TFB10" s="3"/>
      <c r="TFC10" s="3"/>
      <c r="TFD10" s="3"/>
      <c r="TFE10" s="3"/>
      <c r="TFF10" s="3"/>
      <c r="TFG10" s="3"/>
      <c r="TFH10" s="3"/>
      <c r="TFI10" s="3"/>
      <c r="TFJ10" s="3"/>
      <c r="TFK10" s="3"/>
      <c r="TFL10" s="3"/>
      <c r="TFM10" s="3"/>
      <c r="TFN10" s="3"/>
      <c r="TFO10" s="3"/>
      <c r="TFP10" s="3"/>
      <c r="TFQ10" s="3"/>
      <c r="TFR10" s="3"/>
      <c r="TFS10" s="3"/>
      <c r="TFT10" s="3"/>
      <c r="TFU10" s="3"/>
      <c r="TFV10" s="3"/>
      <c r="TFW10" s="3"/>
      <c r="TFX10" s="3"/>
      <c r="TFY10" s="3"/>
      <c r="TFZ10" s="3"/>
      <c r="TGA10" s="3"/>
      <c r="TGB10" s="3"/>
      <c r="TGC10" s="3"/>
      <c r="TGD10" s="3"/>
      <c r="TGE10" s="3"/>
      <c r="TGF10" s="3"/>
      <c r="TGG10" s="3"/>
      <c r="TGH10" s="3"/>
      <c r="TGI10" s="3"/>
      <c r="TGJ10" s="3"/>
      <c r="TGK10" s="3"/>
      <c r="TGL10" s="3"/>
      <c r="TGM10" s="3"/>
      <c r="TGN10" s="3"/>
      <c r="TGO10" s="3"/>
      <c r="TGP10" s="3"/>
      <c r="TGQ10" s="3"/>
      <c r="TGR10" s="3"/>
      <c r="TGS10" s="3"/>
      <c r="TGT10" s="3"/>
      <c r="TGU10" s="3"/>
      <c r="TGV10" s="3"/>
      <c r="TGW10" s="3"/>
      <c r="TGX10" s="3"/>
      <c r="TGY10" s="3"/>
      <c r="TGZ10" s="3"/>
      <c r="THA10" s="3"/>
      <c r="THB10" s="3"/>
      <c r="THC10" s="3"/>
      <c r="THD10" s="3"/>
      <c r="THE10" s="3"/>
      <c r="THF10" s="3"/>
      <c r="THG10" s="3"/>
      <c r="THH10" s="3"/>
      <c r="THI10" s="3"/>
      <c r="THJ10" s="3"/>
      <c r="THK10" s="3"/>
      <c r="THL10" s="3"/>
      <c r="THM10" s="3"/>
      <c r="THN10" s="3"/>
      <c r="THO10" s="3"/>
      <c r="THP10" s="3"/>
      <c r="THQ10" s="3"/>
      <c r="THR10" s="3"/>
      <c r="THS10" s="3"/>
      <c r="THT10" s="3"/>
      <c r="THU10" s="3"/>
      <c r="THV10" s="3"/>
      <c r="THW10" s="3"/>
      <c r="THX10" s="3"/>
      <c r="THY10" s="3"/>
      <c r="THZ10" s="3"/>
      <c r="TIA10" s="3"/>
      <c r="TIB10" s="3"/>
      <c r="TIC10" s="3"/>
      <c r="TID10" s="3"/>
      <c r="TIE10" s="3"/>
      <c r="TIF10" s="3"/>
      <c r="TIG10" s="3"/>
      <c r="TIH10" s="3"/>
      <c r="TII10" s="3"/>
      <c r="TIJ10" s="3"/>
      <c r="TIK10" s="3"/>
      <c r="TIL10" s="3"/>
      <c r="TIM10" s="3"/>
      <c r="TIN10" s="3"/>
      <c r="TIO10" s="3"/>
      <c r="TIP10" s="3"/>
      <c r="TIQ10" s="3"/>
      <c r="TIR10" s="3"/>
      <c r="TIS10" s="3"/>
      <c r="TIT10" s="3"/>
      <c r="TIU10" s="3"/>
      <c r="TIV10" s="3"/>
      <c r="TIW10" s="3"/>
      <c r="TIX10" s="3"/>
      <c r="TIY10" s="3"/>
      <c r="TIZ10" s="3"/>
      <c r="TJA10" s="3"/>
      <c r="TJB10" s="3"/>
      <c r="TJC10" s="3"/>
      <c r="TJD10" s="3"/>
      <c r="TJE10" s="3"/>
      <c r="TJF10" s="3"/>
      <c r="TJG10" s="3"/>
      <c r="TJH10" s="3"/>
      <c r="TJI10" s="3"/>
      <c r="TJJ10" s="3"/>
      <c r="TJK10" s="3"/>
      <c r="TJL10" s="3"/>
      <c r="TJM10" s="3"/>
      <c r="TJN10" s="3"/>
      <c r="TJO10" s="3"/>
      <c r="TJP10" s="3"/>
      <c r="TJQ10" s="3"/>
      <c r="TJR10" s="3"/>
      <c r="TJS10" s="3"/>
      <c r="TJT10" s="3"/>
      <c r="TJU10" s="3"/>
      <c r="TJV10" s="3"/>
      <c r="TJW10" s="3"/>
      <c r="TJX10" s="3"/>
      <c r="TJY10" s="3"/>
      <c r="TJZ10" s="3"/>
      <c r="TKA10" s="3"/>
      <c r="TKB10" s="3"/>
      <c r="TKC10" s="3"/>
      <c r="TKD10" s="3"/>
      <c r="TKE10" s="3"/>
      <c r="TKF10" s="3"/>
      <c r="TKG10" s="3"/>
      <c r="TKH10" s="3"/>
      <c r="TKI10" s="3"/>
      <c r="TKJ10" s="3"/>
      <c r="TKK10" s="3"/>
      <c r="TKL10" s="3"/>
      <c r="TKM10" s="3"/>
      <c r="TKN10" s="3"/>
      <c r="TKO10" s="3"/>
      <c r="TKP10" s="3"/>
      <c r="TKQ10" s="3"/>
      <c r="TKR10" s="3"/>
      <c r="TKS10" s="3"/>
      <c r="TKT10" s="3"/>
      <c r="TKU10" s="3"/>
      <c r="TKV10" s="3"/>
      <c r="TKW10" s="3"/>
      <c r="TKX10" s="3"/>
      <c r="TKY10" s="3"/>
      <c r="TKZ10" s="3"/>
      <c r="TLA10" s="3"/>
      <c r="TLB10" s="3"/>
      <c r="TLC10" s="3"/>
      <c r="TLD10" s="3"/>
      <c r="TLE10" s="3"/>
      <c r="TLF10" s="3"/>
      <c r="TLG10" s="3"/>
      <c r="TLH10" s="3"/>
      <c r="TLI10" s="3"/>
      <c r="TLJ10" s="3"/>
      <c r="TLK10" s="3"/>
      <c r="TLL10" s="3"/>
      <c r="TLM10" s="3"/>
      <c r="TLN10" s="3"/>
      <c r="TLO10" s="3"/>
      <c r="TLP10" s="3"/>
      <c r="TLQ10" s="3"/>
      <c r="TLR10" s="3"/>
      <c r="TLS10" s="3"/>
      <c r="TLT10" s="3"/>
      <c r="TLU10" s="3"/>
      <c r="TLV10" s="3"/>
      <c r="TLW10" s="3"/>
      <c r="TLX10" s="3"/>
      <c r="TLY10" s="3"/>
      <c r="TLZ10" s="3"/>
      <c r="TMA10" s="3"/>
      <c r="TMB10" s="3"/>
      <c r="TMC10" s="3"/>
      <c r="TMD10" s="3"/>
      <c r="TME10" s="3"/>
      <c r="TMF10" s="3"/>
      <c r="TMG10" s="3"/>
      <c r="TMH10" s="3"/>
      <c r="TMI10" s="3"/>
      <c r="TMJ10" s="3"/>
      <c r="TMK10" s="3"/>
      <c r="TML10" s="3"/>
      <c r="TMM10" s="3"/>
      <c r="TMN10" s="3"/>
      <c r="TMO10" s="3"/>
      <c r="TMP10" s="3"/>
      <c r="TMQ10" s="3"/>
      <c r="TMR10" s="3"/>
      <c r="TMS10" s="3"/>
      <c r="TMT10" s="3"/>
      <c r="TMU10" s="3"/>
      <c r="TMV10" s="3"/>
      <c r="TMW10" s="3"/>
      <c r="TMX10" s="3"/>
      <c r="TMY10" s="3"/>
      <c r="TMZ10" s="3"/>
      <c r="TNA10" s="3"/>
      <c r="TNB10" s="3"/>
      <c r="TNC10" s="3"/>
      <c r="TND10" s="3"/>
      <c r="TNE10" s="3"/>
      <c r="TNF10" s="3"/>
      <c r="TNG10" s="3"/>
      <c r="TNH10" s="3"/>
      <c r="TNI10" s="3"/>
      <c r="TNJ10" s="3"/>
      <c r="TNK10" s="3"/>
      <c r="TNL10" s="3"/>
      <c r="TNM10" s="3"/>
      <c r="TNN10" s="3"/>
      <c r="TNO10" s="3"/>
      <c r="TNP10" s="3"/>
      <c r="TNQ10" s="3"/>
      <c r="TNR10" s="3"/>
      <c r="TNS10" s="3"/>
      <c r="TNT10" s="3"/>
      <c r="TNU10" s="3"/>
      <c r="TNV10" s="3"/>
      <c r="TNW10" s="3"/>
      <c r="TNX10" s="3"/>
      <c r="TNY10" s="3"/>
      <c r="TNZ10" s="3"/>
      <c r="TOA10" s="3"/>
      <c r="TOB10" s="3"/>
      <c r="TOC10" s="3"/>
      <c r="TOD10" s="3"/>
      <c r="TOE10" s="3"/>
      <c r="TOF10" s="3"/>
      <c r="TOG10" s="3"/>
      <c r="TOH10" s="3"/>
      <c r="TOI10" s="3"/>
      <c r="TOJ10" s="3"/>
      <c r="TOK10" s="3"/>
      <c r="TOL10" s="3"/>
      <c r="TOM10" s="3"/>
      <c r="TON10" s="3"/>
      <c r="TOO10" s="3"/>
      <c r="TOP10" s="3"/>
      <c r="TOQ10" s="3"/>
      <c r="TOR10" s="3"/>
      <c r="TOS10" s="3"/>
      <c r="TOT10" s="3"/>
      <c r="TOU10" s="3"/>
      <c r="TOV10" s="3"/>
      <c r="TOW10" s="3"/>
      <c r="TOX10" s="3"/>
      <c r="TOY10" s="3"/>
      <c r="TOZ10" s="3"/>
      <c r="TPA10" s="3"/>
      <c r="TPB10" s="3"/>
      <c r="TPC10" s="3"/>
      <c r="TPD10" s="3"/>
      <c r="TPE10" s="3"/>
      <c r="TPF10" s="3"/>
      <c r="TPG10" s="3"/>
      <c r="TPH10" s="3"/>
      <c r="TPI10" s="3"/>
      <c r="TPJ10" s="3"/>
      <c r="TPK10" s="3"/>
      <c r="TPL10" s="3"/>
      <c r="TPM10" s="3"/>
      <c r="TPN10" s="3"/>
      <c r="TPO10" s="3"/>
      <c r="TPP10" s="3"/>
      <c r="TPQ10" s="3"/>
      <c r="TPR10" s="3"/>
      <c r="TPS10" s="3"/>
      <c r="TPT10" s="3"/>
      <c r="TPU10" s="3"/>
      <c r="TPV10" s="3"/>
      <c r="TPW10" s="3"/>
      <c r="TPX10" s="3"/>
      <c r="TPY10" s="3"/>
      <c r="TPZ10" s="3"/>
      <c r="TQA10" s="3"/>
      <c r="TQB10" s="3"/>
      <c r="TQC10" s="3"/>
      <c r="TQD10" s="3"/>
      <c r="TQE10" s="3"/>
      <c r="TQF10" s="3"/>
      <c r="TQG10" s="3"/>
      <c r="TQH10" s="3"/>
      <c r="TQI10" s="3"/>
      <c r="TQJ10" s="3"/>
      <c r="TQK10" s="3"/>
      <c r="TQL10" s="3"/>
      <c r="TQM10" s="3"/>
      <c r="TQN10" s="3"/>
      <c r="TQO10" s="3"/>
      <c r="TQP10" s="3"/>
      <c r="TQQ10" s="3"/>
      <c r="TQR10" s="3"/>
      <c r="TQS10" s="3"/>
      <c r="TQT10" s="3"/>
      <c r="TQU10" s="3"/>
      <c r="TQV10" s="3"/>
      <c r="TQW10" s="3"/>
      <c r="TQX10" s="3"/>
      <c r="TQY10" s="3"/>
      <c r="TQZ10" s="3"/>
      <c r="TRA10" s="3"/>
      <c r="TRB10" s="3"/>
      <c r="TRC10" s="3"/>
      <c r="TRD10" s="3"/>
      <c r="TRE10" s="3"/>
      <c r="TRF10" s="3"/>
      <c r="TRG10" s="3"/>
      <c r="TRH10" s="3"/>
      <c r="TRI10" s="3"/>
      <c r="TRJ10" s="3"/>
      <c r="TRK10" s="3"/>
      <c r="TRL10" s="3"/>
      <c r="TRM10" s="3"/>
      <c r="TRN10" s="3"/>
      <c r="TRO10" s="3"/>
      <c r="TRP10" s="3"/>
      <c r="TRQ10" s="3"/>
      <c r="TRR10" s="3"/>
      <c r="TRS10" s="3"/>
      <c r="TRT10" s="3"/>
      <c r="TRU10" s="3"/>
      <c r="TRV10" s="3"/>
      <c r="TRW10" s="3"/>
      <c r="TRX10" s="3"/>
      <c r="TRY10" s="3"/>
      <c r="TRZ10" s="3"/>
      <c r="TSA10" s="3"/>
      <c r="TSB10" s="3"/>
      <c r="TSC10" s="3"/>
      <c r="TSD10" s="3"/>
      <c r="TSE10" s="3"/>
      <c r="TSF10" s="3"/>
      <c r="TSG10" s="3"/>
      <c r="TSH10" s="3"/>
      <c r="TSI10" s="3"/>
      <c r="TSJ10" s="3"/>
      <c r="TSK10" s="3"/>
      <c r="TSL10" s="3"/>
      <c r="TSM10" s="3"/>
      <c r="TSN10" s="3"/>
      <c r="TSO10" s="3"/>
      <c r="TSP10" s="3"/>
      <c r="TSQ10" s="3"/>
      <c r="TSR10" s="3"/>
      <c r="TSS10" s="3"/>
      <c r="TST10" s="3"/>
      <c r="TSU10" s="3"/>
      <c r="TSV10" s="3"/>
      <c r="TSW10" s="3"/>
      <c r="TSX10" s="3"/>
      <c r="TSY10" s="3"/>
      <c r="TSZ10" s="3"/>
      <c r="TTA10" s="3"/>
      <c r="TTB10" s="3"/>
      <c r="TTC10" s="3"/>
      <c r="TTD10" s="3"/>
      <c r="TTE10" s="3"/>
      <c r="TTF10" s="3"/>
      <c r="TTG10" s="3"/>
      <c r="TTH10" s="3"/>
      <c r="TTI10" s="3"/>
      <c r="TTJ10" s="3"/>
      <c r="TTK10" s="3"/>
      <c r="TTL10" s="3"/>
      <c r="TTM10" s="3"/>
      <c r="TTN10" s="3"/>
      <c r="TTO10" s="3"/>
      <c r="TTP10" s="3"/>
      <c r="TTQ10" s="3"/>
      <c r="TTR10" s="3"/>
      <c r="TTS10" s="3"/>
      <c r="TTT10" s="3"/>
      <c r="TTU10" s="3"/>
      <c r="TTV10" s="3"/>
      <c r="TTW10" s="3"/>
      <c r="TTX10" s="3"/>
      <c r="TTY10" s="3"/>
      <c r="TTZ10" s="3"/>
      <c r="TUA10" s="3"/>
      <c r="TUB10" s="3"/>
      <c r="TUC10" s="3"/>
      <c r="TUD10" s="3"/>
      <c r="TUE10" s="3"/>
      <c r="TUF10" s="3"/>
      <c r="TUG10" s="3"/>
      <c r="TUH10" s="3"/>
      <c r="TUI10" s="3"/>
      <c r="TUJ10" s="3"/>
      <c r="TUK10" s="3"/>
      <c r="TUL10" s="3"/>
      <c r="TUM10" s="3"/>
      <c r="TUN10" s="3"/>
      <c r="TUO10" s="3"/>
      <c r="TUP10" s="3"/>
      <c r="TUQ10" s="3"/>
      <c r="TUR10" s="3"/>
      <c r="TUS10" s="3"/>
      <c r="TUT10" s="3"/>
      <c r="TUU10" s="3"/>
      <c r="TUV10" s="3"/>
      <c r="TUW10" s="3"/>
      <c r="TUX10" s="3"/>
      <c r="TUY10" s="3"/>
      <c r="TUZ10" s="3"/>
      <c r="TVA10" s="3"/>
      <c r="TVB10" s="3"/>
      <c r="TVC10" s="3"/>
      <c r="TVD10" s="3"/>
      <c r="TVE10" s="3"/>
      <c r="TVF10" s="3"/>
      <c r="TVG10" s="3"/>
      <c r="TVH10" s="3"/>
      <c r="TVI10" s="3"/>
      <c r="TVJ10" s="3"/>
      <c r="TVK10" s="3"/>
      <c r="TVL10" s="3"/>
      <c r="TVM10" s="3"/>
      <c r="TVN10" s="3"/>
      <c r="TVO10" s="3"/>
      <c r="TVP10" s="3"/>
      <c r="TVQ10" s="3"/>
      <c r="TVR10" s="3"/>
      <c r="TVS10" s="3"/>
      <c r="TVT10" s="3"/>
      <c r="TVU10" s="3"/>
      <c r="TVV10" s="3"/>
      <c r="TVW10" s="3"/>
      <c r="TVX10" s="3"/>
      <c r="TVY10" s="3"/>
      <c r="TVZ10" s="3"/>
      <c r="TWA10" s="3"/>
      <c r="TWB10" s="3"/>
      <c r="TWC10" s="3"/>
      <c r="TWD10" s="3"/>
      <c r="TWE10" s="3"/>
      <c r="TWF10" s="3"/>
      <c r="TWG10" s="3"/>
      <c r="TWH10" s="3"/>
      <c r="TWI10" s="3"/>
      <c r="TWJ10" s="3"/>
      <c r="TWK10" s="3"/>
      <c r="TWL10" s="3"/>
      <c r="TWM10" s="3"/>
      <c r="TWN10" s="3"/>
      <c r="TWO10" s="3"/>
      <c r="TWP10" s="3"/>
      <c r="TWQ10" s="3"/>
      <c r="TWR10" s="3"/>
      <c r="TWS10" s="3"/>
      <c r="TWT10" s="3"/>
      <c r="TWU10" s="3"/>
      <c r="TWV10" s="3"/>
      <c r="TWW10" s="3"/>
      <c r="TWX10" s="3"/>
      <c r="TWY10" s="3"/>
      <c r="TWZ10" s="3"/>
      <c r="TXA10" s="3"/>
      <c r="TXB10" s="3"/>
      <c r="TXC10" s="3"/>
      <c r="TXD10" s="3"/>
      <c r="TXE10" s="3"/>
      <c r="TXF10" s="3"/>
      <c r="TXG10" s="3"/>
      <c r="TXH10" s="3"/>
      <c r="TXI10" s="3"/>
      <c r="TXJ10" s="3"/>
      <c r="TXK10" s="3"/>
      <c r="TXL10" s="3"/>
      <c r="TXM10" s="3"/>
      <c r="TXN10" s="3"/>
      <c r="TXO10" s="3"/>
      <c r="TXP10" s="3"/>
      <c r="TXQ10" s="3"/>
      <c r="TXR10" s="3"/>
      <c r="TXS10" s="3"/>
      <c r="TXT10" s="3"/>
      <c r="TXU10" s="3"/>
      <c r="TXV10" s="3"/>
      <c r="TXW10" s="3"/>
      <c r="TXX10" s="3"/>
      <c r="TXY10" s="3"/>
      <c r="TXZ10" s="3"/>
      <c r="TYA10" s="3"/>
      <c r="TYB10" s="3"/>
      <c r="TYC10" s="3"/>
      <c r="TYD10" s="3"/>
      <c r="TYE10" s="3"/>
      <c r="TYF10" s="3"/>
      <c r="TYG10" s="3"/>
      <c r="TYH10" s="3"/>
      <c r="TYI10" s="3"/>
      <c r="TYJ10" s="3"/>
      <c r="TYK10" s="3"/>
      <c r="TYL10" s="3"/>
      <c r="TYM10" s="3"/>
      <c r="TYN10" s="3"/>
      <c r="TYO10" s="3"/>
      <c r="TYP10" s="3"/>
      <c r="TYQ10" s="3"/>
      <c r="TYR10" s="3"/>
      <c r="TYS10" s="3"/>
      <c r="TYT10" s="3"/>
      <c r="TYU10" s="3"/>
      <c r="TYV10" s="3"/>
      <c r="TYW10" s="3"/>
      <c r="TYX10" s="3"/>
      <c r="TYY10" s="3"/>
      <c r="TYZ10" s="3"/>
      <c r="TZA10" s="3"/>
      <c r="TZB10" s="3"/>
      <c r="TZC10" s="3"/>
      <c r="TZD10" s="3"/>
      <c r="TZE10" s="3"/>
      <c r="TZF10" s="3"/>
      <c r="TZG10" s="3"/>
      <c r="TZH10" s="3"/>
      <c r="TZI10" s="3"/>
      <c r="TZJ10" s="3"/>
      <c r="TZK10" s="3"/>
      <c r="TZL10" s="3"/>
      <c r="TZM10" s="3"/>
      <c r="TZN10" s="3"/>
      <c r="TZO10" s="3"/>
      <c r="TZP10" s="3"/>
      <c r="TZQ10" s="3"/>
      <c r="TZR10" s="3"/>
      <c r="TZS10" s="3"/>
      <c r="TZT10" s="3"/>
      <c r="TZU10" s="3"/>
      <c r="TZV10" s="3"/>
      <c r="TZW10" s="3"/>
      <c r="TZX10" s="3"/>
      <c r="TZY10" s="3"/>
      <c r="TZZ10" s="3"/>
      <c r="UAA10" s="3"/>
      <c r="UAB10" s="3"/>
      <c r="UAC10" s="3"/>
      <c r="UAD10" s="3"/>
      <c r="UAE10" s="3"/>
      <c r="UAF10" s="3"/>
      <c r="UAG10" s="3"/>
      <c r="UAH10" s="3"/>
      <c r="UAI10" s="3"/>
      <c r="UAJ10" s="3"/>
      <c r="UAK10" s="3"/>
      <c r="UAL10" s="3"/>
      <c r="UAM10" s="3"/>
      <c r="UAN10" s="3"/>
      <c r="UAO10" s="3"/>
      <c r="UAP10" s="3"/>
      <c r="UAQ10" s="3"/>
      <c r="UAR10" s="3"/>
      <c r="UAS10" s="3"/>
      <c r="UAT10" s="3"/>
      <c r="UAU10" s="3"/>
      <c r="UAV10" s="3"/>
      <c r="UAW10" s="3"/>
      <c r="UAX10" s="3"/>
      <c r="UAY10" s="3"/>
      <c r="UAZ10" s="3"/>
      <c r="UBA10" s="3"/>
      <c r="UBB10" s="3"/>
      <c r="UBC10" s="3"/>
      <c r="UBD10" s="3"/>
      <c r="UBE10" s="3"/>
      <c r="UBF10" s="3"/>
      <c r="UBG10" s="3"/>
      <c r="UBH10" s="3"/>
      <c r="UBI10" s="3"/>
      <c r="UBJ10" s="3"/>
      <c r="UBK10" s="3"/>
      <c r="UBL10" s="3"/>
      <c r="UBM10" s="3"/>
      <c r="UBN10" s="3"/>
      <c r="UBO10" s="3"/>
      <c r="UBP10" s="3"/>
      <c r="UBQ10" s="3"/>
      <c r="UBR10" s="3"/>
      <c r="UBS10" s="3"/>
      <c r="UBT10" s="3"/>
      <c r="UBU10" s="3"/>
      <c r="UBV10" s="3"/>
      <c r="UBW10" s="3"/>
      <c r="UBX10" s="3"/>
      <c r="UBY10" s="3"/>
      <c r="UBZ10" s="3"/>
      <c r="UCA10" s="3"/>
      <c r="UCB10" s="3"/>
      <c r="UCC10" s="3"/>
      <c r="UCD10" s="3"/>
      <c r="UCE10" s="3"/>
      <c r="UCF10" s="3"/>
      <c r="UCG10" s="3"/>
      <c r="UCH10" s="3"/>
      <c r="UCI10" s="3"/>
      <c r="UCJ10" s="3"/>
      <c r="UCK10" s="3"/>
      <c r="UCL10" s="3"/>
      <c r="UCM10" s="3"/>
      <c r="UCN10" s="3"/>
      <c r="UCO10" s="3"/>
      <c r="UCP10" s="3"/>
      <c r="UCQ10" s="3"/>
      <c r="UCR10" s="3"/>
      <c r="UCS10" s="3"/>
      <c r="UCT10" s="3"/>
      <c r="UCU10" s="3"/>
      <c r="UCV10" s="3"/>
      <c r="UCW10" s="3"/>
      <c r="UCX10" s="3"/>
      <c r="UCY10" s="3"/>
      <c r="UCZ10" s="3"/>
      <c r="UDA10" s="3"/>
      <c r="UDB10" s="3"/>
      <c r="UDC10" s="3"/>
      <c r="UDD10" s="3"/>
      <c r="UDE10" s="3"/>
      <c r="UDF10" s="3"/>
      <c r="UDG10" s="3"/>
      <c r="UDH10" s="3"/>
      <c r="UDI10" s="3"/>
      <c r="UDJ10" s="3"/>
      <c r="UDK10" s="3"/>
      <c r="UDL10" s="3"/>
      <c r="UDM10" s="3"/>
      <c r="UDN10" s="3"/>
      <c r="UDO10" s="3"/>
      <c r="UDP10" s="3"/>
      <c r="UDQ10" s="3"/>
      <c r="UDR10" s="3"/>
      <c r="UDS10" s="3"/>
      <c r="UDT10" s="3"/>
      <c r="UDU10" s="3"/>
      <c r="UDV10" s="3"/>
      <c r="UDW10" s="3"/>
      <c r="UDX10" s="3"/>
      <c r="UDY10" s="3"/>
      <c r="UDZ10" s="3"/>
      <c r="UEA10" s="3"/>
      <c r="UEB10" s="3"/>
      <c r="UEC10" s="3"/>
      <c r="UED10" s="3"/>
      <c r="UEE10" s="3"/>
      <c r="UEF10" s="3"/>
      <c r="UEG10" s="3"/>
      <c r="UEH10" s="3"/>
      <c r="UEI10" s="3"/>
      <c r="UEJ10" s="3"/>
      <c r="UEK10" s="3"/>
      <c r="UEL10" s="3"/>
      <c r="UEM10" s="3"/>
      <c r="UEN10" s="3"/>
      <c r="UEO10" s="3"/>
      <c r="UEP10" s="3"/>
      <c r="UEQ10" s="3"/>
      <c r="UER10" s="3"/>
      <c r="UES10" s="3"/>
      <c r="UET10" s="3"/>
      <c r="UEU10" s="3"/>
      <c r="UEV10" s="3"/>
      <c r="UEW10" s="3"/>
      <c r="UEX10" s="3"/>
      <c r="UEY10" s="3"/>
      <c r="UEZ10" s="3"/>
      <c r="UFA10" s="3"/>
      <c r="UFB10" s="3"/>
      <c r="UFC10" s="3"/>
      <c r="UFD10" s="3"/>
      <c r="UFE10" s="3"/>
      <c r="UFF10" s="3"/>
      <c r="UFG10" s="3"/>
      <c r="UFH10" s="3"/>
      <c r="UFI10" s="3"/>
      <c r="UFJ10" s="3"/>
      <c r="UFK10" s="3"/>
      <c r="UFL10" s="3"/>
      <c r="UFM10" s="3"/>
      <c r="UFN10" s="3"/>
      <c r="UFO10" s="3"/>
      <c r="UFP10" s="3"/>
      <c r="UFQ10" s="3"/>
      <c r="UFR10" s="3"/>
      <c r="UFS10" s="3"/>
      <c r="UFT10" s="3"/>
      <c r="UFU10" s="3"/>
      <c r="UFV10" s="3"/>
      <c r="UFW10" s="3"/>
      <c r="UFX10" s="3"/>
      <c r="UFY10" s="3"/>
      <c r="UFZ10" s="3"/>
      <c r="UGA10" s="3"/>
      <c r="UGB10" s="3"/>
      <c r="UGC10" s="3"/>
      <c r="UGD10" s="3"/>
      <c r="UGE10" s="3"/>
      <c r="UGF10" s="3"/>
      <c r="UGG10" s="3"/>
      <c r="UGH10" s="3"/>
      <c r="UGI10" s="3"/>
      <c r="UGJ10" s="3"/>
      <c r="UGK10" s="3"/>
      <c r="UGL10" s="3"/>
      <c r="UGM10" s="3"/>
      <c r="UGN10" s="3"/>
      <c r="UGO10" s="3"/>
      <c r="UGP10" s="3"/>
      <c r="UGQ10" s="3"/>
      <c r="UGR10" s="3"/>
      <c r="UGS10" s="3"/>
      <c r="UGT10" s="3"/>
      <c r="UGU10" s="3"/>
      <c r="UGV10" s="3"/>
      <c r="UGW10" s="3"/>
      <c r="UGX10" s="3"/>
      <c r="UGY10" s="3"/>
      <c r="UGZ10" s="3"/>
      <c r="UHA10" s="3"/>
      <c r="UHB10" s="3"/>
      <c r="UHC10" s="3"/>
      <c r="UHD10" s="3"/>
      <c r="UHE10" s="3"/>
      <c r="UHF10" s="3"/>
      <c r="UHG10" s="3"/>
      <c r="UHH10" s="3"/>
      <c r="UHI10" s="3"/>
      <c r="UHJ10" s="3"/>
      <c r="UHK10" s="3"/>
      <c r="UHL10" s="3"/>
      <c r="UHM10" s="3"/>
      <c r="UHN10" s="3"/>
      <c r="UHO10" s="3"/>
      <c r="UHP10" s="3"/>
      <c r="UHQ10" s="3"/>
      <c r="UHR10" s="3"/>
      <c r="UHS10" s="3"/>
      <c r="UHT10" s="3"/>
      <c r="UHU10" s="3"/>
      <c r="UHV10" s="3"/>
      <c r="UHW10" s="3"/>
      <c r="UHX10" s="3"/>
      <c r="UHY10" s="3"/>
      <c r="UHZ10" s="3"/>
      <c r="UIA10" s="3"/>
      <c r="UIB10" s="3"/>
      <c r="UIC10" s="3"/>
      <c r="UID10" s="3"/>
      <c r="UIE10" s="3"/>
      <c r="UIF10" s="3"/>
      <c r="UIG10" s="3"/>
      <c r="UIH10" s="3"/>
      <c r="UII10" s="3"/>
      <c r="UIJ10" s="3"/>
      <c r="UIK10" s="3"/>
      <c r="UIL10" s="3"/>
      <c r="UIM10" s="3"/>
      <c r="UIN10" s="3"/>
      <c r="UIO10" s="3"/>
      <c r="UIP10" s="3"/>
      <c r="UIQ10" s="3"/>
      <c r="UIR10" s="3"/>
      <c r="UIS10" s="3"/>
      <c r="UIT10" s="3"/>
      <c r="UIU10" s="3"/>
      <c r="UIV10" s="3"/>
      <c r="UIW10" s="3"/>
      <c r="UIX10" s="3"/>
      <c r="UIY10" s="3"/>
      <c r="UIZ10" s="3"/>
      <c r="UJA10" s="3"/>
      <c r="UJB10" s="3"/>
      <c r="UJC10" s="3"/>
      <c r="UJD10" s="3"/>
      <c r="UJE10" s="3"/>
      <c r="UJF10" s="3"/>
      <c r="UJG10" s="3"/>
      <c r="UJH10" s="3"/>
      <c r="UJI10" s="3"/>
      <c r="UJJ10" s="3"/>
      <c r="UJK10" s="3"/>
      <c r="UJL10" s="3"/>
      <c r="UJM10" s="3"/>
      <c r="UJN10" s="3"/>
      <c r="UJO10" s="3"/>
      <c r="UJP10" s="3"/>
      <c r="UJQ10" s="3"/>
      <c r="UJR10" s="3"/>
      <c r="UJS10" s="3"/>
      <c r="UJT10" s="3"/>
      <c r="UJU10" s="3"/>
      <c r="UJV10" s="3"/>
      <c r="UJW10" s="3"/>
      <c r="UJX10" s="3"/>
      <c r="UJY10" s="3"/>
      <c r="UJZ10" s="3"/>
      <c r="UKA10" s="3"/>
      <c r="UKB10" s="3"/>
      <c r="UKC10" s="3"/>
      <c r="UKD10" s="3"/>
      <c r="UKE10" s="3"/>
      <c r="UKF10" s="3"/>
      <c r="UKG10" s="3"/>
      <c r="UKH10" s="3"/>
      <c r="UKI10" s="3"/>
      <c r="UKJ10" s="3"/>
      <c r="UKK10" s="3"/>
      <c r="UKL10" s="3"/>
      <c r="UKM10" s="3"/>
      <c r="UKN10" s="3"/>
      <c r="UKO10" s="3"/>
      <c r="UKP10" s="3"/>
      <c r="UKQ10" s="3"/>
      <c r="UKR10" s="3"/>
      <c r="UKS10" s="3"/>
      <c r="UKT10" s="3"/>
      <c r="UKU10" s="3"/>
      <c r="UKV10" s="3"/>
      <c r="UKW10" s="3"/>
      <c r="UKX10" s="3"/>
      <c r="UKY10" s="3"/>
      <c r="UKZ10" s="3"/>
      <c r="ULA10" s="3"/>
      <c r="ULB10" s="3"/>
      <c r="ULC10" s="3"/>
      <c r="ULD10" s="3"/>
      <c r="ULE10" s="3"/>
      <c r="ULF10" s="3"/>
      <c r="ULG10" s="3"/>
      <c r="ULH10" s="3"/>
      <c r="ULI10" s="3"/>
      <c r="ULJ10" s="3"/>
      <c r="ULK10" s="3"/>
      <c r="ULL10" s="3"/>
      <c r="ULM10" s="3"/>
      <c r="ULN10" s="3"/>
      <c r="ULO10" s="3"/>
      <c r="ULP10" s="3"/>
      <c r="ULQ10" s="3"/>
      <c r="ULR10" s="3"/>
      <c r="ULS10" s="3"/>
      <c r="ULT10" s="3"/>
      <c r="ULU10" s="3"/>
      <c r="ULV10" s="3"/>
      <c r="ULW10" s="3"/>
      <c r="ULX10" s="3"/>
      <c r="ULY10" s="3"/>
      <c r="ULZ10" s="3"/>
      <c r="UMA10" s="3"/>
      <c r="UMB10" s="3"/>
      <c r="UMC10" s="3"/>
      <c r="UMD10" s="3"/>
      <c r="UME10" s="3"/>
      <c r="UMF10" s="3"/>
      <c r="UMG10" s="3"/>
      <c r="UMH10" s="3"/>
      <c r="UMI10" s="3"/>
      <c r="UMJ10" s="3"/>
      <c r="UMK10" s="3"/>
      <c r="UML10" s="3"/>
      <c r="UMM10" s="3"/>
      <c r="UMN10" s="3"/>
      <c r="UMO10" s="3"/>
      <c r="UMP10" s="3"/>
      <c r="UMQ10" s="3"/>
      <c r="UMR10" s="3"/>
      <c r="UMS10" s="3"/>
      <c r="UMT10" s="3"/>
      <c r="UMU10" s="3"/>
      <c r="UMV10" s="3"/>
      <c r="UMW10" s="3"/>
      <c r="UMX10" s="3"/>
      <c r="UMY10" s="3"/>
      <c r="UMZ10" s="3"/>
      <c r="UNA10" s="3"/>
      <c r="UNB10" s="3"/>
      <c r="UNC10" s="3"/>
      <c r="UND10" s="3"/>
      <c r="UNE10" s="3"/>
      <c r="UNF10" s="3"/>
      <c r="UNG10" s="3"/>
      <c r="UNH10" s="3"/>
      <c r="UNI10" s="3"/>
      <c r="UNJ10" s="3"/>
      <c r="UNK10" s="3"/>
      <c r="UNL10" s="3"/>
      <c r="UNM10" s="3"/>
      <c r="UNN10" s="3"/>
      <c r="UNO10" s="3"/>
      <c r="UNP10" s="3"/>
      <c r="UNQ10" s="3"/>
      <c r="UNR10" s="3"/>
      <c r="UNS10" s="3"/>
      <c r="UNT10" s="3"/>
      <c r="UNU10" s="3"/>
      <c r="UNV10" s="3"/>
      <c r="UNW10" s="3"/>
      <c r="UNX10" s="3"/>
      <c r="UNY10" s="3"/>
      <c r="UNZ10" s="3"/>
      <c r="UOA10" s="3"/>
      <c r="UOB10" s="3"/>
      <c r="UOC10" s="3"/>
      <c r="UOD10" s="3"/>
      <c r="UOE10" s="3"/>
      <c r="UOF10" s="3"/>
      <c r="UOG10" s="3"/>
      <c r="UOH10" s="3"/>
      <c r="UOI10" s="3"/>
      <c r="UOJ10" s="3"/>
      <c r="UOK10" s="3"/>
      <c r="UOL10" s="3"/>
      <c r="UOM10" s="3"/>
      <c r="UON10" s="3"/>
      <c r="UOO10" s="3"/>
      <c r="UOP10" s="3"/>
      <c r="UOQ10" s="3"/>
      <c r="UOR10" s="3"/>
      <c r="UOS10" s="3"/>
      <c r="UOT10" s="3"/>
      <c r="UOU10" s="3"/>
      <c r="UOV10" s="3"/>
      <c r="UOW10" s="3"/>
      <c r="UOX10" s="3"/>
      <c r="UOY10" s="3"/>
      <c r="UOZ10" s="3"/>
      <c r="UPA10" s="3"/>
      <c r="UPB10" s="3"/>
      <c r="UPC10" s="3"/>
      <c r="UPD10" s="3"/>
      <c r="UPE10" s="3"/>
      <c r="UPF10" s="3"/>
      <c r="UPG10" s="3"/>
      <c r="UPH10" s="3"/>
      <c r="UPI10" s="3"/>
      <c r="UPJ10" s="3"/>
      <c r="UPK10" s="3"/>
      <c r="UPL10" s="3"/>
      <c r="UPM10" s="3"/>
      <c r="UPN10" s="3"/>
      <c r="UPO10" s="3"/>
      <c r="UPP10" s="3"/>
      <c r="UPQ10" s="3"/>
      <c r="UPR10" s="3"/>
      <c r="UPS10" s="3"/>
      <c r="UPT10" s="3"/>
      <c r="UPU10" s="3"/>
      <c r="UPV10" s="3"/>
      <c r="UPW10" s="3"/>
      <c r="UPX10" s="3"/>
      <c r="UPY10" s="3"/>
      <c r="UPZ10" s="3"/>
      <c r="UQA10" s="3"/>
      <c r="UQB10" s="3"/>
      <c r="UQC10" s="3"/>
      <c r="UQD10" s="3"/>
      <c r="UQE10" s="3"/>
      <c r="UQF10" s="3"/>
      <c r="UQG10" s="3"/>
      <c r="UQH10" s="3"/>
      <c r="UQI10" s="3"/>
      <c r="UQJ10" s="3"/>
      <c r="UQK10" s="3"/>
      <c r="UQL10" s="3"/>
      <c r="UQM10" s="3"/>
      <c r="UQN10" s="3"/>
      <c r="UQO10" s="3"/>
      <c r="UQP10" s="3"/>
      <c r="UQQ10" s="3"/>
      <c r="UQR10" s="3"/>
      <c r="UQS10" s="3"/>
      <c r="UQT10" s="3"/>
      <c r="UQU10" s="3"/>
      <c r="UQV10" s="3"/>
      <c r="UQW10" s="3"/>
      <c r="UQX10" s="3"/>
      <c r="UQY10" s="3"/>
      <c r="UQZ10" s="3"/>
      <c r="URA10" s="3"/>
      <c r="URB10" s="3"/>
      <c r="URC10" s="3"/>
      <c r="URD10" s="3"/>
      <c r="URE10" s="3"/>
      <c r="URF10" s="3"/>
      <c r="URG10" s="3"/>
      <c r="URH10" s="3"/>
      <c r="URI10" s="3"/>
      <c r="URJ10" s="3"/>
      <c r="URK10" s="3"/>
      <c r="URL10" s="3"/>
      <c r="URM10" s="3"/>
      <c r="URN10" s="3"/>
      <c r="URO10" s="3"/>
      <c r="URP10" s="3"/>
      <c r="URQ10" s="3"/>
      <c r="URR10" s="3"/>
      <c r="URS10" s="3"/>
      <c r="URT10" s="3"/>
      <c r="URU10" s="3"/>
      <c r="URV10" s="3"/>
      <c r="URW10" s="3"/>
      <c r="URX10" s="3"/>
      <c r="URY10" s="3"/>
      <c r="URZ10" s="3"/>
      <c r="USA10" s="3"/>
      <c r="USB10" s="3"/>
      <c r="USC10" s="3"/>
      <c r="USD10" s="3"/>
      <c r="USE10" s="3"/>
      <c r="USF10" s="3"/>
      <c r="USG10" s="3"/>
      <c r="USH10" s="3"/>
      <c r="USI10" s="3"/>
      <c r="USJ10" s="3"/>
      <c r="USK10" s="3"/>
      <c r="USL10" s="3"/>
      <c r="USM10" s="3"/>
      <c r="USN10" s="3"/>
      <c r="USO10" s="3"/>
      <c r="USP10" s="3"/>
      <c r="USQ10" s="3"/>
      <c r="USR10" s="3"/>
      <c r="USS10" s="3"/>
      <c r="UST10" s="3"/>
      <c r="USU10" s="3"/>
      <c r="USV10" s="3"/>
      <c r="USW10" s="3"/>
      <c r="USX10" s="3"/>
      <c r="USY10" s="3"/>
      <c r="USZ10" s="3"/>
      <c r="UTA10" s="3"/>
      <c r="UTB10" s="3"/>
      <c r="UTC10" s="3"/>
      <c r="UTD10" s="3"/>
      <c r="UTE10" s="3"/>
      <c r="UTF10" s="3"/>
      <c r="UTG10" s="3"/>
      <c r="UTH10" s="3"/>
      <c r="UTI10" s="3"/>
      <c r="UTJ10" s="3"/>
      <c r="UTK10" s="3"/>
      <c r="UTL10" s="3"/>
      <c r="UTM10" s="3"/>
      <c r="UTN10" s="3"/>
      <c r="UTO10" s="3"/>
      <c r="UTP10" s="3"/>
      <c r="UTQ10" s="3"/>
      <c r="UTR10" s="3"/>
      <c r="UTS10" s="3"/>
      <c r="UTT10" s="3"/>
      <c r="UTU10" s="3"/>
      <c r="UTV10" s="3"/>
      <c r="UTW10" s="3"/>
      <c r="UTX10" s="3"/>
      <c r="UTY10" s="3"/>
      <c r="UTZ10" s="3"/>
      <c r="UUA10" s="3"/>
      <c r="UUB10" s="3"/>
      <c r="UUC10" s="3"/>
      <c r="UUD10" s="3"/>
      <c r="UUE10" s="3"/>
      <c r="UUF10" s="3"/>
      <c r="UUG10" s="3"/>
      <c r="UUH10" s="3"/>
      <c r="UUI10" s="3"/>
      <c r="UUJ10" s="3"/>
      <c r="UUK10" s="3"/>
      <c r="UUL10" s="3"/>
      <c r="UUM10" s="3"/>
      <c r="UUN10" s="3"/>
      <c r="UUO10" s="3"/>
      <c r="UUP10" s="3"/>
      <c r="UUQ10" s="3"/>
      <c r="UUR10" s="3"/>
      <c r="UUS10" s="3"/>
      <c r="UUT10" s="3"/>
      <c r="UUU10" s="3"/>
      <c r="UUV10" s="3"/>
      <c r="UUW10" s="3"/>
      <c r="UUX10" s="3"/>
      <c r="UUY10" s="3"/>
      <c r="UUZ10" s="3"/>
      <c r="UVA10" s="3"/>
      <c r="UVB10" s="3"/>
      <c r="UVC10" s="3"/>
      <c r="UVD10" s="3"/>
      <c r="UVE10" s="3"/>
      <c r="UVF10" s="3"/>
      <c r="UVG10" s="3"/>
      <c r="UVH10" s="3"/>
      <c r="UVI10" s="3"/>
      <c r="UVJ10" s="3"/>
      <c r="UVK10" s="3"/>
      <c r="UVL10" s="3"/>
      <c r="UVM10" s="3"/>
      <c r="UVN10" s="3"/>
      <c r="UVO10" s="3"/>
      <c r="UVP10" s="3"/>
      <c r="UVQ10" s="3"/>
      <c r="UVR10" s="3"/>
      <c r="UVS10" s="3"/>
      <c r="UVT10" s="3"/>
      <c r="UVU10" s="3"/>
      <c r="UVV10" s="3"/>
      <c r="UVW10" s="3"/>
      <c r="UVX10" s="3"/>
      <c r="UVY10" s="3"/>
      <c r="UVZ10" s="3"/>
      <c r="UWA10" s="3"/>
      <c r="UWB10" s="3"/>
      <c r="UWC10" s="3"/>
      <c r="UWD10" s="3"/>
      <c r="UWE10" s="3"/>
      <c r="UWF10" s="3"/>
      <c r="UWG10" s="3"/>
      <c r="UWH10" s="3"/>
      <c r="UWI10" s="3"/>
      <c r="UWJ10" s="3"/>
      <c r="UWK10" s="3"/>
      <c r="UWL10" s="3"/>
      <c r="UWM10" s="3"/>
      <c r="UWN10" s="3"/>
      <c r="UWO10" s="3"/>
      <c r="UWP10" s="3"/>
      <c r="UWQ10" s="3"/>
      <c r="UWR10" s="3"/>
      <c r="UWS10" s="3"/>
      <c r="UWT10" s="3"/>
      <c r="UWU10" s="3"/>
      <c r="UWV10" s="3"/>
      <c r="UWW10" s="3"/>
      <c r="UWX10" s="3"/>
      <c r="UWY10" s="3"/>
      <c r="UWZ10" s="3"/>
      <c r="UXA10" s="3"/>
      <c r="UXB10" s="3"/>
      <c r="UXC10" s="3"/>
      <c r="UXD10" s="3"/>
      <c r="UXE10" s="3"/>
      <c r="UXF10" s="3"/>
      <c r="UXG10" s="3"/>
      <c r="UXH10" s="3"/>
      <c r="UXI10" s="3"/>
      <c r="UXJ10" s="3"/>
      <c r="UXK10" s="3"/>
      <c r="UXL10" s="3"/>
      <c r="UXM10" s="3"/>
      <c r="UXN10" s="3"/>
      <c r="UXO10" s="3"/>
      <c r="UXP10" s="3"/>
      <c r="UXQ10" s="3"/>
      <c r="UXR10" s="3"/>
      <c r="UXS10" s="3"/>
      <c r="UXT10" s="3"/>
      <c r="UXU10" s="3"/>
      <c r="UXV10" s="3"/>
      <c r="UXW10" s="3"/>
      <c r="UXX10" s="3"/>
      <c r="UXY10" s="3"/>
      <c r="UXZ10" s="3"/>
      <c r="UYA10" s="3"/>
      <c r="UYB10" s="3"/>
      <c r="UYC10" s="3"/>
      <c r="UYD10" s="3"/>
      <c r="UYE10" s="3"/>
      <c r="UYF10" s="3"/>
      <c r="UYG10" s="3"/>
      <c r="UYH10" s="3"/>
      <c r="UYI10" s="3"/>
      <c r="UYJ10" s="3"/>
      <c r="UYK10" s="3"/>
      <c r="UYL10" s="3"/>
      <c r="UYM10" s="3"/>
      <c r="UYN10" s="3"/>
      <c r="UYO10" s="3"/>
      <c r="UYP10" s="3"/>
      <c r="UYQ10" s="3"/>
      <c r="UYR10" s="3"/>
      <c r="UYS10" s="3"/>
      <c r="UYT10" s="3"/>
      <c r="UYU10" s="3"/>
      <c r="UYV10" s="3"/>
      <c r="UYW10" s="3"/>
      <c r="UYX10" s="3"/>
      <c r="UYY10" s="3"/>
      <c r="UYZ10" s="3"/>
      <c r="UZA10" s="3"/>
      <c r="UZB10" s="3"/>
      <c r="UZC10" s="3"/>
      <c r="UZD10" s="3"/>
      <c r="UZE10" s="3"/>
      <c r="UZF10" s="3"/>
      <c r="UZG10" s="3"/>
      <c r="UZH10" s="3"/>
      <c r="UZI10" s="3"/>
      <c r="UZJ10" s="3"/>
      <c r="UZK10" s="3"/>
      <c r="UZL10" s="3"/>
      <c r="UZM10" s="3"/>
      <c r="UZN10" s="3"/>
      <c r="UZO10" s="3"/>
      <c r="UZP10" s="3"/>
      <c r="UZQ10" s="3"/>
      <c r="UZR10" s="3"/>
      <c r="UZS10" s="3"/>
      <c r="UZT10" s="3"/>
      <c r="UZU10" s="3"/>
      <c r="UZV10" s="3"/>
      <c r="UZW10" s="3"/>
      <c r="UZX10" s="3"/>
      <c r="UZY10" s="3"/>
      <c r="UZZ10" s="3"/>
      <c r="VAA10" s="3"/>
      <c r="VAB10" s="3"/>
      <c r="VAC10" s="3"/>
      <c r="VAD10" s="3"/>
      <c r="VAE10" s="3"/>
      <c r="VAF10" s="3"/>
      <c r="VAG10" s="3"/>
      <c r="VAH10" s="3"/>
      <c r="VAI10" s="3"/>
      <c r="VAJ10" s="3"/>
      <c r="VAK10" s="3"/>
      <c r="VAL10" s="3"/>
      <c r="VAM10" s="3"/>
      <c r="VAN10" s="3"/>
      <c r="VAO10" s="3"/>
      <c r="VAP10" s="3"/>
      <c r="VAQ10" s="3"/>
      <c r="VAR10" s="3"/>
      <c r="VAS10" s="3"/>
      <c r="VAT10" s="3"/>
      <c r="VAU10" s="3"/>
      <c r="VAV10" s="3"/>
      <c r="VAW10" s="3"/>
      <c r="VAX10" s="3"/>
      <c r="VAY10" s="3"/>
      <c r="VAZ10" s="3"/>
      <c r="VBA10" s="3"/>
      <c r="VBB10" s="3"/>
      <c r="VBC10" s="3"/>
      <c r="VBD10" s="3"/>
      <c r="VBE10" s="3"/>
      <c r="VBF10" s="3"/>
      <c r="VBG10" s="3"/>
      <c r="VBH10" s="3"/>
      <c r="VBI10" s="3"/>
      <c r="VBJ10" s="3"/>
      <c r="VBK10" s="3"/>
      <c r="VBL10" s="3"/>
      <c r="VBM10" s="3"/>
      <c r="VBN10" s="3"/>
      <c r="VBO10" s="3"/>
      <c r="VBP10" s="3"/>
      <c r="VBQ10" s="3"/>
      <c r="VBR10" s="3"/>
      <c r="VBS10" s="3"/>
      <c r="VBT10" s="3"/>
      <c r="VBU10" s="3"/>
      <c r="VBV10" s="3"/>
      <c r="VBW10" s="3"/>
      <c r="VBX10" s="3"/>
      <c r="VBY10" s="3"/>
      <c r="VBZ10" s="3"/>
      <c r="VCA10" s="3"/>
      <c r="VCB10" s="3"/>
      <c r="VCC10" s="3"/>
      <c r="VCD10" s="3"/>
      <c r="VCE10" s="3"/>
      <c r="VCF10" s="3"/>
      <c r="VCG10" s="3"/>
      <c r="VCH10" s="3"/>
      <c r="VCI10" s="3"/>
      <c r="VCJ10" s="3"/>
      <c r="VCK10" s="3"/>
      <c r="VCL10" s="3"/>
      <c r="VCM10" s="3"/>
      <c r="VCN10" s="3"/>
      <c r="VCO10" s="3"/>
      <c r="VCP10" s="3"/>
      <c r="VCQ10" s="3"/>
      <c r="VCR10" s="3"/>
      <c r="VCS10" s="3"/>
      <c r="VCT10" s="3"/>
      <c r="VCU10" s="3"/>
      <c r="VCV10" s="3"/>
      <c r="VCW10" s="3"/>
      <c r="VCX10" s="3"/>
      <c r="VCY10" s="3"/>
      <c r="VCZ10" s="3"/>
      <c r="VDA10" s="3"/>
      <c r="VDB10" s="3"/>
      <c r="VDC10" s="3"/>
      <c r="VDD10" s="3"/>
      <c r="VDE10" s="3"/>
      <c r="VDF10" s="3"/>
      <c r="VDG10" s="3"/>
      <c r="VDH10" s="3"/>
      <c r="VDI10" s="3"/>
      <c r="VDJ10" s="3"/>
      <c r="VDK10" s="3"/>
      <c r="VDL10" s="3"/>
      <c r="VDM10" s="3"/>
      <c r="VDN10" s="3"/>
      <c r="VDO10" s="3"/>
      <c r="VDP10" s="3"/>
      <c r="VDQ10" s="3"/>
      <c r="VDR10" s="3"/>
      <c r="VDS10" s="3"/>
      <c r="VDT10" s="3"/>
      <c r="VDU10" s="3"/>
      <c r="VDV10" s="3"/>
      <c r="VDW10" s="3"/>
      <c r="VDX10" s="3"/>
      <c r="VDY10" s="3"/>
      <c r="VDZ10" s="3"/>
      <c r="VEA10" s="3"/>
      <c r="VEB10" s="3"/>
      <c r="VEC10" s="3"/>
      <c r="VED10" s="3"/>
      <c r="VEE10" s="3"/>
      <c r="VEF10" s="3"/>
      <c r="VEG10" s="3"/>
      <c r="VEH10" s="3"/>
      <c r="VEI10" s="3"/>
      <c r="VEJ10" s="3"/>
      <c r="VEK10" s="3"/>
      <c r="VEL10" s="3"/>
      <c r="VEM10" s="3"/>
      <c r="VEN10" s="3"/>
      <c r="VEO10" s="3"/>
      <c r="VEP10" s="3"/>
      <c r="VEQ10" s="3"/>
      <c r="VER10" s="3"/>
      <c r="VES10" s="3"/>
      <c r="VET10" s="3"/>
      <c r="VEU10" s="3"/>
      <c r="VEV10" s="3"/>
      <c r="VEW10" s="3"/>
      <c r="VEX10" s="3"/>
      <c r="VEY10" s="3"/>
      <c r="VEZ10" s="3"/>
      <c r="VFA10" s="3"/>
      <c r="VFB10" s="3"/>
      <c r="VFC10" s="3"/>
      <c r="VFD10" s="3"/>
      <c r="VFE10" s="3"/>
      <c r="VFF10" s="3"/>
      <c r="VFG10" s="3"/>
      <c r="VFH10" s="3"/>
      <c r="VFI10" s="3"/>
      <c r="VFJ10" s="3"/>
      <c r="VFK10" s="3"/>
      <c r="VFL10" s="3"/>
      <c r="VFM10" s="3"/>
      <c r="VFN10" s="3"/>
      <c r="VFO10" s="3"/>
      <c r="VFP10" s="3"/>
      <c r="VFQ10" s="3"/>
      <c r="VFR10" s="3"/>
      <c r="VFS10" s="3"/>
      <c r="VFT10" s="3"/>
      <c r="VFU10" s="3"/>
      <c r="VFV10" s="3"/>
      <c r="VFW10" s="3"/>
      <c r="VFX10" s="3"/>
      <c r="VFY10" s="3"/>
      <c r="VFZ10" s="3"/>
      <c r="VGA10" s="3"/>
      <c r="VGB10" s="3"/>
      <c r="VGC10" s="3"/>
      <c r="VGD10" s="3"/>
      <c r="VGE10" s="3"/>
      <c r="VGF10" s="3"/>
      <c r="VGG10" s="3"/>
      <c r="VGH10" s="3"/>
      <c r="VGI10" s="3"/>
      <c r="VGJ10" s="3"/>
      <c r="VGK10" s="3"/>
      <c r="VGL10" s="3"/>
      <c r="VGM10" s="3"/>
      <c r="VGN10" s="3"/>
      <c r="VGO10" s="3"/>
      <c r="VGP10" s="3"/>
      <c r="VGQ10" s="3"/>
      <c r="VGR10" s="3"/>
      <c r="VGS10" s="3"/>
      <c r="VGT10" s="3"/>
      <c r="VGU10" s="3"/>
      <c r="VGV10" s="3"/>
      <c r="VGW10" s="3"/>
      <c r="VGX10" s="3"/>
      <c r="VGY10" s="3"/>
      <c r="VGZ10" s="3"/>
      <c r="VHA10" s="3"/>
      <c r="VHB10" s="3"/>
      <c r="VHC10" s="3"/>
      <c r="VHD10" s="3"/>
      <c r="VHE10" s="3"/>
      <c r="VHF10" s="3"/>
      <c r="VHG10" s="3"/>
      <c r="VHH10" s="3"/>
      <c r="VHI10" s="3"/>
      <c r="VHJ10" s="3"/>
      <c r="VHK10" s="3"/>
      <c r="VHL10" s="3"/>
      <c r="VHM10" s="3"/>
      <c r="VHN10" s="3"/>
      <c r="VHO10" s="3"/>
      <c r="VHP10" s="3"/>
      <c r="VHQ10" s="3"/>
      <c r="VHR10" s="3"/>
      <c r="VHS10" s="3"/>
      <c r="VHT10" s="3"/>
      <c r="VHU10" s="3"/>
      <c r="VHV10" s="3"/>
      <c r="VHW10" s="3"/>
      <c r="VHX10" s="3"/>
      <c r="VHY10" s="3"/>
      <c r="VHZ10" s="3"/>
      <c r="VIA10" s="3"/>
      <c r="VIB10" s="3"/>
      <c r="VIC10" s="3"/>
      <c r="VID10" s="3"/>
      <c r="VIE10" s="3"/>
      <c r="VIF10" s="3"/>
      <c r="VIG10" s="3"/>
      <c r="VIH10" s="3"/>
      <c r="VII10" s="3"/>
      <c r="VIJ10" s="3"/>
      <c r="VIK10" s="3"/>
      <c r="VIL10" s="3"/>
      <c r="VIM10" s="3"/>
      <c r="VIN10" s="3"/>
      <c r="VIO10" s="3"/>
      <c r="VIP10" s="3"/>
      <c r="VIQ10" s="3"/>
      <c r="VIR10" s="3"/>
      <c r="VIS10" s="3"/>
      <c r="VIT10" s="3"/>
      <c r="VIU10" s="3"/>
      <c r="VIV10" s="3"/>
      <c r="VIW10" s="3"/>
      <c r="VIX10" s="3"/>
      <c r="VIY10" s="3"/>
      <c r="VIZ10" s="3"/>
      <c r="VJA10" s="3"/>
      <c r="VJB10" s="3"/>
      <c r="VJC10" s="3"/>
      <c r="VJD10" s="3"/>
      <c r="VJE10" s="3"/>
      <c r="VJF10" s="3"/>
      <c r="VJG10" s="3"/>
      <c r="VJH10" s="3"/>
      <c r="VJI10" s="3"/>
      <c r="VJJ10" s="3"/>
      <c r="VJK10" s="3"/>
      <c r="VJL10" s="3"/>
      <c r="VJM10" s="3"/>
      <c r="VJN10" s="3"/>
      <c r="VJO10" s="3"/>
      <c r="VJP10" s="3"/>
      <c r="VJQ10" s="3"/>
      <c r="VJR10" s="3"/>
      <c r="VJS10" s="3"/>
      <c r="VJT10" s="3"/>
      <c r="VJU10" s="3"/>
      <c r="VJV10" s="3"/>
      <c r="VJW10" s="3"/>
      <c r="VJX10" s="3"/>
      <c r="VJY10" s="3"/>
      <c r="VJZ10" s="3"/>
      <c r="VKA10" s="3"/>
      <c r="VKB10" s="3"/>
      <c r="VKC10" s="3"/>
      <c r="VKD10" s="3"/>
      <c r="VKE10" s="3"/>
      <c r="VKF10" s="3"/>
      <c r="VKG10" s="3"/>
      <c r="VKH10" s="3"/>
      <c r="VKI10" s="3"/>
      <c r="VKJ10" s="3"/>
      <c r="VKK10" s="3"/>
      <c r="VKL10" s="3"/>
      <c r="VKM10" s="3"/>
      <c r="VKN10" s="3"/>
      <c r="VKO10" s="3"/>
      <c r="VKP10" s="3"/>
      <c r="VKQ10" s="3"/>
      <c r="VKR10" s="3"/>
      <c r="VKS10" s="3"/>
      <c r="VKT10" s="3"/>
      <c r="VKU10" s="3"/>
      <c r="VKV10" s="3"/>
      <c r="VKW10" s="3"/>
      <c r="VKX10" s="3"/>
      <c r="VKY10" s="3"/>
      <c r="VKZ10" s="3"/>
      <c r="VLA10" s="3"/>
      <c r="VLB10" s="3"/>
      <c r="VLC10" s="3"/>
      <c r="VLD10" s="3"/>
      <c r="VLE10" s="3"/>
      <c r="VLF10" s="3"/>
      <c r="VLG10" s="3"/>
      <c r="VLH10" s="3"/>
      <c r="VLI10" s="3"/>
      <c r="VLJ10" s="3"/>
      <c r="VLK10" s="3"/>
      <c r="VLL10" s="3"/>
      <c r="VLM10" s="3"/>
      <c r="VLN10" s="3"/>
      <c r="VLO10" s="3"/>
      <c r="VLP10" s="3"/>
      <c r="VLQ10" s="3"/>
      <c r="VLR10" s="3"/>
      <c r="VLS10" s="3"/>
      <c r="VLT10" s="3"/>
      <c r="VLU10" s="3"/>
      <c r="VLV10" s="3"/>
      <c r="VLW10" s="3"/>
      <c r="VLX10" s="3"/>
      <c r="VLY10" s="3"/>
      <c r="VLZ10" s="3"/>
      <c r="VMA10" s="3"/>
      <c r="VMB10" s="3"/>
      <c r="VMC10" s="3"/>
      <c r="VMD10" s="3"/>
      <c r="VME10" s="3"/>
      <c r="VMF10" s="3"/>
      <c r="VMG10" s="3"/>
      <c r="VMH10" s="3"/>
      <c r="VMI10" s="3"/>
      <c r="VMJ10" s="3"/>
      <c r="VMK10" s="3"/>
      <c r="VML10" s="3"/>
      <c r="VMM10" s="3"/>
      <c r="VMN10" s="3"/>
      <c r="VMO10" s="3"/>
      <c r="VMP10" s="3"/>
      <c r="VMQ10" s="3"/>
      <c r="VMR10" s="3"/>
      <c r="VMS10" s="3"/>
      <c r="VMT10" s="3"/>
      <c r="VMU10" s="3"/>
      <c r="VMV10" s="3"/>
      <c r="VMW10" s="3"/>
      <c r="VMX10" s="3"/>
      <c r="VMY10" s="3"/>
      <c r="VMZ10" s="3"/>
      <c r="VNA10" s="3"/>
      <c r="VNB10" s="3"/>
      <c r="VNC10" s="3"/>
      <c r="VND10" s="3"/>
      <c r="VNE10" s="3"/>
      <c r="VNF10" s="3"/>
      <c r="VNG10" s="3"/>
      <c r="VNH10" s="3"/>
      <c r="VNI10" s="3"/>
      <c r="VNJ10" s="3"/>
      <c r="VNK10" s="3"/>
      <c r="VNL10" s="3"/>
      <c r="VNM10" s="3"/>
      <c r="VNN10" s="3"/>
      <c r="VNO10" s="3"/>
      <c r="VNP10" s="3"/>
      <c r="VNQ10" s="3"/>
      <c r="VNR10" s="3"/>
      <c r="VNS10" s="3"/>
      <c r="VNT10" s="3"/>
      <c r="VNU10" s="3"/>
      <c r="VNV10" s="3"/>
      <c r="VNW10" s="3"/>
      <c r="VNX10" s="3"/>
      <c r="VNY10" s="3"/>
      <c r="VNZ10" s="3"/>
      <c r="VOA10" s="3"/>
      <c r="VOB10" s="3"/>
      <c r="VOC10" s="3"/>
      <c r="VOD10" s="3"/>
      <c r="VOE10" s="3"/>
      <c r="VOF10" s="3"/>
      <c r="VOG10" s="3"/>
      <c r="VOH10" s="3"/>
      <c r="VOI10" s="3"/>
      <c r="VOJ10" s="3"/>
      <c r="VOK10" s="3"/>
      <c r="VOL10" s="3"/>
      <c r="VOM10" s="3"/>
      <c r="VON10" s="3"/>
      <c r="VOO10" s="3"/>
      <c r="VOP10" s="3"/>
      <c r="VOQ10" s="3"/>
      <c r="VOR10" s="3"/>
      <c r="VOS10" s="3"/>
      <c r="VOT10" s="3"/>
      <c r="VOU10" s="3"/>
      <c r="VOV10" s="3"/>
      <c r="VOW10" s="3"/>
      <c r="VOX10" s="3"/>
      <c r="VOY10" s="3"/>
      <c r="VOZ10" s="3"/>
      <c r="VPA10" s="3"/>
      <c r="VPB10" s="3"/>
      <c r="VPC10" s="3"/>
      <c r="VPD10" s="3"/>
      <c r="VPE10" s="3"/>
      <c r="VPF10" s="3"/>
      <c r="VPG10" s="3"/>
      <c r="VPH10" s="3"/>
      <c r="VPI10" s="3"/>
      <c r="VPJ10" s="3"/>
      <c r="VPK10" s="3"/>
      <c r="VPL10" s="3"/>
      <c r="VPM10" s="3"/>
      <c r="VPN10" s="3"/>
      <c r="VPO10" s="3"/>
      <c r="VPP10" s="3"/>
      <c r="VPQ10" s="3"/>
      <c r="VPR10" s="3"/>
      <c r="VPS10" s="3"/>
      <c r="VPT10" s="3"/>
      <c r="VPU10" s="3"/>
      <c r="VPV10" s="3"/>
      <c r="VPW10" s="3"/>
      <c r="VPX10" s="3"/>
      <c r="VPY10" s="3"/>
      <c r="VPZ10" s="3"/>
      <c r="VQA10" s="3"/>
      <c r="VQB10" s="3"/>
      <c r="VQC10" s="3"/>
      <c r="VQD10" s="3"/>
      <c r="VQE10" s="3"/>
      <c r="VQF10" s="3"/>
      <c r="VQG10" s="3"/>
      <c r="VQH10" s="3"/>
      <c r="VQI10" s="3"/>
      <c r="VQJ10" s="3"/>
      <c r="VQK10" s="3"/>
      <c r="VQL10" s="3"/>
      <c r="VQM10" s="3"/>
      <c r="VQN10" s="3"/>
      <c r="VQO10" s="3"/>
      <c r="VQP10" s="3"/>
      <c r="VQQ10" s="3"/>
      <c r="VQR10" s="3"/>
      <c r="VQS10" s="3"/>
      <c r="VQT10" s="3"/>
      <c r="VQU10" s="3"/>
      <c r="VQV10" s="3"/>
      <c r="VQW10" s="3"/>
      <c r="VQX10" s="3"/>
      <c r="VQY10" s="3"/>
      <c r="VQZ10" s="3"/>
      <c r="VRA10" s="3"/>
      <c r="VRB10" s="3"/>
      <c r="VRC10" s="3"/>
      <c r="VRD10" s="3"/>
      <c r="VRE10" s="3"/>
      <c r="VRF10" s="3"/>
      <c r="VRG10" s="3"/>
      <c r="VRH10" s="3"/>
      <c r="VRI10" s="3"/>
      <c r="VRJ10" s="3"/>
      <c r="VRK10" s="3"/>
      <c r="VRL10" s="3"/>
      <c r="VRM10" s="3"/>
      <c r="VRN10" s="3"/>
      <c r="VRO10" s="3"/>
      <c r="VRP10" s="3"/>
      <c r="VRQ10" s="3"/>
      <c r="VRR10" s="3"/>
      <c r="VRS10" s="3"/>
      <c r="VRT10" s="3"/>
      <c r="VRU10" s="3"/>
      <c r="VRV10" s="3"/>
      <c r="VRW10" s="3"/>
      <c r="VRX10" s="3"/>
      <c r="VRY10" s="3"/>
      <c r="VRZ10" s="3"/>
      <c r="VSA10" s="3"/>
      <c r="VSB10" s="3"/>
      <c r="VSC10" s="3"/>
      <c r="VSD10" s="3"/>
      <c r="VSE10" s="3"/>
      <c r="VSF10" s="3"/>
      <c r="VSG10" s="3"/>
      <c r="VSH10" s="3"/>
      <c r="VSI10" s="3"/>
      <c r="VSJ10" s="3"/>
      <c r="VSK10" s="3"/>
      <c r="VSL10" s="3"/>
      <c r="VSM10" s="3"/>
      <c r="VSN10" s="3"/>
      <c r="VSO10" s="3"/>
      <c r="VSP10" s="3"/>
      <c r="VSQ10" s="3"/>
      <c r="VSR10" s="3"/>
      <c r="VSS10" s="3"/>
      <c r="VST10" s="3"/>
      <c r="VSU10" s="3"/>
      <c r="VSV10" s="3"/>
      <c r="VSW10" s="3"/>
      <c r="VSX10" s="3"/>
      <c r="VSY10" s="3"/>
      <c r="VSZ10" s="3"/>
      <c r="VTA10" s="3"/>
      <c r="VTB10" s="3"/>
      <c r="VTC10" s="3"/>
      <c r="VTD10" s="3"/>
      <c r="VTE10" s="3"/>
      <c r="VTF10" s="3"/>
      <c r="VTG10" s="3"/>
      <c r="VTH10" s="3"/>
      <c r="VTI10" s="3"/>
      <c r="VTJ10" s="3"/>
      <c r="VTK10" s="3"/>
      <c r="VTL10" s="3"/>
      <c r="VTM10" s="3"/>
      <c r="VTN10" s="3"/>
      <c r="VTO10" s="3"/>
      <c r="VTP10" s="3"/>
      <c r="VTQ10" s="3"/>
      <c r="VTR10" s="3"/>
      <c r="VTS10" s="3"/>
      <c r="VTT10" s="3"/>
      <c r="VTU10" s="3"/>
      <c r="VTV10" s="3"/>
      <c r="VTW10" s="3"/>
      <c r="VTX10" s="3"/>
      <c r="VTY10" s="3"/>
      <c r="VTZ10" s="3"/>
      <c r="VUA10" s="3"/>
      <c r="VUB10" s="3"/>
      <c r="VUC10" s="3"/>
      <c r="VUD10" s="3"/>
      <c r="VUE10" s="3"/>
      <c r="VUF10" s="3"/>
      <c r="VUG10" s="3"/>
      <c r="VUH10" s="3"/>
      <c r="VUI10" s="3"/>
      <c r="VUJ10" s="3"/>
      <c r="VUK10" s="3"/>
      <c r="VUL10" s="3"/>
      <c r="VUM10" s="3"/>
      <c r="VUN10" s="3"/>
      <c r="VUO10" s="3"/>
      <c r="VUP10" s="3"/>
      <c r="VUQ10" s="3"/>
      <c r="VUR10" s="3"/>
      <c r="VUS10" s="3"/>
      <c r="VUT10" s="3"/>
      <c r="VUU10" s="3"/>
      <c r="VUV10" s="3"/>
      <c r="VUW10" s="3"/>
      <c r="VUX10" s="3"/>
      <c r="VUY10" s="3"/>
      <c r="VUZ10" s="3"/>
      <c r="VVA10" s="3"/>
      <c r="VVB10" s="3"/>
      <c r="VVC10" s="3"/>
      <c r="VVD10" s="3"/>
      <c r="VVE10" s="3"/>
      <c r="VVF10" s="3"/>
      <c r="VVG10" s="3"/>
      <c r="VVH10" s="3"/>
      <c r="VVI10" s="3"/>
      <c r="VVJ10" s="3"/>
      <c r="VVK10" s="3"/>
      <c r="VVL10" s="3"/>
      <c r="VVM10" s="3"/>
      <c r="VVN10" s="3"/>
      <c r="VVO10" s="3"/>
      <c r="VVP10" s="3"/>
      <c r="VVQ10" s="3"/>
      <c r="VVR10" s="3"/>
      <c r="VVS10" s="3"/>
      <c r="VVT10" s="3"/>
      <c r="VVU10" s="3"/>
      <c r="VVV10" s="3"/>
      <c r="VVW10" s="3"/>
      <c r="VVX10" s="3"/>
      <c r="VVY10" s="3"/>
      <c r="VVZ10" s="3"/>
      <c r="VWA10" s="3"/>
      <c r="VWB10" s="3"/>
      <c r="VWC10" s="3"/>
      <c r="VWD10" s="3"/>
      <c r="VWE10" s="3"/>
      <c r="VWF10" s="3"/>
      <c r="VWG10" s="3"/>
      <c r="VWH10" s="3"/>
      <c r="VWI10" s="3"/>
      <c r="VWJ10" s="3"/>
      <c r="VWK10" s="3"/>
      <c r="VWL10" s="3"/>
      <c r="VWM10" s="3"/>
      <c r="VWN10" s="3"/>
      <c r="VWO10" s="3"/>
      <c r="VWP10" s="3"/>
      <c r="VWQ10" s="3"/>
      <c r="VWR10" s="3"/>
      <c r="VWS10" s="3"/>
      <c r="VWT10" s="3"/>
      <c r="VWU10" s="3"/>
      <c r="VWV10" s="3"/>
      <c r="VWW10" s="3"/>
      <c r="VWX10" s="3"/>
      <c r="VWY10" s="3"/>
      <c r="VWZ10" s="3"/>
      <c r="VXA10" s="3"/>
      <c r="VXB10" s="3"/>
      <c r="VXC10" s="3"/>
      <c r="VXD10" s="3"/>
      <c r="VXE10" s="3"/>
      <c r="VXF10" s="3"/>
      <c r="VXG10" s="3"/>
      <c r="VXH10" s="3"/>
      <c r="VXI10" s="3"/>
      <c r="VXJ10" s="3"/>
      <c r="VXK10" s="3"/>
      <c r="VXL10" s="3"/>
      <c r="VXM10" s="3"/>
      <c r="VXN10" s="3"/>
      <c r="VXO10" s="3"/>
      <c r="VXP10" s="3"/>
      <c r="VXQ10" s="3"/>
      <c r="VXR10" s="3"/>
      <c r="VXS10" s="3"/>
      <c r="VXT10" s="3"/>
      <c r="VXU10" s="3"/>
      <c r="VXV10" s="3"/>
      <c r="VXW10" s="3"/>
      <c r="VXX10" s="3"/>
      <c r="VXY10" s="3"/>
      <c r="VXZ10" s="3"/>
      <c r="VYA10" s="3"/>
      <c r="VYB10" s="3"/>
      <c r="VYC10" s="3"/>
      <c r="VYD10" s="3"/>
      <c r="VYE10" s="3"/>
      <c r="VYF10" s="3"/>
      <c r="VYG10" s="3"/>
      <c r="VYH10" s="3"/>
      <c r="VYI10" s="3"/>
      <c r="VYJ10" s="3"/>
      <c r="VYK10" s="3"/>
      <c r="VYL10" s="3"/>
      <c r="VYM10" s="3"/>
      <c r="VYN10" s="3"/>
      <c r="VYO10" s="3"/>
      <c r="VYP10" s="3"/>
      <c r="VYQ10" s="3"/>
      <c r="VYR10" s="3"/>
      <c r="VYS10" s="3"/>
      <c r="VYT10" s="3"/>
      <c r="VYU10" s="3"/>
      <c r="VYV10" s="3"/>
      <c r="VYW10" s="3"/>
      <c r="VYX10" s="3"/>
      <c r="VYY10" s="3"/>
      <c r="VYZ10" s="3"/>
      <c r="VZA10" s="3"/>
      <c r="VZB10" s="3"/>
      <c r="VZC10" s="3"/>
      <c r="VZD10" s="3"/>
      <c r="VZE10" s="3"/>
      <c r="VZF10" s="3"/>
      <c r="VZG10" s="3"/>
      <c r="VZH10" s="3"/>
      <c r="VZI10" s="3"/>
      <c r="VZJ10" s="3"/>
      <c r="VZK10" s="3"/>
      <c r="VZL10" s="3"/>
      <c r="VZM10" s="3"/>
      <c r="VZN10" s="3"/>
      <c r="VZO10" s="3"/>
      <c r="VZP10" s="3"/>
      <c r="VZQ10" s="3"/>
      <c r="VZR10" s="3"/>
      <c r="VZS10" s="3"/>
      <c r="VZT10" s="3"/>
      <c r="VZU10" s="3"/>
      <c r="VZV10" s="3"/>
      <c r="VZW10" s="3"/>
      <c r="VZX10" s="3"/>
      <c r="VZY10" s="3"/>
      <c r="VZZ10" s="3"/>
      <c r="WAA10" s="3"/>
      <c r="WAB10" s="3"/>
      <c r="WAC10" s="3"/>
      <c r="WAD10" s="3"/>
      <c r="WAE10" s="3"/>
      <c r="WAF10" s="3"/>
      <c r="WAG10" s="3"/>
      <c r="WAH10" s="3"/>
      <c r="WAI10" s="3"/>
      <c r="WAJ10" s="3"/>
      <c r="WAK10" s="3"/>
      <c r="WAL10" s="3"/>
      <c r="WAM10" s="3"/>
      <c r="WAN10" s="3"/>
      <c r="WAO10" s="3"/>
      <c r="WAP10" s="3"/>
      <c r="WAQ10" s="3"/>
      <c r="WAR10" s="3"/>
      <c r="WAS10" s="3"/>
      <c r="WAT10" s="3"/>
      <c r="WAU10" s="3"/>
      <c r="WAV10" s="3"/>
      <c r="WAW10" s="3"/>
      <c r="WAX10" s="3"/>
      <c r="WAY10" s="3"/>
      <c r="WAZ10" s="3"/>
      <c r="WBA10" s="3"/>
      <c r="WBB10" s="3"/>
      <c r="WBC10" s="3"/>
      <c r="WBD10" s="3"/>
      <c r="WBE10" s="3"/>
      <c r="WBF10" s="3"/>
      <c r="WBG10" s="3"/>
      <c r="WBH10" s="3"/>
      <c r="WBI10" s="3"/>
      <c r="WBJ10" s="3"/>
      <c r="WBK10" s="3"/>
      <c r="WBL10" s="3"/>
      <c r="WBM10" s="3"/>
      <c r="WBN10" s="3"/>
      <c r="WBO10" s="3"/>
      <c r="WBP10" s="3"/>
      <c r="WBQ10" s="3"/>
      <c r="WBR10" s="3"/>
      <c r="WBS10" s="3"/>
      <c r="WBT10" s="3"/>
      <c r="WBU10" s="3"/>
      <c r="WBV10" s="3"/>
      <c r="WBW10" s="3"/>
      <c r="WBX10" s="3"/>
      <c r="WBY10" s="3"/>
      <c r="WBZ10" s="3"/>
      <c r="WCA10" s="3"/>
      <c r="WCB10" s="3"/>
      <c r="WCC10" s="3"/>
      <c r="WCD10" s="3"/>
      <c r="WCE10" s="3"/>
      <c r="WCF10" s="3"/>
      <c r="WCG10" s="3"/>
      <c r="WCH10" s="3"/>
      <c r="WCI10" s="3"/>
      <c r="WCJ10" s="3"/>
      <c r="WCK10" s="3"/>
      <c r="WCL10" s="3"/>
      <c r="WCM10" s="3"/>
      <c r="WCN10" s="3"/>
      <c r="WCO10" s="3"/>
      <c r="WCP10" s="3"/>
      <c r="WCQ10" s="3"/>
      <c r="WCR10" s="3"/>
      <c r="WCS10" s="3"/>
      <c r="WCT10" s="3"/>
      <c r="WCU10" s="3"/>
      <c r="WCV10" s="3"/>
      <c r="WCW10" s="3"/>
      <c r="WCX10" s="3"/>
      <c r="WCY10" s="3"/>
      <c r="WCZ10" s="3"/>
      <c r="WDA10" s="3"/>
      <c r="WDB10" s="3"/>
      <c r="WDC10" s="3"/>
      <c r="WDD10" s="3"/>
      <c r="WDE10" s="3"/>
      <c r="WDF10" s="3"/>
      <c r="WDG10" s="3"/>
      <c r="WDH10" s="3"/>
      <c r="WDI10" s="3"/>
      <c r="WDJ10" s="3"/>
      <c r="WDK10" s="3"/>
      <c r="WDL10" s="3"/>
      <c r="WDM10" s="3"/>
      <c r="WDN10" s="3"/>
      <c r="WDO10" s="3"/>
      <c r="WDP10" s="3"/>
      <c r="WDQ10" s="3"/>
      <c r="WDR10" s="3"/>
      <c r="WDS10" s="3"/>
      <c r="WDT10" s="3"/>
      <c r="WDU10" s="3"/>
      <c r="WDV10" s="3"/>
      <c r="WDW10" s="3"/>
      <c r="WDX10" s="3"/>
      <c r="WDY10" s="3"/>
      <c r="WDZ10" s="3"/>
      <c r="WEA10" s="3"/>
      <c r="WEB10" s="3"/>
      <c r="WEC10" s="3"/>
      <c r="WED10" s="3"/>
      <c r="WEE10" s="3"/>
      <c r="WEF10" s="3"/>
      <c r="WEG10" s="3"/>
      <c r="WEH10" s="3"/>
      <c r="WEI10" s="3"/>
      <c r="WEJ10" s="3"/>
      <c r="WEK10" s="3"/>
      <c r="WEL10" s="3"/>
      <c r="WEM10" s="3"/>
      <c r="WEN10" s="3"/>
      <c r="WEO10" s="3"/>
      <c r="WEP10" s="3"/>
      <c r="WEQ10" s="3"/>
      <c r="WER10" s="3"/>
      <c r="WES10" s="3"/>
      <c r="WET10" s="3"/>
      <c r="WEU10" s="3"/>
      <c r="WEV10" s="3"/>
      <c r="WEW10" s="3"/>
      <c r="WEX10" s="3"/>
      <c r="WEY10" s="3"/>
      <c r="WEZ10" s="3"/>
      <c r="WFA10" s="3"/>
      <c r="WFB10" s="3"/>
      <c r="WFC10" s="3"/>
      <c r="WFD10" s="3"/>
      <c r="WFE10" s="3"/>
      <c r="WFF10" s="3"/>
      <c r="WFG10" s="3"/>
      <c r="WFH10" s="3"/>
      <c r="WFI10" s="3"/>
      <c r="WFJ10" s="3"/>
      <c r="WFK10" s="3"/>
      <c r="WFL10" s="3"/>
      <c r="WFM10" s="3"/>
      <c r="WFN10" s="3"/>
      <c r="WFO10" s="3"/>
      <c r="WFP10" s="3"/>
      <c r="WFQ10" s="3"/>
      <c r="WFR10" s="3"/>
      <c r="WFS10" s="3"/>
      <c r="WFT10" s="3"/>
      <c r="WFU10" s="3"/>
      <c r="WFV10" s="3"/>
      <c r="WFW10" s="3"/>
      <c r="WFX10" s="3"/>
      <c r="WFY10" s="3"/>
      <c r="WFZ10" s="3"/>
      <c r="WGA10" s="3"/>
      <c r="WGB10" s="3"/>
      <c r="WGC10" s="3"/>
      <c r="WGD10" s="3"/>
      <c r="WGE10" s="3"/>
      <c r="WGF10" s="3"/>
      <c r="WGG10" s="3"/>
      <c r="WGH10" s="3"/>
      <c r="WGI10" s="3"/>
      <c r="WGJ10" s="3"/>
      <c r="WGK10" s="3"/>
      <c r="WGL10" s="3"/>
      <c r="WGM10" s="3"/>
      <c r="WGN10" s="3"/>
      <c r="WGO10" s="3"/>
      <c r="WGP10" s="3"/>
      <c r="WGQ10" s="3"/>
      <c r="WGR10" s="3"/>
      <c r="WGS10" s="3"/>
      <c r="WGT10" s="3"/>
      <c r="WGU10" s="3"/>
      <c r="WGV10" s="3"/>
      <c r="WGW10" s="3"/>
      <c r="WGX10" s="3"/>
      <c r="WGY10" s="3"/>
      <c r="WGZ10" s="3"/>
      <c r="WHA10" s="3"/>
      <c r="WHB10" s="3"/>
      <c r="WHC10" s="3"/>
      <c r="WHD10" s="3"/>
      <c r="WHE10" s="3"/>
      <c r="WHF10" s="3"/>
      <c r="WHG10" s="3"/>
      <c r="WHH10" s="3"/>
      <c r="WHI10" s="3"/>
      <c r="WHJ10" s="3"/>
      <c r="WHK10" s="3"/>
      <c r="WHL10" s="3"/>
      <c r="WHM10" s="3"/>
      <c r="WHN10" s="3"/>
      <c r="WHO10" s="3"/>
      <c r="WHP10" s="3"/>
      <c r="WHQ10" s="3"/>
      <c r="WHR10" s="3"/>
      <c r="WHS10" s="3"/>
      <c r="WHT10" s="3"/>
      <c r="WHU10" s="3"/>
      <c r="WHV10" s="3"/>
      <c r="WHW10" s="3"/>
      <c r="WHX10" s="3"/>
      <c r="WHY10" s="3"/>
      <c r="WHZ10" s="3"/>
      <c r="WIA10" s="3"/>
      <c r="WIB10" s="3"/>
      <c r="WIC10" s="3"/>
      <c r="WID10" s="3"/>
      <c r="WIE10" s="3"/>
      <c r="WIF10" s="3"/>
      <c r="WIG10" s="3"/>
      <c r="WIH10" s="3"/>
      <c r="WII10" s="3"/>
      <c r="WIJ10" s="3"/>
      <c r="WIK10" s="3"/>
      <c r="WIL10" s="3"/>
      <c r="WIM10" s="3"/>
      <c r="WIN10" s="3"/>
      <c r="WIO10" s="3"/>
      <c r="WIP10" s="3"/>
      <c r="WIQ10" s="3"/>
      <c r="WIR10" s="3"/>
      <c r="WIS10" s="3"/>
      <c r="WIT10" s="3"/>
      <c r="WIU10" s="3"/>
      <c r="WIV10" s="3"/>
      <c r="WIW10" s="3"/>
      <c r="WIX10" s="3"/>
      <c r="WIY10" s="3"/>
      <c r="WIZ10" s="3"/>
      <c r="WJA10" s="3"/>
      <c r="WJB10" s="3"/>
      <c r="WJC10" s="3"/>
      <c r="WJD10" s="3"/>
      <c r="WJE10" s="3"/>
      <c r="WJF10" s="3"/>
      <c r="WJG10" s="3"/>
      <c r="WJH10" s="3"/>
      <c r="WJI10" s="3"/>
      <c r="WJJ10" s="3"/>
      <c r="WJK10" s="3"/>
      <c r="WJL10" s="3"/>
      <c r="WJM10" s="3"/>
      <c r="WJN10" s="3"/>
      <c r="WJO10" s="3"/>
      <c r="WJP10" s="3"/>
      <c r="WJQ10" s="3"/>
      <c r="WJR10" s="3"/>
      <c r="WJS10" s="3"/>
      <c r="WJT10" s="3"/>
      <c r="WJU10" s="3"/>
      <c r="WJV10" s="3"/>
      <c r="WJW10" s="3"/>
      <c r="WJX10" s="3"/>
      <c r="WJY10" s="3"/>
      <c r="WJZ10" s="3"/>
      <c r="WKA10" s="3"/>
      <c r="WKB10" s="3"/>
      <c r="WKC10" s="3"/>
      <c r="WKD10" s="3"/>
      <c r="WKE10" s="3"/>
      <c r="WKF10" s="3"/>
      <c r="WKG10" s="3"/>
      <c r="WKH10" s="3"/>
      <c r="WKI10" s="3"/>
      <c r="WKJ10" s="3"/>
      <c r="WKK10" s="3"/>
      <c r="WKL10" s="3"/>
      <c r="WKM10" s="3"/>
      <c r="WKN10" s="3"/>
      <c r="WKO10" s="3"/>
      <c r="WKP10" s="3"/>
      <c r="WKQ10" s="3"/>
      <c r="WKR10" s="3"/>
      <c r="WKS10" s="3"/>
      <c r="WKT10" s="3"/>
      <c r="WKU10" s="3"/>
      <c r="WKV10" s="3"/>
      <c r="WKW10" s="3"/>
      <c r="WKX10" s="3"/>
      <c r="WKY10" s="3"/>
      <c r="WKZ10" s="3"/>
      <c r="WLA10" s="3"/>
      <c r="WLB10" s="3"/>
      <c r="WLC10" s="3"/>
      <c r="WLD10" s="3"/>
      <c r="WLE10" s="3"/>
      <c r="WLF10" s="3"/>
      <c r="WLG10" s="3"/>
      <c r="WLH10" s="3"/>
      <c r="WLI10" s="3"/>
      <c r="WLJ10" s="3"/>
      <c r="WLK10" s="3"/>
      <c r="WLL10" s="3"/>
      <c r="WLM10" s="3"/>
      <c r="WLN10" s="3"/>
      <c r="WLO10" s="3"/>
      <c r="WLP10" s="3"/>
      <c r="WLQ10" s="3"/>
      <c r="WLR10" s="3"/>
      <c r="WLS10" s="3"/>
      <c r="WLT10" s="3"/>
      <c r="WLU10" s="3"/>
      <c r="WLV10" s="3"/>
      <c r="WLW10" s="3"/>
      <c r="WLX10" s="3"/>
      <c r="WLY10" s="3"/>
      <c r="WLZ10" s="3"/>
      <c r="WMA10" s="3"/>
      <c r="WMB10" s="3"/>
      <c r="WMC10" s="3"/>
      <c r="WMD10" s="3"/>
      <c r="WME10" s="3"/>
      <c r="WMF10" s="3"/>
      <c r="WMG10" s="3"/>
      <c r="WMH10" s="3"/>
      <c r="WMI10" s="3"/>
      <c r="WMJ10" s="3"/>
      <c r="WMK10" s="3"/>
      <c r="WML10" s="3"/>
      <c r="WMM10" s="3"/>
      <c r="WMN10" s="3"/>
      <c r="WMO10" s="3"/>
      <c r="WMP10" s="3"/>
      <c r="WMQ10" s="3"/>
      <c r="WMR10" s="3"/>
      <c r="WMS10" s="3"/>
      <c r="WMT10" s="3"/>
      <c r="WMU10" s="3"/>
      <c r="WMV10" s="3"/>
      <c r="WMW10" s="3"/>
      <c r="WMX10" s="3"/>
      <c r="WMY10" s="3"/>
      <c r="WMZ10" s="3"/>
      <c r="WNA10" s="3"/>
      <c r="WNB10" s="3"/>
      <c r="WNC10" s="3"/>
      <c r="WND10" s="3"/>
      <c r="WNE10" s="3"/>
      <c r="WNF10" s="3"/>
      <c r="WNG10" s="3"/>
      <c r="WNH10" s="3"/>
      <c r="WNI10" s="3"/>
      <c r="WNJ10" s="3"/>
      <c r="WNK10" s="3"/>
      <c r="WNL10" s="3"/>
      <c r="WNM10" s="3"/>
      <c r="WNN10" s="3"/>
      <c r="WNO10" s="3"/>
      <c r="WNP10" s="3"/>
      <c r="WNQ10" s="3"/>
      <c r="WNR10" s="3"/>
      <c r="WNS10" s="3"/>
      <c r="WNT10" s="3"/>
      <c r="WNU10" s="3"/>
      <c r="WNV10" s="3"/>
      <c r="WNW10" s="3"/>
      <c r="WNX10" s="3"/>
      <c r="WNY10" s="3"/>
      <c r="WNZ10" s="3"/>
      <c r="WOA10" s="3"/>
      <c r="WOB10" s="3"/>
      <c r="WOC10" s="3"/>
      <c r="WOD10" s="3"/>
      <c r="WOE10" s="3"/>
      <c r="WOF10" s="3"/>
      <c r="WOG10" s="3"/>
      <c r="WOH10" s="3"/>
      <c r="WOI10" s="3"/>
      <c r="WOJ10" s="3"/>
      <c r="WOK10" s="3"/>
      <c r="WOL10" s="3"/>
      <c r="WOM10" s="3"/>
      <c r="WON10" s="3"/>
      <c r="WOO10" s="3"/>
      <c r="WOP10" s="3"/>
      <c r="WOQ10" s="3"/>
      <c r="WOR10" s="3"/>
      <c r="WOS10" s="3"/>
      <c r="WOT10" s="3"/>
      <c r="WOU10" s="3"/>
      <c r="WOV10" s="3"/>
      <c r="WOW10" s="3"/>
      <c r="WOX10" s="3"/>
      <c r="WOY10" s="3"/>
      <c r="WOZ10" s="3"/>
      <c r="WPA10" s="3"/>
      <c r="WPB10" s="3"/>
      <c r="WPC10" s="3"/>
      <c r="WPD10" s="3"/>
      <c r="WPE10" s="3"/>
      <c r="WPF10" s="3"/>
      <c r="WPG10" s="3"/>
      <c r="WPH10" s="3"/>
      <c r="WPI10" s="3"/>
      <c r="WPJ10" s="3"/>
      <c r="WPK10" s="3"/>
      <c r="WPL10" s="3"/>
      <c r="WPM10" s="3"/>
      <c r="WPN10" s="3"/>
      <c r="WPO10" s="3"/>
      <c r="WPP10" s="3"/>
      <c r="WPQ10" s="3"/>
      <c r="WPR10" s="3"/>
      <c r="WPS10" s="3"/>
      <c r="WPT10" s="3"/>
      <c r="WPU10" s="3"/>
      <c r="WPV10" s="3"/>
      <c r="WPW10" s="3"/>
      <c r="WPX10" s="3"/>
      <c r="WPY10" s="3"/>
      <c r="WPZ10" s="3"/>
      <c r="WQA10" s="3"/>
      <c r="WQB10" s="3"/>
      <c r="WQC10" s="3"/>
      <c r="WQD10" s="3"/>
      <c r="WQE10" s="3"/>
      <c r="WQF10" s="3"/>
      <c r="WQG10" s="3"/>
      <c r="WQH10" s="3"/>
      <c r="WQI10" s="3"/>
      <c r="WQJ10" s="3"/>
      <c r="WQK10" s="3"/>
      <c r="WQL10" s="3"/>
      <c r="WQM10" s="3"/>
      <c r="WQN10" s="3"/>
      <c r="WQO10" s="3"/>
      <c r="WQP10" s="3"/>
      <c r="WQQ10" s="3"/>
      <c r="WQR10" s="3"/>
      <c r="WQS10" s="3"/>
      <c r="WQT10" s="3"/>
      <c r="WQU10" s="3"/>
      <c r="WQV10" s="3"/>
      <c r="WQW10" s="3"/>
      <c r="WQX10" s="3"/>
      <c r="WQY10" s="3"/>
      <c r="WQZ10" s="3"/>
      <c r="WRA10" s="3"/>
      <c r="WRB10" s="3"/>
      <c r="WRC10" s="3"/>
      <c r="WRD10" s="3"/>
      <c r="WRE10" s="3"/>
      <c r="WRF10" s="3"/>
      <c r="WRG10" s="3"/>
      <c r="WRH10" s="3"/>
      <c r="WRI10" s="3"/>
      <c r="WRJ10" s="3"/>
      <c r="WRK10" s="3"/>
      <c r="WRL10" s="3"/>
      <c r="WRM10" s="3"/>
      <c r="WRN10" s="3"/>
      <c r="WRO10" s="3"/>
      <c r="WRP10" s="3"/>
      <c r="WRQ10" s="3"/>
      <c r="WRR10" s="3"/>
      <c r="WRS10" s="3"/>
      <c r="WRT10" s="3"/>
      <c r="WRU10" s="3"/>
      <c r="WRV10" s="3"/>
      <c r="WRW10" s="3"/>
      <c r="WRX10" s="3"/>
      <c r="WRY10" s="3"/>
      <c r="WRZ10" s="3"/>
      <c r="WSA10" s="3"/>
      <c r="WSB10" s="3"/>
      <c r="WSC10" s="3"/>
      <c r="WSD10" s="3"/>
      <c r="WSE10" s="3"/>
      <c r="WSF10" s="3"/>
      <c r="WSG10" s="3"/>
      <c r="WSH10" s="3"/>
      <c r="WSI10" s="3"/>
      <c r="WSJ10" s="3"/>
      <c r="WSK10" s="3"/>
      <c r="WSL10" s="3"/>
      <c r="WSM10" s="3"/>
      <c r="WSN10" s="3"/>
      <c r="WSO10" s="3"/>
      <c r="WSP10" s="3"/>
      <c r="WSQ10" s="3"/>
      <c r="WSR10" s="3"/>
      <c r="WSS10" s="3"/>
      <c r="WST10" s="3"/>
      <c r="WSU10" s="3"/>
      <c r="WSV10" s="3"/>
      <c r="WSW10" s="3"/>
      <c r="WSX10" s="3"/>
      <c r="WSY10" s="3"/>
      <c r="WSZ10" s="3"/>
      <c r="WTA10" s="3"/>
      <c r="WTB10" s="3"/>
      <c r="WTC10" s="3"/>
      <c r="WTD10" s="3"/>
      <c r="WTE10" s="3"/>
      <c r="WTF10" s="3"/>
      <c r="WTG10" s="3"/>
      <c r="WTH10" s="3"/>
      <c r="WTI10" s="3"/>
      <c r="WTJ10" s="3"/>
      <c r="WTK10" s="3"/>
      <c r="WTL10" s="3"/>
      <c r="WTM10" s="3"/>
      <c r="WTN10" s="3"/>
      <c r="WTO10" s="3"/>
      <c r="WTP10" s="3"/>
      <c r="WTQ10" s="3"/>
      <c r="WTR10" s="3"/>
      <c r="WTS10" s="3"/>
      <c r="WTT10" s="3"/>
      <c r="WTU10" s="3"/>
      <c r="WTV10" s="3"/>
      <c r="WTW10" s="3"/>
      <c r="WTX10" s="3"/>
      <c r="WTY10" s="3"/>
      <c r="WTZ10" s="3"/>
      <c r="WUA10" s="3"/>
      <c r="WUB10" s="3"/>
      <c r="WUC10" s="3"/>
      <c r="WUD10" s="3"/>
      <c r="WUE10" s="3"/>
      <c r="WUF10" s="3"/>
      <c r="WUG10" s="3"/>
      <c r="WUH10" s="3"/>
      <c r="WUI10" s="3"/>
      <c r="WUJ10" s="3"/>
      <c r="WUK10" s="3"/>
      <c r="WUL10" s="3"/>
      <c r="WUM10" s="3"/>
      <c r="WUN10" s="3"/>
      <c r="WUO10" s="3"/>
      <c r="WUP10" s="3"/>
      <c r="WUQ10" s="3"/>
      <c r="WUR10" s="3"/>
      <c r="WUS10" s="3"/>
      <c r="WUT10" s="3"/>
      <c r="WUU10" s="3"/>
      <c r="WUV10" s="3"/>
      <c r="WUW10" s="3"/>
      <c r="WUX10" s="3"/>
      <c r="WUY10" s="3"/>
      <c r="WUZ10" s="3"/>
      <c r="WVA10" s="3"/>
      <c r="WVB10" s="3"/>
      <c r="WVC10" s="3"/>
      <c r="WVD10" s="3"/>
      <c r="WVE10" s="3"/>
      <c r="WVF10" s="3"/>
      <c r="WVG10" s="3"/>
      <c r="WVH10" s="3"/>
      <c r="WVI10" s="3"/>
      <c r="WVJ10" s="3"/>
      <c r="WVK10" s="3"/>
      <c r="WVL10" s="3"/>
      <c r="WVM10" s="3"/>
      <c r="WVN10" s="3"/>
      <c r="WVO10" s="3"/>
      <c r="WVP10" s="3"/>
      <c r="WVQ10" s="3"/>
      <c r="WVR10" s="3"/>
      <c r="WVS10" s="3"/>
      <c r="WVT10" s="3"/>
      <c r="WVU10" s="3"/>
      <c r="WVV10" s="3"/>
      <c r="WVW10" s="3"/>
      <c r="WVX10" s="3"/>
      <c r="WVY10" s="3"/>
      <c r="WVZ10" s="3"/>
      <c r="WWA10" s="3"/>
      <c r="WWB10" s="3"/>
      <c r="WWC10" s="3"/>
      <c r="WWD10" s="3"/>
      <c r="WWE10" s="3"/>
      <c r="WWF10" s="3"/>
      <c r="WWG10" s="3"/>
      <c r="WWH10" s="3"/>
      <c r="WWI10" s="3"/>
      <c r="WWJ10" s="3"/>
      <c r="WWK10" s="3"/>
      <c r="WWL10" s="3"/>
      <c r="WWM10" s="3"/>
      <c r="WWN10" s="3"/>
      <c r="WWO10" s="3"/>
      <c r="WWP10" s="3"/>
      <c r="WWQ10" s="3"/>
      <c r="WWR10" s="3"/>
      <c r="WWS10" s="3"/>
      <c r="WWT10" s="3"/>
      <c r="WWU10" s="3"/>
      <c r="WWV10" s="3"/>
      <c r="WWW10" s="3"/>
      <c r="WWX10" s="3"/>
      <c r="WWY10" s="3"/>
      <c r="WWZ10" s="3"/>
      <c r="WXA10" s="3"/>
      <c r="WXB10" s="3"/>
      <c r="WXC10" s="3"/>
      <c r="WXD10" s="3"/>
      <c r="WXE10" s="3"/>
      <c r="WXF10" s="3"/>
      <c r="WXG10" s="3"/>
      <c r="WXH10" s="3"/>
      <c r="WXI10" s="3"/>
      <c r="WXJ10" s="3"/>
      <c r="WXK10" s="3"/>
      <c r="WXL10" s="3"/>
      <c r="WXM10" s="3"/>
      <c r="WXN10" s="3"/>
      <c r="WXO10" s="3"/>
      <c r="WXP10" s="3"/>
      <c r="WXQ10" s="3"/>
      <c r="WXR10" s="3"/>
      <c r="WXS10" s="3"/>
      <c r="WXT10" s="3"/>
      <c r="WXU10" s="3"/>
      <c r="WXV10" s="3"/>
      <c r="WXW10" s="3"/>
      <c r="WXX10" s="3"/>
      <c r="WXY10" s="3"/>
      <c r="WXZ10" s="3"/>
      <c r="WYA10" s="3"/>
      <c r="WYB10" s="3"/>
      <c r="WYC10" s="3"/>
      <c r="WYD10" s="3"/>
      <c r="WYE10" s="3"/>
      <c r="WYF10" s="3"/>
      <c r="WYG10" s="3"/>
      <c r="WYH10" s="3"/>
      <c r="WYI10" s="3"/>
      <c r="WYJ10" s="3"/>
      <c r="WYK10" s="3"/>
      <c r="WYL10" s="3"/>
      <c r="WYM10" s="3"/>
      <c r="WYN10" s="3"/>
      <c r="WYO10" s="3"/>
      <c r="WYP10" s="3"/>
      <c r="WYQ10" s="3"/>
      <c r="WYR10" s="3"/>
      <c r="WYS10" s="3"/>
      <c r="WYT10" s="3"/>
      <c r="WYU10" s="3"/>
      <c r="WYV10" s="3"/>
      <c r="WYW10" s="3"/>
      <c r="WYX10" s="3"/>
      <c r="WYY10" s="3"/>
      <c r="WYZ10" s="3"/>
      <c r="WZA10" s="3"/>
      <c r="WZB10" s="3"/>
      <c r="WZC10" s="3"/>
      <c r="WZD10" s="3"/>
      <c r="WZE10" s="3"/>
      <c r="WZF10" s="3"/>
      <c r="WZG10" s="3"/>
      <c r="WZH10" s="3"/>
      <c r="WZI10" s="3"/>
      <c r="WZJ10" s="3"/>
      <c r="WZK10" s="3"/>
      <c r="WZL10" s="3"/>
      <c r="WZM10" s="3"/>
      <c r="WZN10" s="3"/>
      <c r="WZO10" s="3"/>
      <c r="WZP10" s="3"/>
      <c r="WZQ10" s="3"/>
      <c r="WZR10" s="3"/>
      <c r="WZS10" s="3"/>
      <c r="WZT10" s="3"/>
      <c r="WZU10" s="3"/>
      <c r="WZV10" s="3"/>
      <c r="WZW10" s="3"/>
      <c r="WZX10" s="3"/>
      <c r="WZY10" s="3"/>
      <c r="WZZ10" s="3"/>
      <c r="XAA10" s="3"/>
      <c r="XAB10" s="3"/>
      <c r="XAC10" s="3"/>
      <c r="XAD10" s="3"/>
      <c r="XAE10" s="3"/>
      <c r="XAF10" s="3"/>
      <c r="XAG10" s="3"/>
      <c r="XAH10" s="3"/>
      <c r="XAI10" s="3"/>
      <c r="XAJ10" s="3"/>
      <c r="XAK10" s="3"/>
      <c r="XAL10" s="3"/>
      <c r="XAM10" s="3"/>
      <c r="XAN10" s="3"/>
      <c r="XAO10" s="3"/>
      <c r="XAP10" s="3"/>
      <c r="XAQ10" s="3"/>
      <c r="XAR10" s="3"/>
      <c r="XAS10" s="3"/>
      <c r="XAT10" s="3"/>
      <c r="XAU10" s="3"/>
      <c r="XAV10" s="3"/>
      <c r="XAW10" s="3"/>
      <c r="XAX10" s="3"/>
      <c r="XAY10" s="3"/>
      <c r="XAZ10" s="3"/>
      <c r="XBA10" s="3"/>
      <c r="XBB10" s="3"/>
      <c r="XBC10" s="3"/>
      <c r="XBD10" s="3"/>
      <c r="XBE10" s="3"/>
      <c r="XBF10" s="3"/>
      <c r="XBG10" s="3"/>
      <c r="XBH10" s="3"/>
      <c r="XBI10" s="3"/>
      <c r="XBJ10" s="3"/>
      <c r="XBK10" s="3"/>
      <c r="XBL10" s="3"/>
      <c r="XBM10" s="3"/>
      <c r="XBN10" s="3"/>
      <c r="XBO10" s="3"/>
      <c r="XBP10" s="3"/>
      <c r="XBQ10" s="3"/>
      <c r="XBR10" s="3"/>
      <c r="XBS10" s="3"/>
      <c r="XBT10" s="3"/>
      <c r="XBU10" s="3"/>
      <c r="XBV10" s="3"/>
      <c r="XBW10" s="3"/>
      <c r="XBX10" s="3"/>
      <c r="XBY10" s="3"/>
      <c r="XBZ10" s="3"/>
      <c r="XCA10" s="3"/>
      <c r="XCB10" s="3"/>
      <c r="XCC10" s="3"/>
      <c r="XCD10" s="3"/>
      <c r="XCE10" s="3"/>
      <c r="XCF10" s="3"/>
      <c r="XCG10" s="3"/>
      <c r="XCH10" s="3"/>
      <c r="XCI10" s="3"/>
      <c r="XCJ10" s="3"/>
      <c r="XCK10" s="3"/>
      <c r="XCL10" s="3"/>
      <c r="XCM10" s="3"/>
      <c r="XCN10" s="3"/>
      <c r="XCO10" s="3"/>
      <c r="XCP10" s="3"/>
      <c r="XCQ10" s="3"/>
      <c r="XCR10" s="3"/>
      <c r="XCS10" s="3"/>
      <c r="XCT10" s="3"/>
      <c r="XCU10" s="3"/>
      <c r="XCV10" s="3"/>
      <c r="XCW10" s="3"/>
      <c r="XCX10" s="3"/>
      <c r="XCY10" s="3"/>
      <c r="XCZ10" s="3"/>
      <c r="XDA10" s="3"/>
      <c r="XDB10" s="3"/>
      <c r="XDC10" s="3"/>
      <c r="XDD10" s="3"/>
      <c r="XDE10" s="3"/>
      <c r="XDF10" s="3"/>
      <c r="XDG10" s="3"/>
      <c r="XDH10" s="3"/>
      <c r="XDI10" s="3"/>
      <c r="XDJ10" s="3"/>
      <c r="XDK10" s="3"/>
      <c r="XDL10" s="3"/>
      <c r="XDM10" s="3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</row>
    <row r="11" spans="1:16383" ht="16" x14ac:dyDescent="0.2">
      <c r="A11" s="32"/>
      <c r="B11" s="14" t="s">
        <v>2</v>
      </c>
      <c r="C11" s="15" t="s">
        <v>3</v>
      </c>
      <c r="D11" s="16">
        <v>2025</v>
      </c>
      <c r="E11" s="16">
        <v>2026</v>
      </c>
      <c r="F11" s="16">
        <v>2027</v>
      </c>
      <c r="G11" s="16">
        <v>2028</v>
      </c>
      <c r="H11" s="16">
        <v>2029</v>
      </c>
      <c r="I11" s="16">
        <v>2030</v>
      </c>
      <c r="J11" s="16">
        <v>2031</v>
      </c>
      <c r="K11" s="16">
        <v>2032</v>
      </c>
      <c r="L11" s="16">
        <v>2033</v>
      </c>
      <c r="M11" s="16">
        <v>2034</v>
      </c>
      <c r="N11" s="16">
        <v>2035</v>
      </c>
    </row>
    <row r="12" spans="1:16383" outlineLevel="1" x14ac:dyDescent="0.15">
      <c r="B12" s="3">
        <v>1</v>
      </c>
      <c r="C12" s="4" t="s">
        <v>5</v>
      </c>
      <c r="D12" s="40">
        <v>0.39250000000000002</v>
      </c>
      <c r="E12" s="40">
        <v>0.39250000000000002</v>
      </c>
      <c r="F12" s="40">
        <v>0.39250000000000002</v>
      </c>
      <c r="G12" s="40">
        <v>0.39250000000000002</v>
      </c>
      <c r="H12" s="40">
        <v>0.39250000000000002</v>
      </c>
      <c r="I12" s="40">
        <v>0.39250000000000002</v>
      </c>
      <c r="J12" s="40">
        <v>0.39250000000000002</v>
      </c>
      <c r="K12" s="40">
        <v>0.39250000000000002</v>
      </c>
      <c r="L12" s="40">
        <v>0.39250000000000002</v>
      </c>
      <c r="M12" s="40">
        <v>0.39250000000000002</v>
      </c>
      <c r="N12" s="40">
        <v>0.39250000000000002</v>
      </c>
    </row>
    <row r="13" spans="1:16383" outlineLevel="1" x14ac:dyDescent="0.15">
      <c r="B13" s="3">
        <v>2</v>
      </c>
      <c r="C13" s="4" t="s">
        <v>5</v>
      </c>
      <c r="D13" s="40">
        <v>0.21</v>
      </c>
      <c r="E13" s="40">
        <v>0.21</v>
      </c>
      <c r="F13" s="40">
        <v>0.21</v>
      </c>
      <c r="G13" s="40">
        <v>0.21</v>
      </c>
      <c r="H13" s="40">
        <v>0.21</v>
      </c>
      <c r="I13" s="40">
        <v>0.21</v>
      </c>
      <c r="J13" s="40">
        <v>0.21</v>
      </c>
      <c r="K13" s="40">
        <v>0.21</v>
      </c>
      <c r="L13" s="40">
        <v>0.21</v>
      </c>
      <c r="M13" s="40">
        <v>0.21</v>
      </c>
      <c r="N13" s="40">
        <v>0.21</v>
      </c>
    </row>
    <row r="14" spans="1:16383" outlineLevel="1" x14ac:dyDescent="0.15">
      <c r="B14" s="3">
        <v>3</v>
      </c>
      <c r="C14" s="4" t="s">
        <v>5</v>
      </c>
      <c r="D14" s="40">
        <v>0.03</v>
      </c>
      <c r="E14" s="40">
        <v>0.03</v>
      </c>
      <c r="F14" s="40">
        <v>0.03</v>
      </c>
      <c r="G14" s="40">
        <v>0.03</v>
      </c>
      <c r="H14" s="40">
        <v>0.03</v>
      </c>
      <c r="I14" s="40">
        <v>0.03</v>
      </c>
      <c r="J14" s="40">
        <v>0.03</v>
      </c>
      <c r="K14" s="40">
        <v>0.03</v>
      </c>
      <c r="L14" s="40">
        <v>0.03</v>
      </c>
      <c r="M14" s="40">
        <v>0.03</v>
      </c>
      <c r="N14" s="40">
        <v>0.03</v>
      </c>
    </row>
    <row r="15" spans="1:16383" outlineLevel="1" x14ac:dyDescent="0.15">
      <c r="B15" s="3">
        <v>4</v>
      </c>
      <c r="C15" s="4" t="s">
        <v>5</v>
      </c>
      <c r="D15" s="40">
        <v>0.15</v>
      </c>
      <c r="E15" s="40">
        <v>0.15</v>
      </c>
      <c r="F15" s="40">
        <v>0.15</v>
      </c>
      <c r="G15" s="40">
        <v>0.15</v>
      </c>
      <c r="H15" s="40">
        <v>0.15</v>
      </c>
      <c r="I15" s="40">
        <v>0.15</v>
      </c>
      <c r="J15" s="40">
        <v>0.15</v>
      </c>
      <c r="K15" s="40">
        <v>0.15</v>
      </c>
      <c r="L15" s="40">
        <v>0.15</v>
      </c>
      <c r="M15" s="40">
        <v>0.15</v>
      </c>
      <c r="N15" s="40">
        <v>0.15</v>
      </c>
    </row>
    <row r="16" spans="1:16383" outlineLevel="1" x14ac:dyDescent="0.15">
      <c r="B16" s="3">
        <v>5</v>
      </c>
      <c r="C16" s="4" t="s">
        <v>5</v>
      </c>
      <c r="D16" s="40">
        <v>7.0000000000000007E-2</v>
      </c>
      <c r="E16" s="40">
        <v>7.0000000000000007E-2</v>
      </c>
      <c r="F16" s="40">
        <v>7.0000000000000007E-2</v>
      </c>
      <c r="G16" s="40">
        <v>7.0000000000000007E-2</v>
      </c>
      <c r="H16" s="40">
        <v>7.0000000000000007E-2</v>
      </c>
      <c r="I16" s="40">
        <v>7.0000000000000007E-2</v>
      </c>
      <c r="J16" s="40">
        <v>7.0000000000000007E-2</v>
      </c>
      <c r="K16" s="40">
        <v>7.0000000000000007E-2</v>
      </c>
      <c r="L16" s="40">
        <v>7.0000000000000007E-2</v>
      </c>
      <c r="M16" s="40">
        <v>7.0000000000000007E-2</v>
      </c>
      <c r="N16" s="40">
        <v>7.0000000000000007E-2</v>
      </c>
    </row>
    <row r="17" spans="1:16383" outlineLevel="1" x14ac:dyDescent="0.15">
      <c r="B17" s="3">
        <v>6</v>
      </c>
      <c r="C17" s="4" t="s">
        <v>5</v>
      </c>
      <c r="D17" s="40">
        <v>0.09</v>
      </c>
      <c r="E17" s="40">
        <v>0.09</v>
      </c>
      <c r="F17" s="40">
        <v>0.09</v>
      </c>
      <c r="G17" s="40">
        <v>0.09</v>
      </c>
      <c r="H17" s="40">
        <v>0.09</v>
      </c>
      <c r="I17" s="40">
        <v>0.09</v>
      </c>
      <c r="J17" s="40">
        <v>0.09</v>
      </c>
      <c r="K17" s="40">
        <v>0.09</v>
      </c>
      <c r="L17" s="40">
        <v>0.09</v>
      </c>
      <c r="M17" s="40">
        <v>0.09</v>
      </c>
      <c r="N17" s="40">
        <v>0.09</v>
      </c>
    </row>
    <row r="18" spans="1:16383" outlineLevel="1" x14ac:dyDescent="0.15">
      <c r="B18" s="3">
        <v>7</v>
      </c>
      <c r="C18" s="4" t="s">
        <v>5</v>
      </c>
      <c r="D18" s="40">
        <v>0.12</v>
      </c>
      <c r="E18" s="40">
        <v>0.12</v>
      </c>
      <c r="F18" s="40">
        <v>0.12</v>
      </c>
      <c r="G18" s="40">
        <v>0.12</v>
      </c>
      <c r="H18" s="40">
        <v>0.12</v>
      </c>
      <c r="I18" s="40">
        <v>0.12</v>
      </c>
      <c r="J18" s="40">
        <v>0.12</v>
      </c>
      <c r="K18" s="40">
        <v>0.12</v>
      </c>
      <c r="L18" s="40">
        <v>0.12</v>
      </c>
      <c r="M18" s="40">
        <v>0.12</v>
      </c>
      <c r="N18" s="40">
        <v>0.12</v>
      </c>
    </row>
    <row r="19" spans="1:16383" outlineLevel="1" x14ac:dyDescent="0.15">
      <c r="B19" s="3">
        <v>8</v>
      </c>
      <c r="C19" s="4" t="s">
        <v>5</v>
      </c>
      <c r="D19" s="40">
        <v>0.13</v>
      </c>
      <c r="E19" s="40">
        <v>0.13</v>
      </c>
      <c r="F19" s="40">
        <v>0.13</v>
      </c>
      <c r="G19" s="40">
        <v>0.13</v>
      </c>
      <c r="H19" s="40">
        <v>0.13</v>
      </c>
      <c r="I19" s="40">
        <v>0.13</v>
      </c>
      <c r="J19" s="40">
        <v>0.13</v>
      </c>
      <c r="K19" s="40">
        <v>0.13</v>
      </c>
      <c r="L19" s="40">
        <v>0.13</v>
      </c>
      <c r="M19" s="40">
        <v>0.13</v>
      </c>
      <c r="N19" s="40">
        <v>0.13</v>
      </c>
    </row>
    <row r="20" spans="1:16383" outlineLevel="1" x14ac:dyDescent="0.15">
      <c r="B20" s="3">
        <v>9</v>
      </c>
      <c r="C20" s="4" t="s">
        <v>5</v>
      </c>
      <c r="D20" s="40">
        <v>0.06</v>
      </c>
      <c r="E20" s="40">
        <v>0.06</v>
      </c>
      <c r="F20" s="40">
        <v>0.06</v>
      </c>
      <c r="G20" s="40">
        <v>0.06</v>
      </c>
      <c r="H20" s="40">
        <v>0.06</v>
      </c>
      <c r="I20" s="40">
        <v>0.06</v>
      </c>
      <c r="J20" s="40">
        <v>0.06</v>
      </c>
      <c r="K20" s="40">
        <v>0.06</v>
      </c>
      <c r="L20" s="40">
        <v>0.06</v>
      </c>
      <c r="M20" s="40">
        <v>0.06</v>
      </c>
      <c r="N20" s="40">
        <v>0.06</v>
      </c>
    </row>
    <row r="21" spans="1:16383" outlineLevel="1" x14ac:dyDescent="0.15">
      <c r="B21" s="3">
        <v>10</v>
      </c>
      <c r="C21" s="4" t="s">
        <v>5</v>
      </c>
      <c r="D21" s="40">
        <v>0.01</v>
      </c>
      <c r="E21" s="40">
        <v>0.01</v>
      </c>
      <c r="F21" s="40">
        <v>0.01</v>
      </c>
      <c r="G21" s="40">
        <v>0.01</v>
      </c>
      <c r="H21" s="40">
        <v>0.01</v>
      </c>
      <c r="I21" s="40">
        <v>0.01</v>
      </c>
      <c r="J21" s="40">
        <v>0.01</v>
      </c>
      <c r="K21" s="40">
        <v>0.01</v>
      </c>
      <c r="L21" s="40">
        <v>0.01</v>
      </c>
      <c r="M21" s="40">
        <v>0.01</v>
      </c>
      <c r="N21" s="40">
        <v>0.01</v>
      </c>
    </row>
    <row r="22" spans="1:16383" outlineLevel="1" x14ac:dyDescent="0.15">
      <c r="B22" s="3">
        <v>11</v>
      </c>
      <c r="C22" s="4" t="s">
        <v>5</v>
      </c>
      <c r="D22" s="40">
        <v>7.0000000000000007E-2</v>
      </c>
      <c r="E22" s="40">
        <v>7.0000000000000007E-2</v>
      </c>
      <c r="F22" s="40">
        <v>7.0000000000000007E-2</v>
      </c>
      <c r="G22" s="40">
        <v>7.0000000000000007E-2</v>
      </c>
      <c r="H22" s="40">
        <v>7.0000000000000007E-2</v>
      </c>
      <c r="I22" s="40">
        <v>7.0000000000000007E-2</v>
      </c>
      <c r="J22" s="40">
        <v>7.0000000000000007E-2</v>
      </c>
      <c r="K22" s="40">
        <v>7.0000000000000007E-2</v>
      </c>
      <c r="L22" s="40">
        <v>7.0000000000000007E-2</v>
      </c>
      <c r="M22" s="40">
        <v>7.0000000000000007E-2</v>
      </c>
      <c r="N22" s="40">
        <v>7.0000000000000007E-2</v>
      </c>
    </row>
    <row r="23" spans="1:16383" outlineLevel="1" x14ac:dyDescent="0.15">
      <c r="B23" s="3">
        <v>12</v>
      </c>
      <c r="C23" s="4" t="s">
        <v>5</v>
      </c>
      <c r="D23" s="40">
        <v>7.0000000000000007E-2</v>
      </c>
      <c r="E23" s="40">
        <v>7.0000000000000007E-2</v>
      </c>
      <c r="F23" s="40">
        <v>7.0000000000000007E-2</v>
      </c>
      <c r="G23" s="40">
        <v>7.0000000000000007E-2</v>
      </c>
      <c r="H23" s="40">
        <v>7.0000000000000007E-2</v>
      </c>
      <c r="I23" s="40">
        <v>7.0000000000000007E-2</v>
      </c>
      <c r="J23" s="40">
        <v>7.0000000000000007E-2</v>
      </c>
      <c r="K23" s="40">
        <v>7.0000000000000007E-2</v>
      </c>
      <c r="L23" s="40">
        <v>7.0000000000000007E-2</v>
      </c>
      <c r="M23" s="40">
        <v>7.0000000000000007E-2</v>
      </c>
      <c r="N23" s="40">
        <v>7.0000000000000007E-2</v>
      </c>
    </row>
    <row r="24" spans="1:16383" outlineLevel="1" x14ac:dyDescent="0.15">
      <c r="B24" s="3">
        <v>13</v>
      </c>
      <c r="C24" s="4" t="s">
        <v>5</v>
      </c>
      <c r="D24" s="40">
        <v>0.01</v>
      </c>
      <c r="E24" s="40">
        <v>0.01</v>
      </c>
      <c r="F24" s="40">
        <v>0.01</v>
      </c>
      <c r="G24" s="40">
        <v>0.01</v>
      </c>
      <c r="H24" s="40">
        <v>0.01</v>
      </c>
      <c r="I24" s="40">
        <v>0.01</v>
      </c>
      <c r="J24" s="40">
        <v>0.01</v>
      </c>
      <c r="K24" s="40">
        <v>0.01</v>
      </c>
      <c r="L24" s="40">
        <v>0.01</v>
      </c>
      <c r="M24" s="40">
        <v>0.01</v>
      </c>
      <c r="N24" s="40">
        <v>0.01</v>
      </c>
    </row>
    <row r="25" spans="1:16383" outlineLevel="1" x14ac:dyDescent="0.15">
      <c r="B25" s="3">
        <v>14</v>
      </c>
      <c r="C25" s="4" t="s">
        <v>5</v>
      </c>
      <c r="D25" s="40">
        <v>7.0000000000000007E-2</v>
      </c>
      <c r="E25" s="40">
        <v>7.0000000000000007E-2</v>
      </c>
      <c r="F25" s="40">
        <v>7.0000000000000007E-2</v>
      </c>
      <c r="G25" s="40">
        <v>7.0000000000000007E-2</v>
      </c>
      <c r="H25" s="40">
        <v>7.0000000000000007E-2</v>
      </c>
      <c r="I25" s="40">
        <v>7.0000000000000007E-2</v>
      </c>
      <c r="J25" s="40">
        <v>7.0000000000000007E-2</v>
      </c>
      <c r="K25" s="40">
        <v>7.0000000000000007E-2</v>
      </c>
      <c r="L25" s="40">
        <v>7.0000000000000007E-2</v>
      </c>
      <c r="M25" s="40">
        <v>7.0000000000000007E-2</v>
      </c>
      <c r="N25" s="40">
        <v>7.0000000000000007E-2</v>
      </c>
    </row>
    <row r="26" spans="1:16383" outlineLevel="1" x14ac:dyDescent="0.15">
      <c r="B26" s="3">
        <v>15</v>
      </c>
      <c r="C26" s="4" t="s">
        <v>5</v>
      </c>
      <c r="D26" s="40">
        <v>0.2</v>
      </c>
      <c r="E26" s="40">
        <v>0.2</v>
      </c>
      <c r="F26" s="40">
        <v>0.2</v>
      </c>
      <c r="G26" s="40">
        <v>0.2</v>
      </c>
      <c r="H26" s="40">
        <v>0.2</v>
      </c>
      <c r="I26" s="40">
        <v>0.2</v>
      </c>
      <c r="J26" s="40">
        <v>0.2</v>
      </c>
      <c r="K26" s="40">
        <v>0.2</v>
      </c>
      <c r="L26" s="40">
        <v>0.2</v>
      </c>
      <c r="M26" s="40">
        <v>0.2</v>
      </c>
      <c r="N26" s="40">
        <v>0.2</v>
      </c>
    </row>
    <row r="27" spans="1:16383" x14ac:dyDescent="0.15">
      <c r="A27" s="56"/>
      <c r="B27" s="57" t="s">
        <v>133</v>
      </c>
      <c r="C27" s="58" t="s">
        <v>5</v>
      </c>
      <c r="D27" s="59">
        <v>0.16666666666666666</v>
      </c>
      <c r="E27" s="59">
        <v>0.16666666666666666</v>
      </c>
      <c r="F27" s="59">
        <v>0.16666666666666666</v>
      </c>
      <c r="G27" s="59">
        <v>0.16666666666666666</v>
      </c>
      <c r="H27" s="59">
        <v>0.16666666666666666</v>
      </c>
      <c r="I27" s="59">
        <v>0.16666666666666666</v>
      </c>
      <c r="J27" s="59">
        <v>0.16666666666666666</v>
      </c>
      <c r="K27" s="59">
        <v>0.16666666666666666</v>
      </c>
      <c r="L27" s="59">
        <v>0.16666666666666666</v>
      </c>
      <c r="M27" s="59">
        <v>0.16666666666666666</v>
      </c>
      <c r="N27" s="59">
        <v>0.16666666666666666</v>
      </c>
    </row>
    <row r="28" spans="1:16383" ht="4.5" customHeight="1" thickBot="1" x14ac:dyDescent="0.2">
      <c r="B28" s="37"/>
      <c r="C28" s="80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</row>
    <row r="29" spans="1:16383" s="37" customFormat="1" ht="15" thickBot="1" x14ac:dyDescent="0.2">
      <c r="A29" s="60" t="s">
        <v>136</v>
      </c>
      <c r="B29" s="60"/>
      <c r="C29" s="61"/>
      <c r="D29" s="62"/>
      <c r="E29" s="62"/>
      <c r="F29" s="62"/>
      <c r="G29" s="62"/>
      <c r="H29" s="60"/>
      <c r="I29" s="62"/>
      <c r="J29" s="62"/>
      <c r="K29" s="62"/>
      <c r="L29" s="62"/>
      <c r="M29" s="60"/>
      <c r="N29" s="6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  <c r="AQF29" s="3"/>
      <c r="AQG29" s="3"/>
      <c r="AQH29" s="3"/>
      <c r="AQI29" s="3"/>
      <c r="AQJ29" s="3"/>
      <c r="AQK29" s="3"/>
      <c r="AQL29" s="3"/>
      <c r="AQM29" s="3"/>
      <c r="AQN29" s="3"/>
      <c r="AQO29" s="3"/>
      <c r="AQP29" s="3"/>
      <c r="AQQ29" s="3"/>
      <c r="AQR29" s="3"/>
      <c r="AQS29" s="3"/>
      <c r="AQT29" s="3"/>
      <c r="AQU29" s="3"/>
      <c r="AQV29" s="3"/>
      <c r="AQW29" s="3"/>
      <c r="AQX29" s="3"/>
      <c r="AQY29" s="3"/>
      <c r="AQZ29" s="3"/>
      <c r="ARA29" s="3"/>
      <c r="ARB29" s="3"/>
      <c r="ARC29" s="3"/>
      <c r="ARD29" s="3"/>
      <c r="ARE29" s="3"/>
      <c r="ARF29" s="3"/>
      <c r="ARG29" s="3"/>
      <c r="ARH29" s="3"/>
      <c r="ARI29" s="3"/>
      <c r="ARJ29" s="3"/>
      <c r="ARK29" s="3"/>
      <c r="ARL29" s="3"/>
      <c r="ARM29" s="3"/>
      <c r="ARN29" s="3"/>
      <c r="ARO29" s="3"/>
      <c r="ARP29" s="3"/>
      <c r="ARQ29" s="3"/>
      <c r="ARR29" s="3"/>
      <c r="ARS29" s="3"/>
      <c r="ART29" s="3"/>
      <c r="ARU29" s="3"/>
      <c r="ARV29" s="3"/>
      <c r="ARW29" s="3"/>
      <c r="ARX29" s="3"/>
      <c r="ARY29" s="3"/>
      <c r="ARZ29" s="3"/>
      <c r="ASA29" s="3"/>
      <c r="ASB29" s="3"/>
      <c r="ASC29" s="3"/>
      <c r="ASD29" s="3"/>
      <c r="ASE29" s="3"/>
      <c r="ASF29" s="3"/>
      <c r="ASG29" s="3"/>
      <c r="ASH29" s="3"/>
      <c r="ASI29" s="3"/>
      <c r="ASJ29" s="3"/>
      <c r="ASK29" s="3"/>
      <c r="ASL29" s="3"/>
      <c r="ASM29" s="3"/>
      <c r="ASN29" s="3"/>
      <c r="ASO29" s="3"/>
      <c r="ASP29" s="3"/>
      <c r="ASQ29" s="3"/>
      <c r="ASR29" s="3"/>
      <c r="ASS29" s="3"/>
      <c r="AST29" s="3"/>
      <c r="ASU29" s="3"/>
      <c r="ASV29" s="3"/>
      <c r="ASW29" s="3"/>
      <c r="ASX29" s="3"/>
      <c r="ASY29" s="3"/>
      <c r="ASZ29" s="3"/>
      <c r="ATA29" s="3"/>
      <c r="ATB29" s="3"/>
      <c r="ATC29" s="3"/>
      <c r="ATD29" s="3"/>
      <c r="ATE29" s="3"/>
      <c r="ATF29" s="3"/>
      <c r="ATG29" s="3"/>
      <c r="ATH29" s="3"/>
      <c r="ATI29" s="3"/>
      <c r="ATJ29" s="3"/>
      <c r="ATK29" s="3"/>
      <c r="ATL29" s="3"/>
      <c r="ATM29" s="3"/>
      <c r="ATN29" s="3"/>
      <c r="ATO29" s="3"/>
      <c r="ATP29" s="3"/>
      <c r="ATQ29" s="3"/>
      <c r="ATR29" s="3"/>
      <c r="ATS29" s="3"/>
      <c r="ATT29" s="3"/>
      <c r="ATU29" s="3"/>
      <c r="ATV29" s="3"/>
      <c r="ATW29" s="3"/>
      <c r="ATX29" s="3"/>
      <c r="ATY29" s="3"/>
      <c r="ATZ29" s="3"/>
      <c r="AUA29" s="3"/>
      <c r="AUB29" s="3"/>
      <c r="AUC29" s="3"/>
      <c r="AUD29" s="3"/>
      <c r="AUE29" s="3"/>
      <c r="AUF29" s="3"/>
      <c r="AUG29" s="3"/>
      <c r="AUH29" s="3"/>
      <c r="AUI29" s="3"/>
      <c r="AUJ29" s="3"/>
      <c r="AUK29" s="3"/>
      <c r="AUL29" s="3"/>
      <c r="AUM29" s="3"/>
      <c r="AUN29" s="3"/>
      <c r="AUO29" s="3"/>
      <c r="AUP29" s="3"/>
      <c r="AUQ29" s="3"/>
      <c r="AUR29" s="3"/>
      <c r="AUS29" s="3"/>
      <c r="AUT29" s="3"/>
      <c r="AUU29" s="3"/>
      <c r="AUV29" s="3"/>
      <c r="AUW29" s="3"/>
      <c r="AUX29" s="3"/>
      <c r="AUY29" s="3"/>
      <c r="AUZ29" s="3"/>
      <c r="AVA29" s="3"/>
      <c r="AVB29" s="3"/>
      <c r="AVC29" s="3"/>
      <c r="AVD29" s="3"/>
      <c r="AVE29" s="3"/>
      <c r="AVF29" s="3"/>
      <c r="AVG29" s="3"/>
      <c r="AVH29" s="3"/>
      <c r="AVI29" s="3"/>
      <c r="AVJ29" s="3"/>
      <c r="AVK29" s="3"/>
      <c r="AVL29" s="3"/>
      <c r="AVM29" s="3"/>
      <c r="AVN29" s="3"/>
      <c r="AVO29" s="3"/>
      <c r="AVP29" s="3"/>
      <c r="AVQ29" s="3"/>
      <c r="AVR29" s="3"/>
      <c r="AVS29" s="3"/>
      <c r="AVT29" s="3"/>
      <c r="AVU29" s="3"/>
      <c r="AVV29" s="3"/>
      <c r="AVW29" s="3"/>
      <c r="AVX29" s="3"/>
      <c r="AVY29" s="3"/>
      <c r="AVZ29" s="3"/>
      <c r="AWA29" s="3"/>
      <c r="AWB29" s="3"/>
      <c r="AWC29" s="3"/>
      <c r="AWD29" s="3"/>
      <c r="AWE29" s="3"/>
      <c r="AWF29" s="3"/>
      <c r="AWG29" s="3"/>
      <c r="AWH29" s="3"/>
      <c r="AWI29" s="3"/>
      <c r="AWJ29" s="3"/>
      <c r="AWK29" s="3"/>
      <c r="AWL29" s="3"/>
      <c r="AWM29" s="3"/>
      <c r="AWN29" s="3"/>
      <c r="AWO29" s="3"/>
      <c r="AWP29" s="3"/>
      <c r="AWQ29" s="3"/>
      <c r="AWR29" s="3"/>
      <c r="AWS29" s="3"/>
      <c r="AWT29" s="3"/>
      <c r="AWU29" s="3"/>
      <c r="AWV29" s="3"/>
      <c r="AWW29" s="3"/>
      <c r="AWX29" s="3"/>
      <c r="AWY29" s="3"/>
      <c r="AWZ29" s="3"/>
      <c r="AXA29" s="3"/>
      <c r="AXB29" s="3"/>
      <c r="AXC29" s="3"/>
      <c r="AXD29" s="3"/>
      <c r="AXE29" s="3"/>
      <c r="AXF29" s="3"/>
      <c r="AXG29" s="3"/>
      <c r="AXH29" s="3"/>
      <c r="AXI29" s="3"/>
      <c r="AXJ29" s="3"/>
      <c r="AXK29" s="3"/>
      <c r="AXL29" s="3"/>
      <c r="AXM29" s="3"/>
      <c r="AXN29" s="3"/>
      <c r="AXO29" s="3"/>
      <c r="AXP29" s="3"/>
      <c r="AXQ29" s="3"/>
      <c r="AXR29" s="3"/>
      <c r="AXS29" s="3"/>
      <c r="AXT29" s="3"/>
      <c r="AXU29" s="3"/>
      <c r="AXV29" s="3"/>
      <c r="AXW29" s="3"/>
      <c r="AXX29" s="3"/>
      <c r="AXY29" s="3"/>
      <c r="AXZ29" s="3"/>
      <c r="AYA29" s="3"/>
      <c r="AYB29" s="3"/>
      <c r="AYC29" s="3"/>
      <c r="AYD29" s="3"/>
      <c r="AYE29" s="3"/>
      <c r="AYF29" s="3"/>
      <c r="AYG29" s="3"/>
      <c r="AYH29" s="3"/>
      <c r="AYI29" s="3"/>
      <c r="AYJ29" s="3"/>
      <c r="AYK29" s="3"/>
      <c r="AYL29" s="3"/>
      <c r="AYM29" s="3"/>
      <c r="AYN29" s="3"/>
      <c r="AYO29" s="3"/>
      <c r="AYP29" s="3"/>
      <c r="AYQ29" s="3"/>
      <c r="AYR29" s="3"/>
      <c r="AYS29" s="3"/>
      <c r="AYT29" s="3"/>
      <c r="AYU29" s="3"/>
      <c r="AYV29" s="3"/>
      <c r="AYW29" s="3"/>
      <c r="AYX29" s="3"/>
      <c r="AYY29" s="3"/>
      <c r="AYZ29" s="3"/>
      <c r="AZA29" s="3"/>
      <c r="AZB29" s="3"/>
      <c r="AZC29" s="3"/>
      <c r="AZD29" s="3"/>
      <c r="AZE29" s="3"/>
      <c r="AZF29" s="3"/>
      <c r="AZG29" s="3"/>
      <c r="AZH29" s="3"/>
      <c r="AZI29" s="3"/>
      <c r="AZJ29" s="3"/>
      <c r="AZK29" s="3"/>
      <c r="AZL29" s="3"/>
      <c r="AZM29" s="3"/>
      <c r="AZN29" s="3"/>
      <c r="AZO29" s="3"/>
      <c r="AZP29" s="3"/>
      <c r="AZQ29" s="3"/>
      <c r="AZR29" s="3"/>
      <c r="AZS29" s="3"/>
      <c r="AZT29" s="3"/>
      <c r="AZU29" s="3"/>
      <c r="AZV29" s="3"/>
      <c r="AZW29" s="3"/>
      <c r="AZX29" s="3"/>
      <c r="AZY29" s="3"/>
      <c r="AZZ29" s="3"/>
      <c r="BAA29" s="3"/>
      <c r="BAB29" s="3"/>
      <c r="BAC29" s="3"/>
      <c r="BAD29" s="3"/>
      <c r="BAE29" s="3"/>
      <c r="BAF29" s="3"/>
      <c r="BAG29" s="3"/>
      <c r="BAH29" s="3"/>
      <c r="BAI29" s="3"/>
      <c r="BAJ29" s="3"/>
      <c r="BAK29" s="3"/>
      <c r="BAL29" s="3"/>
      <c r="BAM29" s="3"/>
      <c r="BAN29" s="3"/>
      <c r="BAO29" s="3"/>
      <c r="BAP29" s="3"/>
      <c r="BAQ29" s="3"/>
      <c r="BAR29" s="3"/>
      <c r="BAS29" s="3"/>
      <c r="BAT29" s="3"/>
      <c r="BAU29" s="3"/>
      <c r="BAV29" s="3"/>
      <c r="BAW29" s="3"/>
      <c r="BAX29" s="3"/>
      <c r="BAY29" s="3"/>
      <c r="BAZ29" s="3"/>
      <c r="BBA29" s="3"/>
      <c r="BBB29" s="3"/>
      <c r="BBC29" s="3"/>
      <c r="BBD29" s="3"/>
      <c r="BBE29" s="3"/>
      <c r="BBF29" s="3"/>
      <c r="BBG29" s="3"/>
      <c r="BBH29" s="3"/>
      <c r="BBI29" s="3"/>
      <c r="BBJ29" s="3"/>
      <c r="BBK29" s="3"/>
      <c r="BBL29" s="3"/>
      <c r="BBM29" s="3"/>
      <c r="BBN29" s="3"/>
      <c r="BBO29" s="3"/>
      <c r="BBP29" s="3"/>
      <c r="BBQ29" s="3"/>
      <c r="BBR29" s="3"/>
      <c r="BBS29" s="3"/>
      <c r="BBT29" s="3"/>
      <c r="BBU29" s="3"/>
      <c r="BBV29" s="3"/>
      <c r="BBW29" s="3"/>
      <c r="BBX29" s="3"/>
      <c r="BBY29" s="3"/>
      <c r="BBZ29" s="3"/>
      <c r="BCA29" s="3"/>
      <c r="BCB29" s="3"/>
      <c r="BCC29" s="3"/>
      <c r="BCD29" s="3"/>
      <c r="BCE29" s="3"/>
      <c r="BCF29" s="3"/>
      <c r="BCG29" s="3"/>
      <c r="BCH29" s="3"/>
      <c r="BCI29" s="3"/>
      <c r="BCJ29" s="3"/>
      <c r="BCK29" s="3"/>
      <c r="BCL29" s="3"/>
      <c r="BCM29" s="3"/>
      <c r="BCN29" s="3"/>
      <c r="BCO29" s="3"/>
      <c r="BCP29" s="3"/>
      <c r="BCQ29" s="3"/>
      <c r="BCR29" s="3"/>
      <c r="BCS29" s="3"/>
      <c r="BCT29" s="3"/>
      <c r="BCU29" s="3"/>
      <c r="BCV29" s="3"/>
      <c r="BCW29" s="3"/>
      <c r="BCX29" s="3"/>
      <c r="BCY29" s="3"/>
      <c r="BCZ29" s="3"/>
      <c r="BDA29" s="3"/>
      <c r="BDB29" s="3"/>
      <c r="BDC29" s="3"/>
      <c r="BDD29" s="3"/>
      <c r="BDE29" s="3"/>
      <c r="BDF29" s="3"/>
      <c r="BDG29" s="3"/>
      <c r="BDH29" s="3"/>
      <c r="BDI29" s="3"/>
      <c r="BDJ29" s="3"/>
      <c r="BDK29" s="3"/>
      <c r="BDL29" s="3"/>
      <c r="BDM29" s="3"/>
      <c r="BDN29" s="3"/>
      <c r="BDO29" s="3"/>
      <c r="BDP29" s="3"/>
      <c r="BDQ29" s="3"/>
      <c r="BDR29" s="3"/>
      <c r="BDS29" s="3"/>
      <c r="BDT29" s="3"/>
      <c r="BDU29" s="3"/>
      <c r="BDV29" s="3"/>
      <c r="BDW29" s="3"/>
      <c r="BDX29" s="3"/>
      <c r="BDY29" s="3"/>
      <c r="BDZ29" s="3"/>
      <c r="BEA29" s="3"/>
      <c r="BEB29" s="3"/>
      <c r="BEC29" s="3"/>
      <c r="BED29" s="3"/>
      <c r="BEE29" s="3"/>
      <c r="BEF29" s="3"/>
      <c r="BEG29" s="3"/>
      <c r="BEH29" s="3"/>
      <c r="BEI29" s="3"/>
      <c r="BEJ29" s="3"/>
      <c r="BEK29" s="3"/>
      <c r="BEL29" s="3"/>
      <c r="BEM29" s="3"/>
      <c r="BEN29" s="3"/>
      <c r="BEO29" s="3"/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3"/>
      <c r="BFQ29" s="3"/>
      <c r="BFR29" s="3"/>
      <c r="BFS29" s="3"/>
      <c r="BFT29" s="3"/>
      <c r="BFU29" s="3"/>
      <c r="BFV29" s="3"/>
      <c r="BFW29" s="3"/>
      <c r="BFX29" s="3"/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3"/>
      <c r="BGM29" s="3"/>
      <c r="BGN29" s="3"/>
      <c r="BGO29" s="3"/>
      <c r="BGP29" s="3"/>
      <c r="BGQ29" s="3"/>
      <c r="BGR29" s="3"/>
      <c r="BGS29" s="3"/>
      <c r="BGT29" s="3"/>
      <c r="BGU29" s="3"/>
      <c r="BGV29" s="3"/>
      <c r="BGW29" s="3"/>
      <c r="BGX29" s="3"/>
      <c r="BGY29" s="3"/>
      <c r="BGZ29" s="3"/>
      <c r="BHA29" s="3"/>
      <c r="BHB29" s="3"/>
      <c r="BHC29" s="3"/>
      <c r="BHD29" s="3"/>
      <c r="BHE29" s="3"/>
      <c r="BHF29" s="3"/>
      <c r="BHG29" s="3"/>
      <c r="BHH29" s="3"/>
      <c r="BHI29" s="3"/>
      <c r="BHJ29" s="3"/>
      <c r="BHK29" s="3"/>
      <c r="BHL29" s="3"/>
      <c r="BHM29" s="3"/>
      <c r="BHN29" s="3"/>
      <c r="BHO29" s="3"/>
      <c r="BHP29" s="3"/>
      <c r="BHQ29" s="3"/>
      <c r="BHR29" s="3"/>
      <c r="BHS29" s="3"/>
      <c r="BHT29" s="3"/>
      <c r="BHU29" s="3"/>
      <c r="BHV29" s="3"/>
      <c r="BHW29" s="3"/>
      <c r="BHX29" s="3"/>
      <c r="BHY29" s="3"/>
      <c r="BHZ29" s="3"/>
      <c r="BIA29" s="3"/>
      <c r="BIB29" s="3"/>
      <c r="BIC29" s="3"/>
      <c r="BID29" s="3"/>
      <c r="BIE29" s="3"/>
      <c r="BIF29" s="3"/>
      <c r="BIG29" s="3"/>
      <c r="BIH29" s="3"/>
      <c r="BII29" s="3"/>
      <c r="BIJ29" s="3"/>
      <c r="BIK29" s="3"/>
      <c r="BIL29" s="3"/>
      <c r="BIM29" s="3"/>
      <c r="BIN29" s="3"/>
      <c r="BIO29" s="3"/>
      <c r="BIP29" s="3"/>
      <c r="BIQ29" s="3"/>
      <c r="BIR29" s="3"/>
      <c r="BIS29" s="3"/>
      <c r="BIT29" s="3"/>
      <c r="BIU29" s="3"/>
      <c r="BIV29" s="3"/>
      <c r="BIW29" s="3"/>
      <c r="BIX29" s="3"/>
      <c r="BIY29" s="3"/>
      <c r="BIZ29" s="3"/>
      <c r="BJA29" s="3"/>
      <c r="BJB29" s="3"/>
      <c r="BJC29" s="3"/>
      <c r="BJD29" s="3"/>
      <c r="BJE29" s="3"/>
      <c r="BJF29" s="3"/>
      <c r="BJG29" s="3"/>
      <c r="BJH29" s="3"/>
      <c r="BJI29" s="3"/>
      <c r="BJJ29" s="3"/>
      <c r="BJK29" s="3"/>
      <c r="BJL29" s="3"/>
      <c r="BJM29" s="3"/>
      <c r="BJN29" s="3"/>
      <c r="BJO29" s="3"/>
      <c r="BJP29" s="3"/>
      <c r="BJQ29" s="3"/>
      <c r="BJR29" s="3"/>
      <c r="BJS29" s="3"/>
      <c r="BJT29" s="3"/>
      <c r="BJU29" s="3"/>
      <c r="BJV29" s="3"/>
      <c r="BJW29" s="3"/>
      <c r="BJX29" s="3"/>
      <c r="BJY29" s="3"/>
      <c r="BJZ29" s="3"/>
      <c r="BKA29" s="3"/>
      <c r="BKB29" s="3"/>
      <c r="BKC29" s="3"/>
      <c r="BKD29" s="3"/>
      <c r="BKE29" s="3"/>
      <c r="BKF29" s="3"/>
      <c r="BKG29" s="3"/>
      <c r="BKH29" s="3"/>
      <c r="BKI29" s="3"/>
      <c r="BKJ29" s="3"/>
      <c r="BKK29" s="3"/>
      <c r="BKL29" s="3"/>
      <c r="BKM29" s="3"/>
      <c r="BKN29" s="3"/>
      <c r="BKO29" s="3"/>
      <c r="BKP29" s="3"/>
      <c r="BKQ29" s="3"/>
      <c r="BKR29" s="3"/>
      <c r="BKS29" s="3"/>
      <c r="BKT29" s="3"/>
      <c r="BKU29" s="3"/>
      <c r="BKV29" s="3"/>
      <c r="BKW29" s="3"/>
      <c r="BKX29" s="3"/>
      <c r="BKY29" s="3"/>
      <c r="BKZ29" s="3"/>
      <c r="BLA29" s="3"/>
      <c r="BLB29" s="3"/>
      <c r="BLC29" s="3"/>
      <c r="BLD29" s="3"/>
      <c r="BLE29" s="3"/>
      <c r="BLF29" s="3"/>
      <c r="BLG29" s="3"/>
      <c r="BLH29" s="3"/>
      <c r="BLI29" s="3"/>
      <c r="BLJ29" s="3"/>
      <c r="BLK29" s="3"/>
      <c r="BLL29" s="3"/>
      <c r="BLM29" s="3"/>
      <c r="BLN29" s="3"/>
      <c r="BLO29" s="3"/>
      <c r="BLP29" s="3"/>
      <c r="BLQ29" s="3"/>
      <c r="BLR29" s="3"/>
      <c r="BLS29" s="3"/>
      <c r="BLT29" s="3"/>
      <c r="BLU29" s="3"/>
      <c r="BLV29" s="3"/>
      <c r="BLW29" s="3"/>
      <c r="BLX29" s="3"/>
      <c r="BLY29" s="3"/>
      <c r="BLZ29" s="3"/>
      <c r="BMA29" s="3"/>
      <c r="BMB29" s="3"/>
      <c r="BMC29" s="3"/>
      <c r="BMD29" s="3"/>
      <c r="BME29" s="3"/>
      <c r="BMF29" s="3"/>
      <c r="BMG29" s="3"/>
      <c r="BMH29" s="3"/>
      <c r="BMI29" s="3"/>
      <c r="BMJ29" s="3"/>
      <c r="BMK29" s="3"/>
      <c r="BML29" s="3"/>
      <c r="BMM29" s="3"/>
      <c r="BMN29" s="3"/>
      <c r="BMO29" s="3"/>
      <c r="BMP29" s="3"/>
      <c r="BMQ29" s="3"/>
      <c r="BMR29" s="3"/>
      <c r="BMS29" s="3"/>
      <c r="BMT29" s="3"/>
      <c r="BMU29" s="3"/>
      <c r="BMV29" s="3"/>
      <c r="BMW29" s="3"/>
      <c r="BMX29" s="3"/>
      <c r="BMY29" s="3"/>
      <c r="BMZ29" s="3"/>
      <c r="BNA29" s="3"/>
      <c r="BNB29" s="3"/>
      <c r="BNC29" s="3"/>
      <c r="BND29" s="3"/>
      <c r="BNE29" s="3"/>
      <c r="BNF29" s="3"/>
      <c r="BNG29" s="3"/>
      <c r="BNH29" s="3"/>
      <c r="BNI29" s="3"/>
      <c r="BNJ29" s="3"/>
      <c r="BNK29" s="3"/>
      <c r="BNL29" s="3"/>
      <c r="BNM29" s="3"/>
      <c r="BNN29" s="3"/>
      <c r="BNO29" s="3"/>
      <c r="BNP29" s="3"/>
      <c r="BNQ29" s="3"/>
      <c r="BNR29" s="3"/>
      <c r="BNS29" s="3"/>
      <c r="BNT29" s="3"/>
      <c r="BNU29" s="3"/>
      <c r="BNV29" s="3"/>
      <c r="BNW29" s="3"/>
      <c r="BNX29" s="3"/>
      <c r="BNY29" s="3"/>
      <c r="BNZ29" s="3"/>
      <c r="BOA29" s="3"/>
      <c r="BOB29" s="3"/>
      <c r="BOC29" s="3"/>
      <c r="BOD29" s="3"/>
      <c r="BOE29" s="3"/>
      <c r="BOF29" s="3"/>
      <c r="BOG29" s="3"/>
      <c r="BOH29" s="3"/>
      <c r="BOI29" s="3"/>
      <c r="BOJ29" s="3"/>
      <c r="BOK29" s="3"/>
      <c r="BOL29" s="3"/>
      <c r="BOM29" s="3"/>
      <c r="BON29" s="3"/>
      <c r="BOO29" s="3"/>
      <c r="BOP29" s="3"/>
      <c r="BOQ29" s="3"/>
      <c r="BOR29" s="3"/>
      <c r="BOS29" s="3"/>
      <c r="BOT29" s="3"/>
      <c r="BOU29" s="3"/>
      <c r="BOV29" s="3"/>
      <c r="BOW29" s="3"/>
      <c r="BOX29" s="3"/>
      <c r="BOY29" s="3"/>
      <c r="BOZ29" s="3"/>
      <c r="BPA29" s="3"/>
      <c r="BPB29" s="3"/>
      <c r="BPC29" s="3"/>
      <c r="BPD29" s="3"/>
      <c r="BPE29" s="3"/>
      <c r="BPF29" s="3"/>
      <c r="BPG29" s="3"/>
      <c r="BPH29" s="3"/>
      <c r="BPI29" s="3"/>
      <c r="BPJ29" s="3"/>
      <c r="BPK29" s="3"/>
      <c r="BPL29" s="3"/>
      <c r="BPM29" s="3"/>
      <c r="BPN29" s="3"/>
      <c r="BPO29" s="3"/>
      <c r="BPP29" s="3"/>
      <c r="BPQ29" s="3"/>
      <c r="BPR29" s="3"/>
      <c r="BPS29" s="3"/>
      <c r="BPT29" s="3"/>
      <c r="BPU29" s="3"/>
      <c r="BPV29" s="3"/>
      <c r="BPW29" s="3"/>
      <c r="BPX29" s="3"/>
      <c r="BPY29" s="3"/>
      <c r="BPZ29" s="3"/>
      <c r="BQA29" s="3"/>
      <c r="BQB29" s="3"/>
      <c r="BQC29" s="3"/>
      <c r="BQD29" s="3"/>
      <c r="BQE29" s="3"/>
      <c r="BQF29" s="3"/>
      <c r="BQG29" s="3"/>
      <c r="BQH29" s="3"/>
      <c r="BQI29" s="3"/>
      <c r="BQJ29" s="3"/>
      <c r="BQK29" s="3"/>
      <c r="BQL29" s="3"/>
      <c r="BQM29" s="3"/>
      <c r="BQN29" s="3"/>
      <c r="BQO29" s="3"/>
      <c r="BQP29" s="3"/>
      <c r="BQQ29" s="3"/>
      <c r="BQR29" s="3"/>
      <c r="BQS29" s="3"/>
      <c r="BQT29" s="3"/>
      <c r="BQU29" s="3"/>
      <c r="BQV29" s="3"/>
      <c r="BQW29" s="3"/>
      <c r="BQX29" s="3"/>
      <c r="BQY29" s="3"/>
      <c r="BQZ29" s="3"/>
      <c r="BRA29" s="3"/>
      <c r="BRB29" s="3"/>
      <c r="BRC29" s="3"/>
      <c r="BRD29" s="3"/>
      <c r="BRE29" s="3"/>
      <c r="BRF29" s="3"/>
      <c r="BRG29" s="3"/>
      <c r="BRH29" s="3"/>
      <c r="BRI29" s="3"/>
      <c r="BRJ29" s="3"/>
      <c r="BRK29" s="3"/>
      <c r="BRL29" s="3"/>
      <c r="BRM29" s="3"/>
      <c r="BRN29" s="3"/>
      <c r="BRO29" s="3"/>
      <c r="BRP29" s="3"/>
      <c r="BRQ29" s="3"/>
      <c r="BRR29" s="3"/>
      <c r="BRS29" s="3"/>
      <c r="BRT29" s="3"/>
      <c r="BRU29" s="3"/>
      <c r="BRV29" s="3"/>
      <c r="BRW29" s="3"/>
      <c r="BRX29" s="3"/>
      <c r="BRY29" s="3"/>
      <c r="BRZ29" s="3"/>
      <c r="BSA29" s="3"/>
      <c r="BSB29" s="3"/>
      <c r="BSC29" s="3"/>
      <c r="BSD29" s="3"/>
      <c r="BSE29" s="3"/>
      <c r="BSF29" s="3"/>
      <c r="BSG29" s="3"/>
      <c r="BSH29" s="3"/>
      <c r="BSI29" s="3"/>
      <c r="BSJ29" s="3"/>
      <c r="BSK29" s="3"/>
      <c r="BSL29" s="3"/>
      <c r="BSM29" s="3"/>
      <c r="BSN29" s="3"/>
      <c r="BSO29" s="3"/>
      <c r="BSP29" s="3"/>
      <c r="BSQ29" s="3"/>
      <c r="BSR29" s="3"/>
      <c r="BSS29" s="3"/>
      <c r="BST29" s="3"/>
      <c r="BSU29" s="3"/>
      <c r="BSV29" s="3"/>
      <c r="BSW29" s="3"/>
      <c r="BSX29" s="3"/>
      <c r="BSY29" s="3"/>
      <c r="BSZ29" s="3"/>
      <c r="BTA29" s="3"/>
      <c r="BTB29" s="3"/>
      <c r="BTC29" s="3"/>
      <c r="BTD29" s="3"/>
      <c r="BTE29" s="3"/>
      <c r="BTF29" s="3"/>
      <c r="BTG29" s="3"/>
      <c r="BTH29" s="3"/>
      <c r="BTI29" s="3"/>
      <c r="BTJ29" s="3"/>
      <c r="BTK29" s="3"/>
      <c r="BTL29" s="3"/>
      <c r="BTM29" s="3"/>
      <c r="BTN29" s="3"/>
      <c r="BTO29" s="3"/>
      <c r="BTP29" s="3"/>
      <c r="BTQ29" s="3"/>
      <c r="BTR29" s="3"/>
      <c r="BTS29" s="3"/>
      <c r="BTT29" s="3"/>
      <c r="BTU29" s="3"/>
      <c r="BTV29" s="3"/>
      <c r="BTW29" s="3"/>
      <c r="BTX29" s="3"/>
      <c r="BTY29" s="3"/>
      <c r="BTZ29" s="3"/>
      <c r="BUA29" s="3"/>
      <c r="BUB29" s="3"/>
      <c r="BUC29" s="3"/>
      <c r="BUD29" s="3"/>
      <c r="BUE29" s="3"/>
      <c r="BUF29" s="3"/>
      <c r="BUG29" s="3"/>
      <c r="BUH29" s="3"/>
      <c r="BUI29" s="3"/>
      <c r="BUJ29" s="3"/>
      <c r="BUK29" s="3"/>
      <c r="BUL29" s="3"/>
      <c r="BUM29" s="3"/>
      <c r="BUN29" s="3"/>
      <c r="BUO29" s="3"/>
      <c r="BUP29" s="3"/>
      <c r="BUQ29" s="3"/>
      <c r="BUR29" s="3"/>
      <c r="BUS29" s="3"/>
      <c r="BUT29" s="3"/>
      <c r="BUU29" s="3"/>
      <c r="BUV29" s="3"/>
      <c r="BUW29" s="3"/>
      <c r="BUX29" s="3"/>
      <c r="BUY29" s="3"/>
      <c r="BUZ29" s="3"/>
      <c r="BVA29" s="3"/>
      <c r="BVB29" s="3"/>
      <c r="BVC29" s="3"/>
      <c r="BVD29" s="3"/>
      <c r="BVE29" s="3"/>
      <c r="BVF29" s="3"/>
      <c r="BVG29" s="3"/>
      <c r="BVH29" s="3"/>
      <c r="BVI29" s="3"/>
      <c r="BVJ29" s="3"/>
      <c r="BVK29" s="3"/>
      <c r="BVL29" s="3"/>
      <c r="BVM29" s="3"/>
      <c r="BVN29" s="3"/>
      <c r="BVO29" s="3"/>
      <c r="BVP29" s="3"/>
      <c r="BVQ29" s="3"/>
      <c r="BVR29" s="3"/>
      <c r="BVS29" s="3"/>
      <c r="BVT29" s="3"/>
      <c r="BVU29" s="3"/>
      <c r="BVV29" s="3"/>
      <c r="BVW29" s="3"/>
      <c r="BVX29" s="3"/>
      <c r="BVY29" s="3"/>
      <c r="BVZ29" s="3"/>
      <c r="BWA29" s="3"/>
      <c r="BWB29" s="3"/>
      <c r="BWC29" s="3"/>
      <c r="BWD29" s="3"/>
      <c r="BWE29" s="3"/>
      <c r="BWF29" s="3"/>
      <c r="BWG29" s="3"/>
      <c r="BWH29" s="3"/>
      <c r="BWI29" s="3"/>
      <c r="BWJ29" s="3"/>
      <c r="BWK29" s="3"/>
      <c r="BWL29" s="3"/>
      <c r="BWM29" s="3"/>
      <c r="BWN29" s="3"/>
      <c r="BWO29" s="3"/>
      <c r="BWP29" s="3"/>
      <c r="BWQ29" s="3"/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  <c r="BYA29" s="3"/>
      <c r="BYB29" s="3"/>
      <c r="BYC29" s="3"/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3"/>
      <c r="BYW29" s="3"/>
      <c r="BYX29" s="3"/>
      <c r="BYY29" s="3"/>
      <c r="BYZ29" s="3"/>
      <c r="BZA29" s="3"/>
      <c r="BZB29" s="3"/>
      <c r="BZC29" s="3"/>
      <c r="BZD29" s="3"/>
      <c r="BZE29" s="3"/>
      <c r="BZF29" s="3"/>
      <c r="BZG29" s="3"/>
      <c r="BZH29" s="3"/>
      <c r="BZI29" s="3"/>
      <c r="BZJ29" s="3"/>
      <c r="BZK29" s="3"/>
      <c r="BZL29" s="3"/>
      <c r="BZM29" s="3"/>
      <c r="BZN29" s="3"/>
      <c r="BZO29" s="3"/>
      <c r="BZP29" s="3"/>
      <c r="BZQ29" s="3"/>
      <c r="BZR29" s="3"/>
      <c r="BZS29" s="3"/>
      <c r="BZT29" s="3"/>
      <c r="BZU29" s="3"/>
      <c r="BZV29" s="3"/>
      <c r="BZW29" s="3"/>
      <c r="BZX29" s="3"/>
      <c r="BZY29" s="3"/>
      <c r="BZZ29" s="3"/>
      <c r="CAA29" s="3"/>
      <c r="CAB29" s="3"/>
      <c r="CAC29" s="3"/>
      <c r="CAD29" s="3"/>
      <c r="CAE29" s="3"/>
      <c r="CAF29" s="3"/>
      <c r="CAG29" s="3"/>
      <c r="CAH29" s="3"/>
      <c r="CAI29" s="3"/>
      <c r="CAJ29" s="3"/>
      <c r="CAK29" s="3"/>
      <c r="CAL29" s="3"/>
      <c r="CAM29" s="3"/>
      <c r="CAN29" s="3"/>
      <c r="CAO29" s="3"/>
      <c r="CAP29" s="3"/>
      <c r="CAQ29" s="3"/>
      <c r="CAR29" s="3"/>
      <c r="CAS29" s="3"/>
      <c r="CAT29" s="3"/>
      <c r="CAU29" s="3"/>
      <c r="CAV29" s="3"/>
      <c r="CAW29" s="3"/>
      <c r="CAX29" s="3"/>
      <c r="CAY29" s="3"/>
      <c r="CAZ29" s="3"/>
      <c r="CBA29" s="3"/>
      <c r="CBB29" s="3"/>
      <c r="CBC29" s="3"/>
      <c r="CBD29" s="3"/>
      <c r="CBE29" s="3"/>
      <c r="CBF29" s="3"/>
      <c r="CBG29" s="3"/>
      <c r="CBH29" s="3"/>
      <c r="CBI29" s="3"/>
      <c r="CBJ29" s="3"/>
      <c r="CBK29" s="3"/>
      <c r="CBL29" s="3"/>
      <c r="CBM29" s="3"/>
      <c r="CBN29" s="3"/>
      <c r="CBO29" s="3"/>
      <c r="CBP29" s="3"/>
      <c r="CBQ29" s="3"/>
      <c r="CBR29" s="3"/>
      <c r="CBS29" s="3"/>
      <c r="CBT29" s="3"/>
      <c r="CBU29" s="3"/>
      <c r="CBV29" s="3"/>
      <c r="CBW29" s="3"/>
      <c r="CBX29" s="3"/>
      <c r="CBY29" s="3"/>
      <c r="CBZ29" s="3"/>
      <c r="CCA29" s="3"/>
      <c r="CCB29" s="3"/>
      <c r="CCC29" s="3"/>
      <c r="CCD29" s="3"/>
      <c r="CCE29" s="3"/>
      <c r="CCF29" s="3"/>
      <c r="CCG29" s="3"/>
      <c r="CCH29" s="3"/>
      <c r="CCI29" s="3"/>
      <c r="CCJ29" s="3"/>
      <c r="CCK29" s="3"/>
      <c r="CCL29" s="3"/>
      <c r="CCM29" s="3"/>
      <c r="CCN29" s="3"/>
      <c r="CCO29" s="3"/>
      <c r="CCP29" s="3"/>
      <c r="CCQ29" s="3"/>
      <c r="CCR29" s="3"/>
      <c r="CCS29" s="3"/>
      <c r="CCT29" s="3"/>
      <c r="CCU29" s="3"/>
      <c r="CCV29" s="3"/>
      <c r="CCW29" s="3"/>
      <c r="CCX29" s="3"/>
      <c r="CCY29" s="3"/>
      <c r="CCZ29" s="3"/>
      <c r="CDA29" s="3"/>
      <c r="CDB29" s="3"/>
      <c r="CDC29" s="3"/>
      <c r="CDD29" s="3"/>
      <c r="CDE29" s="3"/>
      <c r="CDF29" s="3"/>
      <c r="CDG29" s="3"/>
      <c r="CDH29" s="3"/>
      <c r="CDI29" s="3"/>
      <c r="CDJ29" s="3"/>
      <c r="CDK29" s="3"/>
      <c r="CDL29" s="3"/>
      <c r="CDM29" s="3"/>
      <c r="CDN29" s="3"/>
      <c r="CDO29" s="3"/>
      <c r="CDP29" s="3"/>
      <c r="CDQ29" s="3"/>
      <c r="CDR29" s="3"/>
      <c r="CDS29" s="3"/>
      <c r="CDT29" s="3"/>
      <c r="CDU29" s="3"/>
      <c r="CDV29" s="3"/>
      <c r="CDW29" s="3"/>
      <c r="CDX29" s="3"/>
      <c r="CDY29" s="3"/>
      <c r="CDZ29" s="3"/>
      <c r="CEA29" s="3"/>
      <c r="CEB29" s="3"/>
      <c r="CEC29" s="3"/>
      <c r="CED29" s="3"/>
      <c r="CEE29" s="3"/>
      <c r="CEF29" s="3"/>
      <c r="CEG29" s="3"/>
      <c r="CEH29" s="3"/>
      <c r="CEI29" s="3"/>
      <c r="CEJ29" s="3"/>
      <c r="CEK29" s="3"/>
      <c r="CEL29" s="3"/>
      <c r="CEM29" s="3"/>
      <c r="CEN29" s="3"/>
      <c r="CEO29" s="3"/>
      <c r="CEP29" s="3"/>
      <c r="CEQ29" s="3"/>
      <c r="CER29" s="3"/>
      <c r="CES29" s="3"/>
      <c r="CET29" s="3"/>
      <c r="CEU29" s="3"/>
      <c r="CEV29" s="3"/>
      <c r="CEW29" s="3"/>
      <c r="CEX29" s="3"/>
      <c r="CEY29" s="3"/>
      <c r="CEZ29" s="3"/>
      <c r="CFA29" s="3"/>
      <c r="CFB29" s="3"/>
      <c r="CFC29" s="3"/>
      <c r="CFD29" s="3"/>
      <c r="CFE29" s="3"/>
      <c r="CFF29" s="3"/>
      <c r="CFG29" s="3"/>
      <c r="CFH29" s="3"/>
      <c r="CFI29" s="3"/>
      <c r="CFJ29" s="3"/>
      <c r="CFK29" s="3"/>
      <c r="CFL29" s="3"/>
      <c r="CFM29" s="3"/>
      <c r="CFN29" s="3"/>
      <c r="CFO29" s="3"/>
      <c r="CFP29" s="3"/>
      <c r="CFQ29" s="3"/>
      <c r="CFR29" s="3"/>
      <c r="CFS29" s="3"/>
      <c r="CFT29" s="3"/>
      <c r="CFU29" s="3"/>
      <c r="CFV29" s="3"/>
      <c r="CFW29" s="3"/>
      <c r="CFX29" s="3"/>
      <c r="CFY29" s="3"/>
      <c r="CFZ29" s="3"/>
      <c r="CGA29" s="3"/>
      <c r="CGB29" s="3"/>
      <c r="CGC29" s="3"/>
      <c r="CGD29" s="3"/>
      <c r="CGE29" s="3"/>
      <c r="CGF29" s="3"/>
      <c r="CGG29" s="3"/>
      <c r="CGH29" s="3"/>
      <c r="CGI29" s="3"/>
      <c r="CGJ29" s="3"/>
      <c r="CGK29" s="3"/>
      <c r="CGL29" s="3"/>
      <c r="CGM29" s="3"/>
      <c r="CGN29" s="3"/>
      <c r="CGO29" s="3"/>
      <c r="CGP29" s="3"/>
      <c r="CGQ29" s="3"/>
      <c r="CGR29" s="3"/>
      <c r="CGS29" s="3"/>
      <c r="CGT29" s="3"/>
      <c r="CGU29" s="3"/>
      <c r="CGV29" s="3"/>
      <c r="CGW29" s="3"/>
      <c r="CGX29" s="3"/>
      <c r="CGY29" s="3"/>
      <c r="CGZ29" s="3"/>
      <c r="CHA29" s="3"/>
      <c r="CHB29" s="3"/>
      <c r="CHC29" s="3"/>
      <c r="CHD29" s="3"/>
      <c r="CHE29" s="3"/>
      <c r="CHF29" s="3"/>
      <c r="CHG29" s="3"/>
      <c r="CHH29" s="3"/>
      <c r="CHI29" s="3"/>
      <c r="CHJ29" s="3"/>
      <c r="CHK29" s="3"/>
      <c r="CHL29" s="3"/>
      <c r="CHM29" s="3"/>
      <c r="CHN29" s="3"/>
      <c r="CHO29" s="3"/>
      <c r="CHP29" s="3"/>
      <c r="CHQ29" s="3"/>
      <c r="CHR29" s="3"/>
      <c r="CHS29" s="3"/>
      <c r="CHT29" s="3"/>
      <c r="CHU29" s="3"/>
      <c r="CHV29" s="3"/>
      <c r="CHW29" s="3"/>
      <c r="CHX29" s="3"/>
      <c r="CHY29" s="3"/>
      <c r="CHZ29" s="3"/>
      <c r="CIA29" s="3"/>
      <c r="CIB29" s="3"/>
      <c r="CIC29" s="3"/>
      <c r="CID29" s="3"/>
      <c r="CIE29" s="3"/>
      <c r="CIF29" s="3"/>
      <c r="CIG29" s="3"/>
      <c r="CIH29" s="3"/>
      <c r="CII29" s="3"/>
      <c r="CIJ29" s="3"/>
      <c r="CIK29" s="3"/>
      <c r="CIL29" s="3"/>
      <c r="CIM29" s="3"/>
      <c r="CIN29" s="3"/>
      <c r="CIO29" s="3"/>
      <c r="CIP29" s="3"/>
      <c r="CIQ29" s="3"/>
      <c r="CIR29" s="3"/>
      <c r="CIS29" s="3"/>
      <c r="CIT29" s="3"/>
      <c r="CIU29" s="3"/>
      <c r="CIV29" s="3"/>
      <c r="CIW29" s="3"/>
      <c r="CIX29" s="3"/>
      <c r="CIY29" s="3"/>
      <c r="CIZ29" s="3"/>
      <c r="CJA29" s="3"/>
      <c r="CJB29" s="3"/>
      <c r="CJC29" s="3"/>
      <c r="CJD29" s="3"/>
      <c r="CJE29" s="3"/>
      <c r="CJF29" s="3"/>
      <c r="CJG29" s="3"/>
      <c r="CJH29" s="3"/>
      <c r="CJI29" s="3"/>
      <c r="CJJ29" s="3"/>
      <c r="CJK29" s="3"/>
      <c r="CJL29" s="3"/>
      <c r="CJM29" s="3"/>
      <c r="CJN29" s="3"/>
      <c r="CJO29" s="3"/>
      <c r="CJP29" s="3"/>
      <c r="CJQ29" s="3"/>
      <c r="CJR29" s="3"/>
      <c r="CJS29" s="3"/>
      <c r="CJT29" s="3"/>
      <c r="CJU29" s="3"/>
      <c r="CJV29" s="3"/>
      <c r="CJW29" s="3"/>
      <c r="CJX29" s="3"/>
      <c r="CJY29" s="3"/>
      <c r="CJZ29" s="3"/>
      <c r="CKA29" s="3"/>
      <c r="CKB29" s="3"/>
      <c r="CKC29" s="3"/>
      <c r="CKD29" s="3"/>
      <c r="CKE29" s="3"/>
      <c r="CKF29" s="3"/>
      <c r="CKG29" s="3"/>
      <c r="CKH29" s="3"/>
      <c r="CKI29" s="3"/>
      <c r="CKJ29" s="3"/>
      <c r="CKK29" s="3"/>
      <c r="CKL29" s="3"/>
      <c r="CKM29" s="3"/>
      <c r="CKN29" s="3"/>
      <c r="CKO29" s="3"/>
      <c r="CKP29" s="3"/>
      <c r="CKQ29" s="3"/>
      <c r="CKR29" s="3"/>
      <c r="CKS29" s="3"/>
      <c r="CKT29" s="3"/>
      <c r="CKU29" s="3"/>
      <c r="CKV29" s="3"/>
      <c r="CKW29" s="3"/>
      <c r="CKX29" s="3"/>
      <c r="CKY29" s="3"/>
      <c r="CKZ29" s="3"/>
      <c r="CLA29" s="3"/>
      <c r="CLB29" s="3"/>
      <c r="CLC29" s="3"/>
      <c r="CLD29" s="3"/>
      <c r="CLE29" s="3"/>
      <c r="CLF29" s="3"/>
      <c r="CLG29" s="3"/>
      <c r="CLH29" s="3"/>
      <c r="CLI29" s="3"/>
      <c r="CLJ29" s="3"/>
      <c r="CLK29" s="3"/>
      <c r="CLL29" s="3"/>
      <c r="CLM29" s="3"/>
      <c r="CLN29" s="3"/>
      <c r="CLO29" s="3"/>
      <c r="CLP29" s="3"/>
      <c r="CLQ29" s="3"/>
      <c r="CLR29" s="3"/>
      <c r="CLS29" s="3"/>
      <c r="CLT29" s="3"/>
      <c r="CLU29" s="3"/>
      <c r="CLV29" s="3"/>
      <c r="CLW29" s="3"/>
      <c r="CLX29" s="3"/>
      <c r="CLY29" s="3"/>
      <c r="CLZ29" s="3"/>
      <c r="CMA29" s="3"/>
      <c r="CMB29" s="3"/>
      <c r="CMC29" s="3"/>
      <c r="CMD29" s="3"/>
      <c r="CME29" s="3"/>
      <c r="CMF29" s="3"/>
      <c r="CMG29" s="3"/>
      <c r="CMH29" s="3"/>
      <c r="CMI29" s="3"/>
      <c r="CMJ29" s="3"/>
      <c r="CMK29" s="3"/>
      <c r="CML29" s="3"/>
      <c r="CMM29" s="3"/>
      <c r="CMN29" s="3"/>
      <c r="CMO29" s="3"/>
      <c r="CMP29" s="3"/>
      <c r="CMQ29" s="3"/>
      <c r="CMR29" s="3"/>
      <c r="CMS29" s="3"/>
      <c r="CMT29" s="3"/>
      <c r="CMU29" s="3"/>
      <c r="CMV29" s="3"/>
      <c r="CMW29" s="3"/>
      <c r="CMX29" s="3"/>
      <c r="CMY29" s="3"/>
      <c r="CMZ29" s="3"/>
      <c r="CNA29" s="3"/>
      <c r="CNB29" s="3"/>
      <c r="CNC29" s="3"/>
      <c r="CND29" s="3"/>
      <c r="CNE29" s="3"/>
      <c r="CNF29" s="3"/>
      <c r="CNG29" s="3"/>
      <c r="CNH29" s="3"/>
      <c r="CNI29" s="3"/>
      <c r="CNJ29" s="3"/>
      <c r="CNK29" s="3"/>
      <c r="CNL29" s="3"/>
      <c r="CNM29" s="3"/>
      <c r="CNN29" s="3"/>
      <c r="CNO29" s="3"/>
      <c r="CNP29" s="3"/>
      <c r="CNQ29" s="3"/>
      <c r="CNR29" s="3"/>
      <c r="CNS29" s="3"/>
      <c r="CNT29" s="3"/>
      <c r="CNU29" s="3"/>
      <c r="CNV29" s="3"/>
      <c r="CNW29" s="3"/>
      <c r="CNX29" s="3"/>
      <c r="CNY29" s="3"/>
      <c r="CNZ29" s="3"/>
      <c r="COA29" s="3"/>
      <c r="COB29" s="3"/>
      <c r="COC29" s="3"/>
      <c r="COD29" s="3"/>
      <c r="COE29" s="3"/>
      <c r="COF29" s="3"/>
      <c r="COG29" s="3"/>
      <c r="COH29" s="3"/>
      <c r="COI29" s="3"/>
      <c r="COJ29" s="3"/>
      <c r="COK29" s="3"/>
      <c r="COL29" s="3"/>
      <c r="COM29" s="3"/>
      <c r="CON29" s="3"/>
      <c r="COO29" s="3"/>
      <c r="COP29" s="3"/>
      <c r="COQ29" s="3"/>
      <c r="COR29" s="3"/>
      <c r="COS29" s="3"/>
      <c r="COT29" s="3"/>
      <c r="COU29" s="3"/>
      <c r="COV29" s="3"/>
      <c r="COW29" s="3"/>
      <c r="COX29" s="3"/>
      <c r="COY29" s="3"/>
      <c r="COZ29" s="3"/>
      <c r="CPA29" s="3"/>
      <c r="CPB29" s="3"/>
      <c r="CPC29" s="3"/>
      <c r="CPD29" s="3"/>
      <c r="CPE29" s="3"/>
      <c r="CPF29" s="3"/>
      <c r="CPG29" s="3"/>
      <c r="CPH29" s="3"/>
      <c r="CPI29" s="3"/>
      <c r="CPJ29" s="3"/>
      <c r="CPK29" s="3"/>
      <c r="CPL29" s="3"/>
      <c r="CPM29" s="3"/>
      <c r="CPN29" s="3"/>
      <c r="CPO29" s="3"/>
      <c r="CPP29" s="3"/>
      <c r="CPQ29" s="3"/>
      <c r="CPR29" s="3"/>
      <c r="CPS29" s="3"/>
      <c r="CPT29" s="3"/>
      <c r="CPU29" s="3"/>
      <c r="CPV29" s="3"/>
      <c r="CPW29" s="3"/>
      <c r="CPX29" s="3"/>
      <c r="CPY29" s="3"/>
      <c r="CPZ29" s="3"/>
      <c r="CQA29" s="3"/>
      <c r="CQB29" s="3"/>
      <c r="CQC29" s="3"/>
      <c r="CQD29" s="3"/>
      <c r="CQE29" s="3"/>
      <c r="CQF29" s="3"/>
      <c r="CQG29" s="3"/>
      <c r="CQH29" s="3"/>
      <c r="CQI29" s="3"/>
      <c r="CQJ29" s="3"/>
      <c r="CQK29" s="3"/>
      <c r="CQL29" s="3"/>
      <c r="CQM29" s="3"/>
      <c r="CQN29" s="3"/>
      <c r="CQO29" s="3"/>
      <c r="CQP29" s="3"/>
      <c r="CQQ29" s="3"/>
      <c r="CQR29" s="3"/>
      <c r="CQS29" s="3"/>
      <c r="CQT29" s="3"/>
      <c r="CQU29" s="3"/>
      <c r="CQV29" s="3"/>
      <c r="CQW29" s="3"/>
      <c r="CQX29" s="3"/>
      <c r="CQY29" s="3"/>
      <c r="CQZ29" s="3"/>
      <c r="CRA29" s="3"/>
      <c r="CRB29" s="3"/>
      <c r="CRC29" s="3"/>
      <c r="CRD29" s="3"/>
      <c r="CRE29" s="3"/>
      <c r="CRF29" s="3"/>
      <c r="CRG29" s="3"/>
      <c r="CRH29" s="3"/>
      <c r="CRI29" s="3"/>
      <c r="CRJ29" s="3"/>
      <c r="CRK29" s="3"/>
      <c r="CRL29" s="3"/>
      <c r="CRM29" s="3"/>
      <c r="CRN29" s="3"/>
      <c r="CRO29" s="3"/>
      <c r="CRP29" s="3"/>
      <c r="CRQ29" s="3"/>
      <c r="CRR29" s="3"/>
      <c r="CRS29" s="3"/>
      <c r="CRT29" s="3"/>
      <c r="CRU29" s="3"/>
      <c r="CRV29" s="3"/>
      <c r="CRW29" s="3"/>
      <c r="CRX29" s="3"/>
      <c r="CRY29" s="3"/>
      <c r="CRZ29" s="3"/>
      <c r="CSA29" s="3"/>
      <c r="CSB29" s="3"/>
      <c r="CSC29" s="3"/>
      <c r="CSD29" s="3"/>
      <c r="CSE29" s="3"/>
      <c r="CSF29" s="3"/>
      <c r="CSG29" s="3"/>
      <c r="CSH29" s="3"/>
      <c r="CSI29" s="3"/>
      <c r="CSJ29" s="3"/>
      <c r="CSK29" s="3"/>
      <c r="CSL29" s="3"/>
      <c r="CSM29" s="3"/>
      <c r="CSN29" s="3"/>
      <c r="CSO29" s="3"/>
      <c r="CSP29" s="3"/>
      <c r="CSQ29" s="3"/>
      <c r="CSR29" s="3"/>
      <c r="CSS29" s="3"/>
      <c r="CST29" s="3"/>
      <c r="CSU29" s="3"/>
      <c r="CSV29" s="3"/>
      <c r="CSW29" s="3"/>
      <c r="CSX29" s="3"/>
      <c r="CSY29" s="3"/>
      <c r="CSZ29" s="3"/>
      <c r="CTA29" s="3"/>
      <c r="CTB29" s="3"/>
      <c r="CTC29" s="3"/>
      <c r="CTD29" s="3"/>
      <c r="CTE29" s="3"/>
      <c r="CTF29" s="3"/>
      <c r="CTG29" s="3"/>
      <c r="CTH29" s="3"/>
      <c r="CTI29" s="3"/>
      <c r="CTJ29" s="3"/>
      <c r="CTK29" s="3"/>
      <c r="CTL29" s="3"/>
      <c r="CTM29" s="3"/>
      <c r="CTN29" s="3"/>
      <c r="CTO29" s="3"/>
      <c r="CTP29" s="3"/>
      <c r="CTQ29" s="3"/>
      <c r="CTR29" s="3"/>
      <c r="CTS29" s="3"/>
      <c r="CTT29" s="3"/>
      <c r="CTU29" s="3"/>
      <c r="CTV29" s="3"/>
      <c r="CTW29" s="3"/>
      <c r="CTX29" s="3"/>
      <c r="CTY29" s="3"/>
      <c r="CTZ29" s="3"/>
      <c r="CUA29" s="3"/>
      <c r="CUB29" s="3"/>
      <c r="CUC29" s="3"/>
      <c r="CUD29" s="3"/>
      <c r="CUE29" s="3"/>
      <c r="CUF29" s="3"/>
      <c r="CUG29" s="3"/>
      <c r="CUH29" s="3"/>
      <c r="CUI29" s="3"/>
      <c r="CUJ29" s="3"/>
      <c r="CUK29" s="3"/>
      <c r="CUL29" s="3"/>
      <c r="CUM29" s="3"/>
      <c r="CUN29" s="3"/>
      <c r="CUO29" s="3"/>
      <c r="CUP29" s="3"/>
      <c r="CUQ29" s="3"/>
      <c r="CUR29" s="3"/>
      <c r="CUS29" s="3"/>
      <c r="CUT29" s="3"/>
      <c r="CUU29" s="3"/>
      <c r="CUV29" s="3"/>
      <c r="CUW29" s="3"/>
      <c r="CUX29" s="3"/>
      <c r="CUY29" s="3"/>
      <c r="CUZ29" s="3"/>
      <c r="CVA29" s="3"/>
      <c r="CVB29" s="3"/>
      <c r="CVC29" s="3"/>
      <c r="CVD29" s="3"/>
      <c r="CVE29" s="3"/>
      <c r="CVF29" s="3"/>
      <c r="CVG29" s="3"/>
      <c r="CVH29" s="3"/>
      <c r="CVI29" s="3"/>
      <c r="CVJ29" s="3"/>
      <c r="CVK29" s="3"/>
      <c r="CVL29" s="3"/>
      <c r="CVM29" s="3"/>
      <c r="CVN29" s="3"/>
      <c r="CVO29" s="3"/>
      <c r="CVP29" s="3"/>
      <c r="CVQ29" s="3"/>
      <c r="CVR29" s="3"/>
      <c r="CVS29" s="3"/>
      <c r="CVT29" s="3"/>
      <c r="CVU29" s="3"/>
      <c r="CVV29" s="3"/>
      <c r="CVW29" s="3"/>
      <c r="CVX29" s="3"/>
      <c r="CVY29" s="3"/>
      <c r="CVZ29" s="3"/>
      <c r="CWA29" s="3"/>
      <c r="CWB29" s="3"/>
      <c r="CWC29" s="3"/>
      <c r="CWD29" s="3"/>
      <c r="CWE29" s="3"/>
      <c r="CWF29" s="3"/>
      <c r="CWG29" s="3"/>
      <c r="CWH29" s="3"/>
      <c r="CWI29" s="3"/>
      <c r="CWJ29" s="3"/>
      <c r="CWK29" s="3"/>
      <c r="CWL29" s="3"/>
      <c r="CWM29" s="3"/>
      <c r="CWN29" s="3"/>
      <c r="CWO29" s="3"/>
      <c r="CWP29" s="3"/>
      <c r="CWQ29" s="3"/>
      <c r="CWR29" s="3"/>
      <c r="CWS29" s="3"/>
      <c r="CWT29" s="3"/>
      <c r="CWU29" s="3"/>
      <c r="CWV29" s="3"/>
      <c r="CWW29" s="3"/>
      <c r="CWX29" s="3"/>
      <c r="CWY29" s="3"/>
      <c r="CWZ29" s="3"/>
      <c r="CXA29" s="3"/>
      <c r="CXB29" s="3"/>
      <c r="CXC29" s="3"/>
      <c r="CXD29" s="3"/>
      <c r="CXE29" s="3"/>
      <c r="CXF29" s="3"/>
      <c r="CXG29" s="3"/>
      <c r="CXH29" s="3"/>
      <c r="CXI29" s="3"/>
      <c r="CXJ29" s="3"/>
      <c r="CXK29" s="3"/>
      <c r="CXL29" s="3"/>
      <c r="CXM29" s="3"/>
      <c r="CXN29" s="3"/>
      <c r="CXO29" s="3"/>
      <c r="CXP29" s="3"/>
      <c r="CXQ29" s="3"/>
      <c r="CXR29" s="3"/>
      <c r="CXS29" s="3"/>
      <c r="CXT29" s="3"/>
      <c r="CXU29" s="3"/>
      <c r="CXV29" s="3"/>
      <c r="CXW29" s="3"/>
      <c r="CXX29" s="3"/>
      <c r="CXY29" s="3"/>
      <c r="CXZ29" s="3"/>
      <c r="CYA29" s="3"/>
      <c r="CYB29" s="3"/>
      <c r="CYC29" s="3"/>
      <c r="CYD29" s="3"/>
      <c r="CYE29" s="3"/>
      <c r="CYF29" s="3"/>
      <c r="CYG29" s="3"/>
      <c r="CYH29" s="3"/>
      <c r="CYI29" s="3"/>
      <c r="CYJ29" s="3"/>
      <c r="CYK29" s="3"/>
      <c r="CYL29" s="3"/>
      <c r="CYM29" s="3"/>
      <c r="CYN29" s="3"/>
      <c r="CYO29" s="3"/>
      <c r="CYP29" s="3"/>
      <c r="CYQ29" s="3"/>
      <c r="CYR29" s="3"/>
      <c r="CYS29" s="3"/>
      <c r="CYT29" s="3"/>
      <c r="CYU29" s="3"/>
      <c r="CYV29" s="3"/>
      <c r="CYW29" s="3"/>
      <c r="CYX29" s="3"/>
      <c r="CYY29" s="3"/>
      <c r="CYZ29" s="3"/>
      <c r="CZA29" s="3"/>
      <c r="CZB29" s="3"/>
      <c r="CZC29" s="3"/>
      <c r="CZD29" s="3"/>
      <c r="CZE29" s="3"/>
      <c r="CZF29" s="3"/>
      <c r="CZG29" s="3"/>
      <c r="CZH29" s="3"/>
      <c r="CZI29" s="3"/>
      <c r="CZJ29" s="3"/>
      <c r="CZK29" s="3"/>
      <c r="CZL29" s="3"/>
      <c r="CZM29" s="3"/>
      <c r="CZN29" s="3"/>
      <c r="CZO29" s="3"/>
      <c r="CZP29" s="3"/>
      <c r="CZQ29" s="3"/>
      <c r="CZR29" s="3"/>
      <c r="CZS29" s="3"/>
      <c r="CZT29" s="3"/>
      <c r="CZU29" s="3"/>
      <c r="CZV29" s="3"/>
      <c r="CZW29" s="3"/>
      <c r="CZX29" s="3"/>
      <c r="CZY29" s="3"/>
      <c r="CZZ29" s="3"/>
      <c r="DAA29" s="3"/>
      <c r="DAB29" s="3"/>
      <c r="DAC29" s="3"/>
      <c r="DAD29" s="3"/>
      <c r="DAE29" s="3"/>
      <c r="DAF29" s="3"/>
      <c r="DAG29" s="3"/>
      <c r="DAH29" s="3"/>
      <c r="DAI29" s="3"/>
      <c r="DAJ29" s="3"/>
      <c r="DAK29" s="3"/>
      <c r="DAL29" s="3"/>
      <c r="DAM29" s="3"/>
      <c r="DAN29" s="3"/>
      <c r="DAO29" s="3"/>
      <c r="DAP29" s="3"/>
      <c r="DAQ29" s="3"/>
      <c r="DAR29" s="3"/>
      <c r="DAS29" s="3"/>
      <c r="DAT29" s="3"/>
      <c r="DAU29" s="3"/>
      <c r="DAV29" s="3"/>
      <c r="DAW29" s="3"/>
      <c r="DAX29" s="3"/>
      <c r="DAY29" s="3"/>
      <c r="DAZ29" s="3"/>
      <c r="DBA29" s="3"/>
      <c r="DBB29" s="3"/>
      <c r="DBC29" s="3"/>
      <c r="DBD29" s="3"/>
      <c r="DBE29" s="3"/>
      <c r="DBF29" s="3"/>
      <c r="DBG29" s="3"/>
      <c r="DBH29" s="3"/>
      <c r="DBI29" s="3"/>
      <c r="DBJ29" s="3"/>
      <c r="DBK29" s="3"/>
      <c r="DBL29" s="3"/>
      <c r="DBM29" s="3"/>
      <c r="DBN29" s="3"/>
      <c r="DBO29" s="3"/>
      <c r="DBP29" s="3"/>
      <c r="DBQ29" s="3"/>
      <c r="DBR29" s="3"/>
      <c r="DBS29" s="3"/>
      <c r="DBT29" s="3"/>
      <c r="DBU29" s="3"/>
      <c r="DBV29" s="3"/>
      <c r="DBW29" s="3"/>
      <c r="DBX29" s="3"/>
      <c r="DBY29" s="3"/>
      <c r="DBZ29" s="3"/>
      <c r="DCA29" s="3"/>
      <c r="DCB29" s="3"/>
      <c r="DCC29" s="3"/>
      <c r="DCD29" s="3"/>
      <c r="DCE29" s="3"/>
      <c r="DCF29" s="3"/>
      <c r="DCG29" s="3"/>
      <c r="DCH29" s="3"/>
      <c r="DCI29" s="3"/>
      <c r="DCJ29" s="3"/>
      <c r="DCK29" s="3"/>
      <c r="DCL29" s="3"/>
      <c r="DCM29" s="3"/>
      <c r="DCN29" s="3"/>
      <c r="DCO29" s="3"/>
      <c r="DCP29" s="3"/>
      <c r="DCQ29" s="3"/>
      <c r="DCR29" s="3"/>
      <c r="DCS29" s="3"/>
      <c r="DCT29" s="3"/>
      <c r="DCU29" s="3"/>
      <c r="DCV29" s="3"/>
      <c r="DCW29" s="3"/>
      <c r="DCX29" s="3"/>
      <c r="DCY29" s="3"/>
      <c r="DCZ29" s="3"/>
      <c r="DDA29" s="3"/>
      <c r="DDB29" s="3"/>
      <c r="DDC29" s="3"/>
      <c r="DDD29" s="3"/>
      <c r="DDE29" s="3"/>
      <c r="DDF29" s="3"/>
      <c r="DDG29" s="3"/>
      <c r="DDH29" s="3"/>
      <c r="DDI29" s="3"/>
      <c r="DDJ29" s="3"/>
      <c r="DDK29" s="3"/>
      <c r="DDL29" s="3"/>
      <c r="DDM29" s="3"/>
      <c r="DDN29" s="3"/>
      <c r="DDO29" s="3"/>
      <c r="DDP29" s="3"/>
      <c r="DDQ29" s="3"/>
      <c r="DDR29" s="3"/>
      <c r="DDS29" s="3"/>
      <c r="DDT29" s="3"/>
      <c r="DDU29" s="3"/>
      <c r="DDV29" s="3"/>
      <c r="DDW29" s="3"/>
      <c r="DDX29" s="3"/>
      <c r="DDY29" s="3"/>
      <c r="DDZ29" s="3"/>
      <c r="DEA29" s="3"/>
      <c r="DEB29" s="3"/>
      <c r="DEC29" s="3"/>
      <c r="DED29" s="3"/>
      <c r="DEE29" s="3"/>
      <c r="DEF29" s="3"/>
      <c r="DEG29" s="3"/>
      <c r="DEH29" s="3"/>
      <c r="DEI29" s="3"/>
      <c r="DEJ29" s="3"/>
      <c r="DEK29" s="3"/>
      <c r="DEL29" s="3"/>
      <c r="DEM29" s="3"/>
      <c r="DEN29" s="3"/>
      <c r="DEO29" s="3"/>
      <c r="DEP29" s="3"/>
      <c r="DEQ29" s="3"/>
      <c r="DER29" s="3"/>
      <c r="DES29" s="3"/>
      <c r="DET29" s="3"/>
      <c r="DEU29" s="3"/>
      <c r="DEV29" s="3"/>
      <c r="DEW29" s="3"/>
      <c r="DEX29" s="3"/>
      <c r="DEY29" s="3"/>
      <c r="DEZ29" s="3"/>
      <c r="DFA29" s="3"/>
      <c r="DFB29" s="3"/>
      <c r="DFC29" s="3"/>
      <c r="DFD29" s="3"/>
      <c r="DFE29" s="3"/>
      <c r="DFF29" s="3"/>
      <c r="DFG29" s="3"/>
      <c r="DFH29" s="3"/>
      <c r="DFI29" s="3"/>
      <c r="DFJ29" s="3"/>
      <c r="DFK29" s="3"/>
      <c r="DFL29" s="3"/>
      <c r="DFM29" s="3"/>
      <c r="DFN29" s="3"/>
      <c r="DFO29" s="3"/>
      <c r="DFP29" s="3"/>
      <c r="DFQ29" s="3"/>
      <c r="DFR29" s="3"/>
      <c r="DFS29" s="3"/>
      <c r="DFT29" s="3"/>
      <c r="DFU29" s="3"/>
      <c r="DFV29" s="3"/>
      <c r="DFW29" s="3"/>
      <c r="DFX29" s="3"/>
      <c r="DFY29" s="3"/>
      <c r="DFZ29" s="3"/>
      <c r="DGA29" s="3"/>
      <c r="DGB29" s="3"/>
      <c r="DGC29" s="3"/>
      <c r="DGD29" s="3"/>
      <c r="DGE29" s="3"/>
      <c r="DGF29" s="3"/>
      <c r="DGG29" s="3"/>
      <c r="DGH29" s="3"/>
      <c r="DGI29" s="3"/>
      <c r="DGJ29" s="3"/>
      <c r="DGK29" s="3"/>
      <c r="DGL29" s="3"/>
      <c r="DGM29" s="3"/>
      <c r="DGN29" s="3"/>
      <c r="DGO29" s="3"/>
      <c r="DGP29" s="3"/>
      <c r="DGQ29" s="3"/>
      <c r="DGR29" s="3"/>
      <c r="DGS29" s="3"/>
      <c r="DGT29" s="3"/>
      <c r="DGU29" s="3"/>
      <c r="DGV29" s="3"/>
      <c r="DGW29" s="3"/>
      <c r="DGX29" s="3"/>
      <c r="DGY29" s="3"/>
      <c r="DGZ29" s="3"/>
      <c r="DHA29" s="3"/>
      <c r="DHB29" s="3"/>
      <c r="DHC29" s="3"/>
      <c r="DHD29" s="3"/>
      <c r="DHE29" s="3"/>
      <c r="DHF29" s="3"/>
      <c r="DHG29" s="3"/>
      <c r="DHH29" s="3"/>
      <c r="DHI29" s="3"/>
      <c r="DHJ29" s="3"/>
      <c r="DHK29" s="3"/>
      <c r="DHL29" s="3"/>
      <c r="DHM29" s="3"/>
      <c r="DHN29" s="3"/>
      <c r="DHO29" s="3"/>
      <c r="DHP29" s="3"/>
      <c r="DHQ29" s="3"/>
      <c r="DHR29" s="3"/>
      <c r="DHS29" s="3"/>
      <c r="DHT29" s="3"/>
      <c r="DHU29" s="3"/>
      <c r="DHV29" s="3"/>
      <c r="DHW29" s="3"/>
      <c r="DHX29" s="3"/>
      <c r="DHY29" s="3"/>
      <c r="DHZ29" s="3"/>
      <c r="DIA29" s="3"/>
      <c r="DIB29" s="3"/>
      <c r="DIC29" s="3"/>
      <c r="DID29" s="3"/>
      <c r="DIE29" s="3"/>
      <c r="DIF29" s="3"/>
      <c r="DIG29" s="3"/>
      <c r="DIH29" s="3"/>
      <c r="DII29" s="3"/>
      <c r="DIJ29" s="3"/>
      <c r="DIK29" s="3"/>
      <c r="DIL29" s="3"/>
      <c r="DIM29" s="3"/>
      <c r="DIN29" s="3"/>
      <c r="DIO29" s="3"/>
      <c r="DIP29" s="3"/>
      <c r="DIQ29" s="3"/>
      <c r="DIR29" s="3"/>
      <c r="DIS29" s="3"/>
      <c r="DIT29" s="3"/>
      <c r="DIU29" s="3"/>
      <c r="DIV29" s="3"/>
      <c r="DIW29" s="3"/>
      <c r="DIX29" s="3"/>
      <c r="DIY29" s="3"/>
      <c r="DIZ29" s="3"/>
      <c r="DJA29" s="3"/>
      <c r="DJB29" s="3"/>
      <c r="DJC29" s="3"/>
      <c r="DJD29" s="3"/>
      <c r="DJE29" s="3"/>
      <c r="DJF29" s="3"/>
      <c r="DJG29" s="3"/>
      <c r="DJH29" s="3"/>
      <c r="DJI29" s="3"/>
      <c r="DJJ29" s="3"/>
      <c r="DJK29" s="3"/>
      <c r="DJL29" s="3"/>
      <c r="DJM29" s="3"/>
      <c r="DJN29" s="3"/>
      <c r="DJO29" s="3"/>
      <c r="DJP29" s="3"/>
      <c r="DJQ29" s="3"/>
      <c r="DJR29" s="3"/>
      <c r="DJS29" s="3"/>
      <c r="DJT29" s="3"/>
      <c r="DJU29" s="3"/>
      <c r="DJV29" s="3"/>
      <c r="DJW29" s="3"/>
      <c r="DJX29" s="3"/>
      <c r="DJY29" s="3"/>
      <c r="DJZ29" s="3"/>
      <c r="DKA29" s="3"/>
      <c r="DKB29" s="3"/>
      <c r="DKC29" s="3"/>
      <c r="DKD29" s="3"/>
      <c r="DKE29" s="3"/>
      <c r="DKF29" s="3"/>
      <c r="DKG29" s="3"/>
      <c r="DKH29" s="3"/>
      <c r="DKI29" s="3"/>
      <c r="DKJ29" s="3"/>
      <c r="DKK29" s="3"/>
      <c r="DKL29" s="3"/>
      <c r="DKM29" s="3"/>
      <c r="DKN29" s="3"/>
      <c r="DKO29" s="3"/>
      <c r="DKP29" s="3"/>
      <c r="DKQ29" s="3"/>
      <c r="DKR29" s="3"/>
      <c r="DKS29" s="3"/>
      <c r="DKT29" s="3"/>
      <c r="DKU29" s="3"/>
      <c r="DKV29" s="3"/>
      <c r="DKW29" s="3"/>
      <c r="DKX29" s="3"/>
      <c r="DKY29" s="3"/>
      <c r="DKZ29" s="3"/>
      <c r="DLA29" s="3"/>
      <c r="DLB29" s="3"/>
      <c r="DLC29" s="3"/>
      <c r="DLD29" s="3"/>
      <c r="DLE29" s="3"/>
      <c r="DLF29" s="3"/>
      <c r="DLG29" s="3"/>
      <c r="DLH29" s="3"/>
      <c r="DLI29" s="3"/>
      <c r="DLJ29" s="3"/>
      <c r="DLK29" s="3"/>
      <c r="DLL29" s="3"/>
      <c r="DLM29" s="3"/>
      <c r="DLN29" s="3"/>
      <c r="DLO29" s="3"/>
      <c r="DLP29" s="3"/>
      <c r="DLQ29" s="3"/>
      <c r="DLR29" s="3"/>
      <c r="DLS29" s="3"/>
      <c r="DLT29" s="3"/>
      <c r="DLU29" s="3"/>
      <c r="DLV29" s="3"/>
      <c r="DLW29" s="3"/>
      <c r="DLX29" s="3"/>
      <c r="DLY29" s="3"/>
      <c r="DLZ29" s="3"/>
      <c r="DMA29" s="3"/>
      <c r="DMB29" s="3"/>
      <c r="DMC29" s="3"/>
      <c r="DMD29" s="3"/>
      <c r="DME29" s="3"/>
      <c r="DMF29" s="3"/>
      <c r="DMG29" s="3"/>
      <c r="DMH29" s="3"/>
      <c r="DMI29" s="3"/>
      <c r="DMJ29" s="3"/>
      <c r="DMK29" s="3"/>
      <c r="DML29" s="3"/>
      <c r="DMM29" s="3"/>
      <c r="DMN29" s="3"/>
      <c r="DMO29" s="3"/>
      <c r="DMP29" s="3"/>
      <c r="DMQ29" s="3"/>
      <c r="DMR29" s="3"/>
      <c r="DMS29" s="3"/>
      <c r="DMT29" s="3"/>
      <c r="DMU29" s="3"/>
      <c r="DMV29" s="3"/>
      <c r="DMW29" s="3"/>
      <c r="DMX29" s="3"/>
      <c r="DMY29" s="3"/>
      <c r="DMZ29" s="3"/>
      <c r="DNA29" s="3"/>
      <c r="DNB29" s="3"/>
      <c r="DNC29" s="3"/>
      <c r="DND29" s="3"/>
      <c r="DNE29" s="3"/>
      <c r="DNF29" s="3"/>
      <c r="DNG29" s="3"/>
      <c r="DNH29" s="3"/>
      <c r="DNI29" s="3"/>
      <c r="DNJ29" s="3"/>
      <c r="DNK29" s="3"/>
      <c r="DNL29" s="3"/>
      <c r="DNM29" s="3"/>
      <c r="DNN29" s="3"/>
      <c r="DNO29" s="3"/>
      <c r="DNP29" s="3"/>
      <c r="DNQ29" s="3"/>
      <c r="DNR29" s="3"/>
      <c r="DNS29" s="3"/>
      <c r="DNT29" s="3"/>
      <c r="DNU29" s="3"/>
      <c r="DNV29" s="3"/>
      <c r="DNW29" s="3"/>
      <c r="DNX29" s="3"/>
      <c r="DNY29" s="3"/>
      <c r="DNZ29" s="3"/>
      <c r="DOA29" s="3"/>
      <c r="DOB29" s="3"/>
      <c r="DOC29" s="3"/>
      <c r="DOD29" s="3"/>
      <c r="DOE29" s="3"/>
      <c r="DOF29" s="3"/>
      <c r="DOG29" s="3"/>
      <c r="DOH29" s="3"/>
      <c r="DOI29" s="3"/>
      <c r="DOJ29" s="3"/>
      <c r="DOK29" s="3"/>
      <c r="DOL29" s="3"/>
      <c r="DOM29" s="3"/>
      <c r="DON29" s="3"/>
      <c r="DOO29" s="3"/>
      <c r="DOP29" s="3"/>
      <c r="DOQ29" s="3"/>
      <c r="DOR29" s="3"/>
      <c r="DOS29" s="3"/>
      <c r="DOT29" s="3"/>
      <c r="DOU29" s="3"/>
      <c r="DOV29" s="3"/>
      <c r="DOW29" s="3"/>
      <c r="DOX29" s="3"/>
      <c r="DOY29" s="3"/>
      <c r="DOZ29" s="3"/>
      <c r="DPA29" s="3"/>
      <c r="DPB29" s="3"/>
      <c r="DPC29" s="3"/>
      <c r="DPD29" s="3"/>
      <c r="DPE29" s="3"/>
      <c r="DPF29" s="3"/>
      <c r="DPG29" s="3"/>
      <c r="DPH29" s="3"/>
      <c r="DPI29" s="3"/>
      <c r="DPJ29" s="3"/>
      <c r="DPK29" s="3"/>
      <c r="DPL29" s="3"/>
      <c r="DPM29" s="3"/>
      <c r="DPN29" s="3"/>
      <c r="DPO29" s="3"/>
      <c r="DPP29" s="3"/>
      <c r="DPQ29" s="3"/>
      <c r="DPR29" s="3"/>
      <c r="DPS29" s="3"/>
      <c r="DPT29" s="3"/>
      <c r="DPU29" s="3"/>
      <c r="DPV29" s="3"/>
      <c r="DPW29" s="3"/>
      <c r="DPX29" s="3"/>
      <c r="DPY29" s="3"/>
      <c r="DPZ29" s="3"/>
      <c r="DQA29" s="3"/>
      <c r="DQB29" s="3"/>
      <c r="DQC29" s="3"/>
      <c r="DQD29" s="3"/>
      <c r="DQE29" s="3"/>
      <c r="DQF29" s="3"/>
      <c r="DQG29" s="3"/>
      <c r="DQH29" s="3"/>
      <c r="DQI29" s="3"/>
      <c r="DQJ29" s="3"/>
      <c r="DQK29" s="3"/>
      <c r="DQL29" s="3"/>
      <c r="DQM29" s="3"/>
      <c r="DQN29" s="3"/>
      <c r="DQO29" s="3"/>
      <c r="DQP29" s="3"/>
      <c r="DQQ29" s="3"/>
      <c r="DQR29" s="3"/>
      <c r="DQS29" s="3"/>
      <c r="DQT29" s="3"/>
      <c r="DQU29" s="3"/>
      <c r="DQV29" s="3"/>
      <c r="DQW29" s="3"/>
      <c r="DQX29" s="3"/>
      <c r="DQY29" s="3"/>
      <c r="DQZ29" s="3"/>
      <c r="DRA29" s="3"/>
      <c r="DRB29" s="3"/>
      <c r="DRC29" s="3"/>
      <c r="DRD29" s="3"/>
      <c r="DRE29" s="3"/>
      <c r="DRF29" s="3"/>
      <c r="DRG29" s="3"/>
      <c r="DRH29" s="3"/>
      <c r="DRI29" s="3"/>
      <c r="DRJ29" s="3"/>
      <c r="DRK29" s="3"/>
      <c r="DRL29" s="3"/>
      <c r="DRM29" s="3"/>
      <c r="DRN29" s="3"/>
      <c r="DRO29" s="3"/>
      <c r="DRP29" s="3"/>
      <c r="DRQ29" s="3"/>
      <c r="DRR29" s="3"/>
      <c r="DRS29" s="3"/>
      <c r="DRT29" s="3"/>
      <c r="DRU29" s="3"/>
      <c r="DRV29" s="3"/>
      <c r="DRW29" s="3"/>
      <c r="DRX29" s="3"/>
      <c r="DRY29" s="3"/>
      <c r="DRZ29" s="3"/>
      <c r="DSA29" s="3"/>
      <c r="DSB29" s="3"/>
      <c r="DSC29" s="3"/>
      <c r="DSD29" s="3"/>
      <c r="DSE29" s="3"/>
      <c r="DSF29" s="3"/>
      <c r="DSG29" s="3"/>
      <c r="DSH29" s="3"/>
      <c r="DSI29" s="3"/>
      <c r="DSJ29" s="3"/>
      <c r="DSK29" s="3"/>
      <c r="DSL29" s="3"/>
      <c r="DSM29" s="3"/>
      <c r="DSN29" s="3"/>
      <c r="DSO29" s="3"/>
      <c r="DSP29" s="3"/>
      <c r="DSQ29" s="3"/>
      <c r="DSR29" s="3"/>
      <c r="DSS29" s="3"/>
      <c r="DST29" s="3"/>
      <c r="DSU29" s="3"/>
      <c r="DSV29" s="3"/>
      <c r="DSW29" s="3"/>
      <c r="DSX29" s="3"/>
      <c r="DSY29" s="3"/>
      <c r="DSZ29" s="3"/>
      <c r="DTA29" s="3"/>
      <c r="DTB29" s="3"/>
      <c r="DTC29" s="3"/>
      <c r="DTD29" s="3"/>
      <c r="DTE29" s="3"/>
      <c r="DTF29" s="3"/>
      <c r="DTG29" s="3"/>
      <c r="DTH29" s="3"/>
      <c r="DTI29" s="3"/>
      <c r="DTJ29" s="3"/>
      <c r="DTK29" s="3"/>
      <c r="DTL29" s="3"/>
      <c r="DTM29" s="3"/>
      <c r="DTN29" s="3"/>
      <c r="DTO29" s="3"/>
      <c r="DTP29" s="3"/>
      <c r="DTQ29" s="3"/>
      <c r="DTR29" s="3"/>
      <c r="DTS29" s="3"/>
      <c r="DTT29" s="3"/>
      <c r="DTU29" s="3"/>
      <c r="DTV29" s="3"/>
      <c r="DTW29" s="3"/>
      <c r="DTX29" s="3"/>
      <c r="DTY29" s="3"/>
      <c r="DTZ29" s="3"/>
      <c r="DUA29" s="3"/>
      <c r="DUB29" s="3"/>
      <c r="DUC29" s="3"/>
      <c r="DUD29" s="3"/>
      <c r="DUE29" s="3"/>
      <c r="DUF29" s="3"/>
      <c r="DUG29" s="3"/>
      <c r="DUH29" s="3"/>
      <c r="DUI29" s="3"/>
      <c r="DUJ29" s="3"/>
      <c r="DUK29" s="3"/>
      <c r="DUL29" s="3"/>
      <c r="DUM29" s="3"/>
      <c r="DUN29" s="3"/>
      <c r="DUO29" s="3"/>
      <c r="DUP29" s="3"/>
      <c r="DUQ29" s="3"/>
      <c r="DUR29" s="3"/>
      <c r="DUS29" s="3"/>
      <c r="DUT29" s="3"/>
      <c r="DUU29" s="3"/>
      <c r="DUV29" s="3"/>
      <c r="DUW29" s="3"/>
      <c r="DUX29" s="3"/>
      <c r="DUY29" s="3"/>
      <c r="DUZ29" s="3"/>
      <c r="DVA29" s="3"/>
      <c r="DVB29" s="3"/>
      <c r="DVC29" s="3"/>
      <c r="DVD29" s="3"/>
      <c r="DVE29" s="3"/>
      <c r="DVF29" s="3"/>
      <c r="DVG29" s="3"/>
      <c r="DVH29" s="3"/>
      <c r="DVI29" s="3"/>
      <c r="DVJ29" s="3"/>
      <c r="DVK29" s="3"/>
      <c r="DVL29" s="3"/>
      <c r="DVM29" s="3"/>
      <c r="DVN29" s="3"/>
      <c r="DVO29" s="3"/>
      <c r="DVP29" s="3"/>
      <c r="DVQ29" s="3"/>
      <c r="DVR29" s="3"/>
      <c r="DVS29" s="3"/>
      <c r="DVT29" s="3"/>
      <c r="DVU29" s="3"/>
      <c r="DVV29" s="3"/>
      <c r="DVW29" s="3"/>
      <c r="DVX29" s="3"/>
      <c r="DVY29" s="3"/>
      <c r="DVZ29" s="3"/>
      <c r="DWA29" s="3"/>
      <c r="DWB29" s="3"/>
      <c r="DWC29" s="3"/>
      <c r="DWD29" s="3"/>
      <c r="DWE29" s="3"/>
      <c r="DWF29" s="3"/>
      <c r="DWG29" s="3"/>
      <c r="DWH29" s="3"/>
      <c r="DWI29" s="3"/>
      <c r="DWJ29" s="3"/>
      <c r="DWK29" s="3"/>
      <c r="DWL29" s="3"/>
      <c r="DWM29" s="3"/>
      <c r="DWN29" s="3"/>
      <c r="DWO29" s="3"/>
      <c r="DWP29" s="3"/>
      <c r="DWQ29" s="3"/>
      <c r="DWR29" s="3"/>
      <c r="DWS29" s="3"/>
      <c r="DWT29" s="3"/>
      <c r="DWU29" s="3"/>
      <c r="DWV29" s="3"/>
      <c r="DWW29" s="3"/>
      <c r="DWX29" s="3"/>
      <c r="DWY29" s="3"/>
      <c r="DWZ29" s="3"/>
      <c r="DXA29" s="3"/>
      <c r="DXB29" s="3"/>
      <c r="DXC29" s="3"/>
      <c r="DXD29" s="3"/>
      <c r="DXE29" s="3"/>
      <c r="DXF29" s="3"/>
      <c r="DXG29" s="3"/>
      <c r="DXH29" s="3"/>
      <c r="DXI29" s="3"/>
      <c r="DXJ29" s="3"/>
      <c r="DXK29" s="3"/>
      <c r="DXL29" s="3"/>
      <c r="DXM29" s="3"/>
      <c r="DXN29" s="3"/>
      <c r="DXO29" s="3"/>
      <c r="DXP29" s="3"/>
      <c r="DXQ29" s="3"/>
      <c r="DXR29" s="3"/>
      <c r="DXS29" s="3"/>
      <c r="DXT29" s="3"/>
      <c r="DXU29" s="3"/>
      <c r="DXV29" s="3"/>
      <c r="DXW29" s="3"/>
      <c r="DXX29" s="3"/>
      <c r="DXY29" s="3"/>
      <c r="DXZ29" s="3"/>
      <c r="DYA29" s="3"/>
      <c r="DYB29" s="3"/>
      <c r="DYC29" s="3"/>
      <c r="DYD29" s="3"/>
      <c r="DYE29" s="3"/>
      <c r="DYF29" s="3"/>
      <c r="DYG29" s="3"/>
      <c r="DYH29" s="3"/>
      <c r="DYI29" s="3"/>
      <c r="DYJ29" s="3"/>
      <c r="DYK29" s="3"/>
      <c r="DYL29" s="3"/>
      <c r="DYM29" s="3"/>
      <c r="DYN29" s="3"/>
      <c r="DYO29" s="3"/>
      <c r="DYP29" s="3"/>
      <c r="DYQ29" s="3"/>
      <c r="DYR29" s="3"/>
      <c r="DYS29" s="3"/>
      <c r="DYT29" s="3"/>
      <c r="DYU29" s="3"/>
      <c r="DYV29" s="3"/>
      <c r="DYW29" s="3"/>
      <c r="DYX29" s="3"/>
      <c r="DYY29" s="3"/>
      <c r="DYZ29" s="3"/>
      <c r="DZA29" s="3"/>
      <c r="DZB29" s="3"/>
      <c r="DZC29" s="3"/>
      <c r="DZD29" s="3"/>
      <c r="DZE29" s="3"/>
      <c r="DZF29" s="3"/>
      <c r="DZG29" s="3"/>
      <c r="DZH29" s="3"/>
      <c r="DZI29" s="3"/>
      <c r="DZJ29" s="3"/>
      <c r="DZK29" s="3"/>
      <c r="DZL29" s="3"/>
      <c r="DZM29" s="3"/>
      <c r="DZN29" s="3"/>
      <c r="DZO29" s="3"/>
      <c r="DZP29" s="3"/>
      <c r="DZQ29" s="3"/>
      <c r="DZR29" s="3"/>
      <c r="DZS29" s="3"/>
      <c r="DZT29" s="3"/>
      <c r="DZU29" s="3"/>
      <c r="DZV29" s="3"/>
      <c r="DZW29" s="3"/>
      <c r="DZX29" s="3"/>
      <c r="DZY29" s="3"/>
      <c r="DZZ29" s="3"/>
      <c r="EAA29" s="3"/>
      <c r="EAB29" s="3"/>
      <c r="EAC29" s="3"/>
      <c r="EAD29" s="3"/>
      <c r="EAE29" s="3"/>
      <c r="EAF29" s="3"/>
      <c r="EAG29" s="3"/>
      <c r="EAH29" s="3"/>
      <c r="EAI29" s="3"/>
      <c r="EAJ29" s="3"/>
      <c r="EAK29" s="3"/>
      <c r="EAL29" s="3"/>
      <c r="EAM29" s="3"/>
      <c r="EAN29" s="3"/>
      <c r="EAO29" s="3"/>
      <c r="EAP29" s="3"/>
      <c r="EAQ29" s="3"/>
      <c r="EAR29" s="3"/>
      <c r="EAS29" s="3"/>
      <c r="EAT29" s="3"/>
      <c r="EAU29" s="3"/>
      <c r="EAV29" s="3"/>
      <c r="EAW29" s="3"/>
      <c r="EAX29" s="3"/>
      <c r="EAY29" s="3"/>
      <c r="EAZ29" s="3"/>
      <c r="EBA29" s="3"/>
      <c r="EBB29" s="3"/>
      <c r="EBC29" s="3"/>
      <c r="EBD29" s="3"/>
      <c r="EBE29" s="3"/>
      <c r="EBF29" s="3"/>
      <c r="EBG29" s="3"/>
      <c r="EBH29" s="3"/>
      <c r="EBI29" s="3"/>
      <c r="EBJ29" s="3"/>
      <c r="EBK29" s="3"/>
      <c r="EBL29" s="3"/>
      <c r="EBM29" s="3"/>
      <c r="EBN29" s="3"/>
      <c r="EBO29" s="3"/>
      <c r="EBP29" s="3"/>
      <c r="EBQ29" s="3"/>
      <c r="EBR29" s="3"/>
      <c r="EBS29" s="3"/>
      <c r="EBT29" s="3"/>
      <c r="EBU29" s="3"/>
      <c r="EBV29" s="3"/>
      <c r="EBW29" s="3"/>
      <c r="EBX29" s="3"/>
      <c r="EBY29" s="3"/>
      <c r="EBZ29" s="3"/>
      <c r="ECA29" s="3"/>
      <c r="ECB29" s="3"/>
      <c r="ECC29" s="3"/>
      <c r="ECD29" s="3"/>
      <c r="ECE29" s="3"/>
      <c r="ECF29" s="3"/>
      <c r="ECG29" s="3"/>
      <c r="ECH29" s="3"/>
      <c r="ECI29" s="3"/>
      <c r="ECJ29" s="3"/>
      <c r="ECK29" s="3"/>
      <c r="ECL29" s="3"/>
      <c r="ECM29" s="3"/>
      <c r="ECN29" s="3"/>
      <c r="ECO29" s="3"/>
      <c r="ECP29" s="3"/>
      <c r="ECQ29" s="3"/>
      <c r="ECR29" s="3"/>
      <c r="ECS29" s="3"/>
      <c r="ECT29" s="3"/>
      <c r="ECU29" s="3"/>
      <c r="ECV29" s="3"/>
      <c r="ECW29" s="3"/>
      <c r="ECX29" s="3"/>
      <c r="ECY29" s="3"/>
      <c r="ECZ29" s="3"/>
      <c r="EDA29" s="3"/>
      <c r="EDB29" s="3"/>
      <c r="EDC29" s="3"/>
      <c r="EDD29" s="3"/>
      <c r="EDE29" s="3"/>
      <c r="EDF29" s="3"/>
      <c r="EDG29" s="3"/>
      <c r="EDH29" s="3"/>
      <c r="EDI29" s="3"/>
      <c r="EDJ29" s="3"/>
      <c r="EDK29" s="3"/>
      <c r="EDL29" s="3"/>
      <c r="EDM29" s="3"/>
      <c r="EDN29" s="3"/>
      <c r="EDO29" s="3"/>
      <c r="EDP29" s="3"/>
      <c r="EDQ29" s="3"/>
      <c r="EDR29" s="3"/>
      <c r="EDS29" s="3"/>
      <c r="EDT29" s="3"/>
      <c r="EDU29" s="3"/>
      <c r="EDV29" s="3"/>
      <c r="EDW29" s="3"/>
      <c r="EDX29" s="3"/>
      <c r="EDY29" s="3"/>
      <c r="EDZ29" s="3"/>
      <c r="EEA29" s="3"/>
      <c r="EEB29" s="3"/>
      <c r="EEC29" s="3"/>
      <c r="EED29" s="3"/>
      <c r="EEE29" s="3"/>
      <c r="EEF29" s="3"/>
      <c r="EEG29" s="3"/>
      <c r="EEH29" s="3"/>
      <c r="EEI29" s="3"/>
      <c r="EEJ29" s="3"/>
      <c r="EEK29" s="3"/>
      <c r="EEL29" s="3"/>
      <c r="EEM29" s="3"/>
      <c r="EEN29" s="3"/>
      <c r="EEO29" s="3"/>
      <c r="EEP29" s="3"/>
      <c r="EEQ29" s="3"/>
      <c r="EER29" s="3"/>
      <c r="EES29" s="3"/>
      <c r="EET29" s="3"/>
      <c r="EEU29" s="3"/>
      <c r="EEV29" s="3"/>
      <c r="EEW29" s="3"/>
      <c r="EEX29" s="3"/>
      <c r="EEY29" s="3"/>
      <c r="EEZ29" s="3"/>
      <c r="EFA29" s="3"/>
      <c r="EFB29" s="3"/>
      <c r="EFC29" s="3"/>
      <c r="EFD29" s="3"/>
      <c r="EFE29" s="3"/>
      <c r="EFF29" s="3"/>
      <c r="EFG29" s="3"/>
      <c r="EFH29" s="3"/>
      <c r="EFI29" s="3"/>
      <c r="EFJ29" s="3"/>
      <c r="EFK29" s="3"/>
      <c r="EFL29" s="3"/>
      <c r="EFM29" s="3"/>
      <c r="EFN29" s="3"/>
      <c r="EFO29" s="3"/>
      <c r="EFP29" s="3"/>
      <c r="EFQ29" s="3"/>
      <c r="EFR29" s="3"/>
      <c r="EFS29" s="3"/>
      <c r="EFT29" s="3"/>
      <c r="EFU29" s="3"/>
      <c r="EFV29" s="3"/>
      <c r="EFW29" s="3"/>
      <c r="EFX29" s="3"/>
      <c r="EFY29" s="3"/>
      <c r="EFZ29" s="3"/>
      <c r="EGA29" s="3"/>
      <c r="EGB29" s="3"/>
      <c r="EGC29" s="3"/>
      <c r="EGD29" s="3"/>
      <c r="EGE29" s="3"/>
      <c r="EGF29" s="3"/>
      <c r="EGG29" s="3"/>
      <c r="EGH29" s="3"/>
      <c r="EGI29" s="3"/>
      <c r="EGJ29" s="3"/>
      <c r="EGK29" s="3"/>
      <c r="EGL29" s="3"/>
      <c r="EGM29" s="3"/>
      <c r="EGN29" s="3"/>
      <c r="EGO29" s="3"/>
      <c r="EGP29" s="3"/>
      <c r="EGQ29" s="3"/>
      <c r="EGR29" s="3"/>
      <c r="EGS29" s="3"/>
      <c r="EGT29" s="3"/>
      <c r="EGU29" s="3"/>
      <c r="EGV29" s="3"/>
      <c r="EGW29" s="3"/>
      <c r="EGX29" s="3"/>
      <c r="EGY29" s="3"/>
      <c r="EGZ29" s="3"/>
      <c r="EHA29" s="3"/>
      <c r="EHB29" s="3"/>
      <c r="EHC29" s="3"/>
      <c r="EHD29" s="3"/>
      <c r="EHE29" s="3"/>
      <c r="EHF29" s="3"/>
      <c r="EHG29" s="3"/>
      <c r="EHH29" s="3"/>
      <c r="EHI29" s="3"/>
      <c r="EHJ29" s="3"/>
      <c r="EHK29" s="3"/>
      <c r="EHL29" s="3"/>
      <c r="EHM29" s="3"/>
      <c r="EHN29" s="3"/>
      <c r="EHO29" s="3"/>
      <c r="EHP29" s="3"/>
      <c r="EHQ29" s="3"/>
      <c r="EHR29" s="3"/>
      <c r="EHS29" s="3"/>
      <c r="EHT29" s="3"/>
      <c r="EHU29" s="3"/>
      <c r="EHV29" s="3"/>
      <c r="EHW29" s="3"/>
      <c r="EHX29" s="3"/>
      <c r="EHY29" s="3"/>
      <c r="EHZ29" s="3"/>
      <c r="EIA29" s="3"/>
      <c r="EIB29" s="3"/>
      <c r="EIC29" s="3"/>
      <c r="EID29" s="3"/>
      <c r="EIE29" s="3"/>
      <c r="EIF29" s="3"/>
      <c r="EIG29" s="3"/>
      <c r="EIH29" s="3"/>
      <c r="EII29" s="3"/>
      <c r="EIJ29" s="3"/>
      <c r="EIK29" s="3"/>
      <c r="EIL29" s="3"/>
      <c r="EIM29" s="3"/>
      <c r="EIN29" s="3"/>
      <c r="EIO29" s="3"/>
      <c r="EIP29" s="3"/>
      <c r="EIQ29" s="3"/>
      <c r="EIR29" s="3"/>
      <c r="EIS29" s="3"/>
      <c r="EIT29" s="3"/>
      <c r="EIU29" s="3"/>
      <c r="EIV29" s="3"/>
      <c r="EIW29" s="3"/>
      <c r="EIX29" s="3"/>
      <c r="EIY29" s="3"/>
      <c r="EIZ29" s="3"/>
      <c r="EJA29" s="3"/>
      <c r="EJB29" s="3"/>
      <c r="EJC29" s="3"/>
      <c r="EJD29" s="3"/>
      <c r="EJE29" s="3"/>
      <c r="EJF29" s="3"/>
      <c r="EJG29" s="3"/>
      <c r="EJH29" s="3"/>
      <c r="EJI29" s="3"/>
      <c r="EJJ29" s="3"/>
      <c r="EJK29" s="3"/>
      <c r="EJL29" s="3"/>
      <c r="EJM29" s="3"/>
      <c r="EJN29" s="3"/>
      <c r="EJO29" s="3"/>
      <c r="EJP29" s="3"/>
      <c r="EJQ29" s="3"/>
      <c r="EJR29" s="3"/>
      <c r="EJS29" s="3"/>
      <c r="EJT29" s="3"/>
      <c r="EJU29" s="3"/>
      <c r="EJV29" s="3"/>
      <c r="EJW29" s="3"/>
      <c r="EJX29" s="3"/>
      <c r="EJY29" s="3"/>
      <c r="EJZ29" s="3"/>
      <c r="EKA29" s="3"/>
      <c r="EKB29" s="3"/>
      <c r="EKC29" s="3"/>
      <c r="EKD29" s="3"/>
      <c r="EKE29" s="3"/>
      <c r="EKF29" s="3"/>
      <c r="EKG29" s="3"/>
      <c r="EKH29" s="3"/>
      <c r="EKI29" s="3"/>
      <c r="EKJ29" s="3"/>
      <c r="EKK29" s="3"/>
      <c r="EKL29" s="3"/>
      <c r="EKM29" s="3"/>
      <c r="EKN29" s="3"/>
      <c r="EKO29" s="3"/>
      <c r="EKP29" s="3"/>
      <c r="EKQ29" s="3"/>
      <c r="EKR29" s="3"/>
      <c r="EKS29" s="3"/>
      <c r="EKT29" s="3"/>
      <c r="EKU29" s="3"/>
      <c r="EKV29" s="3"/>
      <c r="EKW29" s="3"/>
      <c r="EKX29" s="3"/>
      <c r="EKY29" s="3"/>
      <c r="EKZ29" s="3"/>
      <c r="ELA29" s="3"/>
      <c r="ELB29" s="3"/>
      <c r="ELC29" s="3"/>
      <c r="ELD29" s="3"/>
      <c r="ELE29" s="3"/>
      <c r="ELF29" s="3"/>
      <c r="ELG29" s="3"/>
      <c r="ELH29" s="3"/>
      <c r="ELI29" s="3"/>
      <c r="ELJ29" s="3"/>
      <c r="ELK29" s="3"/>
      <c r="ELL29" s="3"/>
      <c r="ELM29" s="3"/>
      <c r="ELN29" s="3"/>
      <c r="ELO29" s="3"/>
      <c r="ELP29" s="3"/>
      <c r="ELQ29" s="3"/>
      <c r="ELR29" s="3"/>
      <c r="ELS29" s="3"/>
      <c r="ELT29" s="3"/>
      <c r="ELU29" s="3"/>
      <c r="ELV29" s="3"/>
      <c r="ELW29" s="3"/>
      <c r="ELX29" s="3"/>
      <c r="ELY29" s="3"/>
      <c r="ELZ29" s="3"/>
      <c r="EMA29" s="3"/>
      <c r="EMB29" s="3"/>
      <c r="EMC29" s="3"/>
      <c r="EMD29" s="3"/>
      <c r="EME29" s="3"/>
      <c r="EMF29" s="3"/>
      <c r="EMG29" s="3"/>
      <c r="EMH29" s="3"/>
      <c r="EMI29" s="3"/>
      <c r="EMJ29" s="3"/>
      <c r="EMK29" s="3"/>
      <c r="EML29" s="3"/>
      <c r="EMM29" s="3"/>
      <c r="EMN29" s="3"/>
      <c r="EMO29" s="3"/>
      <c r="EMP29" s="3"/>
      <c r="EMQ29" s="3"/>
      <c r="EMR29" s="3"/>
      <c r="EMS29" s="3"/>
      <c r="EMT29" s="3"/>
      <c r="EMU29" s="3"/>
      <c r="EMV29" s="3"/>
      <c r="EMW29" s="3"/>
      <c r="EMX29" s="3"/>
      <c r="EMY29" s="3"/>
      <c r="EMZ29" s="3"/>
      <c r="ENA29" s="3"/>
      <c r="ENB29" s="3"/>
      <c r="ENC29" s="3"/>
      <c r="END29" s="3"/>
      <c r="ENE29" s="3"/>
      <c r="ENF29" s="3"/>
      <c r="ENG29" s="3"/>
      <c r="ENH29" s="3"/>
      <c r="ENI29" s="3"/>
      <c r="ENJ29" s="3"/>
      <c r="ENK29" s="3"/>
      <c r="ENL29" s="3"/>
      <c r="ENM29" s="3"/>
      <c r="ENN29" s="3"/>
      <c r="ENO29" s="3"/>
      <c r="ENP29" s="3"/>
      <c r="ENQ29" s="3"/>
      <c r="ENR29" s="3"/>
      <c r="ENS29" s="3"/>
      <c r="ENT29" s="3"/>
      <c r="ENU29" s="3"/>
      <c r="ENV29" s="3"/>
      <c r="ENW29" s="3"/>
      <c r="ENX29" s="3"/>
      <c r="ENY29" s="3"/>
      <c r="ENZ29" s="3"/>
      <c r="EOA29" s="3"/>
      <c r="EOB29" s="3"/>
      <c r="EOC29" s="3"/>
      <c r="EOD29" s="3"/>
      <c r="EOE29" s="3"/>
      <c r="EOF29" s="3"/>
      <c r="EOG29" s="3"/>
      <c r="EOH29" s="3"/>
      <c r="EOI29" s="3"/>
      <c r="EOJ29" s="3"/>
      <c r="EOK29" s="3"/>
      <c r="EOL29" s="3"/>
      <c r="EOM29" s="3"/>
      <c r="EON29" s="3"/>
      <c r="EOO29" s="3"/>
      <c r="EOP29" s="3"/>
      <c r="EOQ29" s="3"/>
      <c r="EOR29" s="3"/>
      <c r="EOS29" s="3"/>
      <c r="EOT29" s="3"/>
      <c r="EOU29" s="3"/>
      <c r="EOV29" s="3"/>
      <c r="EOW29" s="3"/>
      <c r="EOX29" s="3"/>
      <c r="EOY29" s="3"/>
      <c r="EOZ29" s="3"/>
      <c r="EPA29" s="3"/>
      <c r="EPB29" s="3"/>
      <c r="EPC29" s="3"/>
      <c r="EPD29" s="3"/>
      <c r="EPE29" s="3"/>
      <c r="EPF29" s="3"/>
      <c r="EPG29" s="3"/>
      <c r="EPH29" s="3"/>
      <c r="EPI29" s="3"/>
      <c r="EPJ29" s="3"/>
      <c r="EPK29" s="3"/>
      <c r="EPL29" s="3"/>
      <c r="EPM29" s="3"/>
      <c r="EPN29" s="3"/>
      <c r="EPO29" s="3"/>
      <c r="EPP29" s="3"/>
      <c r="EPQ29" s="3"/>
      <c r="EPR29" s="3"/>
      <c r="EPS29" s="3"/>
      <c r="EPT29" s="3"/>
      <c r="EPU29" s="3"/>
      <c r="EPV29" s="3"/>
      <c r="EPW29" s="3"/>
      <c r="EPX29" s="3"/>
      <c r="EPY29" s="3"/>
      <c r="EPZ29" s="3"/>
      <c r="EQA29" s="3"/>
      <c r="EQB29" s="3"/>
      <c r="EQC29" s="3"/>
      <c r="EQD29" s="3"/>
      <c r="EQE29" s="3"/>
      <c r="EQF29" s="3"/>
      <c r="EQG29" s="3"/>
      <c r="EQH29" s="3"/>
      <c r="EQI29" s="3"/>
      <c r="EQJ29" s="3"/>
      <c r="EQK29" s="3"/>
      <c r="EQL29" s="3"/>
      <c r="EQM29" s="3"/>
      <c r="EQN29" s="3"/>
      <c r="EQO29" s="3"/>
      <c r="EQP29" s="3"/>
      <c r="EQQ29" s="3"/>
      <c r="EQR29" s="3"/>
      <c r="EQS29" s="3"/>
      <c r="EQT29" s="3"/>
      <c r="EQU29" s="3"/>
      <c r="EQV29" s="3"/>
      <c r="EQW29" s="3"/>
      <c r="EQX29" s="3"/>
      <c r="EQY29" s="3"/>
      <c r="EQZ29" s="3"/>
      <c r="ERA29" s="3"/>
      <c r="ERB29" s="3"/>
      <c r="ERC29" s="3"/>
      <c r="ERD29" s="3"/>
      <c r="ERE29" s="3"/>
      <c r="ERF29" s="3"/>
      <c r="ERG29" s="3"/>
      <c r="ERH29" s="3"/>
      <c r="ERI29" s="3"/>
      <c r="ERJ29" s="3"/>
      <c r="ERK29" s="3"/>
      <c r="ERL29" s="3"/>
      <c r="ERM29" s="3"/>
      <c r="ERN29" s="3"/>
      <c r="ERO29" s="3"/>
      <c r="ERP29" s="3"/>
      <c r="ERQ29" s="3"/>
      <c r="ERR29" s="3"/>
      <c r="ERS29" s="3"/>
      <c r="ERT29" s="3"/>
      <c r="ERU29" s="3"/>
      <c r="ERV29" s="3"/>
      <c r="ERW29" s="3"/>
      <c r="ERX29" s="3"/>
      <c r="ERY29" s="3"/>
      <c r="ERZ29" s="3"/>
      <c r="ESA29" s="3"/>
      <c r="ESB29" s="3"/>
      <c r="ESC29" s="3"/>
      <c r="ESD29" s="3"/>
      <c r="ESE29" s="3"/>
      <c r="ESF29" s="3"/>
      <c r="ESG29" s="3"/>
      <c r="ESH29" s="3"/>
      <c r="ESI29" s="3"/>
      <c r="ESJ29" s="3"/>
      <c r="ESK29" s="3"/>
      <c r="ESL29" s="3"/>
      <c r="ESM29" s="3"/>
      <c r="ESN29" s="3"/>
      <c r="ESO29" s="3"/>
      <c r="ESP29" s="3"/>
      <c r="ESQ29" s="3"/>
      <c r="ESR29" s="3"/>
      <c r="ESS29" s="3"/>
      <c r="EST29" s="3"/>
      <c r="ESU29" s="3"/>
      <c r="ESV29" s="3"/>
      <c r="ESW29" s="3"/>
      <c r="ESX29" s="3"/>
      <c r="ESY29" s="3"/>
      <c r="ESZ29" s="3"/>
      <c r="ETA29" s="3"/>
      <c r="ETB29" s="3"/>
      <c r="ETC29" s="3"/>
      <c r="ETD29" s="3"/>
      <c r="ETE29" s="3"/>
      <c r="ETF29" s="3"/>
      <c r="ETG29" s="3"/>
      <c r="ETH29" s="3"/>
      <c r="ETI29" s="3"/>
      <c r="ETJ29" s="3"/>
      <c r="ETK29" s="3"/>
      <c r="ETL29" s="3"/>
      <c r="ETM29" s="3"/>
      <c r="ETN29" s="3"/>
      <c r="ETO29" s="3"/>
      <c r="ETP29" s="3"/>
      <c r="ETQ29" s="3"/>
      <c r="ETR29" s="3"/>
      <c r="ETS29" s="3"/>
      <c r="ETT29" s="3"/>
      <c r="ETU29" s="3"/>
      <c r="ETV29" s="3"/>
      <c r="ETW29" s="3"/>
      <c r="ETX29" s="3"/>
      <c r="ETY29" s="3"/>
      <c r="ETZ29" s="3"/>
      <c r="EUA29" s="3"/>
      <c r="EUB29" s="3"/>
      <c r="EUC29" s="3"/>
      <c r="EUD29" s="3"/>
      <c r="EUE29" s="3"/>
      <c r="EUF29" s="3"/>
      <c r="EUG29" s="3"/>
      <c r="EUH29" s="3"/>
      <c r="EUI29" s="3"/>
      <c r="EUJ29" s="3"/>
      <c r="EUK29" s="3"/>
      <c r="EUL29" s="3"/>
      <c r="EUM29" s="3"/>
      <c r="EUN29" s="3"/>
      <c r="EUO29" s="3"/>
      <c r="EUP29" s="3"/>
      <c r="EUQ29" s="3"/>
      <c r="EUR29" s="3"/>
      <c r="EUS29" s="3"/>
      <c r="EUT29" s="3"/>
      <c r="EUU29" s="3"/>
      <c r="EUV29" s="3"/>
      <c r="EUW29" s="3"/>
      <c r="EUX29" s="3"/>
      <c r="EUY29" s="3"/>
      <c r="EUZ29" s="3"/>
      <c r="EVA29" s="3"/>
      <c r="EVB29" s="3"/>
      <c r="EVC29" s="3"/>
      <c r="EVD29" s="3"/>
      <c r="EVE29" s="3"/>
      <c r="EVF29" s="3"/>
      <c r="EVG29" s="3"/>
      <c r="EVH29" s="3"/>
      <c r="EVI29" s="3"/>
      <c r="EVJ29" s="3"/>
      <c r="EVK29" s="3"/>
      <c r="EVL29" s="3"/>
      <c r="EVM29" s="3"/>
      <c r="EVN29" s="3"/>
      <c r="EVO29" s="3"/>
      <c r="EVP29" s="3"/>
      <c r="EVQ29" s="3"/>
      <c r="EVR29" s="3"/>
      <c r="EVS29" s="3"/>
      <c r="EVT29" s="3"/>
      <c r="EVU29" s="3"/>
      <c r="EVV29" s="3"/>
      <c r="EVW29" s="3"/>
      <c r="EVX29" s="3"/>
      <c r="EVY29" s="3"/>
      <c r="EVZ29" s="3"/>
      <c r="EWA29" s="3"/>
      <c r="EWB29" s="3"/>
      <c r="EWC29" s="3"/>
      <c r="EWD29" s="3"/>
      <c r="EWE29" s="3"/>
      <c r="EWF29" s="3"/>
      <c r="EWG29" s="3"/>
      <c r="EWH29" s="3"/>
      <c r="EWI29" s="3"/>
      <c r="EWJ29" s="3"/>
      <c r="EWK29" s="3"/>
      <c r="EWL29" s="3"/>
      <c r="EWM29" s="3"/>
      <c r="EWN29" s="3"/>
      <c r="EWO29" s="3"/>
      <c r="EWP29" s="3"/>
      <c r="EWQ29" s="3"/>
      <c r="EWR29" s="3"/>
      <c r="EWS29" s="3"/>
      <c r="EWT29" s="3"/>
      <c r="EWU29" s="3"/>
      <c r="EWV29" s="3"/>
      <c r="EWW29" s="3"/>
      <c r="EWX29" s="3"/>
      <c r="EWY29" s="3"/>
      <c r="EWZ29" s="3"/>
      <c r="EXA29" s="3"/>
      <c r="EXB29" s="3"/>
      <c r="EXC29" s="3"/>
      <c r="EXD29" s="3"/>
      <c r="EXE29" s="3"/>
      <c r="EXF29" s="3"/>
      <c r="EXG29" s="3"/>
      <c r="EXH29" s="3"/>
      <c r="EXI29" s="3"/>
      <c r="EXJ29" s="3"/>
      <c r="EXK29" s="3"/>
      <c r="EXL29" s="3"/>
      <c r="EXM29" s="3"/>
      <c r="EXN29" s="3"/>
      <c r="EXO29" s="3"/>
      <c r="EXP29" s="3"/>
      <c r="EXQ29" s="3"/>
      <c r="EXR29" s="3"/>
      <c r="EXS29" s="3"/>
      <c r="EXT29" s="3"/>
      <c r="EXU29" s="3"/>
      <c r="EXV29" s="3"/>
      <c r="EXW29" s="3"/>
      <c r="EXX29" s="3"/>
      <c r="EXY29" s="3"/>
      <c r="EXZ29" s="3"/>
      <c r="EYA29" s="3"/>
      <c r="EYB29" s="3"/>
      <c r="EYC29" s="3"/>
      <c r="EYD29" s="3"/>
      <c r="EYE29" s="3"/>
      <c r="EYF29" s="3"/>
      <c r="EYG29" s="3"/>
      <c r="EYH29" s="3"/>
      <c r="EYI29" s="3"/>
      <c r="EYJ29" s="3"/>
      <c r="EYK29" s="3"/>
      <c r="EYL29" s="3"/>
      <c r="EYM29" s="3"/>
      <c r="EYN29" s="3"/>
      <c r="EYO29" s="3"/>
      <c r="EYP29" s="3"/>
      <c r="EYQ29" s="3"/>
      <c r="EYR29" s="3"/>
      <c r="EYS29" s="3"/>
      <c r="EYT29" s="3"/>
      <c r="EYU29" s="3"/>
      <c r="EYV29" s="3"/>
      <c r="EYW29" s="3"/>
      <c r="EYX29" s="3"/>
      <c r="EYY29" s="3"/>
      <c r="EYZ29" s="3"/>
      <c r="EZA29" s="3"/>
      <c r="EZB29" s="3"/>
      <c r="EZC29" s="3"/>
      <c r="EZD29" s="3"/>
      <c r="EZE29" s="3"/>
      <c r="EZF29" s="3"/>
      <c r="EZG29" s="3"/>
      <c r="EZH29" s="3"/>
      <c r="EZI29" s="3"/>
      <c r="EZJ29" s="3"/>
      <c r="EZK29" s="3"/>
      <c r="EZL29" s="3"/>
      <c r="EZM29" s="3"/>
      <c r="EZN29" s="3"/>
      <c r="EZO29" s="3"/>
      <c r="EZP29" s="3"/>
      <c r="EZQ29" s="3"/>
      <c r="EZR29" s="3"/>
      <c r="EZS29" s="3"/>
      <c r="EZT29" s="3"/>
      <c r="EZU29" s="3"/>
      <c r="EZV29" s="3"/>
      <c r="EZW29" s="3"/>
      <c r="EZX29" s="3"/>
      <c r="EZY29" s="3"/>
      <c r="EZZ29" s="3"/>
      <c r="FAA29" s="3"/>
      <c r="FAB29" s="3"/>
      <c r="FAC29" s="3"/>
      <c r="FAD29" s="3"/>
      <c r="FAE29" s="3"/>
      <c r="FAF29" s="3"/>
      <c r="FAG29" s="3"/>
      <c r="FAH29" s="3"/>
      <c r="FAI29" s="3"/>
      <c r="FAJ29" s="3"/>
      <c r="FAK29" s="3"/>
      <c r="FAL29" s="3"/>
      <c r="FAM29" s="3"/>
      <c r="FAN29" s="3"/>
      <c r="FAO29" s="3"/>
      <c r="FAP29" s="3"/>
      <c r="FAQ29" s="3"/>
      <c r="FAR29" s="3"/>
      <c r="FAS29" s="3"/>
      <c r="FAT29" s="3"/>
      <c r="FAU29" s="3"/>
      <c r="FAV29" s="3"/>
      <c r="FAW29" s="3"/>
      <c r="FAX29" s="3"/>
      <c r="FAY29" s="3"/>
      <c r="FAZ29" s="3"/>
      <c r="FBA29" s="3"/>
      <c r="FBB29" s="3"/>
      <c r="FBC29" s="3"/>
      <c r="FBD29" s="3"/>
      <c r="FBE29" s="3"/>
      <c r="FBF29" s="3"/>
      <c r="FBG29" s="3"/>
      <c r="FBH29" s="3"/>
      <c r="FBI29" s="3"/>
      <c r="FBJ29" s="3"/>
      <c r="FBK29" s="3"/>
      <c r="FBL29" s="3"/>
      <c r="FBM29" s="3"/>
      <c r="FBN29" s="3"/>
      <c r="FBO29" s="3"/>
      <c r="FBP29" s="3"/>
      <c r="FBQ29" s="3"/>
      <c r="FBR29" s="3"/>
      <c r="FBS29" s="3"/>
      <c r="FBT29" s="3"/>
      <c r="FBU29" s="3"/>
      <c r="FBV29" s="3"/>
      <c r="FBW29" s="3"/>
      <c r="FBX29" s="3"/>
      <c r="FBY29" s="3"/>
      <c r="FBZ29" s="3"/>
      <c r="FCA29" s="3"/>
      <c r="FCB29" s="3"/>
      <c r="FCC29" s="3"/>
      <c r="FCD29" s="3"/>
      <c r="FCE29" s="3"/>
      <c r="FCF29" s="3"/>
      <c r="FCG29" s="3"/>
      <c r="FCH29" s="3"/>
      <c r="FCI29" s="3"/>
      <c r="FCJ29" s="3"/>
      <c r="FCK29" s="3"/>
      <c r="FCL29" s="3"/>
      <c r="FCM29" s="3"/>
      <c r="FCN29" s="3"/>
      <c r="FCO29" s="3"/>
      <c r="FCP29" s="3"/>
      <c r="FCQ29" s="3"/>
      <c r="FCR29" s="3"/>
      <c r="FCS29" s="3"/>
      <c r="FCT29" s="3"/>
      <c r="FCU29" s="3"/>
      <c r="FCV29" s="3"/>
      <c r="FCW29" s="3"/>
      <c r="FCX29" s="3"/>
      <c r="FCY29" s="3"/>
      <c r="FCZ29" s="3"/>
      <c r="FDA29" s="3"/>
      <c r="FDB29" s="3"/>
      <c r="FDC29" s="3"/>
      <c r="FDD29" s="3"/>
      <c r="FDE29" s="3"/>
      <c r="FDF29" s="3"/>
      <c r="FDG29" s="3"/>
      <c r="FDH29" s="3"/>
      <c r="FDI29" s="3"/>
      <c r="FDJ29" s="3"/>
      <c r="FDK29" s="3"/>
      <c r="FDL29" s="3"/>
      <c r="FDM29" s="3"/>
      <c r="FDN29" s="3"/>
      <c r="FDO29" s="3"/>
      <c r="FDP29" s="3"/>
      <c r="FDQ29" s="3"/>
      <c r="FDR29" s="3"/>
      <c r="FDS29" s="3"/>
      <c r="FDT29" s="3"/>
      <c r="FDU29" s="3"/>
      <c r="FDV29" s="3"/>
      <c r="FDW29" s="3"/>
      <c r="FDX29" s="3"/>
      <c r="FDY29" s="3"/>
      <c r="FDZ29" s="3"/>
      <c r="FEA29" s="3"/>
      <c r="FEB29" s="3"/>
      <c r="FEC29" s="3"/>
      <c r="FED29" s="3"/>
      <c r="FEE29" s="3"/>
      <c r="FEF29" s="3"/>
      <c r="FEG29" s="3"/>
      <c r="FEH29" s="3"/>
      <c r="FEI29" s="3"/>
      <c r="FEJ29" s="3"/>
      <c r="FEK29" s="3"/>
      <c r="FEL29" s="3"/>
      <c r="FEM29" s="3"/>
      <c r="FEN29" s="3"/>
      <c r="FEO29" s="3"/>
      <c r="FEP29" s="3"/>
      <c r="FEQ29" s="3"/>
      <c r="FER29" s="3"/>
      <c r="FES29" s="3"/>
      <c r="FET29" s="3"/>
      <c r="FEU29" s="3"/>
      <c r="FEV29" s="3"/>
      <c r="FEW29" s="3"/>
      <c r="FEX29" s="3"/>
      <c r="FEY29" s="3"/>
      <c r="FEZ29" s="3"/>
      <c r="FFA29" s="3"/>
      <c r="FFB29" s="3"/>
      <c r="FFC29" s="3"/>
      <c r="FFD29" s="3"/>
      <c r="FFE29" s="3"/>
      <c r="FFF29" s="3"/>
      <c r="FFG29" s="3"/>
      <c r="FFH29" s="3"/>
      <c r="FFI29" s="3"/>
      <c r="FFJ29" s="3"/>
      <c r="FFK29" s="3"/>
      <c r="FFL29" s="3"/>
      <c r="FFM29" s="3"/>
      <c r="FFN29" s="3"/>
      <c r="FFO29" s="3"/>
      <c r="FFP29" s="3"/>
      <c r="FFQ29" s="3"/>
      <c r="FFR29" s="3"/>
      <c r="FFS29" s="3"/>
      <c r="FFT29" s="3"/>
      <c r="FFU29" s="3"/>
      <c r="FFV29" s="3"/>
      <c r="FFW29" s="3"/>
      <c r="FFX29" s="3"/>
      <c r="FFY29" s="3"/>
      <c r="FFZ29" s="3"/>
      <c r="FGA29" s="3"/>
      <c r="FGB29" s="3"/>
      <c r="FGC29" s="3"/>
      <c r="FGD29" s="3"/>
      <c r="FGE29" s="3"/>
      <c r="FGF29" s="3"/>
      <c r="FGG29" s="3"/>
      <c r="FGH29" s="3"/>
      <c r="FGI29" s="3"/>
      <c r="FGJ29" s="3"/>
      <c r="FGK29" s="3"/>
      <c r="FGL29" s="3"/>
      <c r="FGM29" s="3"/>
      <c r="FGN29" s="3"/>
      <c r="FGO29" s="3"/>
      <c r="FGP29" s="3"/>
      <c r="FGQ29" s="3"/>
      <c r="FGR29" s="3"/>
      <c r="FGS29" s="3"/>
      <c r="FGT29" s="3"/>
      <c r="FGU29" s="3"/>
      <c r="FGV29" s="3"/>
      <c r="FGW29" s="3"/>
      <c r="FGX29" s="3"/>
      <c r="FGY29" s="3"/>
      <c r="FGZ29" s="3"/>
      <c r="FHA29" s="3"/>
      <c r="FHB29" s="3"/>
      <c r="FHC29" s="3"/>
      <c r="FHD29" s="3"/>
      <c r="FHE29" s="3"/>
      <c r="FHF29" s="3"/>
      <c r="FHG29" s="3"/>
      <c r="FHH29" s="3"/>
      <c r="FHI29" s="3"/>
      <c r="FHJ29" s="3"/>
      <c r="FHK29" s="3"/>
      <c r="FHL29" s="3"/>
      <c r="FHM29" s="3"/>
      <c r="FHN29" s="3"/>
      <c r="FHO29" s="3"/>
      <c r="FHP29" s="3"/>
      <c r="FHQ29" s="3"/>
      <c r="FHR29" s="3"/>
      <c r="FHS29" s="3"/>
      <c r="FHT29" s="3"/>
      <c r="FHU29" s="3"/>
      <c r="FHV29" s="3"/>
      <c r="FHW29" s="3"/>
      <c r="FHX29" s="3"/>
      <c r="FHY29" s="3"/>
      <c r="FHZ29" s="3"/>
      <c r="FIA29" s="3"/>
      <c r="FIB29" s="3"/>
      <c r="FIC29" s="3"/>
      <c r="FID29" s="3"/>
      <c r="FIE29" s="3"/>
      <c r="FIF29" s="3"/>
      <c r="FIG29" s="3"/>
      <c r="FIH29" s="3"/>
      <c r="FII29" s="3"/>
      <c r="FIJ29" s="3"/>
      <c r="FIK29" s="3"/>
      <c r="FIL29" s="3"/>
      <c r="FIM29" s="3"/>
      <c r="FIN29" s="3"/>
      <c r="FIO29" s="3"/>
      <c r="FIP29" s="3"/>
      <c r="FIQ29" s="3"/>
      <c r="FIR29" s="3"/>
      <c r="FIS29" s="3"/>
      <c r="FIT29" s="3"/>
      <c r="FIU29" s="3"/>
      <c r="FIV29" s="3"/>
      <c r="FIW29" s="3"/>
      <c r="FIX29" s="3"/>
      <c r="FIY29" s="3"/>
      <c r="FIZ29" s="3"/>
      <c r="FJA29" s="3"/>
      <c r="FJB29" s="3"/>
      <c r="FJC29" s="3"/>
      <c r="FJD29" s="3"/>
      <c r="FJE29" s="3"/>
      <c r="FJF29" s="3"/>
      <c r="FJG29" s="3"/>
      <c r="FJH29" s="3"/>
      <c r="FJI29" s="3"/>
      <c r="FJJ29" s="3"/>
      <c r="FJK29" s="3"/>
      <c r="FJL29" s="3"/>
      <c r="FJM29" s="3"/>
      <c r="FJN29" s="3"/>
      <c r="FJO29" s="3"/>
      <c r="FJP29" s="3"/>
      <c r="FJQ29" s="3"/>
      <c r="FJR29" s="3"/>
      <c r="FJS29" s="3"/>
      <c r="FJT29" s="3"/>
      <c r="FJU29" s="3"/>
      <c r="FJV29" s="3"/>
      <c r="FJW29" s="3"/>
      <c r="FJX29" s="3"/>
      <c r="FJY29" s="3"/>
      <c r="FJZ29" s="3"/>
      <c r="FKA29" s="3"/>
      <c r="FKB29" s="3"/>
      <c r="FKC29" s="3"/>
      <c r="FKD29" s="3"/>
      <c r="FKE29" s="3"/>
      <c r="FKF29" s="3"/>
      <c r="FKG29" s="3"/>
      <c r="FKH29" s="3"/>
      <c r="FKI29" s="3"/>
      <c r="FKJ29" s="3"/>
      <c r="FKK29" s="3"/>
      <c r="FKL29" s="3"/>
      <c r="FKM29" s="3"/>
      <c r="FKN29" s="3"/>
      <c r="FKO29" s="3"/>
      <c r="FKP29" s="3"/>
      <c r="FKQ29" s="3"/>
      <c r="FKR29" s="3"/>
      <c r="FKS29" s="3"/>
      <c r="FKT29" s="3"/>
      <c r="FKU29" s="3"/>
      <c r="FKV29" s="3"/>
      <c r="FKW29" s="3"/>
      <c r="FKX29" s="3"/>
      <c r="FKY29" s="3"/>
      <c r="FKZ29" s="3"/>
      <c r="FLA29" s="3"/>
      <c r="FLB29" s="3"/>
      <c r="FLC29" s="3"/>
      <c r="FLD29" s="3"/>
      <c r="FLE29" s="3"/>
      <c r="FLF29" s="3"/>
      <c r="FLG29" s="3"/>
      <c r="FLH29" s="3"/>
      <c r="FLI29" s="3"/>
      <c r="FLJ29" s="3"/>
      <c r="FLK29" s="3"/>
      <c r="FLL29" s="3"/>
      <c r="FLM29" s="3"/>
      <c r="FLN29" s="3"/>
      <c r="FLO29" s="3"/>
      <c r="FLP29" s="3"/>
      <c r="FLQ29" s="3"/>
      <c r="FLR29" s="3"/>
      <c r="FLS29" s="3"/>
      <c r="FLT29" s="3"/>
      <c r="FLU29" s="3"/>
      <c r="FLV29" s="3"/>
      <c r="FLW29" s="3"/>
      <c r="FLX29" s="3"/>
      <c r="FLY29" s="3"/>
      <c r="FLZ29" s="3"/>
      <c r="FMA29" s="3"/>
      <c r="FMB29" s="3"/>
      <c r="FMC29" s="3"/>
      <c r="FMD29" s="3"/>
      <c r="FME29" s="3"/>
      <c r="FMF29" s="3"/>
      <c r="FMG29" s="3"/>
      <c r="FMH29" s="3"/>
      <c r="FMI29" s="3"/>
      <c r="FMJ29" s="3"/>
      <c r="FMK29" s="3"/>
      <c r="FML29" s="3"/>
      <c r="FMM29" s="3"/>
      <c r="FMN29" s="3"/>
      <c r="FMO29" s="3"/>
      <c r="FMP29" s="3"/>
      <c r="FMQ29" s="3"/>
      <c r="FMR29" s="3"/>
      <c r="FMS29" s="3"/>
      <c r="FMT29" s="3"/>
      <c r="FMU29" s="3"/>
      <c r="FMV29" s="3"/>
      <c r="FMW29" s="3"/>
      <c r="FMX29" s="3"/>
      <c r="FMY29" s="3"/>
      <c r="FMZ29" s="3"/>
      <c r="FNA29" s="3"/>
      <c r="FNB29" s="3"/>
      <c r="FNC29" s="3"/>
      <c r="FND29" s="3"/>
      <c r="FNE29" s="3"/>
      <c r="FNF29" s="3"/>
      <c r="FNG29" s="3"/>
      <c r="FNH29" s="3"/>
      <c r="FNI29" s="3"/>
      <c r="FNJ29" s="3"/>
      <c r="FNK29" s="3"/>
      <c r="FNL29" s="3"/>
      <c r="FNM29" s="3"/>
      <c r="FNN29" s="3"/>
      <c r="FNO29" s="3"/>
      <c r="FNP29" s="3"/>
      <c r="FNQ29" s="3"/>
      <c r="FNR29" s="3"/>
      <c r="FNS29" s="3"/>
      <c r="FNT29" s="3"/>
      <c r="FNU29" s="3"/>
      <c r="FNV29" s="3"/>
      <c r="FNW29" s="3"/>
      <c r="FNX29" s="3"/>
      <c r="FNY29" s="3"/>
      <c r="FNZ29" s="3"/>
      <c r="FOA29" s="3"/>
      <c r="FOB29" s="3"/>
      <c r="FOC29" s="3"/>
      <c r="FOD29" s="3"/>
      <c r="FOE29" s="3"/>
      <c r="FOF29" s="3"/>
      <c r="FOG29" s="3"/>
      <c r="FOH29" s="3"/>
      <c r="FOI29" s="3"/>
      <c r="FOJ29" s="3"/>
      <c r="FOK29" s="3"/>
      <c r="FOL29" s="3"/>
      <c r="FOM29" s="3"/>
      <c r="FON29" s="3"/>
      <c r="FOO29" s="3"/>
      <c r="FOP29" s="3"/>
      <c r="FOQ29" s="3"/>
      <c r="FOR29" s="3"/>
      <c r="FOS29" s="3"/>
      <c r="FOT29" s="3"/>
      <c r="FOU29" s="3"/>
      <c r="FOV29" s="3"/>
      <c r="FOW29" s="3"/>
      <c r="FOX29" s="3"/>
      <c r="FOY29" s="3"/>
      <c r="FOZ29" s="3"/>
      <c r="FPA29" s="3"/>
      <c r="FPB29" s="3"/>
      <c r="FPC29" s="3"/>
      <c r="FPD29" s="3"/>
      <c r="FPE29" s="3"/>
      <c r="FPF29" s="3"/>
      <c r="FPG29" s="3"/>
      <c r="FPH29" s="3"/>
      <c r="FPI29" s="3"/>
      <c r="FPJ29" s="3"/>
      <c r="FPK29" s="3"/>
      <c r="FPL29" s="3"/>
      <c r="FPM29" s="3"/>
      <c r="FPN29" s="3"/>
      <c r="FPO29" s="3"/>
      <c r="FPP29" s="3"/>
      <c r="FPQ29" s="3"/>
      <c r="FPR29" s="3"/>
      <c r="FPS29" s="3"/>
      <c r="FPT29" s="3"/>
      <c r="FPU29" s="3"/>
      <c r="FPV29" s="3"/>
      <c r="FPW29" s="3"/>
      <c r="FPX29" s="3"/>
      <c r="FPY29" s="3"/>
      <c r="FPZ29" s="3"/>
      <c r="FQA29" s="3"/>
      <c r="FQB29" s="3"/>
      <c r="FQC29" s="3"/>
      <c r="FQD29" s="3"/>
      <c r="FQE29" s="3"/>
      <c r="FQF29" s="3"/>
      <c r="FQG29" s="3"/>
      <c r="FQH29" s="3"/>
      <c r="FQI29" s="3"/>
      <c r="FQJ29" s="3"/>
      <c r="FQK29" s="3"/>
      <c r="FQL29" s="3"/>
      <c r="FQM29" s="3"/>
      <c r="FQN29" s="3"/>
      <c r="FQO29" s="3"/>
      <c r="FQP29" s="3"/>
      <c r="FQQ29" s="3"/>
      <c r="FQR29" s="3"/>
      <c r="FQS29" s="3"/>
      <c r="FQT29" s="3"/>
      <c r="FQU29" s="3"/>
      <c r="FQV29" s="3"/>
      <c r="FQW29" s="3"/>
      <c r="FQX29" s="3"/>
      <c r="FQY29" s="3"/>
      <c r="FQZ29" s="3"/>
      <c r="FRA29" s="3"/>
      <c r="FRB29" s="3"/>
      <c r="FRC29" s="3"/>
      <c r="FRD29" s="3"/>
      <c r="FRE29" s="3"/>
      <c r="FRF29" s="3"/>
      <c r="FRG29" s="3"/>
      <c r="FRH29" s="3"/>
      <c r="FRI29" s="3"/>
      <c r="FRJ29" s="3"/>
      <c r="FRK29" s="3"/>
      <c r="FRL29" s="3"/>
      <c r="FRM29" s="3"/>
      <c r="FRN29" s="3"/>
      <c r="FRO29" s="3"/>
      <c r="FRP29" s="3"/>
      <c r="FRQ29" s="3"/>
      <c r="FRR29" s="3"/>
      <c r="FRS29" s="3"/>
      <c r="FRT29" s="3"/>
      <c r="FRU29" s="3"/>
      <c r="FRV29" s="3"/>
      <c r="FRW29" s="3"/>
      <c r="FRX29" s="3"/>
      <c r="FRY29" s="3"/>
      <c r="FRZ29" s="3"/>
      <c r="FSA29" s="3"/>
      <c r="FSB29" s="3"/>
      <c r="FSC29" s="3"/>
      <c r="FSD29" s="3"/>
      <c r="FSE29" s="3"/>
      <c r="FSF29" s="3"/>
      <c r="FSG29" s="3"/>
      <c r="FSH29" s="3"/>
      <c r="FSI29" s="3"/>
      <c r="FSJ29" s="3"/>
      <c r="FSK29" s="3"/>
      <c r="FSL29" s="3"/>
      <c r="FSM29" s="3"/>
      <c r="FSN29" s="3"/>
      <c r="FSO29" s="3"/>
      <c r="FSP29" s="3"/>
      <c r="FSQ29" s="3"/>
      <c r="FSR29" s="3"/>
      <c r="FSS29" s="3"/>
      <c r="FST29" s="3"/>
      <c r="FSU29" s="3"/>
      <c r="FSV29" s="3"/>
      <c r="FSW29" s="3"/>
      <c r="FSX29" s="3"/>
      <c r="FSY29" s="3"/>
      <c r="FSZ29" s="3"/>
      <c r="FTA29" s="3"/>
      <c r="FTB29" s="3"/>
      <c r="FTC29" s="3"/>
      <c r="FTD29" s="3"/>
      <c r="FTE29" s="3"/>
      <c r="FTF29" s="3"/>
      <c r="FTG29" s="3"/>
      <c r="FTH29" s="3"/>
      <c r="FTI29" s="3"/>
      <c r="FTJ29" s="3"/>
      <c r="FTK29" s="3"/>
      <c r="FTL29" s="3"/>
      <c r="FTM29" s="3"/>
      <c r="FTN29" s="3"/>
      <c r="FTO29" s="3"/>
      <c r="FTP29" s="3"/>
      <c r="FTQ29" s="3"/>
      <c r="FTR29" s="3"/>
      <c r="FTS29" s="3"/>
      <c r="FTT29" s="3"/>
      <c r="FTU29" s="3"/>
      <c r="FTV29" s="3"/>
      <c r="FTW29" s="3"/>
      <c r="FTX29" s="3"/>
      <c r="FTY29" s="3"/>
      <c r="FTZ29" s="3"/>
      <c r="FUA29" s="3"/>
      <c r="FUB29" s="3"/>
      <c r="FUC29" s="3"/>
      <c r="FUD29" s="3"/>
      <c r="FUE29" s="3"/>
      <c r="FUF29" s="3"/>
      <c r="FUG29" s="3"/>
      <c r="FUH29" s="3"/>
      <c r="FUI29" s="3"/>
      <c r="FUJ29" s="3"/>
      <c r="FUK29" s="3"/>
      <c r="FUL29" s="3"/>
      <c r="FUM29" s="3"/>
      <c r="FUN29" s="3"/>
      <c r="FUO29" s="3"/>
      <c r="FUP29" s="3"/>
      <c r="FUQ29" s="3"/>
      <c r="FUR29" s="3"/>
      <c r="FUS29" s="3"/>
      <c r="FUT29" s="3"/>
      <c r="FUU29" s="3"/>
      <c r="FUV29" s="3"/>
      <c r="FUW29" s="3"/>
      <c r="FUX29" s="3"/>
      <c r="FUY29" s="3"/>
      <c r="FUZ29" s="3"/>
      <c r="FVA29" s="3"/>
      <c r="FVB29" s="3"/>
      <c r="FVC29" s="3"/>
      <c r="FVD29" s="3"/>
      <c r="FVE29" s="3"/>
      <c r="FVF29" s="3"/>
      <c r="FVG29" s="3"/>
      <c r="FVH29" s="3"/>
      <c r="FVI29" s="3"/>
      <c r="FVJ29" s="3"/>
      <c r="FVK29" s="3"/>
      <c r="FVL29" s="3"/>
      <c r="FVM29" s="3"/>
      <c r="FVN29" s="3"/>
      <c r="FVO29" s="3"/>
      <c r="FVP29" s="3"/>
      <c r="FVQ29" s="3"/>
      <c r="FVR29" s="3"/>
      <c r="FVS29" s="3"/>
      <c r="FVT29" s="3"/>
      <c r="FVU29" s="3"/>
      <c r="FVV29" s="3"/>
      <c r="FVW29" s="3"/>
      <c r="FVX29" s="3"/>
      <c r="FVY29" s="3"/>
      <c r="FVZ29" s="3"/>
      <c r="FWA29" s="3"/>
      <c r="FWB29" s="3"/>
      <c r="FWC29" s="3"/>
      <c r="FWD29" s="3"/>
      <c r="FWE29" s="3"/>
      <c r="FWF29" s="3"/>
      <c r="FWG29" s="3"/>
      <c r="FWH29" s="3"/>
      <c r="FWI29" s="3"/>
      <c r="FWJ29" s="3"/>
      <c r="FWK29" s="3"/>
      <c r="FWL29" s="3"/>
      <c r="FWM29" s="3"/>
      <c r="FWN29" s="3"/>
      <c r="FWO29" s="3"/>
      <c r="FWP29" s="3"/>
      <c r="FWQ29" s="3"/>
      <c r="FWR29" s="3"/>
      <c r="FWS29" s="3"/>
      <c r="FWT29" s="3"/>
      <c r="FWU29" s="3"/>
      <c r="FWV29" s="3"/>
      <c r="FWW29" s="3"/>
      <c r="FWX29" s="3"/>
      <c r="FWY29" s="3"/>
      <c r="FWZ29" s="3"/>
      <c r="FXA29" s="3"/>
      <c r="FXB29" s="3"/>
      <c r="FXC29" s="3"/>
      <c r="FXD29" s="3"/>
      <c r="FXE29" s="3"/>
      <c r="FXF29" s="3"/>
      <c r="FXG29" s="3"/>
      <c r="FXH29" s="3"/>
      <c r="FXI29" s="3"/>
      <c r="FXJ29" s="3"/>
      <c r="FXK29" s="3"/>
      <c r="FXL29" s="3"/>
      <c r="FXM29" s="3"/>
      <c r="FXN29" s="3"/>
      <c r="FXO29" s="3"/>
      <c r="FXP29" s="3"/>
      <c r="FXQ29" s="3"/>
      <c r="FXR29" s="3"/>
      <c r="FXS29" s="3"/>
      <c r="FXT29" s="3"/>
      <c r="FXU29" s="3"/>
      <c r="FXV29" s="3"/>
      <c r="FXW29" s="3"/>
      <c r="FXX29" s="3"/>
      <c r="FXY29" s="3"/>
      <c r="FXZ29" s="3"/>
      <c r="FYA29" s="3"/>
      <c r="FYB29" s="3"/>
      <c r="FYC29" s="3"/>
      <c r="FYD29" s="3"/>
      <c r="FYE29" s="3"/>
      <c r="FYF29" s="3"/>
      <c r="FYG29" s="3"/>
      <c r="FYH29" s="3"/>
      <c r="FYI29" s="3"/>
      <c r="FYJ29" s="3"/>
      <c r="FYK29" s="3"/>
      <c r="FYL29" s="3"/>
      <c r="FYM29" s="3"/>
      <c r="FYN29" s="3"/>
      <c r="FYO29" s="3"/>
      <c r="FYP29" s="3"/>
      <c r="FYQ29" s="3"/>
      <c r="FYR29" s="3"/>
      <c r="FYS29" s="3"/>
      <c r="FYT29" s="3"/>
      <c r="FYU29" s="3"/>
      <c r="FYV29" s="3"/>
      <c r="FYW29" s="3"/>
      <c r="FYX29" s="3"/>
      <c r="FYY29" s="3"/>
      <c r="FYZ29" s="3"/>
      <c r="FZA29" s="3"/>
      <c r="FZB29" s="3"/>
      <c r="FZC29" s="3"/>
      <c r="FZD29" s="3"/>
      <c r="FZE29" s="3"/>
      <c r="FZF29" s="3"/>
      <c r="FZG29" s="3"/>
      <c r="FZH29" s="3"/>
      <c r="FZI29" s="3"/>
      <c r="FZJ29" s="3"/>
      <c r="FZK29" s="3"/>
      <c r="FZL29" s="3"/>
      <c r="FZM29" s="3"/>
      <c r="FZN29" s="3"/>
      <c r="FZO29" s="3"/>
      <c r="FZP29" s="3"/>
      <c r="FZQ29" s="3"/>
      <c r="FZR29" s="3"/>
      <c r="FZS29" s="3"/>
      <c r="FZT29" s="3"/>
      <c r="FZU29" s="3"/>
      <c r="FZV29" s="3"/>
      <c r="FZW29" s="3"/>
      <c r="FZX29" s="3"/>
      <c r="FZY29" s="3"/>
      <c r="FZZ29" s="3"/>
      <c r="GAA29" s="3"/>
      <c r="GAB29" s="3"/>
      <c r="GAC29" s="3"/>
      <c r="GAD29" s="3"/>
      <c r="GAE29" s="3"/>
      <c r="GAF29" s="3"/>
      <c r="GAG29" s="3"/>
      <c r="GAH29" s="3"/>
      <c r="GAI29" s="3"/>
      <c r="GAJ29" s="3"/>
      <c r="GAK29" s="3"/>
      <c r="GAL29" s="3"/>
      <c r="GAM29" s="3"/>
      <c r="GAN29" s="3"/>
      <c r="GAO29" s="3"/>
      <c r="GAP29" s="3"/>
      <c r="GAQ29" s="3"/>
      <c r="GAR29" s="3"/>
      <c r="GAS29" s="3"/>
      <c r="GAT29" s="3"/>
      <c r="GAU29" s="3"/>
      <c r="GAV29" s="3"/>
      <c r="GAW29" s="3"/>
      <c r="GAX29" s="3"/>
      <c r="GAY29" s="3"/>
      <c r="GAZ29" s="3"/>
      <c r="GBA29" s="3"/>
      <c r="GBB29" s="3"/>
      <c r="GBC29" s="3"/>
      <c r="GBD29" s="3"/>
      <c r="GBE29" s="3"/>
      <c r="GBF29" s="3"/>
      <c r="GBG29" s="3"/>
      <c r="GBH29" s="3"/>
      <c r="GBI29" s="3"/>
      <c r="GBJ29" s="3"/>
      <c r="GBK29" s="3"/>
      <c r="GBL29" s="3"/>
      <c r="GBM29" s="3"/>
      <c r="GBN29" s="3"/>
      <c r="GBO29" s="3"/>
      <c r="GBP29" s="3"/>
      <c r="GBQ29" s="3"/>
      <c r="GBR29" s="3"/>
      <c r="GBS29" s="3"/>
      <c r="GBT29" s="3"/>
      <c r="GBU29" s="3"/>
      <c r="GBV29" s="3"/>
      <c r="GBW29" s="3"/>
      <c r="GBX29" s="3"/>
      <c r="GBY29" s="3"/>
      <c r="GBZ29" s="3"/>
      <c r="GCA29" s="3"/>
      <c r="GCB29" s="3"/>
      <c r="GCC29" s="3"/>
      <c r="GCD29" s="3"/>
      <c r="GCE29" s="3"/>
      <c r="GCF29" s="3"/>
      <c r="GCG29" s="3"/>
      <c r="GCH29" s="3"/>
      <c r="GCI29" s="3"/>
      <c r="GCJ29" s="3"/>
      <c r="GCK29" s="3"/>
      <c r="GCL29" s="3"/>
      <c r="GCM29" s="3"/>
      <c r="GCN29" s="3"/>
      <c r="GCO29" s="3"/>
      <c r="GCP29" s="3"/>
      <c r="GCQ29" s="3"/>
      <c r="GCR29" s="3"/>
      <c r="GCS29" s="3"/>
      <c r="GCT29" s="3"/>
      <c r="GCU29" s="3"/>
      <c r="GCV29" s="3"/>
      <c r="GCW29" s="3"/>
      <c r="GCX29" s="3"/>
      <c r="GCY29" s="3"/>
      <c r="GCZ29" s="3"/>
      <c r="GDA29" s="3"/>
      <c r="GDB29" s="3"/>
      <c r="GDC29" s="3"/>
      <c r="GDD29" s="3"/>
      <c r="GDE29" s="3"/>
      <c r="GDF29" s="3"/>
      <c r="GDG29" s="3"/>
      <c r="GDH29" s="3"/>
      <c r="GDI29" s="3"/>
      <c r="GDJ29" s="3"/>
      <c r="GDK29" s="3"/>
      <c r="GDL29" s="3"/>
      <c r="GDM29" s="3"/>
      <c r="GDN29" s="3"/>
      <c r="GDO29" s="3"/>
      <c r="GDP29" s="3"/>
      <c r="GDQ29" s="3"/>
      <c r="GDR29" s="3"/>
      <c r="GDS29" s="3"/>
      <c r="GDT29" s="3"/>
      <c r="GDU29" s="3"/>
      <c r="GDV29" s="3"/>
      <c r="GDW29" s="3"/>
      <c r="GDX29" s="3"/>
      <c r="GDY29" s="3"/>
      <c r="GDZ29" s="3"/>
      <c r="GEA29" s="3"/>
      <c r="GEB29" s="3"/>
      <c r="GEC29" s="3"/>
      <c r="GED29" s="3"/>
      <c r="GEE29" s="3"/>
      <c r="GEF29" s="3"/>
      <c r="GEG29" s="3"/>
      <c r="GEH29" s="3"/>
      <c r="GEI29" s="3"/>
      <c r="GEJ29" s="3"/>
      <c r="GEK29" s="3"/>
      <c r="GEL29" s="3"/>
      <c r="GEM29" s="3"/>
      <c r="GEN29" s="3"/>
      <c r="GEO29" s="3"/>
      <c r="GEP29" s="3"/>
      <c r="GEQ29" s="3"/>
      <c r="GER29" s="3"/>
      <c r="GES29" s="3"/>
      <c r="GET29" s="3"/>
      <c r="GEU29" s="3"/>
      <c r="GEV29" s="3"/>
      <c r="GEW29" s="3"/>
      <c r="GEX29" s="3"/>
      <c r="GEY29" s="3"/>
      <c r="GEZ29" s="3"/>
      <c r="GFA29" s="3"/>
      <c r="GFB29" s="3"/>
      <c r="GFC29" s="3"/>
      <c r="GFD29" s="3"/>
      <c r="GFE29" s="3"/>
      <c r="GFF29" s="3"/>
      <c r="GFG29" s="3"/>
      <c r="GFH29" s="3"/>
      <c r="GFI29" s="3"/>
      <c r="GFJ29" s="3"/>
      <c r="GFK29" s="3"/>
      <c r="GFL29" s="3"/>
      <c r="GFM29" s="3"/>
      <c r="GFN29" s="3"/>
      <c r="GFO29" s="3"/>
      <c r="GFP29" s="3"/>
      <c r="GFQ29" s="3"/>
      <c r="GFR29" s="3"/>
      <c r="GFS29" s="3"/>
      <c r="GFT29" s="3"/>
      <c r="GFU29" s="3"/>
      <c r="GFV29" s="3"/>
      <c r="GFW29" s="3"/>
      <c r="GFX29" s="3"/>
      <c r="GFY29" s="3"/>
      <c r="GFZ29" s="3"/>
      <c r="GGA29" s="3"/>
      <c r="GGB29" s="3"/>
      <c r="GGC29" s="3"/>
      <c r="GGD29" s="3"/>
      <c r="GGE29" s="3"/>
      <c r="GGF29" s="3"/>
      <c r="GGG29" s="3"/>
      <c r="GGH29" s="3"/>
      <c r="GGI29" s="3"/>
      <c r="GGJ29" s="3"/>
      <c r="GGK29" s="3"/>
      <c r="GGL29" s="3"/>
      <c r="GGM29" s="3"/>
      <c r="GGN29" s="3"/>
      <c r="GGO29" s="3"/>
      <c r="GGP29" s="3"/>
      <c r="GGQ29" s="3"/>
      <c r="GGR29" s="3"/>
      <c r="GGS29" s="3"/>
      <c r="GGT29" s="3"/>
      <c r="GGU29" s="3"/>
      <c r="GGV29" s="3"/>
      <c r="GGW29" s="3"/>
      <c r="GGX29" s="3"/>
      <c r="GGY29" s="3"/>
      <c r="GGZ29" s="3"/>
      <c r="GHA29" s="3"/>
      <c r="GHB29" s="3"/>
      <c r="GHC29" s="3"/>
      <c r="GHD29" s="3"/>
      <c r="GHE29" s="3"/>
      <c r="GHF29" s="3"/>
      <c r="GHG29" s="3"/>
      <c r="GHH29" s="3"/>
      <c r="GHI29" s="3"/>
      <c r="GHJ29" s="3"/>
      <c r="GHK29" s="3"/>
      <c r="GHL29" s="3"/>
      <c r="GHM29" s="3"/>
      <c r="GHN29" s="3"/>
      <c r="GHO29" s="3"/>
      <c r="GHP29" s="3"/>
      <c r="GHQ29" s="3"/>
      <c r="GHR29" s="3"/>
      <c r="GHS29" s="3"/>
      <c r="GHT29" s="3"/>
      <c r="GHU29" s="3"/>
      <c r="GHV29" s="3"/>
      <c r="GHW29" s="3"/>
      <c r="GHX29" s="3"/>
      <c r="GHY29" s="3"/>
      <c r="GHZ29" s="3"/>
      <c r="GIA29" s="3"/>
      <c r="GIB29" s="3"/>
      <c r="GIC29" s="3"/>
      <c r="GID29" s="3"/>
      <c r="GIE29" s="3"/>
      <c r="GIF29" s="3"/>
      <c r="GIG29" s="3"/>
      <c r="GIH29" s="3"/>
      <c r="GII29" s="3"/>
      <c r="GIJ29" s="3"/>
      <c r="GIK29" s="3"/>
      <c r="GIL29" s="3"/>
      <c r="GIM29" s="3"/>
      <c r="GIN29" s="3"/>
      <c r="GIO29" s="3"/>
      <c r="GIP29" s="3"/>
      <c r="GIQ29" s="3"/>
      <c r="GIR29" s="3"/>
      <c r="GIS29" s="3"/>
      <c r="GIT29" s="3"/>
      <c r="GIU29" s="3"/>
      <c r="GIV29" s="3"/>
      <c r="GIW29" s="3"/>
      <c r="GIX29" s="3"/>
      <c r="GIY29" s="3"/>
      <c r="GIZ29" s="3"/>
      <c r="GJA29" s="3"/>
      <c r="GJB29" s="3"/>
      <c r="GJC29" s="3"/>
      <c r="GJD29" s="3"/>
      <c r="GJE29" s="3"/>
      <c r="GJF29" s="3"/>
      <c r="GJG29" s="3"/>
      <c r="GJH29" s="3"/>
      <c r="GJI29" s="3"/>
      <c r="GJJ29" s="3"/>
      <c r="GJK29" s="3"/>
      <c r="GJL29" s="3"/>
      <c r="GJM29" s="3"/>
      <c r="GJN29" s="3"/>
      <c r="GJO29" s="3"/>
      <c r="GJP29" s="3"/>
      <c r="GJQ29" s="3"/>
      <c r="GJR29" s="3"/>
      <c r="GJS29" s="3"/>
      <c r="GJT29" s="3"/>
      <c r="GJU29" s="3"/>
      <c r="GJV29" s="3"/>
      <c r="GJW29" s="3"/>
      <c r="GJX29" s="3"/>
      <c r="GJY29" s="3"/>
      <c r="GJZ29" s="3"/>
      <c r="GKA29" s="3"/>
      <c r="GKB29" s="3"/>
      <c r="GKC29" s="3"/>
      <c r="GKD29" s="3"/>
      <c r="GKE29" s="3"/>
      <c r="GKF29" s="3"/>
      <c r="GKG29" s="3"/>
      <c r="GKH29" s="3"/>
      <c r="GKI29" s="3"/>
      <c r="GKJ29" s="3"/>
      <c r="GKK29" s="3"/>
      <c r="GKL29" s="3"/>
      <c r="GKM29" s="3"/>
      <c r="GKN29" s="3"/>
      <c r="GKO29" s="3"/>
      <c r="GKP29" s="3"/>
      <c r="GKQ29" s="3"/>
      <c r="GKR29" s="3"/>
      <c r="GKS29" s="3"/>
      <c r="GKT29" s="3"/>
      <c r="GKU29" s="3"/>
      <c r="GKV29" s="3"/>
      <c r="GKW29" s="3"/>
      <c r="GKX29" s="3"/>
      <c r="GKY29" s="3"/>
      <c r="GKZ29" s="3"/>
      <c r="GLA29" s="3"/>
      <c r="GLB29" s="3"/>
      <c r="GLC29" s="3"/>
      <c r="GLD29" s="3"/>
      <c r="GLE29" s="3"/>
      <c r="GLF29" s="3"/>
      <c r="GLG29" s="3"/>
      <c r="GLH29" s="3"/>
      <c r="GLI29" s="3"/>
      <c r="GLJ29" s="3"/>
      <c r="GLK29" s="3"/>
      <c r="GLL29" s="3"/>
      <c r="GLM29" s="3"/>
      <c r="GLN29" s="3"/>
      <c r="GLO29" s="3"/>
      <c r="GLP29" s="3"/>
      <c r="GLQ29" s="3"/>
      <c r="GLR29" s="3"/>
      <c r="GLS29" s="3"/>
      <c r="GLT29" s="3"/>
      <c r="GLU29" s="3"/>
      <c r="GLV29" s="3"/>
      <c r="GLW29" s="3"/>
      <c r="GLX29" s="3"/>
      <c r="GLY29" s="3"/>
      <c r="GLZ29" s="3"/>
      <c r="GMA29" s="3"/>
      <c r="GMB29" s="3"/>
      <c r="GMC29" s="3"/>
      <c r="GMD29" s="3"/>
      <c r="GME29" s="3"/>
      <c r="GMF29" s="3"/>
      <c r="GMG29" s="3"/>
      <c r="GMH29" s="3"/>
      <c r="GMI29" s="3"/>
      <c r="GMJ29" s="3"/>
      <c r="GMK29" s="3"/>
      <c r="GML29" s="3"/>
      <c r="GMM29" s="3"/>
      <c r="GMN29" s="3"/>
      <c r="GMO29" s="3"/>
      <c r="GMP29" s="3"/>
      <c r="GMQ29" s="3"/>
      <c r="GMR29" s="3"/>
      <c r="GMS29" s="3"/>
      <c r="GMT29" s="3"/>
      <c r="GMU29" s="3"/>
      <c r="GMV29" s="3"/>
      <c r="GMW29" s="3"/>
      <c r="GMX29" s="3"/>
      <c r="GMY29" s="3"/>
      <c r="GMZ29" s="3"/>
      <c r="GNA29" s="3"/>
      <c r="GNB29" s="3"/>
      <c r="GNC29" s="3"/>
      <c r="GND29" s="3"/>
      <c r="GNE29" s="3"/>
      <c r="GNF29" s="3"/>
      <c r="GNG29" s="3"/>
      <c r="GNH29" s="3"/>
      <c r="GNI29" s="3"/>
      <c r="GNJ29" s="3"/>
      <c r="GNK29" s="3"/>
      <c r="GNL29" s="3"/>
      <c r="GNM29" s="3"/>
      <c r="GNN29" s="3"/>
      <c r="GNO29" s="3"/>
      <c r="GNP29" s="3"/>
      <c r="GNQ29" s="3"/>
      <c r="GNR29" s="3"/>
      <c r="GNS29" s="3"/>
      <c r="GNT29" s="3"/>
      <c r="GNU29" s="3"/>
      <c r="GNV29" s="3"/>
      <c r="GNW29" s="3"/>
      <c r="GNX29" s="3"/>
      <c r="GNY29" s="3"/>
      <c r="GNZ29" s="3"/>
      <c r="GOA29" s="3"/>
      <c r="GOB29" s="3"/>
      <c r="GOC29" s="3"/>
      <c r="GOD29" s="3"/>
      <c r="GOE29" s="3"/>
      <c r="GOF29" s="3"/>
      <c r="GOG29" s="3"/>
      <c r="GOH29" s="3"/>
      <c r="GOI29" s="3"/>
      <c r="GOJ29" s="3"/>
      <c r="GOK29" s="3"/>
      <c r="GOL29" s="3"/>
      <c r="GOM29" s="3"/>
      <c r="GON29" s="3"/>
      <c r="GOO29" s="3"/>
      <c r="GOP29" s="3"/>
      <c r="GOQ29" s="3"/>
      <c r="GOR29" s="3"/>
      <c r="GOS29" s="3"/>
      <c r="GOT29" s="3"/>
      <c r="GOU29" s="3"/>
      <c r="GOV29" s="3"/>
      <c r="GOW29" s="3"/>
      <c r="GOX29" s="3"/>
      <c r="GOY29" s="3"/>
      <c r="GOZ29" s="3"/>
      <c r="GPA29" s="3"/>
      <c r="GPB29" s="3"/>
      <c r="GPC29" s="3"/>
      <c r="GPD29" s="3"/>
      <c r="GPE29" s="3"/>
      <c r="GPF29" s="3"/>
      <c r="GPG29" s="3"/>
      <c r="GPH29" s="3"/>
      <c r="GPI29" s="3"/>
      <c r="GPJ29" s="3"/>
      <c r="GPK29" s="3"/>
      <c r="GPL29" s="3"/>
      <c r="GPM29" s="3"/>
      <c r="GPN29" s="3"/>
      <c r="GPO29" s="3"/>
      <c r="GPP29" s="3"/>
      <c r="GPQ29" s="3"/>
      <c r="GPR29" s="3"/>
      <c r="GPS29" s="3"/>
      <c r="GPT29" s="3"/>
      <c r="GPU29" s="3"/>
      <c r="GPV29" s="3"/>
      <c r="GPW29" s="3"/>
      <c r="GPX29" s="3"/>
      <c r="GPY29" s="3"/>
      <c r="GPZ29" s="3"/>
      <c r="GQA29" s="3"/>
      <c r="GQB29" s="3"/>
      <c r="GQC29" s="3"/>
      <c r="GQD29" s="3"/>
      <c r="GQE29" s="3"/>
      <c r="GQF29" s="3"/>
      <c r="GQG29" s="3"/>
      <c r="GQH29" s="3"/>
      <c r="GQI29" s="3"/>
      <c r="GQJ29" s="3"/>
      <c r="GQK29" s="3"/>
      <c r="GQL29" s="3"/>
      <c r="GQM29" s="3"/>
      <c r="GQN29" s="3"/>
      <c r="GQO29" s="3"/>
      <c r="GQP29" s="3"/>
      <c r="GQQ29" s="3"/>
      <c r="GQR29" s="3"/>
      <c r="GQS29" s="3"/>
      <c r="GQT29" s="3"/>
      <c r="GQU29" s="3"/>
      <c r="GQV29" s="3"/>
      <c r="GQW29" s="3"/>
      <c r="GQX29" s="3"/>
      <c r="GQY29" s="3"/>
      <c r="GQZ29" s="3"/>
      <c r="GRA29" s="3"/>
      <c r="GRB29" s="3"/>
      <c r="GRC29" s="3"/>
      <c r="GRD29" s="3"/>
      <c r="GRE29" s="3"/>
      <c r="GRF29" s="3"/>
      <c r="GRG29" s="3"/>
      <c r="GRH29" s="3"/>
      <c r="GRI29" s="3"/>
      <c r="GRJ29" s="3"/>
      <c r="GRK29" s="3"/>
      <c r="GRL29" s="3"/>
      <c r="GRM29" s="3"/>
      <c r="GRN29" s="3"/>
      <c r="GRO29" s="3"/>
      <c r="GRP29" s="3"/>
      <c r="GRQ29" s="3"/>
      <c r="GRR29" s="3"/>
      <c r="GRS29" s="3"/>
      <c r="GRT29" s="3"/>
      <c r="GRU29" s="3"/>
      <c r="GRV29" s="3"/>
      <c r="GRW29" s="3"/>
      <c r="GRX29" s="3"/>
      <c r="GRY29" s="3"/>
      <c r="GRZ29" s="3"/>
      <c r="GSA29" s="3"/>
      <c r="GSB29" s="3"/>
      <c r="GSC29" s="3"/>
      <c r="GSD29" s="3"/>
      <c r="GSE29" s="3"/>
      <c r="GSF29" s="3"/>
      <c r="GSG29" s="3"/>
      <c r="GSH29" s="3"/>
      <c r="GSI29" s="3"/>
      <c r="GSJ29" s="3"/>
      <c r="GSK29" s="3"/>
      <c r="GSL29" s="3"/>
      <c r="GSM29" s="3"/>
      <c r="GSN29" s="3"/>
      <c r="GSO29" s="3"/>
      <c r="GSP29" s="3"/>
      <c r="GSQ29" s="3"/>
      <c r="GSR29" s="3"/>
      <c r="GSS29" s="3"/>
      <c r="GST29" s="3"/>
      <c r="GSU29" s="3"/>
      <c r="GSV29" s="3"/>
      <c r="GSW29" s="3"/>
      <c r="GSX29" s="3"/>
      <c r="GSY29" s="3"/>
      <c r="GSZ29" s="3"/>
      <c r="GTA29" s="3"/>
      <c r="GTB29" s="3"/>
      <c r="GTC29" s="3"/>
      <c r="GTD29" s="3"/>
      <c r="GTE29" s="3"/>
      <c r="GTF29" s="3"/>
      <c r="GTG29" s="3"/>
      <c r="GTH29" s="3"/>
      <c r="GTI29" s="3"/>
      <c r="GTJ29" s="3"/>
      <c r="GTK29" s="3"/>
      <c r="GTL29" s="3"/>
      <c r="GTM29" s="3"/>
      <c r="GTN29" s="3"/>
      <c r="GTO29" s="3"/>
      <c r="GTP29" s="3"/>
      <c r="GTQ29" s="3"/>
      <c r="GTR29" s="3"/>
      <c r="GTS29" s="3"/>
      <c r="GTT29" s="3"/>
      <c r="GTU29" s="3"/>
      <c r="GTV29" s="3"/>
      <c r="GTW29" s="3"/>
      <c r="GTX29" s="3"/>
      <c r="GTY29" s="3"/>
      <c r="GTZ29" s="3"/>
      <c r="GUA29" s="3"/>
      <c r="GUB29" s="3"/>
      <c r="GUC29" s="3"/>
      <c r="GUD29" s="3"/>
      <c r="GUE29" s="3"/>
      <c r="GUF29" s="3"/>
      <c r="GUG29" s="3"/>
      <c r="GUH29" s="3"/>
      <c r="GUI29" s="3"/>
      <c r="GUJ29" s="3"/>
      <c r="GUK29" s="3"/>
      <c r="GUL29" s="3"/>
      <c r="GUM29" s="3"/>
      <c r="GUN29" s="3"/>
      <c r="GUO29" s="3"/>
      <c r="GUP29" s="3"/>
      <c r="GUQ29" s="3"/>
      <c r="GUR29" s="3"/>
      <c r="GUS29" s="3"/>
      <c r="GUT29" s="3"/>
      <c r="GUU29" s="3"/>
      <c r="GUV29" s="3"/>
      <c r="GUW29" s="3"/>
      <c r="GUX29" s="3"/>
      <c r="GUY29" s="3"/>
      <c r="GUZ29" s="3"/>
      <c r="GVA29" s="3"/>
      <c r="GVB29" s="3"/>
      <c r="GVC29" s="3"/>
      <c r="GVD29" s="3"/>
      <c r="GVE29" s="3"/>
      <c r="GVF29" s="3"/>
      <c r="GVG29" s="3"/>
      <c r="GVH29" s="3"/>
      <c r="GVI29" s="3"/>
      <c r="GVJ29" s="3"/>
      <c r="GVK29" s="3"/>
      <c r="GVL29" s="3"/>
      <c r="GVM29" s="3"/>
      <c r="GVN29" s="3"/>
      <c r="GVO29" s="3"/>
      <c r="GVP29" s="3"/>
      <c r="GVQ29" s="3"/>
      <c r="GVR29" s="3"/>
      <c r="GVS29" s="3"/>
      <c r="GVT29" s="3"/>
      <c r="GVU29" s="3"/>
      <c r="GVV29" s="3"/>
      <c r="GVW29" s="3"/>
      <c r="GVX29" s="3"/>
      <c r="GVY29" s="3"/>
      <c r="GVZ29" s="3"/>
      <c r="GWA29" s="3"/>
      <c r="GWB29" s="3"/>
      <c r="GWC29" s="3"/>
      <c r="GWD29" s="3"/>
      <c r="GWE29" s="3"/>
      <c r="GWF29" s="3"/>
      <c r="GWG29" s="3"/>
      <c r="GWH29" s="3"/>
      <c r="GWI29" s="3"/>
      <c r="GWJ29" s="3"/>
      <c r="GWK29" s="3"/>
      <c r="GWL29" s="3"/>
      <c r="GWM29" s="3"/>
      <c r="GWN29" s="3"/>
      <c r="GWO29" s="3"/>
      <c r="GWP29" s="3"/>
      <c r="GWQ29" s="3"/>
      <c r="GWR29" s="3"/>
      <c r="GWS29" s="3"/>
      <c r="GWT29" s="3"/>
      <c r="GWU29" s="3"/>
      <c r="GWV29" s="3"/>
      <c r="GWW29" s="3"/>
      <c r="GWX29" s="3"/>
      <c r="GWY29" s="3"/>
      <c r="GWZ29" s="3"/>
      <c r="GXA29" s="3"/>
      <c r="GXB29" s="3"/>
      <c r="GXC29" s="3"/>
      <c r="GXD29" s="3"/>
      <c r="GXE29" s="3"/>
      <c r="GXF29" s="3"/>
      <c r="GXG29" s="3"/>
      <c r="GXH29" s="3"/>
      <c r="GXI29" s="3"/>
      <c r="GXJ29" s="3"/>
      <c r="GXK29" s="3"/>
      <c r="GXL29" s="3"/>
      <c r="GXM29" s="3"/>
      <c r="GXN29" s="3"/>
      <c r="GXO29" s="3"/>
      <c r="GXP29" s="3"/>
      <c r="GXQ29" s="3"/>
      <c r="GXR29" s="3"/>
      <c r="GXS29" s="3"/>
      <c r="GXT29" s="3"/>
      <c r="GXU29" s="3"/>
      <c r="GXV29" s="3"/>
      <c r="GXW29" s="3"/>
      <c r="GXX29" s="3"/>
      <c r="GXY29" s="3"/>
      <c r="GXZ29" s="3"/>
      <c r="GYA29" s="3"/>
      <c r="GYB29" s="3"/>
      <c r="GYC29" s="3"/>
      <c r="GYD29" s="3"/>
      <c r="GYE29" s="3"/>
      <c r="GYF29" s="3"/>
      <c r="GYG29" s="3"/>
      <c r="GYH29" s="3"/>
      <c r="GYI29" s="3"/>
      <c r="GYJ29" s="3"/>
      <c r="GYK29" s="3"/>
      <c r="GYL29" s="3"/>
      <c r="GYM29" s="3"/>
      <c r="GYN29" s="3"/>
      <c r="GYO29" s="3"/>
      <c r="GYP29" s="3"/>
      <c r="GYQ29" s="3"/>
      <c r="GYR29" s="3"/>
      <c r="GYS29" s="3"/>
      <c r="GYT29" s="3"/>
      <c r="GYU29" s="3"/>
      <c r="GYV29" s="3"/>
      <c r="GYW29" s="3"/>
      <c r="GYX29" s="3"/>
      <c r="GYY29" s="3"/>
      <c r="GYZ29" s="3"/>
      <c r="GZA29" s="3"/>
      <c r="GZB29" s="3"/>
      <c r="GZC29" s="3"/>
      <c r="GZD29" s="3"/>
      <c r="GZE29" s="3"/>
      <c r="GZF29" s="3"/>
      <c r="GZG29" s="3"/>
      <c r="GZH29" s="3"/>
      <c r="GZI29" s="3"/>
      <c r="GZJ29" s="3"/>
      <c r="GZK29" s="3"/>
      <c r="GZL29" s="3"/>
      <c r="GZM29" s="3"/>
      <c r="GZN29" s="3"/>
      <c r="GZO29" s="3"/>
      <c r="GZP29" s="3"/>
      <c r="GZQ29" s="3"/>
      <c r="GZR29" s="3"/>
      <c r="GZS29" s="3"/>
      <c r="GZT29" s="3"/>
      <c r="GZU29" s="3"/>
      <c r="GZV29" s="3"/>
      <c r="GZW29" s="3"/>
      <c r="GZX29" s="3"/>
      <c r="GZY29" s="3"/>
      <c r="GZZ29" s="3"/>
      <c r="HAA29" s="3"/>
      <c r="HAB29" s="3"/>
      <c r="HAC29" s="3"/>
      <c r="HAD29" s="3"/>
      <c r="HAE29" s="3"/>
      <c r="HAF29" s="3"/>
      <c r="HAG29" s="3"/>
      <c r="HAH29" s="3"/>
      <c r="HAI29" s="3"/>
      <c r="HAJ29" s="3"/>
      <c r="HAK29" s="3"/>
      <c r="HAL29" s="3"/>
      <c r="HAM29" s="3"/>
      <c r="HAN29" s="3"/>
      <c r="HAO29" s="3"/>
      <c r="HAP29" s="3"/>
      <c r="HAQ29" s="3"/>
      <c r="HAR29" s="3"/>
      <c r="HAS29" s="3"/>
      <c r="HAT29" s="3"/>
      <c r="HAU29" s="3"/>
      <c r="HAV29" s="3"/>
      <c r="HAW29" s="3"/>
      <c r="HAX29" s="3"/>
      <c r="HAY29" s="3"/>
      <c r="HAZ29" s="3"/>
      <c r="HBA29" s="3"/>
      <c r="HBB29" s="3"/>
      <c r="HBC29" s="3"/>
      <c r="HBD29" s="3"/>
      <c r="HBE29" s="3"/>
      <c r="HBF29" s="3"/>
      <c r="HBG29" s="3"/>
      <c r="HBH29" s="3"/>
      <c r="HBI29" s="3"/>
      <c r="HBJ29" s="3"/>
      <c r="HBK29" s="3"/>
      <c r="HBL29" s="3"/>
      <c r="HBM29" s="3"/>
      <c r="HBN29" s="3"/>
      <c r="HBO29" s="3"/>
      <c r="HBP29" s="3"/>
      <c r="HBQ29" s="3"/>
      <c r="HBR29" s="3"/>
      <c r="HBS29" s="3"/>
      <c r="HBT29" s="3"/>
      <c r="HBU29" s="3"/>
      <c r="HBV29" s="3"/>
      <c r="HBW29" s="3"/>
      <c r="HBX29" s="3"/>
      <c r="HBY29" s="3"/>
      <c r="HBZ29" s="3"/>
      <c r="HCA29" s="3"/>
      <c r="HCB29" s="3"/>
      <c r="HCC29" s="3"/>
      <c r="HCD29" s="3"/>
      <c r="HCE29" s="3"/>
      <c r="HCF29" s="3"/>
      <c r="HCG29" s="3"/>
      <c r="HCH29" s="3"/>
      <c r="HCI29" s="3"/>
      <c r="HCJ29" s="3"/>
      <c r="HCK29" s="3"/>
      <c r="HCL29" s="3"/>
      <c r="HCM29" s="3"/>
      <c r="HCN29" s="3"/>
      <c r="HCO29" s="3"/>
      <c r="HCP29" s="3"/>
      <c r="HCQ29" s="3"/>
      <c r="HCR29" s="3"/>
      <c r="HCS29" s="3"/>
      <c r="HCT29" s="3"/>
      <c r="HCU29" s="3"/>
      <c r="HCV29" s="3"/>
      <c r="HCW29" s="3"/>
      <c r="HCX29" s="3"/>
      <c r="HCY29" s="3"/>
      <c r="HCZ29" s="3"/>
      <c r="HDA29" s="3"/>
      <c r="HDB29" s="3"/>
      <c r="HDC29" s="3"/>
      <c r="HDD29" s="3"/>
      <c r="HDE29" s="3"/>
      <c r="HDF29" s="3"/>
      <c r="HDG29" s="3"/>
      <c r="HDH29" s="3"/>
      <c r="HDI29" s="3"/>
      <c r="HDJ29" s="3"/>
      <c r="HDK29" s="3"/>
      <c r="HDL29" s="3"/>
      <c r="HDM29" s="3"/>
      <c r="HDN29" s="3"/>
      <c r="HDO29" s="3"/>
      <c r="HDP29" s="3"/>
      <c r="HDQ29" s="3"/>
      <c r="HDR29" s="3"/>
      <c r="HDS29" s="3"/>
      <c r="HDT29" s="3"/>
      <c r="HDU29" s="3"/>
      <c r="HDV29" s="3"/>
      <c r="HDW29" s="3"/>
      <c r="HDX29" s="3"/>
      <c r="HDY29" s="3"/>
      <c r="HDZ29" s="3"/>
      <c r="HEA29" s="3"/>
      <c r="HEB29" s="3"/>
      <c r="HEC29" s="3"/>
      <c r="HED29" s="3"/>
      <c r="HEE29" s="3"/>
      <c r="HEF29" s="3"/>
      <c r="HEG29" s="3"/>
      <c r="HEH29" s="3"/>
      <c r="HEI29" s="3"/>
      <c r="HEJ29" s="3"/>
      <c r="HEK29" s="3"/>
      <c r="HEL29" s="3"/>
      <c r="HEM29" s="3"/>
      <c r="HEN29" s="3"/>
      <c r="HEO29" s="3"/>
      <c r="HEP29" s="3"/>
      <c r="HEQ29" s="3"/>
      <c r="HER29" s="3"/>
      <c r="HES29" s="3"/>
      <c r="HET29" s="3"/>
      <c r="HEU29" s="3"/>
      <c r="HEV29" s="3"/>
      <c r="HEW29" s="3"/>
      <c r="HEX29" s="3"/>
      <c r="HEY29" s="3"/>
      <c r="HEZ29" s="3"/>
      <c r="HFA29" s="3"/>
      <c r="HFB29" s="3"/>
      <c r="HFC29" s="3"/>
      <c r="HFD29" s="3"/>
      <c r="HFE29" s="3"/>
      <c r="HFF29" s="3"/>
      <c r="HFG29" s="3"/>
      <c r="HFH29" s="3"/>
      <c r="HFI29" s="3"/>
      <c r="HFJ29" s="3"/>
      <c r="HFK29" s="3"/>
      <c r="HFL29" s="3"/>
      <c r="HFM29" s="3"/>
      <c r="HFN29" s="3"/>
      <c r="HFO29" s="3"/>
      <c r="HFP29" s="3"/>
      <c r="HFQ29" s="3"/>
      <c r="HFR29" s="3"/>
      <c r="HFS29" s="3"/>
      <c r="HFT29" s="3"/>
      <c r="HFU29" s="3"/>
      <c r="HFV29" s="3"/>
      <c r="HFW29" s="3"/>
      <c r="HFX29" s="3"/>
      <c r="HFY29" s="3"/>
      <c r="HFZ29" s="3"/>
      <c r="HGA29" s="3"/>
      <c r="HGB29" s="3"/>
      <c r="HGC29" s="3"/>
      <c r="HGD29" s="3"/>
      <c r="HGE29" s="3"/>
      <c r="HGF29" s="3"/>
      <c r="HGG29" s="3"/>
      <c r="HGH29" s="3"/>
      <c r="HGI29" s="3"/>
      <c r="HGJ29" s="3"/>
      <c r="HGK29" s="3"/>
      <c r="HGL29" s="3"/>
      <c r="HGM29" s="3"/>
      <c r="HGN29" s="3"/>
      <c r="HGO29" s="3"/>
      <c r="HGP29" s="3"/>
      <c r="HGQ29" s="3"/>
      <c r="HGR29" s="3"/>
      <c r="HGS29" s="3"/>
      <c r="HGT29" s="3"/>
      <c r="HGU29" s="3"/>
      <c r="HGV29" s="3"/>
      <c r="HGW29" s="3"/>
      <c r="HGX29" s="3"/>
      <c r="HGY29" s="3"/>
      <c r="HGZ29" s="3"/>
      <c r="HHA29" s="3"/>
      <c r="HHB29" s="3"/>
      <c r="HHC29" s="3"/>
      <c r="HHD29" s="3"/>
      <c r="HHE29" s="3"/>
      <c r="HHF29" s="3"/>
      <c r="HHG29" s="3"/>
      <c r="HHH29" s="3"/>
      <c r="HHI29" s="3"/>
      <c r="HHJ29" s="3"/>
      <c r="HHK29" s="3"/>
      <c r="HHL29" s="3"/>
      <c r="HHM29" s="3"/>
      <c r="HHN29" s="3"/>
      <c r="HHO29" s="3"/>
      <c r="HHP29" s="3"/>
      <c r="HHQ29" s="3"/>
      <c r="HHR29" s="3"/>
      <c r="HHS29" s="3"/>
      <c r="HHT29" s="3"/>
      <c r="HHU29" s="3"/>
      <c r="HHV29" s="3"/>
      <c r="HHW29" s="3"/>
      <c r="HHX29" s="3"/>
      <c r="HHY29" s="3"/>
      <c r="HHZ29" s="3"/>
      <c r="HIA29" s="3"/>
      <c r="HIB29" s="3"/>
      <c r="HIC29" s="3"/>
      <c r="HID29" s="3"/>
      <c r="HIE29" s="3"/>
      <c r="HIF29" s="3"/>
      <c r="HIG29" s="3"/>
      <c r="HIH29" s="3"/>
      <c r="HII29" s="3"/>
      <c r="HIJ29" s="3"/>
      <c r="HIK29" s="3"/>
      <c r="HIL29" s="3"/>
      <c r="HIM29" s="3"/>
      <c r="HIN29" s="3"/>
      <c r="HIO29" s="3"/>
      <c r="HIP29" s="3"/>
      <c r="HIQ29" s="3"/>
      <c r="HIR29" s="3"/>
      <c r="HIS29" s="3"/>
      <c r="HIT29" s="3"/>
      <c r="HIU29" s="3"/>
      <c r="HIV29" s="3"/>
      <c r="HIW29" s="3"/>
      <c r="HIX29" s="3"/>
      <c r="HIY29" s="3"/>
      <c r="HIZ29" s="3"/>
      <c r="HJA29" s="3"/>
      <c r="HJB29" s="3"/>
      <c r="HJC29" s="3"/>
      <c r="HJD29" s="3"/>
      <c r="HJE29" s="3"/>
      <c r="HJF29" s="3"/>
      <c r="HJG29" s="3"/>
      <c r="HJH29" s="3"/>
      <c r="HJI29" s="3"/>
      <c r="HJJ29" s="3"/>
      <c r="HJK29" s="3"/>
      <c r="HJL29" s="3"/>
      <c r="HJM29" s="3"/>
      <c r="HJN29" s="3"/>
      <c r="HJO29" s="3"/>
      <c r="HJP29" s="3"/>
      <c r="HJQ29" s="3"/>
      <c r="HJR29" s="3"/>
      <c r="HJS29" s="3"/>
      <c r="HJT29" s="3"/>
      <c r="HJU29" s="3"/>
      <c r="HJV29" s="3"/>
      <c r="HJW29" s="3"/>
      <c r="HJX29" s="3"/>
      <c r="HJY29" s="3"/>
      <c r="HJZ29" s="3"/>
      <c r="HKA29" s="3"/>
      <c r="HKB29" s="3"/>
      <c r="HKC29" s="3"/>
      <c r="HKD29" s="3"/>
      <c r="HKE29" s="3"/>
      <c r="HKF29" s="3"/>
      <c r="HKG29" s="3"/>
      <c r="HKH29" s="3"/>
      <c r="HKI29" s="3"/>
      <c r="HKJ29" s="3"/>
      <c r="HKK29" s="3"/>
      <c r="HKL29" s="3"/>
      <c r="HKM29" s="3"/>
      <c r="HKN29" s="3"/>
      <c r="HKO29" s="3"/>
      <c r="HKP29" s="3"/>
      <c r="HKQ29" s="3"/>
      <c r="HKR29" s="3"/>
      <c r="HKS29" s="3"/>
      <c r="HKT29" s="3"/>
      <c r="HKU29" s="3"/>
      <c r="HKV29" s="3"/>
      <c r="HKW29" s="3"/>
      <c r="HKX29" s="3"/>
      <c r="HKY29" s="3"/>
      <c r="HKZ29" s="3"/>
      <c r="HLA29" s="3"/>
      <c r="HLB29" s="3"/>
      <c r="HLC29" s="3"/>
      <c r="HLD29" s="3"/>
      <c r="HLE29" s="3"/>
      <c r="HLF29" s="3"/>
      <c r="HLG29" s="3"/>
      <c r="HLH29" s="3"/>
      <c r="HLI29" s="3"/>
      <c r="HLJ29" s="3"/>
      <c r="HLK29" s="3"/>
      <c r="HLL29" s="3"/>
      <c r="HLM29" s="3"/>
      <c r="HLN29" s="3"/>
      <c r="HLO29" s="3"/>
      <c r="HLP29" s="3"/>
      <c r="HLQ29" s="3"/>
      <c r="HLR29" s="3"/>
      <c r="HLS29" s="3"/>
      <c r="HLT29" s="3"/>
      <c r="HLU29" s="3"/>
      <c r="HLV29" s="3"/>
      <c r="HLW29" s="3"/>
      <c r="HLX29" s="3"/>
      <c r="HLY29" s="3"/>
      <c r="HLZ29" s="3"/>
      <c r="HMA29" s="3"/>
      <c r="HMB29" s="3"/>
      <c r="HMC29" s="3"/>
      <c r="HMD29" s="3"/>
      <c r="HME29" s="3"/>
      <c r="HMF29" s="3"/>
      <c r="HMG29" s="3"/>
      <c r="HMH29" s="3"/>
      <c r="HMI29" s="3"/>
      <c r="HMJ29" s="3"/>
      <c r="HMK29" s="3"/>
      <c r="HML29" s="3"/>
      <c r="HMM29" s="3"/>
      <c r="HMN29" s="3"/>
      <c r="HMO29" s="3"/>
      <c r="HMP29" s="3"/>
      <c r="HMQ29" s="3"/>
      <c r="HMR29" s="3"/>
      <c r="HMS29" s="3"/>
      <c r="HMT29" s="3"/>
      <c r="HMU29" s="3"/>
      <c r="HMV29" s="3"/>
      <c r="HMW29" s="3"/>
      <c r="HMX29" s="3"/>
      <c r="HMY29" s="3"/>
      <c r="HMZ29" s="3"/>
      <c r="HNA29" s="3"/>
      <c r="HNB29" s="3"/>
      <c r="HNC29" s="3"/>
      <c r="HND29" s="3"/>
      <c r="HNE29" s="3"/>
      <c r="HNF29" s="3"/>
      <c r="HNG29" s="3"/>
      <c r="HNH29" s="3"/>
      <c r="HNI29" s="3"/>
      <c r="HNJ29" s="3"/>
      <c r="HNK29" s="3"/>
      <c r="HNL29" s="3"/>
      <c r="HNM29" s="3"/>
      <c r="HNN29" s="3"/>
      <c r="HNO29" s="3"/>
      <c r="HNP29" s="3"/>
      <c r="HNQ29" s="3"/>
      <c r="HNR29" s="3"/>
      <c r="HNS29" s="3"/>
      <c r="HNT29" s="3"/>
      <c r="HNU29" s="3"/>
      <c r="HNV29" s="3"/>
      <c r="HNW29" s="3"/>
      <c r="HNX29" s="3"/>
      <c r="HNY29" s="3"/>
      <c r="HNZ29" s="3"/>
      <c r="HOA29" s="3"/>
      <c r="HOB29" s="3"/>
      <c r="HOC29" s="3"/>
      <c r="HOD29" s="3"/>
      <c r="HOE29" s="3"/>
      <c r="HOF29" s="3"/>
      <c r="HOG29" s="3"/>
      <c r="HOH29" s="3"/>
      <c r="HOI29" s="3"/>
      <c r="HOJ29" s="3"/>
      <c r="HOK29" s="3"/>
      <c r="HOL29" s="3"/>
      <c r="HOM29" s="3"/>
      <c r="HON29" s="3"/>
      <c r="HOO29" s="3"/>
      <c r="HOP29" s="3"/>
      <c r="HOQ29" s="3"/>
      <c r="HOR29" s="3"/>
      <c r="HOS29" s="3"/>
      <c r="HOT29" s="3"/>
      <c r="HOU29" s="3"/>
      <c r="HOV29" s="3"/>
      <c r="HOW29" s="3"/>
      <c r="HOX29" s="3"/>
      <c r="HOY29" s="3"/>
      <c r="HOZ29" s="3"/>
      <c r="HPA29" s="3"/>
      <c r="HPB29" s="3"/>
      <c r="HPC29" s="3"/>
      <c r="HPD29" s="3"/>
      <c r="HPE29" s="3"/>
      <c r="HPF29" s="3"/>
      <c r="HPG29" s="3"/>
      <c r="HPH29" s="3"/>
      <c r="HPI29" s="3"/>
      <c r="HPJ29" s="3"/>
      <c r="HPK29" s="3"/>
      <c r="HPL29" s="3"/>
      <c r="HPM29" s="3"/>
      <c r="HPN29" s="3"/>
      <c r="HPO29" s="3"/>
      <c r="HPP29" s="3"/>
      <c r="HPQ29" s="3"/>
      <c r="HPR29" s="3"/>
      <c r="HPS29" s="3"/>
      <c r="HPT29" s="3"/>
      <c r="HPU29" s="3"/>
      <c r="HPV29" s="3"/>
      <c r="HPW29" s="3"/>
      <c r="HPX29" s="3"/>
      <c r="HPY29" s="3"/>
      <c r="HPZ29" s="3"/>
      <c r="HQA29" s="3"/>
      <c r="HQB29" s="3"/>
      <c r="HQC29" s="3"/>
      <c r="HQD29" s="3"/>
      <c r="HQE29" s="3"/>
      <c r="HQF29" s="3"/>
      <c r="HQG29" s="3"/>
      <c r="HQH29" s="3"/>
      <c r="HQI29" s="3"/>
      <c r="HQJ29" s="3"/>
      <c r="HQK29" s="3"/>
      <c r="HQL29" s="3"/>
      <c r="HQM29" s="3"/>
      <c r="HQN29" s="3"/>
      <c r="HQO29" s="3"/>
      <c r="HQP29" s="3"/>
      <c r="HQQ29" s="3"/>
      <c r="HQR29" s="3"/>
      <c r="HQS29" s="3"/>
      <c r="HQT29" s="3"/>
      <c r="HQU29" s="3"/>
      <c r="HQV29" s="3"/>
      <c r="HQW29" s="3"/>
      <c r="HQX29" s="3"/>
      <c r="HQY29" s="3"/>
      <c r="HQZ29" s="3"/>
      <c r="HRA29" s="3"/>
      <c r="HRB29" s="3"/>
      <c r="HRC29" s="3"/>
      <c r="HRD29" s="3"/>
      <c r="HRE29" s="3"/>
      <c r="HRF29" s="3"/>
      <c r="HRG29" s="3"/>
      <c r="HRH29" s="3"/>
      <c r="HRI29" s="3"/>
      <c r="HRJ29" s="3"/>
      <c r="HRK29" s="3"/>
      <c r="HRL29" s="3"/>
      <c r="HRM29" s="3"/>
      <c r="HRN29" s="3"/>
      <c r="HRO29" s="3"/>
      <c r="HRP29" s="3"/>
      <c r="HRQ29" s="3"/>
      <c r="HRR29" s="3"/>
      <c r="HRS29" s="3"/>
      <c r="HRT29" s="3"/>
      <c r="HRU29" s="3"/>
      <c r="HRV29" s="3"/>
      <c r="HRW29" s="3"/>
      <c r="HRX29" s="3"/>
      <c r="HRY29" s="3"/>
      <c r="HRZ29" s="3"/>
      <c r="HSA29" s="3"/>
      <c r="HSB29" s="3"/>
      <c r="HSC29" s="3"/>
      <c r="HSD29" s="3"/>
      <c r="HSE29" s="3"/>
      <c r="HSF29" s="3"/>
      <c r="HSG29" s="3"/>
      <c r="HSH29" s="3"/>
      <c r="HSI29" s="3"/>
      <c r="HSJ29" s="3"/>
      <c r="HSK29" s="3"/>
      <c r="HSL29" s="3"/>
      <c r="HSM29" s="3"/>
      <c r="HSN29" s="3"/>
      <c r="HSO29" s="3"/>
      <c r="HSP29" s="3"/>
      <c r="HSQ29" s="3"/>
      <c r="HSR29" s="3"/>
      <c r="HSS29" s="3"/>
      <c r="HST29" s="3"/>
      <c r="HSU29" s="3"/>
      <c r="HSV29" s="3"/>
      <c r="HSW29" s="3"/>
      <c r="HSX29" s="3"/>
      <c r="HSY29" s="3"/>
      <c r="HSZ29" s="3"/>
      <c r="HTA29" s="3"/>
      <c r="HTB29" s="3"/>
      <c r="HTC29" s="3"/>
      <c r="HTD29" s="3"/>
      <c r="HTE29" s="3"/>
      <c r="HTF29" s="3"/>
      <c r="HTG29" s="3"/>
      <c r="HTH29" s="3"/>
      <c r="HTI29" s="3"/>
      <c r="HTJ29" s="3"/>
      <c r="HTK29" s="3"/>
      <c r="HTL29" s="3"/>
      <c r="HTM29" s="3"/>
      <c r="HTN29" s="3"/>
      <c r="HTO29" s="3"/>
      <c r="HTP29" s="3"/>
      <c r="HTQ29" s="3"/>
      <c r="HTR29" s="3"/>
      <c r="HTS29" s="3"/>
      <c r="HTT29" s="3"/>
      <c r="HTU29" s="3"/>
      <c r="HTV29" s="3"/>
      <c r="HTW29" s="3"/>
      <c r="HTX29" s="3"/>
      <c r="HTY29" s="3"/>
      <c r="HTZ29" s="3"/>
      <c r="HUA29" s="3"/>
      <c r="HUB29" s="3"/>
      <c r="HUC29" s="3"/>
      <c r="HUD29" s="3"/>
      <c r="HUE29" s="3"/>
      <c r="HUF29" s="3"/>
      <c r="HUG29" s="3"/>
      <c r="HUH29" s="3"/>
      <c r="HUI29" s="3"/>
      <c r="HUJ29" s="3"/>
      <c r="HUK29" s="3"/>
      <c r="HUL29" s="3"/>
      <c r="HUM29" s="3"/>
      <c r="HUN29" s="3"/>
      <c r="HUO29" s="3"/>
      <c r="HUP29" s="3"/>
      <c r="HUQ29" s="3"/>
      <c r="HUR29" s="3"/>
      <c r="HUS29" s="3"/>
      <c r="HUT29" s="3"/>
      <c r="HUU29" s="3"/>
      <c r="HUV29" s="3"/>
      <c r="HUW29" s="3"/>
      <c r="HUX29" s="3"/>
      <c r="HUY29" s="3"/>
      <c r="HUZ29" s="3"/>
      <c r="HVA29" s="3"/>
      <c r="HVB29" s="3"/>
      <c r="HVC29" s="3"/>
      <c r="HVD29" s="3"/>
      <c r="HVE29" s="3"/>
      <c r="HVF29" s="3"/>
      <c r="HVG29" s="3"/>
      <c r="HVH29" s="3"/>
      <c r="HVI29" s="3"/>
      <c r="HVJ29" s="3"/>
      <c r="HVK29" s="3"/>
      <c r="HVL29" s="3"/>
      <c r="HVM29" s="3"/>
      <c r="HVN29" s="3"/>
      <c r="HVO29" s="3"/>
      <c r="HVP29" s="3"/>
      <c r="HVQ29" s="3"/>
      <c r="HVR29" s="3"/>
      <c r="HVS29" s="3"/>
      <c r="HVT29" s="3"/>
      <c r="HVU29" s="3"/>
      <c r="HVV29" s="3"/>
      <c r="HVW29" s="3"/>
      <c r="HVX29" s="3"/>
      <c r="HVY29" s="3"/>
      <c r="HVZ29" s="3"/>
      <c r="HWA29" s="3"/>
      <c r="HWB29" s="3"/>
      <c r="HWC29" s="3"/>
      <c r="HWD29" s="3"/>
      <c r="HWE29" s="3"/>
      <c r="HWF29" s="3"/>
      <c r="HWG29" s="3"/>
      <c r="HWH29" s="3"/>
      <c r="HWI29" s="3"/>
      <c r="HWJ29" s="3"/>
      <c r="HWK29" s="3"/>
      <c r="HWL29" s="3"/>
      <c r="HWM29" s="3"/>
      <c r="HWN29" s="3"/>
      <c r="HWO29" s="3"/>
      <c r="HWP29" s="3"/>
      <c r="HWQ29" s="3"/>
      <c r="HWR29" s="3"/>
      <c r="HWS29" s="3"/>
      <c r="HWT29" s="3"/>
      <c r="HWU29" s="3"/>
      <c r="HWV29" s="3"/>
      <c r="HWW29" s="3"/>
      <c r="HWX29" s="3"/>
      <c r="HWY29" s="3"/>
      <c r="HWZ29" s="3"/>
      <c r="HXA29" s="3"/>
      <c r="HXB29" s="3"/>
      <c r="HXC29" s="3"/>
      <c r="HXD29" s="3"/>
      <c r="HXE29" s="3"/>
      <c r="HXF29" s="3"/>
      <c r="HXG29" s="3"/>
      <c r="HXH29" s="3"/>
      <c r="HXI29" s="3"/>
      <c r="HXJ29" s="3"/>
      <c r="HXK29" s="3"/>
      <c r="HXL29" s="3"/>
      <c r="HXM29" s="3"/>
      <c r="HXN29" s="3"/>
      <c r="HXO29" s="3"/>
      <c r="HXP29" s="3"/>
      <c r="HXQ29" s="3"/>
      <c r="HXR29" s="3"/>
      <c r="HXS29" s="3"/>
      <c r="HXT29" s="3"/>
      <c r="HXU29" s="3"/>
      <c r="HXV29" s="3"/>
      <c r="HXW29" s="3"/>
      <c r="HXX29" s="3"/>
      <c r="HXY29" s="3"/>
      <c r="HXZ29" s="3"/>
      <c r="HYA29" s="3"/>
      <c r="HYB29" s="3"/>
      <c r="HYC29" s="3"/>
      <c r="HYD29" s="3"/>
      <c r="HYE29" s="3"/>
      <c r="HYF29" s="3"/>
      <c r="HYG29" s="3"/>
      <c r="HYH29" s="3"/>
      <c r="HYI29" s="3"/>
      <c r="HYJ29" s="3"/>
      <c r="HYK29" s="3"/>
      <c r="HYL29" s="3"/>
      <c r="HYM29" s="3"/>
      <c r="HYN29" s="3"/>
      <c r="HYO29" s="3"/>
      <c r="HYP29" s="3"/>
      <c r="HYQ29" s="3"/>
      <c r="HYR29" s="3"/>
      <c r="HYS29" s="3"/>
      <c r="HYT29" s="3"/>
      <c r="HYU29" s="3"/>
      <c r="HYV29" s="3"/>
      <c r="HYW29" s="3"/>
      <c r="HYX29" s="3"/>
      <c r="HYY29" s="3"/>
      <c r="HYZ29" s="3"/>
      <c r="HZA29" s="3"/>
      <c r="HZB29" s="3"/>
      <c r="HZC29" s="3"/>
      <c r="HZD29" s="3"/>
      <c r="HZE29" s="3"/>
      <c r="HZF29" s="3"/>
      <c r="HZG29" s="3"/>
      <c r="HZH29" s="3"/>
      <c r="HZI29" s="3"/>
      <c r="HZJ29" s="3"/>
      <c r="HZK29" s="3"/>
      <c r="HZL29" s="3"/>
      <c r="HZM29" s="3"/>
      <c r="HZN29" s="3"/>
      <c r="HZO29" s="3"/>
      <c r="HZP29" s="3"/>
      <c r="HZQ29" s="3"/>
      <c r="HZR29" s="3"/>
      <c r="HZS29" s="3"/>
      <c r="HZT29" s="3"/>
      <c r="HZU29" s="3"/>
      <c r="HZV29" s="3"/>
      <c r="HZW29" s="3"/>
      <c r="HZX29" s="3"/>
      <c r="HZY29" s="3"/>
      <c r="HZZ29" s="3"/>
      <c r="IAA29" s="3"/>
      <c r="IAB29" s="3"/>
      <c r="IAC29" s="3"/>
      <c r="IAD29" s="3"/>
      <c r="IAE29" s="3"/>
      <c r="IAF29" s="3"/>
      <c r="IAG29" s="3"/>
      <c r="IAH29" s="3"/>
      <c r="IAI29" s="3"/>
      <c r="IAJ29" s="3"/>
      <c r="IAK29" s="3"/>
      <c r="IAL29" s="3"/>
      <c r="IAM29" s="3"/>
      <c r="IAN29" s="3"/>
      <c r="IAO29" s="3"/>
      <c r="IAP29" s="3"/>
      <c r="IAQ29" s="3"/>
      <c r="IAR29" s="3"/>
      <c r="IAS29" s="3"/>
      <c r="IAT29" s="3"/>
      <c r="IAU29" s="3"/>
      <c r="IAV29" s="3"/>
      <c r="IAW29" s="3"/>
      <c r="IAX29" s="3"/>
      <c r="IAY29" s="3"/>
      <c r="IAZ29" s="3"/>
      <c r="IBA29" s="3"/>
      <c r="IBB29" s="3"/>
      <c r="IBC29" s="3"/>
      <c r="IBD29" s="3"/>
      <c r="IBE29" s="3"/>
      <c r="IBF29" s="3"/>
      <c r="IBG29" s="3"/>
      <c r="IBH29" s="3"/>
      <c r="IBI29" s="3"/>
      <c r="IBJ29" s="3"/>
      <c r="IBK29" s="3"/>
      <c r="IBL29" s="3"/>
      <c r="IBM29" s="3"/>
      <c r="IBN29" s="3"/>
      <c r="IBO29" s="3"/>
      <c r="IBP29" s="3"/>
      <c r="IBQ29" s="3"/>
      <c r="IBR29" s="3"/>
      <c r="IBS29" s="3"/>
      <c r="IBT29" s="3"/>
      <c r="IBU29" s="3"/>
      <c r="IBV29" s="3"/>
      <c r="IBW29" s="3"/>
      <c r="IBX29" s="3"/>
      <c r="IBY29" s="3"/>
      <c r="IBZ29" s="3"/>
      <c r="ICA29" s="3"/>
      <c r="ICB29" s="3"/>
      <c r="ICC29" s="3"/>
      <c r="ICD29" s="3"/>
      <c r="ICE29" s="3"/>
      <c r="ICF29" s="3"/>
      <c r="ICG29" s="3"/>
      <c r="ICH29" s="3"/>
      <c r="ICI29" s="3"/>
      <c r="ICJ29" s="3"/>
      <c r="ICK29" s="3"/>
      <c r="ICL29" s="3"/>
      <c r="ICM29" s="3"/>
      <c r="ICN29" s="3"/>
      <c r="ICO29" s="3"/>
      <c r="ICP29" s="3"/>
      <c r="ICQ29" s="3"/>
      <c r="ICR29" s="3"/>
      <c r="ICS29" s="3"/>
      <c r="ICT29" s="3"/>
      <c r="ICU29" s="3"/>
      <c r="ICV29" s="3"/>
      <c r="ICW29" s="3"/>
      <c r="ICX29" s="3"/>
      <c r="ICY29" s="3"/>
      <c r="ICZ29" s="3"/>
      <c r="IDA29" s="3"/>
      <c r="IDB29" s="3"/>
      <c r="IDC29" s="3"/>
      <c r="IDD29" s="3"/>
      <c r="IDE29" s="3"/>
      <c r="IDF29" s="3"/>
      <c r="IDG29" s="3"/>
      <c r="IDH29" s="3"/>
      <c r="IDI29" s="3"/>
      <c r="IDJ29" s="3"/>
      <c r="IDK29" s="3"/>
      <c r="IDL29" s="3"/>
      <c r="IDM29" s="3"/>
      <c r="IDN29" s="3"/>
      <c r="IDO29" s="3"/>
      <c r="IDP29" s="3"/>
      <c r="IDQ29" s="3"/>
      <c r="IDR29" s="3"/>
      <c r="IDS29" s="3"/>
      <c r="IDT29" s="3"/>
      <c r="IDU29" s="3"/>
      <c r="IDV29" s="3"/>
      <c r="IDW29" s="3"/>
      <c r="IDX29" s="3"/>
      <c r="IDY29" s="3"/>
      <c r="IDZ29" s="3"/>
      <c r="IEA29" s="3"/>
      <c r="IEB29" s="3"/>
      <c r="IEC29" s="3"/>
      <c r="IED29" s="3"/>
      <c r="IEE29" s="3"/>
      <c r="IEF29" s="3"/>
      <c r="IEG29" s="3"/>
      <c r="IEH29" s="3"/>
      <c r="IEI29" s="3"/>
      <c r="IEJ29" s="3"/>
      <c r="IEK29" s="3"/>
      <c r="IEL29" s="3"/>
      <c r="IEM29" s="3"/>
      <c r="IEN29" s="3"/>
      <c r="IEO29" s="3"/>
      <c r="IEP29" s="3"/>
      <c r="IEQ29" s="3"/>
      <c r="IER29" s="3"/>
      <c r="IES29" s="3"/>
      <c r="IET29" s="3"/>
      <c r="IEU29" s="3"/>
      <c r="IEV29" s="3"/>
      <c r="IEW29" s="3"/>
      <c r="IEX29" s="3"/>
      <c r="IEY29" s="3"/>
      <c r="IEZ29" s="3"/>
      <c r="IFA29" s="3"/>
      <c r="IFB29" s="3"/>
      <c r="IFC29" s="3"/>
      <c r="IFD29" s="3"/>
      <c r="IFE29" s="3"/>
      <c r="IFF29" s="3"/>
      <c r="IFG29" s="3"/>
      <c r="IFH29" s="3"/>
      <c r="IFI29" s="3"/>
      <c r="IFJ29" s="3"/>
      <c r="IFK29" s="3"/>
      <c r="IFL29" s="3"/>
      <c r="IFM29" s="3"/>
      <c r="IFN29" s="3"/>
      <c r="IFO29" s="3"/>
      <c r="IFP29" s="3"/>
      <c r="IFQ29" s="3"/>
      <c r="IFR29" s="3"/>
      <c r="IFS29" s="3"/>
      <c r="IFT29" s="3"/>
      <c r="IFU29" s="3"/>
      <c r="IFV29" s="3"/>
      <c r="IFW29" s="3"/>
      <c r="IFX29" s="3"/>
      <c r="IFY29" s="3"/>
      <c r="IFZ29" s="3"/>
      <c r="IGA29" s="3"/>
      <c r="IGB29" s="3"/>
      <c r="IGC29" s="3"/>
      <c r="IGD29" s="3"/>
      <c r="IGE29" s="3"/>
      <c r="IGF29" s="3"/>
      <c r="IGG29" s="3"/>
      <c r="IGH29" s="3"/>
      <c r="IGI29" s="3"/>
      <c r="IGJ29" s="3"/>
      <c r="IGK29" s="3"/>
      <c r="IGL29" s="3"/>
      <c r="IGM29" s="3"/>
      <c r="IGN29" s="3"/>
      <c r="IGO29" s="3"/>
      <c r="IGP29" s="3"/>
      <c r="IGQ29" s="3"/>
      <c r="IGR29" s="3"/>
      <c r="IGS29" s="3"/>
      <c r="IGT29" s="3"/>
      <c r="IGU29" s="3"/>
      <c r="IGV29" s="3"/>
      <c r="IGW29" s="3"/>
      <c r="IGX29" s="3"/>
      <c r="IGY29" s="3"/>
      <c r="IGZ29" s="3"/>
      <c r="IHA29" s="3"/>
      <c r="IHB29" s="3"/>
      <c r="IHC29" s="3"/>
      <c r="IHD29" s="3"/>
      <c r="IHE29" s="3"/>
      <c r="IHF29" s="3"/>
      <c r="IHG29" s="3"/>
      <c r="IHH29" s="3"/>
      <c r="IHI29" s="3"/>
      <c r="IHJ29" s="3"/>
      <c r="IHK29" s="3"/>
      <c r="IHL29" s="3"/>
      <c r="IHM29" s="3"/>
      <c r="IHN29" s="3"/>
      <c r="IHO29" s="3"/>
      <c r="IHP29" s="3"/>
      <c r="IHQ29" s="3"/>
      <c r="IHR29" s="3"/>
      <c r="IHS29" s="3"/>
      <c r="IHT29" s="3"/>
      <c r="IHU29" s="3"/>
      <c r="IHV29" s="3"/>
      <c r="IHW29" s="3"/>
      <c r="IHX29" s="3"/>
      <c r="IHY29" s="3"/>
      <c r="IHZ29" s="3"/>
      <c r="IIA29" s="3"/>
      <c r="IIB29" s="3"/>
      <c r="IIC29" s="3"/>
      <c r="IID29" s="3"/>
      <c r="IIE29" s="3"/>
      <c r="IIF29" s="3"/>
      <c r="IIG29" s="3"/>
      <c r="IIH29" s="3"/>
      <c r="III29" s="3"/>
      <c r="IIJ29" s="3"/>
      <c r="IIK29" s="3"/>
      <c r="IIL29" s="3"/>
      <c r="IIM29" s="3"/>
      <c r="IIN29" s="3"/>
      <c r="IIO29" s="3"/>
      <c r="IIP29" s="3"/>
      <c r="IIQ29" s="3"/>
      <c r="IIR29" s="3"/>
      <c r="IIS29" s="3"/>
      <c r="IIT29" s="3"/>
      <c r="IIU29" s="3"/>
      <c r="IIV29" s="3"/>
      <c r="IIW29" s="3"/>
      <c r="IIX29" s="3"/>
      <c r="IIY29" s="3"/>
      <c r="IIZ29" s="3"/>
      <c r="IJA29" s="3"/>
      <c r="IJB29" s="3"/>
      <c r="IJC29" s="3"/>
      <c r="IJD29" s="3"/>
      <c r="IJE29" s="3"/>
      <c r="IJF29" s="3"/>
      <c r="IJG29" s="3"/>
      <c r="IJH29" s="3"/>
      <c r="IJI29" s="3"/>
      <c r="IJJ29" s="3"/>
      <c r="IJK29" s="3"/>
      <c r="IJL29" s="3"/>
      <c r="IJM29" s="3"/>
      <c r="IJN29" s="3"/>
      <c r="IJO29" s="3"/>
      <c r="IJP29" s="3"/>
      <c r="IJQ29" s="3"/>
      <c r="IJR29" s="3"/>
      <c r="IJS29" s="3"/>
      <c r="IJT29" s="3"/>
      <c r="IJU29" s="3"/>
      <c r="IJV29" s="3"/>
      <c r="IJW29" s="3"/>
      <c r="IJX29" s="3"/>
      <c r="IJY29" s="3"/>
      <c r="IJZ29" s="3"/>
      <c r="IKA29" s="3"/>
      <c r="IKB29" s="3"/>
      <c r="IKC29" s="3"/>
      <c r="IKD29" s="3"/>
      <c r="IKE29" s="3"/>
      <c r="IKF29" s="3"/>
      <c r="IKG29" s="3"/>
      <c r="IKH29" s="3"/>
      <c r="IKI29" s="3"/>
      <c r="IKJ29" s="3"/>
      <c r="IKK29" s="3"/>
      <c r="IKL29" s="3"/>
      <c r="IKM29" s="3"/>
      <c r="IKN29" s="3"/>
      <c r="IKO29" s="3"/>
      <c r="IKP29" s="3"/>
      <c r="IKQ29" s="3"/>
      <c r="IKR29" s="3"/>
      <c r="IKS29" s="3"/>
      <c r="IKT29" s="3"/>
      <c r="IKU29" s="3"/>
      <c r="IKV29" s="3"/>
      <c r="IKW29" s="3"/>
      <c r="IKX29" s="3"/>
      <c r="IKY29" s="3"/>
      <c r="IKZ29" s="3"/>
      <c r="ILA29" s="3"/>
      <c r="ILB29" s="3"/>
      <c r="ILC29" s="3"/>
      <c r="ILD29" s="3"/>
      <c r="ILE29" s="3"/>
      <c r="ILF29" s="3"/>
      <c r="ILG29" s="3"/>
      <c r="ILH29" s="3"/>
      <c r="ILI29" s="3"/>
      <c r="ILJ29" s="3"/>
      <c r="ILK29" s="3"/>
      <c r="ILL29" s="3"/>
      <c r="ILM29" s="3"/>
      <c r="ILN29" s="3"/>
      <c r="ILO29" s="3"/>
      <c r="ILP29" s="3"/>
      <c r="ILQ29" s="3"/>
      <c r="ILR29" s="3"/>
      <c r="ILS29" s="3"/>
      <c r="ILT29" s="3"/>
      <c r="ILU29" s="3"/>
      <c r="ILV29" s="3"/>
      <c r="ILW29" s="3"/>
      <c r="ILX29" s="3"/>
      <c r="ILY29" s="3"/>
      <c r="ILZ29" s="3"/>
      <c r="IMA29" s="3"/>
      <c r="IMB29" s="3"/>
      <c r="IMC29" s="3"/>
      <c r="IMD29" s="3"/>
      <c r="IME29" s="3"/>
      <c r="IMF29" s="3"/>
      <c r="IMG29" s="3"/>
      <c r="IMH29" s="3"/>
      <c r="IMI29" s="3"/>
      <c r="IMJ29" s="3"/>
      <c r="IMK29" s="3"/>
      <c r="IML29" s="3"/>
      <c r="IMM29" s="3"/>
      <c r="IMN29" s="3"/>
      <c r="IMO29" s="3"/>
      <c r="IMP29" s="3"/>
      <c r="IMQ29" s="3"/>
      <c r="IMR29" s="3"/>
      <c r="IMS29" s="3"/>
      <c r="IMT29" s="3"/>
      <c r="IMU29" s="3"/>
      <c r="IMV29" s="3"/>
      <c r="IMW29" s="3"/>
      <c r="IMX29" s="3"/>
      <c r="IMY29" s="3"/>
      <c r="IMZ29" s="3"/>
      <c r="INA29" s="3"/>
      <c r="INB29" s="3"/>
      <c r="INC29" s="3"/>
      <c r="IND29" s="3"/>
      <c r="INE29" s="3"/>
      <c r="INF29" s="3"/>
      <c r="ING29" s="3"/>
      <c r="INH29" s="3"/>
      <c r="INI29" s="3"/>
      <c r="INJ29" s="3"/>
      <c r="INK29" s="3"/>
      <c r="INL29" s="3"/>
      <c r="INM29" s="3"/>
      <c r="INN29" s="3"/>
      <c r="INO29" s="3"/>
      <c r="INP29" s="3"/>
      <c r="INQ29" s="3"/>
      <c r="INR29" s="3"/>
      <c r="INS29" s="3"/>
      <c r="INT29" s="3"/>
      <c r="INU29" s="3"/>
      <c r="INV29" s="3"/>
      <c r="INW29" s="3"/>
      <c r="INX29" s="3"/>
      <c r="INY29" s="3"/>
      <c r="INZ29" s="3"/>
      <c r="IOA29" s="3"/>
      <c r="IOB29" s="3"/>
      <c r="IOC29" s="3"/>
      <c r="IOD29" s="3"/>
      <c r="IOE29" s="3"/>
      <c r="IOF29" s="3"/>
      <c r="IOG29" s="3"/>
      <c r="IOH29" s="3"/>
      <c r="IOI29" s="3"/>
      <c r="IOJ29" s="3"/>
      <c r="IOK29" s="3"/>
      <c r="IOL29" s="3"/>
      <c r="IOM29" s="3"/>
      <c r="ION29" s="3"/>
      <c r="IOO29" s="3"/>
      <c r="IOP29" s="3"/>
      <c r="IOQ29" s="3"/>
      <c r="IOR29" s="3"/>
      <c r="IOS29" s="3"/>
      <c r="IOT29" s="3"/>
      <c r="IOU29" s="3"/>
      <c r="IOV29" s="3"/>
      <c r="IOW29" s="3"/>
      <c r="IOX29" s="3"/>
      <c r="IOY29" s="3"/>
      <c r="IOZ29" s="3"/>
      <c r="IPA29" s="3"/>
      <c r="IPB29" s="3"/>
      <c r="IPC29" s="3"/>
      <c r="IPD29" s="3"/>
      <c r="IPE29" s="3"/>
      <c r="IPF29" s="3"/>
      <c r="IPG29" s="3"/>
      <c r="IPH29" s="3"/>
      <c r="IPI29" s="3"/>
      <c r="IPJ29" s="3"/>
      <c r="IPK29" s="3"/>
      <c r="IPL29" s="3"/>
      <c r="IPM29" s="3"/>
      <c r="IPN29" s="3"/>
      <c r="IPO29" s="3"/>
      <c r="IPP29" s="3"/>
      <c r="IPQ29" s="3"/>
      <c r="IPR29" s="3"/>
      <c r="IPS29" s="3"/>
      <c r="IPT29" s="3"/>
      <c r="IPU29" s="3"/>
      <c r="IPV29" s="3"/>
      <c r="IPW29" s="3"/>
      <c r="IPX29" s="3"/>
      <c r="IPY29" s="3"/>
      <c r="IPZ29" s="3"/>
      <c r="IQA29" s="3"/>
      <c r="IQB29" s="3"/>
      <c r="IQC29" s="3"/>
      <c r="IQD29" s="3"/>
      <c r="IQE29" s="3"/>
      <c r="IQF29" s="3"/>
      <c r="IQG29" s="3"/>
      <c r="IQH29" s="3"/>
      <c r="IQI29" s="3"/>
      <c r="IQJ29" s="3"/>
      <c r="IQK29" s="3"/>
      <c r="IQL29" s="3"/>
      <c r="IQM29" s="3"/>
      <c r="IQN29" s="3"/>
      <c r="IQO29" s="3"/>
      <c r="IQP29" s="3"/>
      <c r="IQQ29" s="3"/>
      <c r="IQR29" s="3"/>
      <c r="IQS29" s="3"/>
      <c r="IQT29" s="3"/>
      <c r="IQU29" s="3"/>
      <c r="IQV29" s="3"/>
      <c r="IQW29" s="3"/>
      <c r="IQX29" s="3"/>
      <c r="IQY29" s="3"/>
      <c r="IQZ29" s="3"/>
      <c r="IRA29" s="3"/>
      <c r="IRB29" s="3"/>
      <c r="IRC29" s="3"/>
      <c r="IRD29" s="3"/>
      <c r="IRE29" s="3"/>
      <c r="IRF29" s="3"/>
      <c r="IRG29" s="3"/>
      <c r="IRH29" s="3"/>
      <c r="IRI29" s="3"/>
      <c r="IRJ29" s="3"/>
      <c r="IRK29" s="3"/>
      <c r="IRL29" s="3"/>
      <c r="IRM29" s="3"/>
      <c r="IRN29" s="3"/>
      <c r="IRO29" s="3"/>
      <c r="IRP29" s="3"/>
      <c r="IRQ29" s="3"/>
      <c r="IRR29" s="3"/>
      <c r="IRS29" s="3"/>
      <c r="IRT29" s="3"/>
      <c r="IRU29" s="3"/>
      <c r="IRV29" s="3"/>
      <c r="IRW29" s="3"/>
      <c r="IRX29" s="3"/>
      <c r="IRY29" s="3"/>
      <c r="IRZ29" s="3"/>
      <c r="ISA29" s="3"/>
      <c r="ISB29" s="3"/>
      <c r="ISC29" s="3"/>
      <c r="ISD29" s="3"/>
      <c r="ISE29" s="3"/>
      <c r="ISF29" s="3"/>
      <c r="ISG29" s="3"/>
      <c r="ISH29" s="3"/>
      <c r="ISI29" s="3"/>
      <c r="ISJ29" s="3"/>
      <c r="ISK29" s="3"/>
      <c r="ISL29" s="3"/>
      <c r="ISM29" s="3"/>
      <c r="ISN29" s="3"/>
      <c r="ISO29" s="3"/>
      <c r="ISP29" s="3"/>
      <c r="ISQ29" s="3"/>
      <c r="ISR29" s="3"/>
      <c r="ISS29" s="3"/>
      <c r="IST29" s="3"/>
      <c r="ISU29" s="3"/>
      <c r="ISV29" s="3"/>
      <c r="ISW29" s="3"/>
      <c r="ISX29" s="3"/>
      <c r="ISY29" s="3"/>
      <c r="ISZ29" s="3"/>
      <c r="ITA29" s="3"/>
      <c r="ITB29" s="3"/>
      <c r="ITC29" s="3"/>
      <c r="ITD29" s="3"/>
      <c r="ITE29" s="3"/>
      <c r="ITF29" s="3"/>
      <c r="ITG29" s="3"/>
      <c r="ITH29" s="3"/>
      <c r="ITI29" s="3"/>
      <c r="ITJ29" s="3"/>
      <c r="ITK29" s="3"/>
      <c r="ITL29" s="3"/>
      <c r="ITM29" s="3"/>
      <c r="ITN29" s="3"/>
      <c r="ITO29" s="3"/>
      <c r="ITP29" s="3"/>
      <c r="ITQ29" s="3"/>
      <c r="ITR29" s="3"/>
      <c r="ITS29" s="3"/>
      <c r="ITT29" s="3"/>
      <c r="ITU29" s="3"/>
      <c r="ITV29" s="3"/>
      <c r="ITW29" s="3"/>
      <c r="ITX29" s="3"/>
      <c r="ITY29" s="3"/>
      <c r="ITZ29" s="3"/>
      <c r="IUA29" s="3"/>
      <c r="IUB29" s="3"/>
      <c r="IUC29" s="3"/>
      <c r="IUD29" s="3"/>
      <c r="IUE29" s="3"/>
      <c r="IUF29" s="3"/>
      <c r="IUG29" s="3"/>
      <c r="IUH29" s="3"/>
      <c r="IUI29" s="3"/>
      <c r="IUJ29" s="3"/>
      <c r="IUK29" s="3"/>
      <c r="IUL29" s="3"/>
      <c r="IUM29" s="3"/>
      <c r="IUN29" s="3"/>
      <c r="IUO29" s="3"/>
      <c r="IUP29" s="3"/>
      <c r="IUQ29" s="3"/>
      <c r="IUR29" s="3"/>
      <c r="IUS29" s="3"/>
      <c r="IUT29" s="3"/>
      <c r="IUU29" s="3"/>
      <c r="IUV29" s="3"/>
      <c r="IUW29" s="3"/>
      <c r="IUX29" s="3"/>
      <c r="IUY29" s="3"/>
      <c r="IUZ29" s="3"/>
      <c r="IVA29" s="3"/>
      <c r="IVB29" s="3"/>
      <c r="IVC29" s="3"/>
      <c r="IVD29" s="3"/>
      <c r="IVE29" s="3"/>
      <c r="IVF29" s="3"/>
      <c r="IVG29" s="3"/>
      <c r="IVH29" s="3"/>
      <c r="IVI29" s="3"/>
      <c r="IVJ29" s="3"/>
      <c r="IVK29" s="3"/>
      <c r="IVL29" s="3"/>
      <c r="IVM29" s="3"/>
      <c r="IVN29" s="3"/>
      <c r="IVO29" s="3"/>
      <c r="IVP29" s="3"/>
      <c r="IVQ29" s="3"/>
      <c r="IVR29" s="3"/>
      <c r="IVS29" s="3"/>
      <c r="IVT29" s="3"/>
      <c r="IVU29" s="3"/>
      <c r="IVV29" s="3"/>
      <c r="IVW29" s="3"/>
      <c r="IVX29" s="3"/>
      <c r="IVY29" s="3"/>
      <c r="IVZ29" s="3"/>
      <c r="IWA29" s="3"/>
      <c r="IWB29" s="3"/>
      <c r="IWC29" s="3"/>
      <c r="IWD29" s="3"/>
      <c r="IWE29" s="3"/>
      <c r="IWF29" s="3"/>
      <c r="IWG29" s="3"/>
      <c r="IWH29" s="3"/>
      <c r="IWI29" s="3"/>
      <c r="IWJ29" s="3"/>
      <c r="IWK29" s="3"/>
      <c r="IWL29" s="3"/>
      <c r="IWM29" s="3"/>
      <c r="IWN29" s="3"/>
      <c r="IWO29" s="3"/>
      <c r="IWP29" s="3"/>
      <c r="IWQ29" s="3"/>
      <c r="IWR29" s="3"/>
      <c r="IWS29" s="3"/>
      <c r="IWT29" s="3"/>
      <c r="IWU29" s="3"/>
      <c r="IWV29" s="3"/>
      <c r="IWW29" s="3"/>
      <c r="IWX29" s="3"/>
      <c r="IWY29" s="3"/>
      <c r="IWZ29" s="3"/>
      <c r="IXA29" s="3"/>
      <c r="IXB29" s="3"/>
      <c r="IXC29" s="3"/>
      <c r="IXD29" s="3"/>
      <c r="IXE29" s="3"/>
      <c r="IXF29" s="3"/>
      <c r="IXG29" s="3"/>
      <c r="IXH29" s="3"/>
      <c r="IXI29" s="3"/>
      <c r="IXJ29" s="3"/>
      <c r="IXK29" s="3"/>
      <c r="IXL29" s="3"/>
      <c r="IXM29" s="3"/>
      <c r="IXN29" s="3"/>
      <c r="IXO29" s="3"/>
      <c r="IXP29" s="3"/>
      <c r="IXQ29" s="3"/>
      <c r="IXR29" s="3"/>
      <c r="IXS29" s="3"/>
      <c r="IXT29" s="3"/>
      <c r="IXU29" s="3"/>
      <c r="IXV29" s="3"/>
      <c r="IXW29" s="3"/>
      <c r="IXX29" s="3"/>
      <c r="IXY29" s="3"/>
      <c r="IXZ29" s="3"/>
      <c r="IYA29" s="3"/>
      <c r="IYB29" s="3"/>
      <c r="IYC29" s="3"/>
      <c r="IYD29" s="3"/>
      <c r="IYE29" s="3"/>
      <c r="IYF29" s="3"/>
      <c r="IYG29" s="3"/>
      <c r="IYH29" s="3"/>
      <c r="IYI29" s="3"/>
      <c r="IYJ29" s="3"/>
      <c r="IYK29" s="3"/>
      <c r="IYL29" s="3"/>
      <c r="IYM29" s="3"/>
      <c r="IYN29" s="3"/>
      <c r="IYO29" s="3"/>
      <c r="IYP29" s="3"/>
      <c r="IYQ29" s="3"/>
      <c r="IYR29" s="3"/>
      <c r="IYS29" s="3"/>
      <c r="IYT29" s="3"/>
      <c r="IYU29" s="3"/>
      <c r="IYV29" s="3"/>
      <c r="IYW29" s="3"/>
      <c r="IYX29" s="3"/>
      <c r="IYY29" s="3"/>
      <c r="IYZ29" s="3"/>
      <c r="IZA29" s="3"/>
      <c r="IZB29" s="3"/>
      <c r="IZC29" s="3"/>
      <c r="IZD29" s="3"/>
      <c r="IZE29" s="3"/>
      <c r="IZF29" s="3"/>
      <c r="IZG29" s="3"/>
      <c r="IZH29" s="3"/>
      <c r="IZI29" s="3"/>
      <c r="IZJ29" s="3"/>
      <c r="IZK29" s="3"/>
      <c r="IZL29" s="3"/>
      <c r="IZM29" s="3"/>
      <c r="IZN29" s="3"/>
      <c r="IZO29" s="3"/>
      <c r="IZP29" s="3"/>
      <c r="IZQ29" s="3"/>
      <c r="IZR29" s="3"/>
      <c r="IZS29" s="3"/>
      <c r="IZT29" s="3"/>
      <c r="IZU29" s="3"/>
      <c r="IZV29" s="3"/>
      <c r="IZW29" s="3"/>
      <c r="IZX29" s="3"/>
      <c r="IZY29" s="3"/>
      <c r="IZZ29" s="3"/>
      <c r="JAA29" s="3"/>
      <c r="JAB29" s="3"/>
      <c r="JAC29" s="3"/>
      <c r="JAD29" s="3"/>
      <c r="JAE29" s="3"/>
      <c r="JAF29" s="3"/>
      <c r="JAG29" s="3"/>
      <c r="JAH29" s="3"/>
      <c r="JAI29" s="3"/>
      <c r="JAJ29" s="3"/>
      <c r="JAK29" s="3"/>
      <c r="JAL29" s="3"/>
      <c r="JAM29" s="3"/>
      <c r="JAN29" s="3"/>
      <c r="JAO29" s="3"/>
      <c r="JAP29" s="3"/>
      <c r="JAQ29" s="3"/>
      <c r="JAR29" s="3"/>
      <c r="JAS29" s="3"/>
      <c r="JAT29" s="3"/>
      <c r="JAU29" s="3"/>
      <c r="JAV29" s="3"/>
      <c r="JAW29" s="3"/>
      <c r="JAX29" s="3"/>
      <c r="JAY29" s="3"/>
      <c r="JAZ29" s="3"/>
      <c r="JBA29" s="3"/>
      <c r="JBB29" s="3"/>
      <c r="JBC29" s="3"/>
      <c r="JBD29" s="3"/>
      <c r="JBE29" s="3"/>
      <c r="JBF29" s="3"/>
      <c r="JBG29" s="3"/>
      <c r="JBH29" s="3"/>
      <c r="JBI29" s="3"/>
      <c r="JBJ29" s="3"/>
      <c r="JBK29" s="3"/>
      <c r="JBL29" s="3"/>
      <c r="JBM29" s="3"/>
      <c r="JBN29" s="3"/>
      <c r="JBO29" s="3"/>
      <c r="JBP29" s="3"/>
      <c r="JBQ29" s="3"/>
      <c r="JBR29" s="3"/>
      <c r="JBS29" s="3"/>
      <c r="JBT29" s="3"/>
      <c r="JBU29" s="3"/>
      <c r="JBV29" s="3"/>
      <c r="JBW29" s="3"/>
      <c r="JBX29" s="3"/>
      <c r="JBY29" s="3"/>
      <c r="JBZ29" s="3"/>
      <c r="JCA29" s="3"/>
      <c r="JCB29" s="3"/>
      <c r="JCC29" s="3"/>
      <c r="JCD29" s="3"/>
      <c r="JCE29" s="3"/>
      <c r="JCF29" s="3"/>
      <c r="JCG29" s="3"/>
      <c r="JCH29" s="3"/>
      <c r="JCI29" s="3"/>
      <c r="JCJ29" s="3"/>
      <c r="JCK29" s="3"/>
      <c r="JCL29" s="3"/>
      <c r="JCM29" s="3"/>
      <c r="JCN29" s="3"/>
      <c r="JCO29" s="3"/>
      <c r="JCP29" s="3"/>
      <c r="JCQ29" s="3"/>
      <c r="JCR29" s="3"/>
      <c r="JCS29" s="3"/>
      <c r="JCT29" s="3"/>
      <c r="JCU29" s="3"/>
      <c r="JCV29" s="3"/>
      <c r="JCW29" s="3"/>
      <c r="JCX29" s="3"/>
      <c r="JCY29" s="3"/>
      <c r="JCZ29" s="3"/>
      <c r="JDA29" s="3"/>
      <c r="JDB29" s="3"/>
      <c r="JDC29" s="3"/>
      <c r="JDD29" s="3"/>
      <c r="JDE29" s="3"/>
      <c r="JDF29" s="3"/>
      <c r="JDG29" s="3"/>
      <c r="JDH29" s="3"/>
      <c r="JDI29" s="3"/>
      <c r="JDJ29" s="3"/>
      <c r="JDK29" s="3"/>
      <c r="JDL29" s="3"/>
      <c r="JDM29" s="3"/>
      <c r="JDN29" s="3"/>
      <c r="JDO29" s="3"/>
      <c r="JDP29" s="3"/>
      <c r="JDQ29" s="3"/>
      <c r="JDR29" s="3"/>
      <c r="JDS29" s="3"/>
      <c r="JDT29" s="3"/>
      <c r="JDU29" s="3"/>
      <c r="JDV29" s="3"/>
      <c r="JDW29" s="3"/>
      <c r="JDX29" s="3"/>
      <c r="JDY29" s="3"/>
      <c r="JDZ29" s="3"/>
      <c r="JEA29" s="3"/>
      <c r="JEB29" s="3"/>
      <c r="JEC29" s="3"/>
      <c r="JED29" s="3"/>
      <c r="JEE29" s="3"/>
      <c r="JEF29" s="3"/>
      <c r="JEG29" s="3"/>
      <c r="JEH29" s="3"/>
      <c r="JEI29" s="3"/>
      <c r="JEJ29" s="3"/>
      <c r="JEK29" s="3"/>
      <c r="JEL29" s="3"/>
      <c r="JEM29" s="3"/>
      <c r="JEN29" s="3"/>
      <c r="JEO29" s="3"/>
      <c r="JEP29" s="3"/>
      <c r="JEQ29" s="3"/>
      <c r="JER29" s="3"/>
      <c r="JES29" s="3"/>
      <c r="JET29" s="3"/>
      <c r="JEU29" s="3"/>
      <c r="JEV29" s="3"/>
      <c r="JEW29" s="3"/>
      <c r="JEX29" s="3"/>
      <c r="JEY29" s="3"/>
      <c r="JEZ29" s="3"/>
      <c r="JFA29" s="3"/>
      <c r="JFB29" s="3"/>
      <c r="JFC29" s="3"/>
      <c r="JFD29" s="3"/>
      <c r="JFE29" s="3"/>
      <c r="JFF29" s="3"/>
      <c r="JFG29" s="3"/>
      <c r="JFH29" s="3"/>
      <c r="JFI29" s="3"/>
      <c r="JFJ29" s="3"/>
      <c r="JFK29" s="3"/>
      <c r="JFL29" s="3"/>
      <c r="JFM29" s="3"/>
      <c r="JFN29" s="3"/>
      <c r="JFO29" s="3"/>
      <c r="JFP29" s="3"/>
      <c r="JFQ29" s="3"/>
      <c r="JFR29" s="3"/>
      <c r="JFS29" s="3"/>
      <c r="JFT29" s="3"/>
      <c r="JFU29" s="3"/>
      <c r="JFV29" s="3"/>
      <c r="JFW29" s="3"/>
      <c r="JFX29" s="3"/>
      <c r="JFY29" s="3"/>
      <c r="JFZ29" s="3"/>
      <c r="JGA29" s="3"/>
      <c r="JGB29" s="3"/>
      <c r="JGC29" s="3"/>
      <c r="JGD29" s="3"/>
      <c r="JGE29" s="3"/>
      <c r="JGF29" s="3"/>
      <c r="JGG29" s="3"/>
      <c r="JGH29" s="3"/>
      <c r="JGI29" s="3"/>
      <c r="JGJ29" s="3"/>
      <c r="JGK29" s="3"/>
      <c r="JGL29" s="3"/>
      <c r="JGM29" s="3"/>
      <c r="JGN29" s="3"/>
      <c r="JGO29" s="3"/>
      <c r="JGP29" s="3"/>
      <c r="JGQ29" s="3"/>
      <c r="JGR29" s="3"/>
      <c r="JGS29" s="3"/>
      <c r="JGT29" s="3"/>
      <c r="JGU29" s="3"/>
      <c r="JGV29" s="3"/>
      <c r="JGW29" s="3"/>
      <c r="JGX29" s="3"/>
      <c r="JGY29" s="3"/>
      <c r="JGZ29" s="3"/>
      <c r="JHA29" s="3"/>
      <c r="JHB29" s="3"/>
      <c r="JHC29" s="3"/>
      <c r="JHD29" s="3"/>
      <c r="JHE29" s="3"/>
      <c r="JHF29" s="3"/>
      <c r="JHG29" s="3"/>
      <c r="JHH29" s="3"/>
      <c r="JHI29" s="3"/>
      <c r="JHJ29" s="3"/>
      <c r="JHK29" s="3"/>
      <c r="JHL29" s="3"/>
      <c r="JHM29" s="3"/>
      <c r="JHN29" s="3"/>
      <c r="JHO29" s="3"/>
      <c r="JHP29" s="3"/>
      <c r="JHQ29" s="3"/>
      <c r="JHR29" s="3"/>
      <c r="JHS29" s="3"/>
      <c r="JHT29" s="3"/>
      <c r="JHU29" s="3"/>
      <c r="JHV29" s="3"/>
      <c r="JHW29" s="3"/>
      <c r="JHX29" s="3"/>
      <c r="JHY29" s="3"/>
      <c r="JHZ29" s="3"/>
      <c r="JIA29" s="3"/>
      <c r="JIB29" s="3"/>
      <c r="JIC29" s="3"/>
      <c r="JID29" s="3"/>
      <c r="JIE29" s="3"/>
      <c r="JIF29" s="3"/>
      <c r="JIG29" s="3"/>
      <c r="JIH29" s="3"/>
      <c r="JII29" s="3"/>
      <c r="JIJ29" s="3"/>
      <c r="JIK29" s="3"/>
      <c r="JIL29" s="3"/>
      <c r="JIM29" s="3"/>
      <c r="JIN29" s="3"/>
      <c r="JIO29" s="3"/>
      <c r="JIP29" s="3"/>
      <c r="JIQ29" s="3"/>
      <c r="JIR29" s="3"/>
      <c r="JIS29" s="3"/>
      <c r="JIT29" s="3"/>
      <c r="JIU29" s="3"/>
      <c r="JIV29" s="3"/>
      <c r="JIW29" s="3"/>
      <c r="JIX29" s="3"/>
      <c r="JIY29" s="3"/>
      <c r="JIZ29" s="3"/>
      <c r="JJA29" s="3"/>
      <c r="JJB29" s="3"/>
      <c r="JJC29" s="3"/>
      <c r="JJD29" s="3"/>
      <c r="JJE29" s="3"/>
      <c r="JJF29" s="3"/>
      <c r="JJG29" s="3"/>
      <c r="JJH29" s="3"/>
      <c r="JJI29" s="3"/>
      <c r="JJJ29" s="3"/>
      <c r="JJK29" s="3"/>
      <c r="JJL29" s="3"/>
      <c r="JJM29" s="3"/>
      <c r="JJN29" s="3"/>
      <c r="JJO29" s="3"/>
      <c r="JJP29" s="3"/>
      <c r="JJQ29" s="3"/>
      <c r="JJR29" s="3"/>
      <c r="JJS29" s="3"/>
      <c r="JJT29" s="3"/>
      <c r="JJU29" s="3"/>
      <c r="JJV29" s="3"/>
      <c r="JJW29" s="3"/>
      <c r="JJX29" s="3"/>
      <c r="JJY29" s="3"/>
      <c r="JJZ29" s="3"/>
      <c r="JKA29" s="3"/>
      <c r="JKB29" s="3"/>
      <c r="JKC29" s="3"/>
      <c r="JKD29" s="3"/>
      <c r="JKE29" s="3"/>
      <c r="JKF29" s="3"/>
      <c r="JKG29" s="3"/>
      <c r="JKH29" s="3"/>
      <c r="JKI29" s="3"/>
      <c r="JKJ29" s="3"/>
      <c r="JKK29" s="3"/>
      <c r="JKL29" s="3"/>
      <c r="JKM29" s="3"/>
      <c r="JKN29" s="3"/>
      <c r="JKO29" s="3"/>
      <c r="JKP29" s="3"/>
      <c r="JKQ29" s="3"/>
      <c r="JKR29" s="3"/>
      <c r="JKS29" s="3"/>
      <c r="JKT29" s="3"/>
      <c r="JKU29" s="3"/>
      <c r="JKV29" s="3"/>
      <c r="JKW29" s="3"/>
      <c r="JKX29" s="3"/>
      <c r="JKY29" s="3"/>
      <c r="JKZ29" s="3"/>
      <c r="JLA29" s="3"/>
      <c r="JLB29" s="3"/>
      <c r="JLC29" s="3"/>
      <c r="JLD29" s="3"/>
      <c r="JLE29" s="3"/>
      <c r="JLF29" s="3"/>
      <c r="JLG29" s="3"/>
      <c r="JLH29" s="3"/>
      <c r="JLI29" s="3"/>
      <c r="JLJ29" s="3"/>
      <c r="JLK29" s="3"/>
      <c r="JLL29" s="3"/>
      <c r="JLM29" s="3"/>
      <c r="JLN29" s="3"/>
      <c r="JLO29" s="3"/>
      <c r="JLP29" s="3"/>
      <c r="JLQ29" s="3"/>
      <c r="JLR29" s="3"/>
      <c r="JLS29" s="3"/>
      <c r="JLT29" s="3"/>
      <c r="JLU29" s="3"/>
      <c r="JLV29" s="3"/>
      <c r="JLW29" s="3"/>
      <c r="JLX29" s="3"/>
      <c r="JLY29" s="3"/>
      <c r="JLZ29" s="3"/>
      <c r="JMA29" s="3"/>
      <c r="JMB29" s="3"/>
      <c r="JMC29" s="3"/>
      <c r="JMD29" s="3"/>
      <c r="JME29" s="3"/>
      <c r="JMF29" s="3"/>
      <c r="JMG29" s="3"/>
      <c r="JMH29" s="3"/>
      <c r="JMI29" s="3"/>
      <c r="JMJ29" s="3"/>
      <c r="JMK29" s="3"/>
      <c r="JML29" s="3"/>
      <c r="JMM29" s="3"/>
      <c r="JMN29" s="3"/>
      <c r="JMO29" s="3"/>
      <c r="JMP29" s="3"/>
      <c r="JMQ29" s="3"/>
      <c r="JMR29" s="3"/>
      <c r="JMS29" s="3"/>
      <c r="JMT29" s="3"/>
      <c r="JMU29" s="3"/>
      <c r="JMV29" s="3"/>
      <c r="JMW29" s="3"/>
      <c r="JMX29" s="3"/>
      <c r="JMY29" s="3"/>
      <c r="JMZ29" s="3"/>
      <c r="JNA29" s="3"/>
      <c r="JNB29" s="3"/>
      <c r="JNC29" s="3"/>
      <c r="JND29" s="3"/>
      <c r="JNE29" s="3"/>
      <c r="JNF29" s="3"/>
      <c r="JNG29" s="3"/>
      <c r="JNH29" s="3"/>
      <c r="JNI29" s="3"/>
      <c r="JNJ29" s="3"/>
      <c r="JNK29" s="3"/>
      <c r="JNL29" s="3"/>
      <c r="JNM29" s="3"/>
      <c r="JNN29" s="3"/>
      <c r="JNO29" s="3"/>
      <c r="JNP29" s="3"/>
      <c r="JNQ29" s="3"/>
      <c r="JNR29" s="3"/>
      <c r="JNS29" s="3"/>
      <c r="JNT29" s="3"/>
      <c r="JNU29" s="3"/>
      <c r="JNV29" s="3"/>
      <c r="JNW29" s="3"/>
      <c r="JNX29" s="3"/>
      <c r="JNY29" s="3"/>
      <c r="JNZ29" s="3"/>
      <c r="JOA29" s="3"/>
      <c r="JOB29" s="3"/>
      <c r="JOC29" s="3"/>
      <c r="JOD29" s="3"/>
      <c r="JOE29" s="3"/>
      <c r="JOF29" s="3"/>
      <c r="JOG29" s="3"/>
      <c r="JOH29" s="3"/>
      <c r="JOI29" s="3"/>
      <c r="JOJ29" s="3"/>
      <c r="JOK29" s="3"/>
      <c r="JOL29" s="3"/>
      <c r="JOM29" s="3"/>
      <c r="JON29" s="3"/>
      <c r="JOO29" s="3"/>
      <c r="JOP29" s="3"/>
      <c r="JOQ29" s="3"/>
      <c r="JOR29" s="3"/>
      <c r="JOS29" s="3"/>
      <c r="JOT29" s="3"/>
      <c r="JOU29" s="3"/>
      <c r="JOV29" s="3"/>
      <c r="JOW29" s="3"/>
      <c r="JOX29" s="3"/>
      <c r="JOY29" s="3"/>
      <c r="JOZ29" s="3"/>
      <c r="JPA29" s="3"/>
      <c r="JPB29" s="3"/>
      <c r="JPC29" s="3"/>
      <c r="JPD29" s="3"/>
      <c r="JPE29" s="3"/>
      <c r="JPF29" s="3"/>
      <c r="JPG29" s="3"/>
      <c r="JPH29" s="3"/>
      <c r="JPI29" s="3"/>
      <c r="JPJ29" s="3"/>
      <c r="JPK29" s="3"/>
      <c r="JPL29" s="3"/>
      <c r="JPM29" s="3"/>
      <c r="JPN29" s="3"/>
      <c r="JPO29" s="3"/>
      <c r="JPP29" s="3"/>
      <c r="JPQ29" s="3"/>
      <c r="JPR29" s="3"/>
      <c r="JPS29" s="3"/>
      <c r="JPT29" s="3"/>
      <c r="JPU29" s="3"/>
      <c r="JPV29" s="3"/>
      <c r="JPW29" s="3"/>
      <c r="JPX29" s="3"/>
      <c r="JPY29" s="3"/>
      <c r="JPZ29" s="3"/>
      <c r="JQA29" s="3"/>
      <c r="JQB29" s="3"/>
      <c r="JQC29" s="3"/>
      <c r="JQD29" s="3"/>
      <c r="JQE29" s="3"/>
      <c r="JQF29" s="3"/>
      <c r="JQG29" s="3"/>
      <c r="JQH29" s="3"/>
      <c r="JQI29" s="3"/>
      <c r="JQJ29" s="3"/>
      <c r="JQK29" s="3"/>
      <c r="JQL29" s="3"/>
      <c r="JQM29" s="3"/>
      <c r="JQN29" s="3"/>
      <c r="JQO29" s="3"/>
      <c r="JQP29" s="3"/>
      <c r="JQQ29" s="3"/>
      <c r="JQR29" s="3"/>
      <c r="JQS29" s="3"/>
      <c r="JQT29" s="3"/>
      <c r="JQU29" s="3"/>
      <c r="JQV29" s="3"/>
      <c r="JQW29" s="3"/>
      <c r="JQX29" s="3"/>
      <c r="JQY29" s="3"/>
      <c r="JQZ29" s="3"/>
      <c r="JRA29" s="3"/>
      <c r="JRB29" s="3"/>
      <c r="JRC29" s="3"/>
      <c r="JRD29" s="3"/>
      <c r="JRE29" s="3"/>
      <c r="JRF29" s="3"/>
      <c r="JRG29" s="3"/>
      <c r="JRH29" s="3"/>
      <c r="JRI29" s="3"/>
      <c r="JRJ29" s="3"/>
      <c r="JRK29" s="3"/>
      <c r="JRL29" s="3"/>
      <c r="JRM29" s="3"/>
      <c r="JRN29" s="3"/>
      <c r="JRO29" s="3"/>
      <c r="JRP29" s="3"/>
      <c r="JRQ29" s="3"/>
      <c r="JRR29" s="3"/>
      <c r="JRS29" s="3"/>
      <c r="JRT29" s="3"/>
      <c r="JRU29" s="3"/>
      <c r="JRV29" s="3"/>
      <c r="JRW29" s="3"/>
      <c r="JRX29" s="3"/>
      <c r="JRY29" s="3"/>
      <c r="JRZ29" s="3"/>
      <c r="JSA29" s="3"/>
      <c r="JSB29" s="3"/>
      <c r="JSC29" s="3"/>
      <c r="JSD29" s="3"/>
      <c r="JSE29" s="3"/>
      <c r="JSF29" s="3"/>
      <c r="JSG29" s="3"/>
      <c r="JSH29" s="3"/>
      <c r="JSI29" s="3"/>
      <c r="JSJ29" s="3"/>
      <c r="JSK29" s="3"/>
      <c r="JSL29" s="3"/>
      <c r="JSM29" s="3"/>
      <c r="JSN29" s="3"/>
      <c r="JSO29" s="3"/>
      <c r="JSP29" s="3"/>
      <c r="JSQ29" s="3"/>
      <c r="JSR29" s="3"/>
      <c r="JSS29" s="3"/>
      <c r="JST29" s="3"/>
      <c r="JSU29" s="3"/>
      <c r="JSV29" s="3"/>
      <c r="JSW29" s="3"/>
      <c r="JSX29" s="3"/>
      <c r="JSY29" s="3"/>
      <c r="JSZ29" s="3"/>
      <c r="JTA29" s="3"/>
      <c r="JTB29" s="3"/>
      <c r="JTC29" s="3"/>
      <c r="JTD29" s="3"/>
      <c r="JTE29" s="3"/>
      <c r="JTF29" s="3"/>
      <c r="JTG29" s="3"/>
      <c r="JTH29" s="3"/>
      <c r="JTI29" s="3"/>
      <c r="JTJ29" s="3"/>
      <c r="JTK29" s="3"/>
      <c r="JTL29" s="3"/>
      <c r="JTM29" s="3"/>
      <c r="JTN29" s="3"/>
      <c r="JTO29" s="3"/>
      <c r="JTP29" s="3"/>
      <c r="JTQ29" s="3"/>
      <c r="JTR29" s="3"/>
      <c r="JTS29" s="3"/>
      <c r="JTT29" s="3"/>
      <c r="JTU29" s="3"/>
      <c r="JTV29" s="3"/>
      <c r="JTW29" s="3"/>
      <c r="JTX29" s="3"/>
      <c r="JTY29" s="3"/>
      <c r="JTZ29" s="3"/>
      <c r="JUA29" s="3"/>
      <c r="JUB29" s="3"/>
      <c r="JUC29" s="3"/>
      <c r="JUD29" s="3"/>
      <c r="JUE29" s="3"/>
      <c r="JUF29" s="3"/>
      <c r="JUG29" s="3"/>
      <c r="JUH29" s="3"/>
      <c r="JUI29" s="3"/>
      <c r="JUJ29" s="3"/>
      <c r="JUK29" s="3"/>
      <c r="JUL29" s="3"/>
      <c r="JUM29" s="3"/>
      <c r="JUN29" s="3"/>
      <c r="JUO29" s="3"/>
      <c r="JUP29" s="3"/>
      <c r="JUQ29" s="3"/>
      <c r="JUR29" s="3"/>
      <c r="JUS29" s="3"/>
      <c r="JUT29" s="3"/>
      <c r="JUU29" s="3"/>
      <c r="JUV29" s="3"/>
      <c r="JUW29" s="3"/>
      <c r="JUX29" s="3"/>
      <c r="JUY29" s="3"/>
      <c r="JUZ29" s="3"/>
      <c r="JVA29" s="3"/>
      <c r="JVB29" s="3"/>
      <c r="JVC29" s="3"/>
      <c r="JVD29" s="3"/>
      <c r="JVE29" s="3"/>
      <c r="JVF29" s="3"/>
      <c r="JVG29" s="3"/>
      <c r="JVH29" s="3"/>
      <c r="JVI29" s="3"/>
      <c r="JVJ29" s="3"/>
      <c r="JVK29" s="3"/>
      <c r="JVL29" s="3"/>
      <c r="JVM29" s="3"/>
      <c r="JVN29" s="3"/>
      <c r="JVO29" s="3"/>
      <c r="JVP29" s="3"/>
      <c r="JVQ29" s="3"/>
      <c r="JVR29" s="3"/>
      <c r="JVS29" s="3"/>
      <c r="JVT29" s="3"/>
      <c r="JVU29" s="3"/>
      <c r="JVV29" s="3"/>
      <c r="JVW29" s="3"/>
      <c r="JVX29" s="3"/>
      <c r="JVY29" s="3"/>
      <c r="JVZ29" s="3"/>
      <c r="JWA29" s="3"/>
      <c r="JWB29" s="3"/>
      <c r="JWC29" s="3"/>
      <c r="JWD29" s="3"/>
      <c r="JWE29" s="3"/>
      <c r="JWF29" s="3"/>
      <c r="JWG29" s="3"/>
      <c r="JWH29" s="3"/>
      <c r="JWI29" s="3"/>
      <c r="JWJ29" s="3"/>
      <c r="JWK29" s="3"/>
      <c r="JWL29" s="3"/>
      <c r="JWM29" s="3"/>
      <c r="JWN29" s="3"/>
      <c r="JWO29" s="3"/>
      <c r="JWP29" s="3"/>
      <c r="JWQ29" s="3"/>
      <c r="JWR29" s="3"/>
      <c r="JWS29" s="3"/>
      <c r="JWT29" s="3"/>
      <c r="JWU29" s="3"/>
      <c r="JWV29" s="3"/>
      <c r="JWW29" s="3"/>
      <c r="JWX29" s="3"/>
      <c r="JWY29" s="3"/>
      <c r="JWZ29" s="3"/>
      <c r="JXA29" s="3"/>
      <c r="JXB29" s="3"/>
      <c r="JXC29" s="3"/>
      <c r="JXD29" s="3"/>
      <c r="JXE29" s="3"/>
      <c r="JXF29" s="3"/>
      <c r="JXG29" s="3"/>
      <c r="JXH29" s="3"/>
      <c r="JXI29" s="3"/>
      <c r="JXJ29" s="3"/>
      <c r="JXK29" s="3"/>
      <c r="JXL29" s="3"/>
      <c r="JXM29" s="3"/>
      <c r="JXN29" s="3"/>
      <c r="JXO29" s="3"/>
      <c r="JXP29" s="3"/>
      <c r="JXQ29" s="3"/>
      <c r="JXR29" s="3"/>
      <c r="JXS29" s="3"/>
      <c r="JXT29" s="3"/>
      <c r="JXU29" s="3"/>
      <c r="JXV29" s="3"/>
      <c r="JXW29" s="3"/>
      <c r="JXX29" s="3"/>
      <c r="JXY29" s="3"/>
      <c r="JXZ29" s="3"/>
      <c r="JYA29" s="3"/>
      <c r="JYB29" s="3"/>
      <c r="JYC29" s="3"/>
      <c r="JYD29" s="3"/>
      <c r="JYE29" s="3"/>
      <c r="JYF29" s="3"/>
      <c r="JYG29" s="3"/>
      <c r="JYH29" s="3"/>
      <c r="JYI29" s="3"/>
      <c r="JYJ29" s="3"/>
      <c r="JYK29" s="3"/>
      <c r="JYL29" s="3"/>
      <c r="JYM29" s="3"/>
      <c r="JYN29" s="3"/>
      <c r="JYO29" s="3"/>
      <c r="JYP29" s="3"/>
      <c r="JYQ29" s="3"/>
      <c r="JYR29" s="3"/>
      <c r="JYS29" s="3"/>
      <c r="JYT29" s="3"/>
      <c r="JYU29" s="3"/>
      <c r="JYV29" s="3"/>
      <c r="JYW29" s="3"/>
      <c r="JYX29" s="3"/>
      <c r="JYY29" s="3"/>
      <c r="JYZ29" s="3"/>
      <c r="JZA29" s="3"/>
      <c r="JZB29" s="3"/>
      <c r="JZC29" s="3"/>
      <c r="JZD29" s="3"/>
      <c r="JZE29" s="3"/>
      <c r="JZF29" s="3"/>
      <c r="JZG29" s="3"/>
      <c r="JZH29" s="3"/>
      <c r="JZI29" s="3"/>
      <c r="JZJ29" s="3"/>
      <c r="JZK29" s="3"/>
      <c r="JZL29" s="3"/>
      <c r="JZM29" s="3"/>
      <c r="JZN29" s="3"/>
      <c r="JZO29" s="3"/>
      <c r="JZP29" s="3"/>
      <c r="JZQ29" s="3"/>
      <c r="JZR29" s="3"/>
      <c r="JZS29" s="3"/>
      <c r="JZT29" s="3"/>
      <c r="JZU29" s="3"/>
      <c r="JZV29" s="3"/>
      <c r="JZW29" s="3"/>
      <c r="JZX29" s="3"/>
      <c r="JZY29" s="3"/>
      <c r="JZZ29" s="3"/>
      <c r="KAA29" s="3"/>
      <c r="KAB29" s="3"/>
      <c r="KAC29" s="3"/>
      <c r="KAD29" s="3"/>
      <c r="KAE29" s="3"/>
      <c r="KAF29" s="3"/>
      <c r="KAG29" s="3"/>
      <c r="KAH29" s="3"/>
      <c r="KAI29" s="3"/>
      <c r="KAJ29" s="3"/>
      <c r="KAK29" s="3"/>
      <c r="KAL29" s="3"/>
      <c r="KAM29" s="3"/>
      <c r="KAN29" s="3"/>
      <c r="KAO29" s="3"/>
      <c r="KAP29" s="3"/>
      <c r="KAQ29" s="3"/>
      <c r="KAR29" s="3"/>
      <c r="KAS29" s="3"/>
      <c r="KAT29" s="3"/>
      <c r="KAU29" s="3"/>
      <c r="KAV29" s="3"/>
      <c r="KAW29" s="3"/>
      <c r="KAX29" s="3"/>
      <c r="KAY29" s="3"/>
      <c r="KAZ29" s="3"/>
      <c r="KBA29" s="3"/>
      <c r="KBB29" s="3"/>
      <c r="KBC29" s="3"/>
      <c r="KBD29" s="3"/>
      <c r="KBE29" s="3"/>
      <c r="KBF29" s="3"/>
      <c r="KBG29" s="3"/>
      <c r="KBH29" s="3"/>
      <c r="KBI29" s="3"/>
      <c r="KBJ29" s="3"/>
      <c r="KBK29" s="3"/>
      <c r="KBL29" s="3"/>
      <c r="KBM29" s="3"/>
      <c r="KBN29" s="3"/>
      <c r="KBO29" s="3"/>
      <c r="KBP29" s="3"/>
      <c r="KBQ29" s="3"/>
      <c r="KBR29" s="3"/>
      <c r="KBS29" s="3"/>
      <c r="KBT29" s="3"/>
      <c r="KBU29" s="3"/>
      <c r="KBV29" s="3"/>
      <c r="KBW29" s="3"/>
      <c r="KBX29" s="3"/>
      <c r="KBY29" s="3"/>
      <c r="KBZ29" s="3"/>
      <c r="KCA29" s="3"/>
      <c r="KCB29" s="3"/>
      <c r="KCC29" s="3"/>
      <c r="KCD29" s="3"/>
      <c r="KCE29" s="3"/>
      <c r="KCF29" s="3"/>
      <c r="KCG29" s="3"/>
      <c r="KCH29" s="3"/>
      <c r="KCI29" s="3"/>
      <c r="KCJ29" s="3"/>
      <c r="KCK29" s="3"/>
      <c r="KCL29" s="3"/>
      <c r="KCM29" s="3"/>
      <c r="KCN29" s="3"/>
      <c r="KCO29" s="3"/>
      <c r="KCP29" s="3"/>
      <c r="KCQ29" s="3"/>
      <c r="KCR29" s="3"/>
      <c r="KCS29" s="3"/>
      <c r="KCT29" s="3"/>
      <c r="KCU29" s="3"/>
      <c r="KCV29" s="3"/>
      <c r="KCW29" s="3"/>
      <c r="KCX29" s="3"/>
      <c r="KCY29" s="3"/>
      <c r="KCZ29" s="3"/>
      <c r="KDA29" s="3"/>
      <c r="KDB29" s="3"/>
      <c r="KDC29" s="3"/>
      <c r="KDD29" s="3"/>
      <c r="KDE29" s="3"/>
      <c r="KDF29" s="3"/>
      <c r="KDG29" s="3"/>
      <c r="KDH29" s="3"/>
      <c r="KDI29" s="3"/>
      <c r="KDJ29" s="3"/>
      <c r="KDK29" s="3"/>
      <c r="KDL29" s="3"/>
      <c r="KDM29" s="3"/>
      <c r="KDN29" s="3"/>
      <c r="KDO29" s="3"/>
      <c r="KDP29" s="3"/>
      <c r="KDQ29" s="3"/>
      <c r="KDR29" s="3"/>
      <c r="KDS29" s="3"/>
      <c r="KDT29" s="3"/>
      <c r="KDU29" s="3"/>
      <c r="KDV29" s="3"/>
      <c r="KDW29" s="3"/>
      <c r="KDX29" s="3"/>
      <c r="KDY29" s="3"/>
      <c r="KDZ29" s="3"/>
      <c r="KEA29" s="3"/>
      <c r="KEB29" s="3"/>
      <c r="KEC29" s="3"/>
      <c r="KED29" s="3"/>
      <c r="KEE29" s="3"/>
      <c r="KEF29" s="3"/>
      <c r="KEG29" s="3"/>
      <c r="KEH29" s="3"/>
      <c r="KEI29" s="3"/>
      <c r="KEJ29" s="3"/>
      <c r="KEK29" s="3"/>
      <c r="KEL29" s="3"/>
      <c r="KEM29" s="3"/>
      <c r="KEN29" s="3"/>
      <c r="KEO29" s="3"/>
      <c r="KEP29" s="3"/>
      <c r="KEQ29" s="3"/>
      <c r="KER29" s="3"/>
      <c r="KES29" s="3"/>
      <c r="KET29" s="3"/>
      <c r="KEU29" s="3"/>
      <c r="KEV29" s="3"/>
      <c r="KEW29" s="3"/>
      <c r="KEX29" s="3"/>
      <c r="KEY29" s="3"/>
      <c r="KEZ29" s="3"/>
      <c r="KFA29" s="3"/>
      <c r="KFB29" s="3"/>
      <c r="KFC29" s="3"/>
      <c r="KFD29" s="3"/>
      <c r="KFE29" s="3"/>
      <c r="KFF29" s="3"/>
      <c r="KFG29" s="3"/>
      <c r="KFH29" s="3"/>
      <c r="KFI29" s="3"/>
      <c r="KFJ29" s="3"/>
      <c r="KFK29" s="3"/>
      <c r="KFL29" s="3"/>
      <c r="KFM29" s="3"/>
      <c r="KFN29" s="3"/>
      <c r="KFO29" s="3"/>
      <c r="KFP29" s="3"/>
      <c r="KFQ29" s="3"/>
      <c r="KFR29" s="3"/>
      <c r="KFS29" s="3"/>
      <c r="KFT29" s="3"/>
      <c r="KFU29" s="3"/>
      <c r="KFV29" s="3"/>
      <c r="KFW29" s="3"/>
      <c r="KFX29" s="3"/>
      <c r="KFY29" s="3"/>
      <c r="KFZ29" s="3"/>
      <c r="KGA29" s="3"/>
      <c r="KGB29" s="3"/>
      <c r="KGC29" s="3"/>
      <c r="KGD29" s="3"/>
      <c r="KGE29" s="3"/>
      <c r="KGF29" s="3"/>
      <c r="KGG29" s="3"/>
      <c r="KGH29" s="3"/>
      <c r="KGI29" s="3"/>
      <c r="KGJ29" s="3"/>
      <c r="KGK29" s="3"/>
      <c r="KGL29" s="3"/>
      <c r="KGM29" s="3"/>
      <c r="KGN29" s="3"/>
      <c r="KGO29" s="3"/>
      <c r="KGP29" s="3"/>
      <c r="KGQ29" s="3"/>
      <c r="KGR29" s="3"/>
      <c r="KGS29" s="3"/>
      <c r="KGT29" s="3"/>
      <c r="KGU29" s="3"/>
      <c r="KGV29" s="3"/>
      <c r="KGW29" s="3"/>
      <c r="KGX29" s="3"/>
      <c r="KGY29" s="3"/>
      <c r="KGZ29" s="3"/>
      <c r="KHA29" s="3"/>
      <c r="KHB29" s="3"/>
      <c r="KHC29" s="3"/>
      <c r="KHD29" s="3"/>
      <c r="KHE29" s="3"/>
      <c r="KHF29" s="3"/>
      <c r="KHG29" s="3"/>
      <c r="KHH29" s="3"/>
      <c r="KHI29" s="3"/>
      <c r="KHJ29" s="3"/>
      <c r="KHK29" s="3"/>
      <c r="KHL29" s="3"/>
      <c r="KHM29" s="3"/>
      <c r="KHN29" s="3"/>
      <c r="KHO29" s="3"/>
      <c r="KHP29" s="3"/>
      <c r="KHQ29" s="3"/>
      <c r="KHR29" s="3"/>
      <c r="KHS29" s="3"/>
      <c r="KHT29" s="3"/>
      <c r="KHU29" s="3"/>
      <c r="KHV29" s="3"/>
      <c r="KHW29" s="3"/>
      <c r="KHX29" s="3"/>
      <c r="KHY29" s="3"/>
      <c r="KHZ29" s="3"/>
      <c r="KIA29" s="3"/>
      <c r="KIB29" s="3"/>
      <c r="KIC29" s="3"/>
      <c r="KID29" s="3"/>
      <c r="KIE29" s="3"/>
      <c r="KIF29" s="3"/>
      <c r="KIG29" s="3"/>
      <c r="KIH29" s="3"/>
      <c r="KII29" s="3"/>
      <c r="KIJ29" s="3"/>
      <c r="KIK29" s="3"/>
      <c r="KIL29" s="3"/>
      <c r="KIM29" s="3"/>
      <c r="KIN29" s="3"/>
      <c r="KIO29" s="3"/>
      <c r="KIP29" s="3"/>
      <c r="KIQ29" s="3"/>
      <c r="KIR29" s="3"/>
      <c r="KIS29" s="3"/>
      <c r="KIT29" s="3"/>
      <c r="KIU29" s="3"/>
      <c r="KIV29" s="3"/>
      <c r="KIW29" s="3"/>
      <c r="KIX29" s="3"/>
      <c r="KIY29" s="3"/>
      <c r="KIZ29" s="3"/>
      <c r="KJA29" s="3"/>
      <c r="KJB29" s="3"/>
      <c r="KJC29" s="3"/>
      <c r="KJD29" s="3"/>
      <c r="KJE29" s="3"/>
      <c r="KJF29" s="3"/>
      <c r="KJG29" s="3"/>
      <c r="KJH29" s="3"/>
      <c r="KJI29" s="3"/>
      <c r="KJJ29" s="3"/>
      <c r="KJK29" s="3"/>
      <c r="KJL29" s="3"/>
      <c r="KJM29" s="3"/>
      <c r="KJN29" s="3"/>
      <c r="KJO29" s="3"/>
      <c r="KJP29" s="3"/>
      <c r="KJQ29" s="3"/>
      <c r="KJR29" s="3"/>
      <c r="KJS29" s="3"/>
      <c r="KJT29" s="3"/>
      <c r="KJU29" s="3"/>
      <c r="KJV29" s="3"/>
      <c r="KJW29" s="3"/>
      <c r="KJX29" s="3"/>
      <c r="KJY29" s="3"/>
      <c r="KJZ29" s="3"/>
      <c r="KKA29" s="3"/>
      <c r="KKB29" s="3"/>
      <c r="KKC29" s="3"/>
      <c r="KKD29" s="3"/>
      <c r="KKE29" s="3"/>
      <c r="KKF29" s="3"/>
      <c r="KKG29" s="3"/>
      <c r="KKH29" s="3"/>
      <c r="KKI29" s="3"/>
      <c r="KKJ29" s="3"/>
      <c r="KKK29" s="3"/>
      <c r="KKL29" s="3"/>
      <c r="KKM29" s="3"/>
      <c r="KKN29" s="3"/>
      <c r="KKO29" s="3"/>
      <c r="KKP29" s="3"/>
      <c r="KKQ29" s="3"/>
      <c r="KKR29" s="3"/>
      <c r="KKS29" s="3"/>
      <c r="KKT29" s="3"/>
      <c r="KKU29" s="3"/>
      <c r="KKV29" s="3"/>
      <c r="KKW29" s="3"/>
      <c r="KKX29" s="3"/>
      <c r="KKY29" s="3"/>
      <c r="KKZ29" s="3"/>
      <c r="KLA29" s="3"/>
      <c r="KLB29" s="3"/>
      <c r="KLC29" s="3"/>
      <c r="KLD29" s="3"/>
      <c r="KLE29" s="3"/>
      <c r="KLF29" s="3"/>
      <c r="KLG29" s="3"/>
      <c r="KLH29" s="3"/>
      <c r="KLI29" s="3"/>
      <c r="KLJ29" s="3"/>
      <c r="KLK29" s="3"/>
      <c r="KLL29" s="3"/>
      <c r="KLM29" s="3"/>
      <c r="KLN29" s="3"/>
      <c r="KLO29" s="3"/>
      <c r="KLP29" s="3"/>
      <c r="KLQ29" s="3"/>
      <c r="KLR29" s="3"/>
      <c r="KLS29" s="3"/>
      <c r="KLT29" s="3"/>
      <c r="KLU29" s="3"/>
      <c r="KLV29" s="3"/>
      <c r="KLW29" s="3"/>
      <c r="KLX29" s="3"/>
      <c r="KLY29" s="3"/>
      <c r="KLZ29" s="3"/>
      <c r="KMA29" s="3"/>
      <c r="KMB29" s="3"/>
      <c r="KMC29" s="3"/>
      <c r="KMD29" s="3"/>
      <c r="KME29" s="3"/>
      <c r="KMF29" s="3"/>
      <c r="KMG29" s="3"/>
      <c r="KMH29" s="3"/>
      <c r="KMI29" s="3"/>
      <c r="KMJ29" s="3"/>
      <c r="KMK29" s="3"/>
      <c r="KML29" s="3"/>
      <c r="KMM29" s="3"/>
      <c r="KMN29" s="3"/>
      <c r="KMO29" s="3"/>
      <c r="KMP29" s="3"/>
      <c r="KMQ29" s="3"/>
      <c r="KMR29" s="3"/>
      <c r="KMS29" s="3"/>
      <c r="KMT29" s="3"/>
      <c r="KMU29" s="3"/>
      <c r="KMV29" s="3"/>
      <c r="KMW29" s="3"/>
      <c r="KMX29" s="3"/>
      <c r="KMY29" s="3"/>
      <c r="KMZ29" s="3"/>
      <c r="KNA29" s="3"/>
      <c r="KNB29" s="3"/>
      <c r="KNC29" s="3"/>
      <c r="KND29" s="3"/>
      <c r="KNE29" s="3"/>
      <c r="KNF29" s="3"/>
      <c r="KNG29" s="3"/>
      <c r="KNH29" s="3"/>
      <c r="KNI29" s="3"/>
      <c r="KNJ29" s="3"/>
      <c r="KNK29" s="3"/>
      <c r="KNL29" s="3"/>
      <c r="KNM29" s="3"/>
      <c r="KNN29" s="3"/>
      <c r="KNO29" s="3"/>
      <c r="KNP29" s="3"/>
      <c r="KNQ29" s="3"/>
      <c r="KNR29" s="3"/>
      <c r="KNS29" s="3"/>
      <c r="KNT29" s="3"/>
      <c r="KNU29" s="3"/>
      <c r="KNV29" s="3"/>
      <c r="KNW29" s="3"/>
      <c r="KNX29" s="3"/>
      <c r="KNY29" s="3"/>
      <c r="KNZ29" s="3"/>
      <c r="KOA29" s="3"/>
      <c r="KOB29" s="3"/>
      <c r="KOC29" s="3"/>
      <c r="KOD29" s="3"/>
      <c r="KOE29" s="3"/>
      <c r="KOF29" s="3"/>
      <c r="KOG29" s="3"/>
      <c r="KOH29" s="3"/>
      <c r="KOI29" s="3"/>
      <c r="KOJ29" s="3"/>
      <c r="KOK29" s="3"/>
      <c r="KOL29" s="3"/>
      <c r="KOM29" s="3"/>
      <c r="KON29" s="3"/>
      <c r="KOO29" s="3"/>
      <c r="KOP29" s="3"/>
      <c r="KOQ29" s="3"/>
      <c r="KOR29" s="3"/>
      <c r="KOS29" s="3"/>
      <c r="KOT29" s="3"/>
      <c r="KOU29" s="3"/>
      <c r="KOV29" s="3"/>
      <c r="KOW29" s="3"/>
      <c r="KOX29" s="3"/>
      <c r="KOY29" s="3"/>
      <c r="KOZ29" s="3"/>
      <c r="KPA29" s="3"/>
      <c r="KPB29" s="3"/>
      <c r="KPC29" s="3"/>
      <c r="KPD29" s="3"/>
      <c r="KPE29" s="3"/>
      <c r="KPF29" s="3"/>
      <c r="KPG29" s="3"/>
      <c r="KPH29" s="3"/>
      <c r="KPI29" s="3"/>
      <c r="KPJ29" s="3"/>
      <c r="KPK29" s="3"/>
      <c r="KPL29" s="3"/>
      <c r="KPM29" s="3"/>
      <c r="KPN29" s="3"/>
      <c r="KPO29" s="3"/>
      <c r="KPP29" s="3"/>
      <c r="KPQ29" s="3"/>
      <c r="KPR29" s="3"/>
      <c r="KPS29" s="3"/>
      <c r="KPT29" s="3"/>
      <c r="KPU29" s="3"/>
      <c r="KPV29" s="3"/>
      <c r="KPW29" s="3"/>
      <c r="KPX29" s="3"/>
      <c r="KPY29" s="3"/>
      <c r="KPZ29" s="3"/>
      <c r="KQA29" s="3"/>
      <c r="KQB29" s="3"/>
      <c r="KQC29" s="3"/>
      <c r="KQD29" s="3"/>
      <c r="KQE29" s="3"/>
      <c r="KQF29" s="3"/>
      <c r="KQG29" s="3"/>
      <c r="KQH29" s="3"/>
      <c r="KQI29" s="3"/>
      <c r="KQJ29" s="3"/>
      <c r="KQK29" s="3"/>
      <c r="KQL29" s="3"/>
      <c r="KQM29" s="3"/>
      <c r="KQN29" s="3"/>
      <c r="KQO29" s="3"/>
      <c r="KQP29" s="3"/>
      <c r="KQQ29" s="3"/>
      <c r="KQR29" s="3"/>
      <c r="KQS29" s="3"/>
      <c r="KQT29" s="3"/>
      <c r="KQU29" s="3"/>
      <c r="KQV29" s="3"/>
      <c r="KQW29" s="3"/>
      <c r="KQX29" s="3"/>
      <c r="KQY29" s="3"/>
      <c r="KQZ29" s="3"/>
      <c r="KRA29" s="3"/>
      <c r="KRB29" s="3"/>
      <c r="KRC29" s="3"/>
      <c r="KRD29" s="3"/>
      <c r="KRE29" s="3"/>
      <c r="KRF29" s="3"/>
      <c r="KRG29" s="3"/>
      <c r="KRH29" s="3"/>
      <c r="KRI29" s="3"/>
      <c r="KRJ29" s="3"/>
      <c r="KRK29" s="3"/>
      <c r="KRL29" s="3"/>
      <c r="KRM29" s="3"/>
      <c r="KRN29" s="3"/>
      <c r="KRO29" s="3"/>
      <c r="KRP29" s="3"/>
      <c r="KRQ29" s="3"/>
      <c r="KRR29" s="3"/>
      <c r="KRS29" s="3"/>
      <c r="KRT29" s="3"/>
      <c r="KRU29" s="3"/>
      <c r="KRV29" s="3"/>
      <c r="KRW29" s="3"/>
      <c r="KRX29" s="3"/>
      <c r="KRY29" s="3"/>
      <c r="KRZ29" s="3"/>
      <c r="KSA29" s="3"/>
      <c r="KSB29" s="3"/>
      <c r="KSC29" s="3"/>
      <c r="KSD29" s="3"/>
      <c r="KSE29" s="3"/>
      <c r="KSF29" s="3"/>
      <c r="KSG29" s="3"/>
      <c r="KSH29" s="3"/>
      <c r="KSI29" s="3"/>
      <c r="KSJ29" s="3"/>
      <c r="KSK29" s="3"/>
      <c r="KSL29" s="3"/>
      <c r="KSM29" s="3"/>
      <c r="KSN29" s="3"/>
      <c r="KSO29" s="3"/>
      <c r="KSP29" s="3"/>
      <c r="KSQ29" s="3"/>
      <c r="KSR29" s="3"/>
      <c r="KSS29" s="3"/>
      <c r="KST29" s="3"/>
      <c r="KSU29" s="3"/>
      <c r="KSV29" s="3"/>
      <c r="KSW29" s="3"/>
      <c r="KSX29" s="3"/>
      <c r="KSY29" s="3"/>
      <c r="KSZ29" s="3"/>
      <c r="KTA29" s="3"/>
      <c r="KTB29" s="3"/>
      <c r="KTC29" s="3"/>
      <c r="KTD29" s="3"/>
      <c r="KTE29" s="3"/>
      <c r="KTF29" s="3"/>
      <c r="KTG29" s="3"/>
      <c r="KTH29" s="3"/>
      <c r="KTI29" s="3"/>
      <c r="KTJ29" s="3"/>
      <c r="KTK29" s="3"/>
      <c r="KTL29" s="3"/>
      <c r="KTM29" s="3"/>
      <c r="KTN29" s="3"/>
      <c r="KTO29" s="3"/>
      <c r="KTP29" s="3"/>
      <c r="KTQ29" s="3"/>
      <c r="KTR29" s="3"/>
      <c r="KTS29" s="3"/>
      <c r="KTT29" s="3"/>
      <c r="KTU29" s="3"/>
      <c r="KTV29" s="3"/>
      <c r="KTW29" s="3"/>
      <c r="KTX29" s="3"/>
      <c r="KTY29" s="3"/>
      <c r="KTZ29" s="3"/>
      <c r="KUA29" s="3"/>
      <c r="KUB29" s="3"/>
      <c r="KUC29" s="3"/>
      <c r="KUD29" s="3"/>
      <c r="KUE29" s="3"/>
      <c r="KUF29" s="3"/>
      <c r="KUG29" s="3"/>
      <c r="KUH29" s="3"/>
      <c r="KUI29" s="3"/>
      <c r="KUJ29" s="3"/>
      <c r="KUK29" s="3"/>
      <c r="KUL29" s="3"/>
      <c r="KUM29" s="3"/>
      <c r="KUN29" s="3"/>
      <c r="KUO29" s="3"/>
      <c r="KUP29" s="3"/>
      <c r="KUQ29" s="3"/>
      <c r="KUR29" s="3"/>
      <c r="KUS29" s="3"/>
      <c r="KUT29" s="3"/>
      <c r="KUU29" s="3"/>
      <c r="KUV29" s="3"/>
      <c r="KUW29" s="3"/>
      <c r="KUX29" s="3"/>
      <c r="KUY29" s="3"/>
      <c r="KUZ29" s="3"/>
      <c r="KVA29" s="3"/>
      <c r="KVB29" s="3"/>
      <c r="KVC29" s="3"/>
      <c r="KVD29" s="3"/>
      <c r="KVE29" s="3"/>
      <c r="KVF29" s="3"/>
      <c r="KVG29" s="3"/>
      <c r="KVH29" s="3"/>
      <c r="KVI29" s="3"/>
      <c r="KVJ29" s="3"/>
      <c r="KVK29" s="3"/>
      <c r="KVL29" s="3"/>
      <c r="KVM29" s="3"/>
      <c r="KVN29" s="3"/>
      <c r="KVO29" s="3"/>
      <c r="KVP29" s="3"/>
      <c r="KVQ29" s="3"/>
      <c r="KVR29" s="3"/>
      <c r="KVS29" s="3"/>
      <c r="KVT29" s="3"/>
      <c r="KVU29" s="3"/>
      <c r="KVV29" s="3"/>
      <c r="KVW29" s="3"/>
      <c r="KVX29" s="3"/>
      <c r="KVY29" s="3"/>
      <c r="KVZ29" s="3"/>
      <c r="KWA29" s="3"/>
      <c r="KWB29" s="3"/>
      <c r="KWC29" s="3"/>
      <c r="KWD29" s="3"/>
      <c r="KWE29" s="3"/>
      <c r="KWF29" s="3"/>
      <c r="KWG29" s="3"/>
      <c r="KWH29" s="3"/>
      <c r="KWI29" s="3"/>
      <c r="KWJ29" s="3"/>
      <c r="KWK29" s="3"/>
      <c r="KWL29" s="3"/>
      <c r="KWM29" s="3"/>
      <c r="KWN29" s="3"/>
      <c r="KWO29" s="3"/>
      <c r="KWP29" s="3"/>
      <c r="KWQ29" s="3"/>
      <c r="KWR29" s="3"/>
      <c r="KWS29" s="3"/>
      <c r="KWT29" s="3"/>
      <c r="KWU29" s="3"/>
      <c r="KWV29" s="3"/>
      <c r="KWW29" s="3"/>
      <c r="KWX29" s="3"/>
      <c r="KWY29" s="3"/>
      <c r="KWZ29" s="3"/>
      <c r="KXA29" s="3"/>
      <c r="KXB29" s="3"/>
      <c r="KXC29" s="3"/>
      <c r="KXD29" s="3"/>
      <c r="KXE29" s="3"/>
      <c r="KXF29" s="3"/>
      <c r="KXG29" s="3"/>
      <c r="KXH29" s="3"/>
      <c r="KXI29" s="3"/>
      <c r="KXJ29" s="3"/>
      <c r="KXK29" s="3"/>
      <c r="KXL29" s="3"/>
      <c r="KXM29" s="3"/>
      <c r="KXN29" s="3"/>
      <c r="KXO29" s="3"/>
      <c r="KXP29" s="3"/>
      <c r="KXQ29" s="3"/>
      <c r="KXR29" s="3"/>
      <c r="KXS29" s="3"/>
      <c r="KXT29" s="3"/>
      <c r="KXU29" s="3"/>
      <c r="KXV29" s="3"/>
      <c r="KXW29" s="3"/>
      <c r="KXX29" s="3"/>
      <c r="KXY29" s="3"/>
      <c r="KXZ29" s="3"/>
      <c r="KYA29" s="3"/>
      <c r="KYB29" s="3"/>
      <c r="KYC29" s="3"/>
      <c r="KYD29" s="3"/>
      <c r="KYE29" s="3"/>
      <c r="KYF29" s="3"/>
      <c r="KYG29" s="3"/>
      <c r="KYH29" s="3"/>
      <c r="KYI29" s="3"/>
      <c r="KYJ29" s="3"/>
      <c r="KYK29" s="3"/>
      <c r="KYL29" s="3"/>
      <c r="KYM29" s="3"/>
      <c r="KYN29" s="3"/>
      <c r="KYO29" s="3"/>
      <c r="KYP29" s="3"/>
      <c r="KYQ29" s="3"/>
      <c r="KYR29" s="3"/>
      <c r="KYS29" s="3"/>
      <c r="KYT29" s="3"/>
      <c r="KYU29" s="3"/>
      <c r="KYV29" s="3"/>
      <c r="KYW29" s="3"/>
      <c r="KYX29" s="3"/>
      <c r="KYY29" s="3"/>
      <c r="KYZ29" s="3"/>
      <c r="KZA29" s="3"/>
      <c r="KZB29" s="3"/>
      <c r="KZC29" s="3"/>
      <c r="KZD29" s="3"/>
      <c r="KZE29" s="3"/>
      <c r="KZF29" s="3"/>
      <c r="KZG29" s="3"/>
      <c r="KZH29" s="3"/>
      <c r="KZI29" s="3"/>
      <c r="KZJ29" s="3"/>
      <c r="KZK29" s="3"/>
      <c r="KZL29" s="3"/>
      <c r="KZM29" s="3"/>
      <c r="KZN29" s="3"/>
      <c r="KZO29" s="3"/>
      <c r="KZP29" s="3"/>
      <c r="KZQ29" s="3"/>
      <c r="KZR29" s="3"/>
      <c r="KZS29" s="3"/>
      <c r="KZT29" s="3"/>
      <c r="KZU29" s="3"/>
      <c r="KZV29" s="3"/>
      <c r="KZW29" s="3"/>
      <c r="KZX29" s="3"/>
      <c r="KZY29" s="3"/>
      <c r="KZZ29" s="3"/>
      <c r="LAA29" s="3"/>
      <c r="LAB29" s="3"/>
      <c r="LAC29" s="3"/>
      <c r="LAD29" s="3"/>
      <c r="LAE29" s="3"/>
      <c r="LAF29" s="3"/>
      <c r="LAG29" s="3"/>
      <c r="LAH29" s="3"/>
      <c r="LAI29" s="3"/>
      <c r="LAJ29" s="3"/>
      <c r="LAK29" s="3"/>
      <c r="LAL29" s="3"/>
      <c r="LAM29" s="3"/>
      <c r="LAN29" s="3"/>
      <c r="LAO29" s="3"/>
      <c r="LAP29" s="3"/>
      <c r="LAQ29" s="3"/>
      <c r="LAR29" s="3"/>
      <c r="LAS29" s="3"/>
      <c r="LAT29" s="3"/>
      <c r="LAU29" s="3"/>
      <c r="LAV29" s="3"/>
      <c r="LAW29" s="3"/>
      <c r="LAX29" s="3"/>
      <c r="LAY29" s="3"/>
      <c r="LAZ29" s="3"/>
      <c r="LBA29" s="3"/>
      <c r="LBB29" s="3"/>
      <c r="LBC29" s="3"/>
      <c r="LBD29" s="3"/>
      <c r="LBE29" s="3"/>
      <c r="LBF29" s="3"/>
      <c r="LBG29" s="3"/>
      <c r="LBH29" s="3"/>
      <c r="LBI29" s="3"/>
      <c r="LBJ29" s="3"/>
      <c r="LBK29" s="3"/>
      <c r="LBL29" s="3"/>
      <c r="LBM29" s="3"/>
      <c r="LBN29" s="3"/>
      <c r="LBO29" s="3"/>
      <c r="LBP29" s="3"/>
      <c r="LBQ29" s="3"/>
      <c r="LBR29" s="3"/>
      <c r="LBS29" s="3"/>
      <c r="LBT29" s="3"/>
      <c r="LBU29" s="3"/>
      <c r="LBV29" s="3"/>
      <c r="LBW29" s="3"/>
      <c r="LBX29" s="3"/>
      <c r="LBY29" s="3"/>
      <c r="LBZ29" s="3"/>
      <c r="LCA29" s="3"/>
      <c r="LCB29" s="3"/>
      <c r="LCC29" s="3"/>
      <c r="LCD29" s="3"/>
      <c r="LCE29" s="3"/>
      <c r="LCF29" s="3"/>
      <c r="LCG29" s="3"/>
      <c r="LCH29" s="3"/>
      <c r="LCI29" s="3"/>
      <c r="LCJ29" s="3"/>
      <c r="LCK29" s="3"/>
      <c r="LCL29" s="3"/>
      <c r="LCM29" s="3"/>
      <c r="LCN29" s="3"/>
      <c r="LCO29" s="3"/>
      <c r="LCP29" s="3"/>
      <c r="LCQ29" s="3"/>
      <c r="LCR29" s="3"/>
      <c r="LCS29" s="3"/>
      <c r="LCT29" s="3"/>
      <c r="LCU29" s="3"/>
      <c r="LCV29" s="3"/>
      <c r="LCW29" s="3"/>
      <c r="LCX29" s="3"/>
      <c r="LCY29" s="3"/>
      <c r="LCZ29" s="3"/>
      <c r="LDA29" s="3"/>
      <c r="LDB29" s="3"/>
      <c r="LDC29" s="3"/>
      <c r="LDD29" s="3"/>
      <c r="LDE29" s="3"/>
      <c r="LDF29" s="3"/>
      <c r="LDG29" s="3"/>
      <c r="LDH29" s="3"/>
      <c r="LDI29" s="3"/>
      <c r="LDJ29" s="3"/>
      <c r="LDK29" s="3"/>
      <c r="LDL29" s="3"/>
      <c r="LDM29" s="3"/>
      <c r="LDN29" s="3"/>
      <c r="LDO29" s="3"/>
      <c r="LDP29" s="3"/>
      <c r="LDQ29" s="3"/>
      <c r="LDR29" s="3"/>
      <c r="LDS29" s="3"/>
      <c r="LDT29" s="3"/>
      <c r="LDU29" s="3"/>
      <c r="LDV29" s="3"/>
      <c r="LDW29" s="3"/>
      <c r="LDX29" s="3"/>
      <c r="LDY29" s="3"/>
      <c r="LDZ29" s="3"/>
      <c r="LEA29" s="3"/>
      <c r="LEB29" s="3"/>
      <c r="LEC29" s="3"/>
      <c r="LED29" s="3"/>
      <c r="LEE29" s="3"/>
      <c r="LEF29" s="3"/>
      <c r="LEG29" s="3"/>
      <c r="LEH29" s="3"/>
      <c r="LEI29" s="3"/>
      <c r="LEJ29" s="3"/>
      <c r="LEK29" s="3"/>
      <c r="LEL29" s="3"/>
      <c r="LEM29" s="3"/>
      <c r="LEN29" s="3"/>
      <c r="LEO29" s="3"/>
      <c r="LEP29" s="3"/>
      <c r="LEQ29" s="3"/>
      <c r="LER29" s="3"/>
      <c r="LES29" s="3"/>
      <c r="LET29" s="3"/>
      <c r="LEU29" s="3"/>
      <c r="LEV29" s="3"/>
      <c r="LEW29" s="3"/>
      <c r="LEX29" s="3"/>
      <c r="LEY29" s="3"/>
      <c r="LEZ29" s="3"/>
      <c r="LFA29" s="3"/>
      <c r="LFB29" s="3"/>
      <c r="LFC29" s="3"/>
      <c r="LFD29" s="3"/>
      <c r="LFE29" s="3"/>
      <c r="LFF29" s="3"/>
      <c r="LFG29" s="3"/>
      <c r="LFH29" s="3"/>
      <c r="LFI29" s="3"/>
      <c r="LFJ29" s="3"/>
      <c r="LFK29" s="3"/>
      <c r="LFL29" s="3"/>
      <c r="LFM29" s="3"/>
      <c r="LFN29" s="3"/>
      <c r="LFO29" s="3"/>
      <c r="LFP29" s="3"/>
      <c r="LFQ29" s="3"/>
      <c r="LFR29" s="3"/>
      <c r="LFS29" s="3"/>
      <c r="LFT29" s="3"/>
      <c r="LFU29" s="3"/>
      <c r="LFV29" s="3"/>
      <c r="LFW29" s="3"/>
      <c r="LFX29" s="3"/>
      <c r="LFY29" s="3"/>
      <c r="LFZ29" s="3"/>
      <c r="LGA29" s="3"/>
      <c r="LGB29" s="3"/>
      <c r="LGC29" s="3"/>
      <c r="LGD29" s="3"/>
      <c r="LGE29" s="3"/>
      <c r="LGF29" s="3"/>
      <c r="LGG29" s="3"/>
      <c r="LGH29" s="3"/>
      <c r="LGI29" s="3"/>
      <c r="LGJ29" s="3"/>
      <c r="LGK29" s="3"/>
      <c r="LGL29" s="3"/>
      <c r="LGM29" s="3"/>
      <c r="LGN29" s="3"/>
      <c r="LGO29" s="3"/>
      <c r="LGP29" s="3"/>
      <c r="LGQ29" s="3"/>
      <c r="LGR29" s="3"/>
      <c r="LGS29" s="3"/>
      <c r="LGT29" s="3"/>
      <c r="LGU29" s="3"/>
      <c r="LGV29" s="3"/>
      <c r="LGW29" s="3"/>
      <c r="LGX29" s="3"/>
      <c r="LGY29" s="3"/>
      <c r="LGZ29" s="3"/>
      <c r="LHA29" s="3"/>
      <c r="LHB29" s="3"/>
      <c r="LHC29" s="3"/>
      <c r="LHD29" s="3"/>
      <c r="LHE29" s="3"/>
      <c r="LHF29" s="3"/>
      <c r="LHG29" s="3"/>
      <c r="LHH29" s="3"/>
      <c r="LHI29" s="3"/>
      <c r="LHJ29" s="3"/>
      <c r="LHK29" s="3"/>
      <c r="LHL29" s="3"/>
      <c r="LHM29" s="3"/>
      <c r="LHN29" s="3"/>
      <c r="LHO29" s="3"/>
      <c r="LHP29" s="3"/>
      <c r="LHQ29" s="3"/>
      <c r="LHR29" s="3"/>
      <c r="LHS29" s="3"/>
      <c r="LHT29" s="3"/>
      <c r="LHU29" s="3"/>
      <c r="LHV29" s="3"/>
      <c r="LHW29" s="3"/>
      <c r="LHX29" s="3"/>
      <c r="LHY29" s="3"/>
      <c r="LHZ29" s="3"/>
      <c r="LIA29" s="3"/>
      <c r="LIB29" s="3"/>
      <c r="LIC29" s="3"/>
      <c r="LID29" s="3"/>
      <c r="LIE29" s="3"/>
      <c r="LIF29" s="3"/>
      <c r="LIG29" s="3"/>
      <c r="LIH29" s="3"/>
      <c r="LII29" s="3"/>
      <c r="LIJ29" s="3"/>
      <c r="LIK29" s="3"/>
      <c r="LIL29" s="3"/>
      <c r="LIM29" s="3"/>
      <c r="LIN29" s="3"/>
      <c r="LIO29" s="3"/>
      <c r="LIP29" s="3"/>
      <c r="LIQ29" s="3"/>
      <c r="LIR29" s="3"/>
      <c r="LIS29" s="3"/>
      <c r="LIT29" s="3"/>
      <c r="LIU29" s="3"/>
      <c r="LIV29" s="3"/>
      <c r="LIW29" s="3"/>
      <c r="LIX29" s="3"/>
      <c r="LIY29" s="3"/>
      <c r="LIZ29" s="3"/>
      <c r="LJA29" s="3"/>
      <c r="LJB29" s="3"/>
      <c r="LJC29" s="3"/>
      <c r="LJD29" s="3"/>
      <c r="LJE29" s="3"/>
      <c r="LJF29" s="3"/>
      <c r="LJG29" s="3"/>
      <c r="LJH29" s="3"/>
      <c r="LJI29" s="3"/>
      <c r="LJJ29" s="3"/>
      <c r="LJK29" s="3"/>
      <c r="LJL29" s="3"/>
      <c r="LJM29" s="3"/>
      <c r="LJN29" s="3"/>
      <c r="LJO29" s="3"/>
      <c r="LJP29" s="3"/>
      <c r="LJQ29" s="3"/>
      <c r="LJR29" s="3"/>
      <c r="LJS29" s="3"/>
      <c r="LJT29" s="3"/>
      <c r="LJU29" s="3"/>
      <c r="LJV29" s="3"/>
      <c r="LJW29" s="3"/>
      <c r="LJX29" s="3"/>
      <c r="LJY29" s="3"/>
      <c r="LJZ29" s="3"/>
      <c r="LKA29" s="3"/>
      <c r="LKB29" s="3"/>
      <c r="LKC29" s="3"/>
      <c r="LKD29" s="3"/>
      <c r="LKE29" s="3"/>
      <c r="LKF29" s="3"/>
      <c r="LKG29" s="3"/>
      <c r="LKH29" s="3"/>
      <c r="LKI29" s="3"/>
      <c r="LKJ29" s="3"/>
      <c r="LKK29" s="3"/>
      <c r="LKL29" s="3"/>
      <c r="LKM29" s="3"/>
      <c r="LKN29" s="3"/>
      <c r="LKO29" s="3"/>
      <c r="LKP29" s="3"/>
      <c r="LKQ29" s="3"/>
      <c r="LKR29" s="3"/>
      <c r="LKS29" s="3"/>
      <c r="LKT29" s="3"/>
      <c r="LKU29" s="3"/>
      <c r="LKV29" s="3"/>
      <c r="LKW29" s="3"/>
      <c r="LKX29" s="3"/>
      <c r="LKY29" s="3"/>
      <c r="LKZ29" s="3"/>
      <c r="LLA29" s="3"/>
      <c r="LLB29" s="3"/>
      <c r="LLC29" s="3"/>
      <c r="LLD29" s="3"/>
      <c r="LLE29" s="3"/>
      <c r="LLF29" s="3"/>
      <c r="LLG29" s="3"/>
      <c r="LLH29" s="3"/>
      <c r="LLI29" s="3"/>
      <c r="LLJ29" s="3"/>
      <c r="LLK29" s="3"/>
      <c r="LLL29" s="3"/>
      <c r="LLM29" s="3"/>
      <c r="LLN29" s="3"/>
      <c r="LLO29" s="3"/>
      <c r="LLP29" s="3"/>
      <c r="LLQ29" s="3"/>
      <c r="LLR29" s="3"/>
      <c r="LLS29" s="3"/>
      <c r="LLT29" s="3"/>
      <c r="LLU29" s="3"/>
      <c r="LLV29" s="3"/>
      <c r="LLW29" s="3"/>
      <c r="LLX29" s="3"/>
      <c r="LLY29" s="3"/>
      <c r="LLZ29" s="3"/>
      <c r="LMA29" s="3"/>
      <c r="LMB29" s="3"/>
      <c r="LMC29" s="3"/>
      <c r="LMD29" s="3"/>
      <c r="LME29" s="3"/>
      <c r="LMF29" s="3"/>
      <c r="LMG29" s="3"/>
      <c r="LMH29" s="3"/>
      <c r="LMI29" s="3"/>
      <c r="LMJ29" s="3"/>
      <c r="LMK29" s="3"/>
      <c r="LML29" s="3"/>
      <c r="LMM29" s="3"/>
      <c r="LMN29" s="3"/>
      <c r="LMO29" s="3"/>
      <c r="LMP29" s="3"/>
      <c r="LMQ29" s="3"/>
      <c r="LMR29" s="3"/>
      <c r="LMS29" s="3"/>
      <c r="LMT29" s="3"/>
      <c r="LMU29" s="3"/>
      <c r="LMV29" s="3"/>
      <c r="LMW29" s="3"/>
      <c r="LMX29" s="3"/>
      <c r="LMY29" s="3"/>
      <c r="LMZ29" s="3"/>
      <c r="LNA29" s="3"/>
      <c r="LNB29" s="3"/>
      <c r="LNC29" s="3"/>
      <c r="LND29" s="3"/>
      <c r="LNE29" s="3"/>
      <c r="LNF29" s="3"/>
      <c r="LNG29" s="3"/>
      <c r="LNH29" s="3"/>
      <c r="LNI29" s="3"/>
      <c r="LNJ29" s="3"/>
      <c r="LNK29" s="3"/>
      <c r="LNL29" s="3"/>
      <c r="LNM29" s="3"/>
      <c r="LNN29" s="3"/>
      <c r="LNO29" s="3"/>
      <c r="LNP29" s="3"/>
      <c r="LNQ29" s="3"/>
      <c r="LNR29" s="3"/>
      <c r="LNS29" s="3"/>
      <c r="LNT29" s="3"/>
      <c r="LNU29" s="3"/>
      <c r="LNV29" s="3"/>
      <c r="LNW29" s="3"/>
      <c r="LNX29" s="3"/>
      <c r="LNY29" s="3"/>
      <c r="LNZ29" s="3"/>
      <c r="LOA29" s="3"/>
      <c r="LOB29" s="3"/>
      <c r="LOC29" s="3"/>
      <c r="LOD29" s="3"/>
      <c r="LOE29" s="3"/>
      <c r="LOF29" s="3"/>
      <c r="LOG29" s="3"/>
      <c r="LOH29" s="3"/>
      <c r="LOI29" s="3"/>
      <c r="LOJ29" s="3"/>
      <c r="LOK29" s="3"/>
      <c r="LOL29" s="3"/>
      <c r="LOM29" s="3"/>
      <c r="LON29" s="3"/>
      <c r="LOO29" s="3"/>
      <c r="LOP29" s="3"/>
      <c r="LOQ29" s="3"/>
      <c r="LOR29" s="3"/>
      <c r="LOS29" s="3"/>
      <c r="LOT29" s="3"/>
      <c r="LOU29" s="3"/>
      <c r="LOV29" s="3"/>
      <c r="LOW29" s="3"/>
      <c r="LOX29" s="3"/>
      <c r="LOY29" s="3"/>
      <c r="LOZ29" s="3"/>
      <c r="LPA29" s="3"/>
      <c r="LPB29" s="3"/>
      <c r="LPC29" s="3"/>
      <c r="LPD29" s="3"/>
      <c r="LPE29" s="3"/>
      <c r="LPF29" s="3"/>
      <c r="LPG29" s="3"/>
      <c r="LPH29" s="3"/>
      <c r="LPI29" s="3"/>
      <c r="LPJ29" s="3"/>
      <c r="LPK29" s="3"/>
      <c r="LPL29" s="3"/>
      <c r="LPM29" s="3"/>
      <c r="LPN29" s="3"/>
      <c r="LPO29" s="3"/>
      <c r="LPP29" s="3"/>
      <c r="LPQ29" s="3"/>
      <c r="LPR29" s="3"/>
      <c r="LPS29" s="3"/>
      <c r="LPT29" s="3"/>
      <c r="LPU29" s="3"/>
      <c r="LPV29" s="3"/>
      <c r="LPW29" s="3"/>
      <c r="LPX29" s="3"/>
      <c r="LPY29" s="3"/>
      <c r="LPZ29" s="3"/>
      <c r="LQA29" s="3"/>
      <c r="LQB29" s="3"/>
      <c r="LQC29" s="3"/>
      <c r="LQD29" s="3"/>
      <c r="LQE29" s="3"/>
      <c r="LQF29" s="3"/>
      <c r="LQG29" s="3"/>
      <c r="LQH29" s="3"/>
      <c r="LQI29" s="3"/>
      <c r="LQJ29" s="3"/>
      <c r="LQK29" s="3"/>
      <c r="LQL29" s="3"/>
      <c r="LQM29" s="3"/>
      <c r="LQN29" s="3"/>
      <c r="LQO29" s="3"/>
      <c r="LQP29" s="3"/>
      <c r="LQQ29" s="3"/>
      <c r="LQR29" s="3"/>
      <c r="LQS29" s="3"/>
      <c r="LQT29" s="3"/>
      <c r="LQU29" s="3"/>
      <c r="LQV29" s="3"/>
      <c r="LQW29" s="3"/>
      <c r="LQX29" s="3"/>
      <c r="LQY29" s="3"/>
      <c r="LQZ29" s="3"/>
      <c r="LRA29" s="3"/>
      <c r="LRB29" s="3"/>
      <c r="LRC29" s="3"/>
      <c r="LRD29" s="3"/>
      <c r="LRE29" s="3"/>
      <c r="LRF29" s="3"/>
      <c r="LRG29" s="3"/>
      <c r="LRH29" s="3"/>
      <c r="LRI29" s="3"/>
      <c r="LRJ29" s="3"/>
      <c r="LRK29" s="3"/>
      <c r="LRL29" s="3"/>
      <c r="LRM29" s="3"/>
      <c r="LRN29" s="3"/>
      <c r="LRO29" s="3"/>
      <c r="LRP29" s="3"/>
      <c r="LRQ29" s="3"/>
      <c r="LRR29" s="3"/>
      <c r="LRS29" s="3"/>
      <c r="LRT29" s="3"/>
      <c r="LRU29" s="3"/>
      <c r="LRV29" s="3"/>
      <c r="LRW29" s="3"/>
      <c r="LRX29" s="3"/>
      <c r="LRY29" s="3"/>
      <c r="LRZ29" s="3"/>
      <c r="LSA29" s="3"/>
      <c r="LSB29" s="3"/>
      <c r="LSC29" s="3"/>
      <c r="LSD29" s="3"/>
      <c r="LSE29" s="3"/>
      <c r="LSF29" s="3"/>
      <c r="LSG29" s="3"/>
      <c r="LSH29" s="3"/>
      <c r="LSI29" s="3"/>
      <c r="LSJ29" s="3"/>
      <c r="LSK29" s="3"/>
      <c r="LSL29" s="3"/>
      <c r="LSM29" s="3"/>
      <c r="LSN29" s="3"/>
      <c r="LSO29" s="3"/>
      <c r="LSP29" s="3"/>
      <c r="LSQ29" s="3"/>
      <c r="LSR29" s="3"/>
      <c r="LSS29" s="3"/>
      <c r="LST29" s="3"/>
      <c r="LSU29" s="3"/>
      <c r="LSV29" s="3"/>
      <c r="LSW29" s="3"/>
      <c r="LSX29" s="3"/>
      <c r="LSY29" s="3"/>
      <c r="LSZ29" s="3"/>
      <c r="LTA29" s="3"/>
      <c r="LTB29" s="3"/>
      <c r="LTC29" s="3"/>
      <c r="LTD29" s="3"/>
      <c r="LTE29" s="3"/>
      <c r="LTF29" s="3"/>
      <c r="LTG29" s="3"/>
      <c r="LTH29" s="3"/>
      <c r="LTI29" s="3"/>
      <c r="LTJ29" s="3"/>
      <c r="LTK29" s="3"/>
      <c r="LTL29" s="3"/>
      <c r="LTM29" s="3"/>
      <c r="LTN29" s="3"/>
      <c r="LTO29" s="3"/>
      <c r="LTP29" s="3"/>
      <c r="LTQ29" s="3"/>
      <c r="LTR29" s="3"/>
      <c r="LTS29" s="3"/>
      <c r="LTT29" s="3"/>
      <c r="LTU29" s="3"/>
      <c r="LTV29" s="3"/>
      <c r="LTW29" s="3"/>
      <c r="LTX29" s="3"/>
      <c r="LTY29" s="3"/>
      <c r="LTZ29" s="3"/>
      <c r="LUA29" s="3"/>
      <c r="LUB29" s="3"/>
      <c r="LUC29" s="3"/>
      <c r="LUD29" s="3"/>
      <c r="LUE29" s="3"/>
      <c r="LUF29" s="3"/>
      <c r="LUG29" s="3"/>
      <c r="LUH29" s="3"/>
      <c r="LUI29" s="3"/>
      <c r="LUJ29" s="3"/>
      <c r="LUK29" s="3"/>
      <c r="LUL29" s="3"/>
      <c r="LUM29" s="3"/>
      <c r="LUN29" s="3"/>
      <c r="LUO29" s="3"/>
      <c r="LUP29" s="3"/>
      <c r="LUQ29" s="3"/>
      <c r="LUR29" s="3"/>
      <c r="LUS29" s="3"/>
      <c r="LUT29" s="3"/>
      <c r="LUU29" s="3"/>
      <c r="LUV29" s="3"/>
      <c r="LUW29" s="3"/>
      <c r="LUX29" s="3"/>
      <c r="LUY29" s="3"/>
      <c r="LUZ29" s="3"/>
      <c r="LVA29" s="3"/>
      <c r="LVB29" s="3"/>
      <c r="LVC29" s="3"/>
      <c r="LVD29" s="3"/>
      <c r="LVE29" s="3"/>
      <c r="LVF29" s="3"/>
      <c r="LVG29" s="3"/>
      <c r="LVH29" s="3"/>
      <c r="LVI29" s="3"/>
      <c r="LVJ29" s="3"/>
      <c r="LVK29" s="3"/>
      <c r="LVL29" s="3"/>
      <c r="LVM29" s="3"/>
      <c r="LVN29" s="3"/>
      <c r="LVO29" s="3"/>
      <c r="LVP29" s="3"/>
      <c r="LVQ29" s="3"/>
      <c r="LVR29" s="3"/>
      <c r="LVS29" s="3"/>
      <c r="LVT29" s="3"/>
      <c r="LVU29" s="3"/>
      <c r="LVV29" s="3"/>
      <c r="LVW29" s="3"/>
      <c r="LVX29" s="3"/>
      <c r="LVY29" s="3"/>
      <c r="LVZ29" s="3"/>
      <c r="LWA29" s="3"/>
      <c r="LWB29" s="3"/>
      <c r="LWC29" s="3"/>
      <c r="LWD29" s="3"/>
      <c r="LWE29" s="3"/>
      <c r="LWF29" s="3"/>
      <c r="LWG29" s="3"/>
      <c r="LWH29" s="3"/>
      <c r="LWI29" s="3"/>
      <c r="LWJ29" s="3"/>
      <c r="LWK29" s="3"/>
      <c r="LWL29" s="3"/>
      <c r="LWM29" s="3"/>
      <c r="LWN29" s="3"/>
      <c r="LWO29" s="3"/>
      <c r="LWP29" s="3"/>
      <c r="LWQ29" s="3"/>
      <c r="LWR29" s="3"/>
      <c r="LWS29" s="3"/>
      <c r="LWT29" s="3"/>
      <c r="LWU29" s="3"/>
      <c r="LWV29" s="3"/>
      <c r="LWW29" s="3"/>
      <c r="LWX29" s="3"/>
      <c r="LWY29" s="3"/>
      <c r="LWZ29" s="3"/>
      <c r="LXA29" s="3"/>
      <c r="LXB29" s="3"/>
      <c r="LXC29" s="3"/>
      <c r="LXD29" s="3"/>
      <c r="LXE29" s="3"/>
      <c r="LXF29" s="3"/>
      <c r="LXG29" s="3"/>
      <c r="LXH29" s="3"/>
      <c r="LXI29" s="3"/>
      <c r="LXJ29" s="3"/>
      <c r="LXK29" s="3"/>
      <c r="LXL29" s="3"/>
      <c r="LXM29" s="3"/>
      <c r="LXN29" s="3"/>
      <c r="LXO29" s="3"/>
      <c r="LXP29" s="3"/>
      <c r="LXQ29" s="3"/>
      <c r="LXR29" s="3"/>
      <c r="LXS29" s="3"/>
      <c r="LXT29" s="3"/>
      <c r="LXU29" s="3"/>
      <c r="LXV29" s="3"/>
      <c r="LXW29" s="3"/>
      <c r="LXX29" s="3"/>
      <c r="LXY29" s="3"/>
      <c r="LXZ29" s="3"/>
      <c r="LYA29" s="3"/>
      <c r="LYB29" s="3"/>
      <c r="LYC29" s="3"/>
      <c r="LYD29" s="3"/>
      <c r="LYE29" s="3"/>
      <c r="LYF29" s="3"/>
      <c r="LYG29" s="3"/>
      <c r="LYH29" s="3"/>
      <c r="LYI29" s="3"/>
      <c r="LYJ29" s="3"/>
      <c r="LYK29" s="3"/>
      <c r="LYL29" s="3"/>
      <c r="LYM29" s="3"/>
      <c r="LYN29" s="3"/>
      <c r="LYO29" s="3"/>
      <c r="LYP29" s="3"/>
      <c r="LYQ29" s="3"/>
      <c r="LYR29" s="3"/>
      <c r="LYS29" s="3"/>
      <c r="LYT29" s="3"/>
      <c r="LYU29" s="3"/>
      <c r="LYV29" s="3"/>
      <c r="LYW29" s="3"/>
      <c r="LYX29" s="3"/>
      <c r="LYY29" s="3"/>
      <c r="LYZ29" s="3"/>
      <c r="LZA29" s="3"/>
      <c r="LZB29" s="3"/>
      <c r="LZC29" s="3"/>
      <c r="LZD29" s="3"/>
      <c r="LZE29" s="3"/>
      <c r="LZF29" s="3"/>
      <c r="LZG29" s="3"/>
      <c r="LZH29" s="3"/>
      <c r="LZI29" s="3"/>
      <c r="LZJ29" s="3"/>
      <c r="LZK29" s="3"/>
      <c r="LZL29" s="3"/>
      <c r="LZM29" s="3"/>
      <c r="LZN29" s="3"/>
      <c r="LZO29" s="3"/>
      <c r="LZP29" s="3"/>
      <c r="LZQ29" s="3"/>
      <c r="LZR29" s="3"/>
      <c r="LZS29" s="3"/>
      <c r="LZT29" s="3"/>
      <c r="LZU29" s="3"/>
      <c r="LZV29" s="3"/>
      <c r="LZW29" s="3"/>
      <c r="LZX29" s="3"/>
      <c r="LZY29" s="3"/>
      <c r="LZZ29" s="3"/>
      <c r="MAA29" s="3"/>
      <c r="MAB29" s="3"/>
      <c r="MAC29" s="3"/>
      <c r="MAD29" s="3"/>
      <c r="MAE29" s="3"/>
      <c r="MAF29" s="3"/>
      <c r="MAG29" s="3"/>
      <c r="MAH29" s="3"/>
      <c r="MAI29" s="3"/>
      <c r="MAJ29" s="3"/>
      <c r="MAK29" s="3"/>
      <c r="MAL29" s="3"/>
      <c r="MAM29" s="3"/>
      <c r="MAN29" s="3"/>
      <c r="MAO29" s="3"/>
      <c r="MAP29" s="3"/>
      <c r="MAQ29" s="3"/>
      <c r="MAR29" s="3"/>
      <c r="MAS29" s="3"/>
      <c r="MAT29" s="3"/>
      <c r="MAU29" s="3"/>
      <c r="MAV29" s="3"/>
      <c r="MAW29" s="3"/>
      <c r="MAX29" s="3"/>
      <c r="MAY29" s="3"/>
      <c r="MAZ29" s="3"/>
      <c r="MBA29" s="3"/>
      <c r="MBB29" s="3"/>
      <c r="MBC29" s="3"/>
      <c r="MBD29" s="3"/>
      <c r="MBE29" s="3"/>
      <c r="MBF29" s="3"/>
      <c r="MBG29" s="3"/>
      <c r="MBH29" s="3"/>
      <c r="MBI29" s="3"/>
      <c r="MBJ29" s="3"/>
      <c r="MBK29" s="3"/>
      <c r="MBL29" s="3"/>
      <c r="MBM29" s="3"/>
      <c r="MBN29" s="3"/>
      <c r="MBO29" s="3"/>
      <c r="MBP29" s="3"/>
      <c r="MBQ29" s="3"/>
      <c r="MBR29" s="3"/>
      <c r="MBS29" s="3"/>
      <c r="MBT29" s="3"/>
      <c r="MBU29" s="3"/>
      <c r="MBV29" s="3"/>
      <c r="MBW29" s="3"/>
      <c r="MBX29" s="3"/>
      <c r="MBY29" s="3"/>
      <c r="MBZ29" s="3"/>
      <c r="MCA29" s="3"/>
      <c r="MCB29" s="3"/>
      <c r="MCC29" s="3"/>
      <c r="MCD29" s="3"/>
      <c r="MCE29" s="3"/>
      <c r="MCF29" s="3"/>
      <c r="MCG29" s="3"/>
      <c r="MCH29" s="3"/>
      <c r="MCI29" s="3"/>
      <c r="MCJ29" s="3"/>
      <c r="MCK29" s="3"/>
      <c r="MCL29" s="3"/>
      <c r="MCM29" s="3"/>
      <c r="MCN29" s="3"/>
      <c r="MCO29" s="3"/>
      <c r="MCP29" s="3"/>
      <c r="MCQ29" s="3"/>
      <c r="MCR29" s="3"/>
      <c r="MCS29" s="3"/>
      <c r="MCT29" s="3"/>
      <c r="MCU29" s="3"/>
      <c r="MCV29" s="3"/>
      <c r="MCW29" s="3"/>
      <c r="MCX29" s="3"/>
      <c r="MCY29" s="3"/>
      <c r="MCZ29" s="3"/>
      <c r="MDA29" s="3"/>
      <c r="MDB29" s="3"/>
      <c r="MDC29" s="3"/>
      <c r="MDD29" s="3"/>
      <c r="MDE29" s="3"/>
      <c r="MDF29" s="3"/>
      <c r="MDG29" s="3"/>
      <c r="MDH29" s="3"/>
      <c r="MDI29" s="3"/>
      <c r="MDJ29" s="3"/>
      <c r="MDK29" s="3"/>
      <c r="MDL29" s="3"/>
      <c r="MDM29" s="3"/>
      <c r="MDN29" s="3"/>
      <c r="MDO29" s="3"/>
      <c r="MDP29" s="3"/>
      <c r="MDQ29" s="3"/>
      <c r="MDR29" s="3"/>
      <c r="MDS29" s="3"/>
      <c r="MDT29" s="3"/>
      <c r="MDU29" s="3"/>
      <c r="MDV29" s="3"/>
      <c r="MDW29" s="3"/>
      <c r="MDX29" s="3"/>
      <c r="MDY29" s="3"/>
      <c r="MDZ29" s="3"/>
      <c r="MEA29" s="3"/>
      <c r="MEB29" s="3"/>
      <c r="MEC29" s="3"/>
      <c r="MED29" s="3"/>
      <c r="MEE29" s="3"/>
      <c r="MEF29" s="3"/>
      <c r="MEG29" s="3"/>
      <c r="MEH29" s="3"/>
      <c r="MEI29" s="3"/>
      <c r="MEJ29" s="3"/>
      <c r="MEK29" s="3"/>
      <c r="MEL29" s="3"/>
      <c r="MEM29" s="3"/>
      <c r="MEN29" s="3"/>
      <c r="MEO29" s="3"/>
      <c r="MEP29" s="3"/>
      <c r="MEQ29" s="3"/>
      <c r="MER29" s="3"/>
      <c r="MES29" s="3"/>
      <c r="MET29" s="3"/>
      <c r="MEU29" s="3"/>
      <c r="MEV29" s="3"/>
      <c r="MEW29" s="3"/>
      <c r="MEX29" s="3"/>
      <c r="MEY29" s="3"/>
      <c r="MEZ29" s="3"/>
      <c r="MFA29" s="3"/>
      <c r="MFB29" s="3"/>
      <c r="MFC29" s="3"/>
      <c r="MFD29" s="3"/>
      <c r="MFE29" s="3"/>
      <c r="MFF29" s="3"/>
      <c r="MFG29" s="3"/>
      <c r="MFH29" s="3"/>
      <c r="MFI29" s="3"/>
      <c r="MFJ29" s="3"/>
      <c r="MFK29" s="3"/>
      <c r="MFL29" s="3"/>
      <c r="MFM29" s="3"/>
      <c r="MFN29" s="3"/>
      <c r="MFO29" s="3"/>
      <c r="MFP29" s="3"/>
      <c r="MFQ29" s="3"/>
      <c r="MFR29" s="3"/>
      <c r="MFS29" s="3"/>
      <c r="MFT29" s="3"/>
      <c r="MFU29" s="3"/>
      <c r="MFV29" s="3"/>
      <c r="MFW29" s="3"/>
      <c r="MFX29" s="3"/>
      <c r="MFY29" s="3"/>
      <c r="MFZ29" s="3"/>
      <c r="MGA29" s="3"/>
      <c r="MGB29" s="3"/>
      <c r="MGC29" s="3"/>
      <c r="MGD29" s="3"/>
      <c r="MGE29" s="3"/>
      <c r="MGF29" s="3"/>
      <c r="MGG29" s="3"/>
      <c r="MGH29" s="3"/>
      <c r="MGI29" s="3"/>
      <c r="MGJ29" s="3"/>
      <c r="MGK29" s="3"/>
      <c r="MGL29" s="3"/>
      <c r="MGM29" s="3"/>
      <c r="MGN29" s="3"/>
      <c r="MGO29" s="3"/>
      <c r="MGP29" s="3"/>
      <c r="MGQ29" s="3"/>
      <c r="MGR29" s="3"/>
      <c r="MGS29" s="3"/>
      <c r="MGT29" s="3"/>
      <c r="MGU29" s="3"/>
      <c r="MGV29" s="3"/>
      <c r="MGW29" s="3"/>
      <c r="MGX29" s="3"/>
      <c r="MGY29" s="3"/>
      <c r="MGZ29" s="3"/>
      <c r="MHA29" s="3"/>
      <c r="MHB29" s="3"/>
      <c r="MHC29" s="3"/>
      <c r="MHD29" s="3"/>
      <c r="MHE29" s="3"/>
      <c r="MHF29" s="3"/>
      <c r="MHG29" s="3"/>
      <c r="MHH29" s="3"/>
      <c r="MHI29" s="3"/>
      <c r="MHJ29" s="3"/>
      <c r="MHK29" s="3"/>
      <c r="MHL29" s="3"/>
      <c r="MHM29" s="3"/>
      <c r="MHN29" s="3"/>
      <c r="MHO29" s="3"/>
      <c r="MHP29" s="3"/>
      <c r="MHQ29" s="3"/>
      <c r="MHR29" s="3"/>
      <c r="MHS29" s="3"/>
      <c r="MHT29" s="3"/>
      <c r="MHU29" s="3"/>
      <c r="MHV29" s="3"/>
      <c r="MHW29" s="3"/>
      <c r="MHX29" s="3"/>
      <c r="MHY29" s="3"/>
      <c r="MHZ29" s="3"/>
      <c r="MIA29" s="3"/>
      <c r="MIB29" s="3"/>
      <c r="MIC29" s="3"/>
      <c r="MID29" s="3"/>
      <c r="MIE29" s="3"/>
      <c r="MIF29" s="3"/>
      <c r="MIG29" s="3"/>
      <c r="MIH29" s="3"/>
      <c r="MII29" s="3"/>
      <c r="MIJ29" s="3"/>
      <c r="MIK29" s="3"/>
      <c r="MIL29" s="3"/>
      <c r="MIM29" s="3"/>
      <c r="MIN29" s="3"/>
      <c r="MIO29" s="3"/>
      <c r="MIP29" s="3"/>
      <c r="MIQ29" s="3"/>
      <c r="MIR29" s="3"/>
      <c r="MIS29" s="3"/>
      <c r="MIT29" s="3"/>
      <c r="MIU29" s="3"/>
      <c r="MIV29" s="3"/>
      <c r="MIW29" s="3"/>
      <c r="MIX29" s="3"/>
      <c r="MIY29" s="3"/>
      <c r="MIZ29" s="3"/>
      <c r="MJA29" s="3"/>
      <c r="MJB29" s="3"/>
      <c r="MJC29" s="3"/>
      <c r="MJD29" s="3"/>
      <c r="MJE29" s="3"/>
      <c r="MJF29" s="3"/>
      <c r="MJG29" s="3"/>
      <c r="MJH29" s="3"/>
      <c r="MJI29" s="3"/>
      <c r="MJJ29" s="3"/>
      <c r="MJK29" s="3"/>
      <c r="MJL29" s="3"/>
      <c r="MJM29" s="3"/>
      <c r="MJN29" s="3"/>
      <c r="MJO29" s="3"/>
      <c r="MJP29" s="3"/>
      <c r="MJQ29" s="3"/>
      <c r="MJR29" s="3"/>
      <c r="MJS29" s="3"/>
      <c r="MJT29" s="3"/>
      <c r="MJU29" s="3"/>
      <c r="MJV29" s="3"/>
      <c r="MJW29" s="3"/>
      <c r="MJX29" s="3"/>
      <c r="MJY29" s="3"/>
      <c r="MJZ29" s="3"/>
      <c r="MKA29" s="3"/>
      <c r="MKB29" s="3"/>
      <c r="MKC29" s="3"/>
      <c r="MKD29" s="3"/>
      <c r="MKE29" s="3"/>
      <c r="MKF29" s="3"/>
      <c r="MKG29" s="3"/>
      <c r="MKH29" s="3"/>
      <c r="MKI29" s="3"/>
      <c r="MKJ29" s="3"/>
      <c r="MKK29" s="3"/>
      <c r="MKL29" s="3"/>
      <c r="MKM29" s="3"/>
      <c r="MKN29" s="3"/>
      <c r="MKO29" s="3"/>
      <c r="MKP29" s="3"/>
      <c r="MKQ29" s="3"/>
      <c r="MKR29" s="3"/>
      <c r="MKS29" s="3"/>
      <c r="MKT29" s="3"/>
      <c r="MKU29" s="3"/>
      <c r="MKV29" s="3"/>
      <c r="MKW29" s="3"/>
      <c r="MKX29" s="3"/>
      <c r="MKY29" s="3"/>
      <c r="MKZ29" s="3"/>
      <c r="MLA29" s="3"/>
      <c r="MLB29" s="3"/>
      <c r="MLC29" s="3"/>
      <c r="MLD29" s="3"/>
      <c r="MLE29" s="3"/>
      <c r="MLF29" s="3"/>
      <c r="MLG29" s="3"/>
      <c r="MLH29" s="3"/>
      <c r="MLI29" s="3"/>
      <c r="MLJ29" s="3"/>
      <c r="MLK29" s="3"/>
      <c r="MLL29" s="3"/>
      <c r="MLM29" s="3"/>
      <c r="MLN29" s="3"/>
      <c r="MLO29" s="3"/>
      <c r="MLP29" s="3"/>
      <c r="MLQ29" s="3"/>
      <c r="MLR29" s="3"/>
      <c r="MLS29" s="3"/>
      <c r="MLT29" s="3"/>
      <c r="MLU29" s="3"/>
      <c r="MLV29" s="3"/>
      <c r="MLW29" s="3"/>
      <c r="MLX29" s="3"/>
      <c r="MLY29" s="3"/>
      <c r="MLZ29" s="3"/>
      <c r="MMA29" s="3"/>
      <c r="MMB29" s="3"/>
      <c r="MMC29" s="3"/>
      <c r="MMD29" s="3"/>
      <c r="MME29" s="3"/>
      <c r="MMF29" s="3"/>
      <c r="MMG29" s="3"/>
      <c r="MMH29" s="3"/>
      <c r="MMI29" s="3"/>
      <c r="MMJ29" s="3"/>
      <c r="MMK29" s="3"/>
      <c r="MML29" s="3"/>
      <c r="MMM29" s="3"/>
      <c r="MMN29" s="3"/>
      <c r="MMO29" s="3"/>
      <c r="MMP29" s="3"/>
      <c r="MMQ29" s="3"/>
      <c r="MMR29" s="3"/>
      <c r="MMS29" s="3"/>
      <c r="MMT29" s="3"/>
      <c r="MMU29" s="3"/>
      <c r="MMV29" s="3"/>
      <c r="MMW29" s="3"/>
      <c r="MMX29" s="3"/>
      <c r="MMY29" s="3"/>
      <c r="MMZ29" s="3"/>
      <c r="MNA29" s="3"/>
      <c r="MNB29" s="3"/>
      <c r="MNC29" s="3"/>
      <c r="MND29" s="3"/>
      <c r="MNE29" s="3"/>
      <c r="MNF29" s="3"/>
      <c r="MNG29" s="3"/>
      <c r="MNH29" s="3"/>
      <c r="MNI29" s="3"/>
      <c r="MNJ29" s="3"/>
      <c r="MNK29" s="3"/>
      <c r="MNL29" s="3"/>
      <c r="MNM29" s="3"/>
      <c r="MNN29" s="3"/>
      <c r="MNO29" s="3"/>
      <c r="MNP29" s="3"/>
      <c r="MNQ29" s="3"/>
      <c r="MNR29" s="3"/>
      <c r="MNS29" s="3"/>
      <c r="MNT29" s="3"/>
      <c r="MNU29" s="3"/>
      <c r="MNV29" s="3"/>
      <c r="MNW29" s="3"/>
      <c r="MNX29" s="3"/>
      <c r="MNY29" s="3"/>
      <c r="MNZ29" s="3"/>
      <c r="MOA29" s="3"/>
      <c r="MOB29" s="3"/>
      <c r="MOC29" s="3"/>
      <c r="MOD29" s="3"/>
      <c r="MOE29" s="3"/>
      <c r="MOF29" s="3"/>
      <c r="MOG29" s="3"/>
      <c r="MOH29" s="3"/>
      <c r="MOI29" s="3"/>
      <c r="MOJ29" s="3"/>
      <c r="MOK29" s="3"/>
      <c r="MOL29" s="3"/>
      <c r="MOM29" s="3"/>
      <c r="MON29" s="3"/>
      <c r="MOO29" s="3"/>
      <c r="MOP29" s="3"/>
      <c r="MOQ29" s="3"/>
      <c r="MOR29" s="3"/>
      <c r="MOS29" s="3"/>
      <c r="MOT29" s="3"/>
      <c r="MOU29" s="3"/>
      <c r="MOV29" s="3"/>
      <c r="MOW29" s="3"/>
      <c r="MOX29" s="3"/>
      <c r="MOY29" s="3"/>
      <c r="MOZ29" s="3"/>
      <c r="MPA29" s="3"/>
      <c r="MPB29" s="3"/>
      <c r="MPC29" s="3"/>
      <c r="MPD29" s="3"/>
      <c r="MPE29" s="3"/>
      <c r="MPF29" s="3"/>
      <c r="MPG29" s="3"/>
      <c r="MPH29" s="3"/>
      <c r="MPI29" s="3"/>
      <c r="MPJ29" s="3"/>
      <c r="MPK29" s="3"/>
      <c r="MPL29" s="3"/>
      <c r="MPM29" s="3"/>
      <c r="MPN29" s="3"/>
      <c r="MPO29" s="3"/>
      <c r="MPP29" s="3"/>
      <c r="MPQ29" s="3"/>
      <c r="MPR29" s="3"/>
      <c r="MPS29" s="3"/>
      <c r="MPT29" s="3"/>
      <c r="MPU29" s="3"/>
      <c r="MPV29" s="3"/>
      <c r="MPW29" s="3"/>
      <c r="MPX29" s="3"/>
      <c r="MPY29" s="3"/>
      <c r="MPZ29" s="3"/>
      <c r="MQA29" s="3"/>
      <c r="MQB29" s="3"/>
      <c r="MQC29" s="3"/>
      <c r="MQD29" s="3"/>
      <c r="MQE29" s="3"/>
      <c r="MQF29" s="3"/>
      <c r="MQG29" s="3"/>
      <c r="MQH29" s="3"/>
      <c r="MQI29" s="3"/>
      <c r="MQJ29" s="3"/>
      <c r="MQK29" s="3"/>
      <c r="MQL29" s="3"/>
      <c r="MQM29" s="3"/>
      <c r="MQN29" s="3"/>
      <c r="MQO29" s="3"/>
      <c r="MQP29" s="3"/>
      <c r="MQQ29" s="3"/>
      <c r="MQR29" s="3"/>
      <c r="MQS29" s="3"/>
      <c r="MQT29" s="3"/>
      <c r="MQU29" s="3"/>
      <c r="MQV29" s="3"/>
      <c r="MQW29" s="3"/>
      <c r="MQX29" s="3"/>
      <c r="MQY29" s="3"/>
      <c r="MQZ29" s="3"/>
      <c r="MRA29" s="3"/>
      <c r="MRB29" s="3"/>
      <c r="MRC29" s="3"/>
      <c r="MRD29" s="3"/>
      <c r="MRE29" s="3"/>
      <c r="MRF29" s="3"/>
      <c r="MRG29" s="3"/>
      <c r="MRH29" s="3"/>
      <c r="MRI29" s="3"/>
      <c r="MRJ29" s="3"/>
      <c r="MRK29" s="3"/>
      <c r="MRL29" s="3"/>
      <c r="MRM29" s="3"/>
      <c r="MRN29" s="3"/>
      <c r="MRO29" s="3"/>
      <c r="MRP29" s="3"/>
      <c r="MRQ29" s="3"/>
      <c r="MRR29" s="3"/>
      <c r="MRS29" s="3"/>
      <c r="MRT29" s="3"/>
      <c r="MRU29" s="3"/>
      <c r="MRV29" s="3"/>
      <c r="MRW29" s="3"/>
      <c r="MRX29" s="3"/>
      <c r="MRY29" s="3"/>
      <c r="MRZ29" s="3"/>
      <c r="MSA29" s="3"/>
      <c r="MSB29" s="3"/>
      <c r="MSC29" s="3"/>
      <c r="MSD29" s="3"/>
      <c r="MSE29" s="3"/>
      <c r="MSF29" s="3"/>
      <c r="MSG29" s="3"/>
      <c r="MSH29" s="3"/>
      <c r="MSI29" s="3"/>
      <c r="MSJ29" s="3"/>
      <c r="MSK29" s="3"/>
      <c r="MSL29" s="3"/>
      <c r="MSM29" s="3"/>
      <c r="MSN29" s="3"/>
      <c r="MSO29" s="3"/>
      <c r="MSP29" s="3"/>
      <c r="MSQ29" s="3"/>
      <c r="MSR29" s="3"/>
      <c r="MSS29" s="3"/>
      <c r="MST29" s="3"/>
      <c r="MSU29" s="3"/>
      <c r="MSV29" s="3"/>
      <c r="MSW29" s="3"/>
      <c r="MSX29" s="3"/>
      <c r="MSY29" s="3"/>
      <c r="MSZ29" s="3"/>
      <c r="MTA29" s="3"/>
      <c r="MTB29" s="3"/>
      <c r="MTC29" s="3"/>
      <c r="MTD29" s="3"/>
      <c r="MTE29" s="3"/>
      <c r="MTF29" s="3"/>
      <c r="MTG29" s="3"/>
      <c r="MTH29" s="3"/>
      <c r="MTI29" s="3"/>
      <c r="MTJ29" s="3"/>
      <c r="MTK29" s="3"/>
      <c r="MTL29" s="3"/>
      <c r="MTM29" s="3"/>
      <c r="MTN29" s="3"/>
      <c r="MTO29" s="3"/>
      <c r="MTP29" s="3"/>
      <c r="MTQ29" s="3"/>
      <c r="MTR29" s="3"/>
      <c r="MTS29" s="3"/>
      <c r="MTT29" s="3"/>
      <c r="MTU29" s="3"/>
      <c r="MTV29" s="3"/>
      <c r="MTW29" s="3"/>
      <c r="MTX29" s="3"/>
      <c r="MTY29" s="3"/>
      <c r="MTZ29" s="3"/>
      <c r="MUA29" s="3"/>
      <c r="MUB29" s="3"/>
      <c r="MUC29" s="3"/>
      <c r="MUD29" s="3"/>
      <c r="MUE29" s="3"/>
      <c r="MUF29" s="3"/>
      <c r="MUG29" s="3"/>
      <c r="MUH29" s="3"/>
      <c r="MUI29" s="3"/>
      <c r="MUJ29" s="3"/>
      <c r="MUK29" s="3"/>
      <c r="MUL29" s="3"/>
      <c r="MUM29" s="3"/>
      <c r="MUN29" s="3"/>
      <c r="MUO29" s="3"/>
      <c r="MUP29" s="3"/>
      <c r="MUQ29" s="3"/>
      <c r="MUR29" s="3"/>
      <c r="MUS29" s="3"/>
      <c r="MUT29" s="3"/>
      <c r="MUU29" s="3"/>
      <c r="MUV29" s="3"/>
      <c r="MUW29" s="3"/>
      <c r="MUX29" s="3"/>
      <c r="MUY29" s="3"/>
      <c r="MUZ29" s="3"/>
      <c r="MVA29" s="3"/>
      <c r="MVB29" s="3"/>
      <c r="MVC29" s="3"/>
      <c r="MVD29" s="3"/>
      <c r="MVE29" s="3"/>
      <c r="MVF29" s="3"/>
      <c r="MVG29" s="3"/>
      <c r="MVH29" s="3"/>
      <c r="MVI29" s="3"/>
      <c r="MVJ29" s="3"/>
      <c r="MVK29" s="3"/>
      <c r="MVL29" s="3"/>
      <c r="MVM29" s="3"/>
      <c r="MVN29" s="3"/>
      <c r="MVO29" s="3"/>
      <c r="MVP29" s="3"/>
      <c r="MVQ29" s="3"/>
      <c r="MVR29" s="3"/>
      <c r="MVS29" s="3"/>
      <c r="MVT29" s="3"/>
      <c r="MVU29" s="3"/>
      <c r="MVV29" s="3"/>
      <c r="MVW29" s="3"/>
      <c r="MVX29" s="3"/>
      <c r="MVY29" s="3"/>
      <c r="MVZ29" s="3"/>
      <c r="MWA29" s="3"/>
      <c r="MWB29" s="3"/>
      <c r="MWC29" s="3"/>
      <c r="MWD29" s="3"/>
      <c r="MWE29" s="3"/>
      <c r="MWF29" s="3"/>
      <c r="MWG29" s="3"/>
      <c r="MWH29" s="3"/>
      <c r="MWI29" s="3"/>
      <c r="MWJ29" s="3"/>
      <c r="MWK29" s="3"/>
      <c r="MWL29" s="3"/>
      <c r="MWM29" s="3"/>
      <c r="MWN29" s="3"/>
      <c r="MWO29" s="3"/>
      <c r="MWP29" s="3"/>
      <c r="MWQ29" s="3"/>
      <c r="MWR29" s="3"/>
      <c r="MWS29" s="3"/>
      <c r="MWT29" s="3"/>
      <c r="MWU29" s="3"/>
      <c r="MWV29" s="3"/>
      <c r="MWW29" s="3"/>
      <c r="MWX29" s="3"/>
      <c r="MWY29" s="3"/>
      <c r="MWZ29" s="3"/>
      <c r="MXA29" s="3"/>
      <c r="MXB29" s="3"/>
      <c r="MXC29" s="3"/>
      <c r="MXD29" s="3"/>
      <c r="MXE29" s="3"/>
      <c r="MXF29" s="3"/>
      <c r="MXG29" s="3"/>
      <c r="MXH29" s="3"/>
      <c r="MXI29" s="3"/>
      <c r="MXJ29" s="3"/>
      <c r="MXK29" s="3"/>
      <c r="MXL29" s="3"/>
      <c r="MXM29" s="3"/>
      <c r="MXN29" s="3"/>
      <c r="MXO29" s="3"/>
      <c r="MXP29" s="3"/>
      <c r="MXQ29" s="3"/>
      <c r="MXR29" s="3"/>
      <c r="MXS29" s="3"/>
      <c r="MXT29" s="3"/>
      <c r="MXU29" s="3"/>
      <c r="MXV29" s="3"/>
      <c r="MXW29" s="3"/>
      <c r="MXX29" s="3"/>
      <c r="MXY29" s="3"/>
      <c r="MXZ29" s="3"/>
      <c r="MYA29" s="3"/>
      <c r="MYB29" s="3"/>
      <c r="MYC29" s="3"/>
      <c r="MYD29" s="3"/>
      <c r="MYE29" s="3"/>
      <c r="MYF29" s="3"/>
      <c r="MYG29" s="3"/>
      <c r="MYH29" s="3"/>
      <c r="MYI29" s="3"/>
      <c r="MYJ29" s="3"/>
      <c r="MYK29" s="3"/>
      <c r="MYL29" s="3"/>
      <c r="MYM29" s="3"/>
      <c r="MYN29" s="3"/>
      <c r="MYO29" s="3"/>
      <c r="MYP29" s="3"/>
      <c r="MYQ29" s="3"/>
      <c r="MYR29" s="3"/>
      <c r="MYS29" s="3"/>
      <c r="MYT29" s="3"/>
      <c r="MYU29" s="3"/>
      <c r="MYV29" s="3"/>
      <c r="MYW29" s="3"/>
      <c r="MYX29" s="3"/>
      <c r="MYY29" s="3"/>
      <c r="MYZ29" s="3"/>
      <c r="MZA29" s="3"/>
      <c r="MZB29" s="3"/>
      <c r="MZC29" s="3"/>
      <c r="MZD29" s="3"/>
      <c r="MZE29" s="3"/>
      <c r="MZF29" s="3"/>
      <c r="MZG29" s="3"/>
      <c r="MZH29" s="3"/>
      <c r="MZI29" s="3"/>
      <c r="MZJ29" s="3"/>
      <c r="MZK29" s="3"/>
      <c r="MZL29" s="3"/>
      <c r="MZM29" s="3"/>
      <c r="MZN29" s="3"/>
      <c r="MZO29" s="3"/>
      <c r="MZP29" s="3"/>
      <c r="MZQ29" s="3"/>
      <c r="MZR29" s="3"/>
      <c r="MZS29" s="3"/>
      <c r="MZT29" s="3"/>
      <c r="MZU29" s="3"/>
      <c r="MZV29" s="3"/>
      <c r="MZW29" s="3"/>
      <c r="MZX29" s="3"/>
      <c r="MZY29" s="3"/>
      <c r="MZZ29" s="3"/>
      <c r="NAA29" s="3"/>
      <c r="NAB29" s="3"/>
      <c r="NAC29" s="3"/>
      <c r="NAD29" s="3"/>
      <c r="NAE29" s="3"/>
      <c r="NAF29" s="3"/>
      <c r="NAG29" s="3"/>
      <c r="NAH29" s="3"/>
      <c r="NAI29" s="3"/>
      <c r="NAJ29" s="3"/>
      <c r="NAK29" s="3"/>
      <c r="NAL29" s="3"/>
      <c r="NAM29" s="3"/>
      <c r="NAN29" s="3"/>
      <c r="NAO29" s="3"/>
      <c r="NAP29" s="3"/>
      <c r="NAQ29" s="3"/>
      <c r="NAR29" s="3"/>
      <c r="NAS29" s="3"/>
      <c r="NAT29" s="3"/>
      <c r="NAU29" s="3"/>
      <c r="NAV29" s="3"/>
      <c r="NAW29" s="3"/>
      <c r="NAX29" s="3"/>
      <c r="NAY29" s="3"/>
      <c r="NAZ29" s="3"/>
      <c r="NBA29" s="3"/>
      <c r="NBB29" s="3"/>
      <c r="NBC29" s="3"/>
      <c r="NBD29" s="3"/>
      <c r="NBE29" s="3"/>
      <c r="NBF29" s="3"/>
      <c r="NBG29" s="3"/>
      <c r="NBH29" s="3"/>
      <c r="NBI29" s="3"/>
      <c r="NBJ29" s="3"/>
      <c r="NBK29" s="3"/>
      <c r="NBL29" s="3"/>
      <c r="NBM29" s="3"/>
      <c r="NBN29" s="3"/>
      <c r="NBO29" s="3"/>
      <c r="NBP29" s="3"/>
      <c r="NBQ29" s="3"/>
      <c r="NBR29" s="3"/>
      <c r="NBS29" s="3"/>
      <c r="NBT29" s="3"/>
      <c r="NBU29" s="3"/>
      <c r="NBV29" s="3"/>
      <c r="NBW29" s="3"/>
      <c r="NBX29" s="3"/>
      <c r="NBY29" s="3"/>
      <c r="NBZ29" s="3"/>
      <c r="NCA29" s="3"/>
      <c r="NCB29" s="3"/>
      <c r="NCC29" s="3"/>
      <c r="NCD29" s="3"/>
      <c r="NCE29" s="3"/>
      <c r="NCF29" s="3"/>
      <c r="NCG29" s="3"/>
      <c r="NCH29" s="3"/>
      <c r="NCI29" s="3"/>
      <c r="NCJ29" s="3"/>
      <c r="NCK29" s="3"/>
      <c r="NCL29" s="3"/>
      <c r="NCM29" s="3"/>
      <c r="NCN29" s="3"/>
      <c r="NCO29" s="3"/>
      <c r="NCP29" s="3"/>
      <c r="NCQ29" s="3"/>
      <c r="NCR29" s="3"/>
      <c r="NCS29" s="3"/>
      <c r="NCT29" s="3"/>
      <c r="NCU29" s="3"/>
      <c r="NCV29" s="3"/>
      <c r="NCW29" s="3"/>
      <c r="NCX29" s="3"/>
      <c r="NCY29" s="3"/>
      <c r="NCZ29" s="3"/>
      <c r="NDA29" s="3"/>
      <c r="NDB29" s="3"/>
      <c r="NDC29" s="3"/>
      <c r="NDD29" s="3"/>
      <c r="NDE29" s="3"/>
      <c r="NDF29" s="3"/>
      <c r="NDG29" s="3"/>
      <c r="NDH29" s="3"/>
      <c r="NDI29" s="3"/>
      <c r="NDJ29" s="3"/>
      <c r="NDK29" s="3"/>
      <c r="NDL29" s="3"/>
      <c r="NDM29" s="3"/>
      <c r="NDN29" s="3"/>
      <c r="NDO29" s="3"/>
      <c r="NDP29" s="3"/>
      <c r="NDQ29" s="3"/>
      <c r="NDR29" s="3"/>
      <c r="NDS29" s="3"/>
      <c r="NDT29" s="3"/>
      <c r="NDU29" s="3"/>
      <c r="NDV29" s="3"/>
      <c r="NDW29" s="3"/>
      <c r="NDX29" s="3"/>
      <c r="NDY29" s="3"/>
      <c r="NDZ29" s="3"/>
      <c r="NEA29" s="3"/>
      <c r="NEB29" s="3"/>
      <c r="NEC29" s="3"/>
      <c r="NED29" s="3"/>
      <c r="NEE29" s="3"/>
      <c r="NEF29" s="3"/>
      <c r="NEG29" s="3"/>
      <c r="NEH29" s="3"/>
      <c r="NEI29" s="3"/>
      <c r="NEJ29" s="3"/>
      <c r="NEK29" s="3"/>
      <c r="NEL29" s="3"/>
      <c r="NEM29" s="3"/>
      <c r="NEN29" s="3"/>
      <c r="NEO29" s="3"/>
      <c r="NEP29" s="3"/>
      <c r="NEQ29" s="3"/>
      <c r="NER29" s="3"/>
      <c r="NES29" s="3"/>
      <c r="NET29" s="3"/>
      <c r="NEU29" s="3"/>
      <c r="NEV29" s="3"/>
      <c r="NEW29" s="3"/>
      <c r="NEX29" s="3"/>
      <c r="NEY29" s="3"/>
      <c r="NEZ29" s="3"/>
      <c r="NFA29" s="3"/>
      <c r="NFB29" s="3"/>
      <c r="NFC29" s="3"/>
      <c r="NFD29" s="3"/>
      <c r="NFE29" s="3"/>
      <c r="NFF29" s="3"/>
      <c r="NFG29" s="3"/>
      <c r="NFH29" s="3"/>
      <c r="NFI29" s="3"/>
      <c r="NFJ29" s="3"/>
      <c r="NFK29" s="3"/>
      <c r="NFL29" s="3"/>
      <c r="NFM29" s="3"/>
      <c r="NFN29" s="3"/>
      <c r="NFO29" s="3"/>
      <c r="NFP29" s="3"/>
      <c r="NFQ29" s="3"/>
      <c r="NFR29" s="3"/>
      <c r="NFS29" s="3"/>
      <c r="NFT29" s="3"/>
      <c r="NFU29" s="3"/>
      <c r="NFV29" s="3"/>
      <c r="NFW29" s="3"/>
      <c r="NFX29" s="3"/>
      <c r="NFY29" s="3"/>
      <c r="NFZ29" s="3"/>
      <c r="NGA29" s="3"/>
      <c r="NGB29" s="3"/>
      <c r="NGC29" s="3"/>
      <c r="NGD29" s="3"/>
      <c r="NGE29" s="3"/>
      <c r="NGF29" s="3"/>
      <c r="NGG29" s="3"/>
      <c r="NGH29" s="3"/>
      <c r="NGI29" s="3"/>
      <c r="NGJ29" s="3"/>
      <c r="NGK29" s="3"/>
      <c r="NGL29" s="3"/>
      <c r="NGM29" s="3"/>
      <c r="NGN29" s="3"/>
      <c r="NGO29" s="3"/>
      <c r="NGP29" s="3"/>
      <c r="NGQ29" s="3"/>
      <c r="NGR29" s="3"/>
      <c r="NGS29" s="3"/>
      <c r="NGT29" s="3"/>
      <c r="NGU29" s="3"/>
      <c r="NGV29" s="3"/>
      <c r="NGW29" s="3"/>
      <c r="NGX29" s="3"/>
      <c r="NGY29" s="3"/>
      <c r="NGZ29" s="3"/>
      <c r="NHA29" s="3"/>
      <c r="NHB29" s="3"/>
      <c r="NHC29" s="3"/>
      <c r="NHD29" s="3"/>
      <c r="NHE29" s="3"/>
      <c r="NHF29" s="3"/>
      <c r="NHG29" s="3"/>
      <c r="NHH29" s="3"/>
      <c r="NHI29" s="3"/>
      <c r="NHJ29" s="3"/>
      <c r="NHK29" s="3"/>
      <c r="NHL29" s="3"/>
      <c r="NHM29" s="3"/>
      <c r="NHN29" s="3"/>
      <c r="NHO29" s="3"/>
      <c r="NHP29" s="3"/>
      <c r="NHQ29" s="3"/>
      <c r="NHR29" s="3"/>
      <c r="NHS29" s="3"/>
      <c r="NHT29" s="3"/>
      <c r="NHU29" s="3"/>
      <c r="NHV29" s="3"/>
      <c r="NHW29" s="3"/>
      <c r="NHX29" s="3"/>
      <c r="NHY29" s="3"/>
      <c r="NHZ29" s="3"/>
      <c r="NIA29" s="3"/>
      <c r="NIB29" s="3"/>
      <c r="NIC29" s="3"/>
      <c r="NID29" s="3"/>
      <c r="NIE29" s="3"/>
      <c r="NIF29" s="3"/>
      <c r="NIG29" s="3"/>
      <c r="NIH29" s="3"/>
      <c r="NII29" s="3"/>
      <c r="NIJ29" s="3"/>
      <c r="NIK29" s="3"/>
      <c r="NIL29" s="3"/>
      <c r="NIM29" s="3"/>
      <c r="NIN29" s="3"/>
      <c r="NIO29" s="3"/>
      <c r="NIP29" s="3"/>
      <c r="NIQ29" s="3"/>
      <c r="NIR29" s="3"/>
      <c r="NIS29" s="3"/>
      <c r="NIT29" s="3"/>
      <c r="NIU29" s="3"/>
      <c r="NIV29" s="3"/>
      <c r="NIW29" s="3"/>
      <c r="NIX29" s="3"/>
      <c r="NIY29" s="3"/>
      <c r="NIZ29" s="3"/>
      <c r="NJA29" s="3"/>
      <c r="NJB29" s="3"/>
      <c r="NJC29" s="3"/>
      <c r="NJD29" s="3"/>
      <c r="NJE29" s="3"/>
      <c r="NJF29" s="3"/>
      <c r="NJG29" s="3"/>
      <c r="NJH29" s="3"/>
      <c r="NJI29" s="3"/>
      <c r="NJJ29" s="3"/>
      <c r="NJK29" s="3"/>
      <c r="NJL29" s="3"/>
      <c r="NJM29" s="3"/>
      <c r="NJN29" s="3"/>
      <c r="NJO29" s="3"/>
      <c r="NJP29" s="3"/>
      <c r="NJQ29" s="3"/>
      <c r="NJR29" s="3"/>
      <c r="NJS29" s="3"/>
      <c r="NJT29" s="3"/>
      <c r="NJU29" s="3"/>
      <c r="NJV29" s="3"/>
      <c r="NJW29" s="3"/>
      <c r="NJX29" s="3"/>
      <c r="NJY29" s="3"/>
      <c r="NJZ29" s="3"/>
      <c r="NKA29" s="3"/>
      <c r="NKB29" s="3"/>
      <c r="NKC29" s="3"/>
      <c r="NKD29" s="3"/>
      <c r="NKE29" s="3"/>
      <c r="NKF29" s="3"/>
      <c r="NKG29" s="3"/>
      <c r="NKH29" s="3"/>
      <c r="NKI29" s="3"/>
      <c r="NKJ29" s="3"/>
      <c r="NKK29" s="3"/>
      <c r="NKL29" s="3"/>
      <c r="NKM29" s="3"/>
      <c r="NKN29" s="3"/>
      <c r="NKO29" s="3"/>
      <c r="NKP29" s="3"/>
      <c r="NKQ29" s="3"/>
      <c r="NKR29" s="3"/>
      <c r="NKS29" s="3"/>
      <c r="NKT29" s="3"/>
      <c r="NKU29" s="3"/>
      <c r="NKV29" s="3"/>
      <c r="NKW29" s="3"/>
      <c r="NKX29" s="3"/>
      <c r="NKY29" s="3"/>
      <c r="NKZ29" s="3"/>
      <c r="NLA29" s="3"/>
      <c r="NLB29" s="3"/>
      <c r="NLC29" s="3"/>
      <c r="NLD29" s="3"/>
      <c r="NLE29" s="3"/>
      <c r="NLF29" s="3"/>
      <c r="NLG29" s="3"/>
      <c r="NLH29" s="3"/>
      <c r="NLI29" s="3"/>
      <c r="NLJ29" s="3"/>
      <c r="NLK29" s="3"/>
      <c r="NLL29" s="3"/>
      <c r="NLM29" s="3"/>
      <c r="NLN29" s="3"/>
      <c r="NLO29" s="3"/>
      <c r="NLP29" s="3"/>
      <c r="NLQ29" s="3"/>
      <c r="NLR29" s="3"/>
      <c r="NLS29" s="3"/>
      <c r="NLT29" s="3"/>
      <c r="NLU29" s="3"/>
      <c r="NLV29" s="3"/>
      <c r="NLW29" s="3"/>
      <c r="NLX29" s="3"/>
      <c r="NLY29" s="3"/>
      <c r="NLZ29" s="3"/>
      <c r="NMA29" s="3"/>
      <c r="NMB29" s="3"/>
      <c r="NMC29" s="3"/>
      <c r="NMD29" s="3"/>
      <c r="NME29" s="3"/>
      <c r="NMF29" s="3"/>
      <c r="NMG29" s="3"/>
      <c r="NMH29" s="3"/>
      <c r="NMI29" s="3"/>
      <c r="NMJ29" s="3"/>
      <c r="NMK29" s="3"/>
      <c r="NML29" s="3"/>
      <c r="NMM29" s="3"/>
      <c r="NMN29" s="3"/>
      <c r="NMO29" s="3"/>
      <c r="NMP29" s="3"/>
      <c r="NMQ29" s="3"/>
      <c r="NMR29" s="3"/>
      <c r="NMS29" s="3"/>
      <c r="NMT29" s="3"/>
      <c r="NMU29" s="3"/>
      <c r="NMV29" s="3"/>
      <c r="NMW29" s="3"/>
      <c r="NMX29" s="3"/>
      <c r="NMY29" s="3"/>
      <c r="NMZ29" s="3"/>
      <c r="NNA29" s="3"/>
      <c r="NNB29" s="3"/>
      <c r="NNC29" s="3"/>
      <c r="NND29" s="3"/>
      <c r="NNE29" s="3"/>
      <c r="NNF29" s="3"/>
      <c r="NNG29" s="3"/>
      <c r="NNH29" s="3"/>
      <c r="NNI29" s="3"/>
      <c r="NNJ29" s="3"/>
      <c r="NNK29" s="3"/>
      <c r="NNL29" s="3"/>
      <c r="NNM29" s="3"/>
      <c r="NNN29" s="3"/>
      <c r="NNO29" s="3"/>
      <c r="NNP29" s="3"/>
      <c r="NNQ29" s="3"/>
      <c r="NNR29" s="3"/>
      <c r="NNS29" s="3"/>
      <c r="NNT29" s="3"/>
      <c r="NNU29" s="3"/>
      <c r="NNV29" s="3"/>
      <c r="NNW29" s="3"/>
      <c r="NNX29" s="3"/>
      <c r="NNY29" s="3"/>
      <c r="NNZ29" s="3"/>
      <c r="NOA29" s="3"/>
      <c r="NOB29" s="3"/>
      <c r="NOC29" s="3"/>
      <c r="NOD29" s="3"/>
      <c r="NOE29" s="3"/>
      <c r="NOF29" s="3"/>
      <c r="NOG29" s="3"/>
      <c r="NOH29" s="3"/>
      <c r="NOI29" s="3"/>
      <c r="NOJ29" s="3"/>
      <c r="NOK29" s="3"/>
      <c r="NOL29" s="3"/>
      <c r="NOM29" s="3"/>
      <c r="NON29" s="3"/>
      <c r="NOO29" s="3"/>
      <c r="NOP29" s="3"/>
      <c r="NOQ29" s="3"/>
      <c r="NOR29" s="3"/>
      <c r="NOS29" s="3"/>
      <c r="NOT29" s="3"/>
      <c r="NOU29" s="3"/>
      <c r="NOV29" s="3"/>
      <c r="NOW29" s="3"/>
      <c r="NOX29" s="3"/>
      <c r="NOY29" s="3"/>
      <c r="NOZ29" s="3"/>
      <c r="NPA29" s="3"/>
      <c r="NPB29" s="3"/>
      <c r="NPC29" s="3"/>
      <c r="NPD29" s="3"/>
      <c r="NPE29" s="3"/>
      <c r="NPF29" s="3"/>
      <c r="NPG29" s="3"/>
      <c r="NPH29" s="3"/>
      <c r="NPI29" s="3"/>
      <c r="NPJ29" s="3"/>
      <c r="NPK29" s="3"/>
      <c r="NPL29" s="3"/>
      <c r="NPM29" s="3"/>
      <c r="NPN29" s="3"/>
      <c r="NPO29" s="3"/>
      <c r="NPP29" s="3"/>
      <c r="NPQ29" s="3"/>
      <c r="NPR29" s="3"/>
      <c r="NPS29" s="3"/>
      <c r="NPT29" s="3"/>
      <c r="NPU29" s="3"/>
      <c r="NPV29" s="3"/>
      <c r="NPW29" s="3"/>
      <c r="NPX29" s="3"/>
      <c r="NPY29" s="3"/>
      <c r="NPZ29" s="3"/>
      <c r="NQA29" s="3"/>
      <c r="NQB29" s="3"/>
      <c r="NQC29" s="3"/>
      <c r="NQD29" s="3"/>
      <c r="NQE29" s="3"/>
      <c r="NQF29" s="3"/>
      <c r="NQG29" s="3"/>
      <c r="NQH29" s="3"/>
      <c r="NQI29" s="3"/>
      <c r="NQJ29" s="3"/>
      <c r="NQK29" s="3"/>
      <c r="NQL29" s="3"/>
      <c r="NQM29" s="3"/>
      <c r="NQN29" s="3"/>
      <c r="NQO29" s="3"/>
      <c r="NQP29" s="3"/>
      <c r="NQQ29" s="3"/>
      <c r="NQR29" s="3"/>
      <c r="NQS29" s="3"/>
      <c r="NQT29" s="3"/>
      <c r="NQU29" s="3"/>
      <c r="NQV29" s="3"/>
      <c r="NQW29" s="3"/>
      <c r="NQX29" s="3"/>
      <c r="NQY29" s="3"/>
      <c r="NQZ29" s="3"/>
      <c r="NRA29" s="3"/>
      <c r="NRB29" s="3"/>
      <c r="NRC29" s="3"/>
      <c r="NRD29" s="3"/>
      <c r="NRE29" s="3"/>
      <c r="NRF29" s="3"/>
      <c r="NRG29" s="3"/>
      <c r="NRH29" s="3"/>
      <c r="NRI29" s="3"/>
      <c r="NRJ29" s="3"/>
      <c r="NRK29" s="3"/>
      <c r="NRL29" s="3"/>
      <c r="NRM29" s="3"/>
      <c r="NRN29" s="3"/>
      <c r="NRO29" s="3"/>
      <c r="NRP29" s="3"/>
      <c r="NRQ29" s="3"/>
      <c r="NRR29" s="3"/>
      <c r="NRS29" s="3"/>
      <c r="NRT29" s="3"/>
      <c r="NRU29" s="3"/>
      <c r="NRV29" s="3"/>
      <c r="NRW29" s="3"/>
      <c r="NRX29" s="3"/>
      <c r="NRY29" s="3"/>
      <c r="NRZ29" s="3"/>
      <c r="NSA29" s="3"/>
      <c r="NSB29" s="3"/>
      <c r="NSC29" s="3"/>
      <c r="NSD29" s="3"/>
      <c r="NSE29" s="3"/>
      <c r="NSF29" s="3"/>
      <c r="NSG29" s="3"/>
      <c r="NSH29" s="3"/>
      <c r="NSI29" s="3"/>
      <c r="NSJ29" s="3"/>
      <c r="NSK29" s="3"/>
      <c r="NSL29" s="3"/>
      <c r="NSM29" s="3"/>
      <c r="NSN29" s="3"/>
      <c r="NSO29" s="3"/>
      <c r="NSP29" s="3"/>
      <c r="NSQ29" s="3"/>
      <c r="NSR29" s="3"/>
      <c r="NSS29" s="3"/>
      <c r="NST29" s="3"/>
      <c r="NSU29" s="3"/>
      <c r="NSV29" s="3"/>
      <c r="NSW29" s="3"/>
      <c r="NSX29" s="3"/>
      <c r="NSY29" s="3"/>
      <c r="NSZ29" s="3"/>
      <c r="NTA29" s="3"/>
      <c r="NTB29" s="3"/>
      <c r="NTC29" s="3"/>
      <c r="NTD29" s="3"/>
      <c r="NTE29" s="3"/>
      <c r="NTF29" s="3"/>
      <c r="NTG29" s="3"/>
      <c r="NTH29" s="3"/>
      <c r="NTI29" s="3"/>
      <c r="NTJ29" s="3"/>
      <c r="NTK29" s="3"/>
      <c r="NTL29" s="3"/>
      <c r="NTM29" s="3"/>
      <c r="NTN29" s="3"/>
      <c r="NTO29" s="3"/>
      <c r="NTP29" s="3"/>
      <c r="NTQ29" s="3"/>
      <c r="NTR29" s="3"/>
      <c r="NTS29" s="3"/>
      <c r="NTT29" s="3"/>
      <c r="NTU29" s="3"/>
      <c r="NTV29" s="3"/>
      <c r="NTW29" s="3"/>
      <c r="NTX29" s="3"/>
      <c r="NTY29" s="3"/>
      <c r="NTZ29" s="3"/>
      <c r="NUA29" s="3"/>
      <c r="NUB29" s="3"/>
      <c r="NUC29" s="3"/>
      <c r="NUD29" s="3"/>
      <c r="NUE29" s="3"/>
      <c r="NUF29" s="3"/>
      <c r="NUG29" s="3"/>
      <c r="NUH29" s="3"/>
      <c r="NUI29" s="3"/>
      <c r="NUJ29" s="3"/>
      <c r="NUK29" s="3"/>
      <c r="NUL29" s="3"/>
      <c r="NUM29" s="3"/>
      <c r="NUN29" s="3"/>
      <c r="NUO29" s="3"/>
      <c r="NUP29" s="3"/>
      <c r="NUQ29" s="3"/>
      <c r="NUR29" s="3"/>
      <c r="NUS29" s="3"/>
      <c r="NUT29" s="3"/>
      <c r="NUU29" s="3"/>
      <c r="NUV29" s="3"/>
      <c r="NUW29" s="3"/>
      <c r="NUX29" s="3"/>
      <c r="NUY29" s="3"/>
      <c r="NUZ29" s="3"/>
      <c r="NVA29" s="3"/>
      <c r="NVB29" s="3"/>
      <c r="NVC29" s="3"/>
      <c r="NVD29" s="3"/>
      <c r="NVE29" s="3"/>
      <c r="NVF29" s="3"/>
      <c r="NVG29" s="3"/>
      <c r="NVH29" s="3"/>
      <c r="NVI29" s="3"/>
      <c r="NVJ29" s="3"/>
      <c r="NVK29" s="3"/>
      <c r="NVL29" s="3"/>
      <c r="NVM29" s="3"/>
      <c r="NVN29" s="3"/>
      <c r="NVO29" s="3"/>
      <c r="NVP29" s="3"/>
      <c r="NVQ29" s="3"/>
      <c r="NVR29" s="3"/>
      <c r="NVS29" s="3"/>
      <c r="NVT29" s="3"/>
      <c r="NVU29" s="3"/>
      <c r="NVV29" s="3"/>
      <c r="NVW29" s="3"/>
      <c r="NVX29" s="3"/>
      <c r="NVY29" s="3"/>
      <c r="NVZ29" s="3"/>
      <c r="NWA29" s="3"/>
      <c r="NWB29" s="3"/>
      <c r="NWC29" s="3"/>
      <c r="NWD29" s="3"/>
      <c r="NWE29" s="3"/>
      <c r="NWF29" s="3"/>
      <c r="NWG29" s="3"/>
      <c r="NWH29" s="3"/>
      <c r="NWI29" s="3"/>
      <c r="NWJ29" s="3"/>
      <c r="NWK29" s="3"/>
      <c r="NWL29" s="3"/>
      <c r="NWM29" s="3"/>
      <c r="NWN29" s="3"/>
      <c r="NWO29" s="3"/>
      <c r="NWP29" s="3"/>
      <c r="NWQ29" s="3"/>
      <c r="NWR29" s="3"/>
      <c r="NWS29" s="3"/>
      <c r="NWT29" s="3"/>
      <c r="NWU29" s="3"/>
      <c r="NWV29" s="3"/>
      <c r="NWW29" s="3"/>
      <c r="NWX29" s="3"/>
      <c r="NWY29" s="3"/>
      <c r="NWZ29" s="3"/>
      <c r="NXA29" s="3"/>
      <c r="NXB29" s="3"/>
      <c r="NXC29" s="3"/>
      <c r="NXD29" s="3"/>
      <c r="NXE29" s="3"/>
      <c r="NXF29" s="3"/>
      <c r="NXG29" s="3"/>
      <c r="NXH29" s="3"/>
      <c r="NXI29" s="3"/>
      <c r="NXJ29" s="3"/>
      <c r="NXK29" s="3"/>
      <c r="NXL29" s="3"/>
      <c r="NXM29" s="3"/>
      <c r="NXN29" s="3"/>
      <c r="NXO29" s="3"/>
      <c r="NXP29" s="3"/>
      <c r="NXQ29" s="3"/>
      <c r="NXR29" s="3"/>
      <c r="NXS29" s="3"/>
      <c r="NXT29" s="3"/>
      <c r="NXU29" s="3"/>
      <c r="NXV29" s="3"/>
      <c r="NXW29" s="3"/>
      <c r="NXX29" s="3"/>
      <c r="NXY29" s="3"/>
      <c r="NXZ29" s="3"/>
      <c r="NYA29" s="3"/>
      <c r="NYB29" s="3"/>
      <c r="NYC29" s="3"/>
      <c r="NYD29" s="3"/>
      <c r="NYE29" s="3"/>
      <c r="NYF29" s="3"/>
      <c r="NYG29" s="3"/>
      <c r="NYH29" s="3"/>
      <c r="NYI29" s="3"/>
      <c r="NYJ29" s="3"/>
      <c r="NYK29" s="3"/>
      <c r="NYL29" s="3"/>
      <c r="NYM29" s="3"/>
      <c r="NYN29" s="3"/>
      <c r="NYO29" s="3"/>
      <c r="NYP29" s="3"/>
      <c r="NYQ29" s="3"/>
      <c r="NYR29" s="3"/>
      <c r="NYS29" s="3"/>
      <c r="NYT29" s="3"/>
      <c r="NYU29" s="3"/>
      <c r="NYV29" s="3"/>
      <c r="NYW29" s="3"/>
      <c r="NYX29" s="3"/>
      <c r="NYY29" s="3"/>
      <c r="NYZ29" s="3"/>
      <c r="NZA29" s="3"/>
      <c r="NZB29" s="3"/>
      <c r="NZC29" s="3"/>
      <c r="NZD29" s="3"/>
      <c r="NZE29" s="3"/>
      <c r="NZF29" s="3"/>
      <c r="NZG29" s="3"/>
      <c r="NZH29" s="3"/>
      <c r="NZI29" s="3"/>
      <c r="NZJ29" s="3"/>
      <c r="NZK29" s="3"/>
      <c r="NZL29" s="3"/>
      <c r="NZM29" s="3"/>
      <c r="NZN29" s="3"/>
      <c r="NZO29" s="3"/>
      <c r="NZP29" s="3"/>
      <c r="NZQ29" s="3"/>
      <c r="NZR29" s="3"/>
      <c r="NZS29" s="3"/>
      <c r="NZT29" s="3"/>
      <c r="NZU29" s="3"/>
      <c r="NZV29" s="3"/>
      <c r="NZW29" s="3"/>
      <c r="NZX29" s="3"/>
      <c r="NZY29" s="3"/>
      <c r="NZZ29" s="3"/>
      <c r="OAA29" s="3"/>
      <c r="OAB29" s="3"/>
      <c r="OAC29" s="3"/>
      <c r="OAD29" s="3"/>
      <c r="OAE29" s="3"/>
      <c r="OAF29" s="3"/>
      <c r="OAG29" s="3"/>
      <c r="OAH29" s="3"/>
      <c r="OAI29" s="3"/>
      <c r="OAJ29" s="3"/>
      <c r="OAK29" s="3"/>
      <c r="OAL29" s="3"/>
      <c r="OAM29" s="3"/>
      <c r="OAN29" s="3"/>
      <c r="OAO29" s="3"/>
      <c r="OAP29" s="3"/>
      <c r="OAQ29" s="3"/>
      <c r="OAR29" s="3"/>
      <c r="OAS29" s="3"/>
      <c r="OAT29" s="3"/>
      <c r="OAU29" s="3"/>
      <c r="OAV29" s="3"/>
      <c r="OAW29" s="3"/>
      <c r="OAX29" s="3"/>
      <c r="OAY29" s="3"/>
      <c r="OAZ29" s="3"/>
      <c r="OBA29" s="3"/>
      <c r="OBB29" s="3"/>
      <c r="OBC29" s="3"/>
      <c r="OBD29" s="3"/>
      <c r="OBE29" s="3"/>
      <c r="OBF29" s="3"/>
      <c r="OBG29" s="3"/>
      <c r="OBH29" s="3"/>
      <c r="OBI29" s="3"/>
      <c r="OBJ29" s="3"/>
      <c r="OBK29" s="3"/>
      <c r="OBL29" s="3"/>
      <c r="OBM29" s="3"/>
      <c r="OBN29" s="3"/>
      <c r="OBO29" s="3"/>
      <c r="OBP29" s="3"/>
      <c r="OBQ29" s="3"/>
      <c r="OBR29" s="3"/>
      <c r="OBS29" s="3"/>
      <c r="OBT29" s="3"/>
      <c r="OBU29" s="3"/>
      <c r="OBV29" s="3"/>
      <c r="OBW29" s="3"/>
      <c r="OBX29" s="3"/>
      <c r="OBY29" s="3"/>
      <c r="OBZ29" s="3"/>
      <c r="OCA29" s="3"/>
      <c r="OCB29" s="3"/>
      <c r="OCC29" s="3"/>
      <c r="OCD29" s="3"/>
      <c r="OCE29" s="3"/>
      <c r="OCF29" s="3"/>
      <c r="OCG29" s="3"/>
      <c r="OCH29" s="3"/>
      <c r="OCI29" s="3"/>
      <c r="OCJ29" s="3"/>
      <c r="OCK29" s="3"/>
      <c r="OCL29" s="3"/>
      <c r="OCM29" s="3"/>
      <c r="OCN29" s="3"/>
      <c r="OCO29" s="3"/>
      <c r="OCP29" s="3"/>
      <c r="OCQ29" s="3"/>
      <c r="OCR29" s="3"/>
      <c r="OCS29" s="3"/>
      <c r="OCT29" s="3"/>
      <c r="OCU29" s="3"/>
      <c r="OCV29" s="3"/>
      <c r="OCW29" s="3"/>
      <c r="OCX29" s="3"/>
      <c r="OCY29" s="3"/>
      <c r="OCZ29" s="3"/>
      <c r="ODA29" s="3"/>
      <c r="ODB29" s="3"/>
      <c r="ODC29" s="3"/>
      <c r="ODD29" s="3"/>
      <c r="ODE29" s="3"/>
      <c r="ODF29" s="3"/>
      <c r="ODG29" s="3"/>
      <c r="ODH29" s="3"/>
      <c r="ODI29" s="3"/>
      <c r="ODJ29" s="3"/>
      <c r="ODK29" s="3"/>
      <c r="ODL29" s="3"/>
      <c r="ODM29" s="3"/>
      <c r="ODN29" s="3"/>
      <c r="ODO29" s="3"/>
      <c r="ODP29" s="3"/>
      <c r="ODQ29" s="3"/>
      <c r="ODR29" s="3"/>
      <c r="ODS29" s="3"/>
      <c r="ODT29" s="3"/>
      <c r="ODU29" s="3"/>
      <c r="ODV29" s="3"/>
      <c r="ODW29" s="3"/>
      <c r="ODX29" s="3"/>
      <c r="ODY29" s="3"/>
      <c r="ODZ29" s="3"/>
      <c r="OEA29" s="3"/>
      <c r="OEB29" s="3"/>
      <c r="OEC29" s="3"/>
      <c r="OED29" s="3"/>
      <c r="OEE29" s="3"/>
      <c r="OEF29" s="3"/>
      <c r="OEG29" s="3"/>
      <c r="OEH29" s="3"/>
      <c r="OEI29" s="3"/>
      <c r="OEJ29" s="3"/>
      <c r="OEK29" s="3"/>
      <c r="OEL29" s="3"/>
      <c r="OEM29" s="3"/>
      <c r="OEN29" s="3"/>
      <c r="OEO29" s="3"/>
      <c r="OEP29" s="3"/>
      <c r="OEQ29" s="3"/>
      <c r="OER29" s="3"/>
      <c r="OES29" s="3"/>
      <c r="OET29" s="3"/>
      <c r="OEU29" s="3"/>
      <c r="OEV29" s="3"/>
      <c r="OEW29" s="3"/>
      <c r="OEX29" s="3"/>
      <c r="OEY29" s="3"/>
      <c r="OEZ29" s="3"/>
      <c r="OFA29" s="3"/>
      <c r="OFB29" s="3"/>
      <c r="OFC29" s="3"/>
      <c r="OFD29" s="3"/>
      <c r="OFE29" s="3"/>
      <c r="OFF29" s="3"/>
      <c r="OFG29" s="3"/>
      <c r="OFH29" s="3"/>
      <c r="OFI29" s="3"/>
      <c r="OFJ29" s="3"/>
      <c r="OFK29" s="3"/>
      <c r="OFL29" s="3"/>
      <c r="OFM29" s="3"/>
      <c r="OFN29" s="3"/>
      <c r="OFO29" s="3"/>
      <c r="OFP29" s="3"/>
      <c r="OFQ29" s="3"/>
      <c r="OFR29" s="3"/>
      <c r="OFS29" s="3"/>
      <c r="OFT29" s="3"/>
      <c r="OFU29" s="3"/>
      <c r="OFV29" s="3"/>
      <c r="OFW29" s="3"/>
      <c r="OFX29" s="3"/>
      <c r="OFY29" s="3"/>
      <c r="OFZ29" s="3"/>
      <c r="OGA29" s="3"/>
      <c r="OGB29" s="3"/>
      <c r="OGC29" s="3"/>
      <c r="OGD29" s="3"/>
      <c r="OGE29" s="3"/>
      <c r="OGF29" s="3"/>
      <c r="OGG29" s="3"/>
      <c r="OGH29" s="3"/>
      <c r="OGI29" s="3"/>
      <c r="OGJ29" s="3"/>
      <c r="OGK29" s="3"/>
      <c r="OGL29" s="3"/>
      <c r="OGM29" s="3"/>
      <c r="OGN29" s="3"/>
      <c r="OGO29" s="3"/>
      <c r="OGP29" s="3"/>
      <c r="OGQ29" s="3"/>
      <c r="OGR29" s="3"/>
      <c r="OGS29" s="3"/>
      <c r="OGT29" s="3"/>
      <c r="OGU29" s="3"/>
      <c r="OGV29" s="3"/>
      <c r="OGW29" s="3"/>
      <c r="OGX29" s="3"/>
      <c r="OGY29" s="3"/>
      <c r="OGZ29" s="3"/>
      <c r="OHA29" s="3"/>
      <c r="OHB29" s="3"/>
      <c r="OHC29" s="3"/>
      <c r="OHD29" s="3"/>
      <c r="OHE29" s="3"/>
      <c r="OHF29" s="3"/>
      <c r="OHG29" s="3"/>
      <c r="OHH29" s="3"/>
      <c r="OHI29" s="3"/>
      <c r="OHJ29" s="3"/>
      <c r="OHK29" s="3"/>
      <c r="OHL29" s="3"/>
      <c r="OHM29" s="3"/>
      <c r="OHN29" s="3"/>
      <c r="OHO29" s="3"/>
      <c r="OHP29" s="3"/>
      <c r="OHQ29" s="3"/>
      <c r="OHR29" s="3"/>
      <c r="OHS29" s="3"/>
      <c r="OHT29" s="3"/>
      <c r="OHU29" s="3"/>
      <c r="OHV29" s="3"/>
      <c r="OHW29" s="3"/>
      <c r="OHX29" s="3"/>
      <c r="OHY29" s="3"/>
      <c r="OHZ29" s="3"/>
      <c r="OIA29" s="3"/>
      <c r="OIB29" s="3"/>
      <c r="OIC29" s="3"/>
      <c r="OID29" s="3"/>
      <c r="OIE29" s="3"/>
      <c r="OIF29" s="3"/>
      <c r="OIG29" s="3"/>
      <c r="OIH29" s="3"/>
      <c r="OII29" s="3"/>
      <c r="OIJ29" s="3"/>
      <c r="OIK29" s="3"/>
      <c r="OIL29" s="3"/>
      <c r="OIM29" s="3"/>
      <c r="OIN29" s="3"/>
      <c r="OIO29" s="3"/>
      <c r="OIP29" s="3"/>
      <c r="OIQ29" s="3"/>
      <c r="OIR29" s="3"/>
      <c r="OIS29" s="3"/>
      <c r="OIT29" s="3"/>
      <c r="OIU29" s="3"/>
      <c r="OIV29" s="3"/>
      <c r="OIW29" s="3"/>
      <c r="OIX29" s="3"/>
      <c r="OIY29" s="3"/>
      <c r="OIZ29" s="3"/>
      <c r="OJA29" s="3"/>
      <c r="OJB29" s="3"/>
      <c r="OJC29" s="3"/>
      <c r="OJD29" s="3"/>
      <c r="OJE29" s="3"/>
      <c r="OJF29" s="3"/>
      <c r="OJG29" s="3"/>
      <c r="OJH29" s="3"/>
      <c r="OJI29" s="3"/>
      <c r="OJJ29" s="3"/>
      <c r="OJK29" s="3"/>
      <c r="OJL29" s="3"/>
      <c r="OJM29" s="3"/>
      <c r="OJN29" s="3"/>
      <c r="OJO29" s="3"/>
      <c r="OJP29" s="3"/>
      <c r="OJQ29" s="3"/>
      <c r="OJR29" s="3"/>
      <c r="OJS29" s="3"/>
      <c r="OJT29" s="3"/>
      <c r="OJU29" s="3"/>
      <c r="OJV29" s="3"/>
      <c r="OJW29" s="3"/>
      <c r="OJX29" s="3"/>
      <c r="OJY29" s="3"/>
      <c r="OJZ29" s="3"/>
      <c r="OKA29" s="3"/>
      <c r="OKB29" s="3"/>
      <c r="OKC29" s="3"/>
      <c r="OKD29" s="3"/>
      <c r="OKE29" s="3"/>
      <c r="OKF29" s="3"/>
      <c r="OKG29" s="3"/>
      <c r="OKH29" s="3"/>
      <c r="OKI29" s="3"/>
      <c r="OKJ29" s="3"/>
      <c r="OKK29" s="3"/>
      <c r="OKL29" s="3"/>
      <c r="OKM29" s="3"/>
      <c r="OKN29" s="3"/>
      <c r="OKO29" s="3"/>
      <c r="OKP29" s="3"/>
      <c r="OKQ29" s="3"/>
      <c r="OKR29" s="3"/>
      <c r="OKS29" s="3"/>
      <c r="OKT29" s="3"/>
      <c r="OKU29" s="3"/>
      <c r="OKV29" s="3"/>
      <c r="OKW29" s="3"/>
      <c r="OKX29" s="3"/>
      <c r="OKY29" s="3"/>
      <c r="OKZ29" s="3"/>
      <c r="OLA29" s="3"/>
      <c r="OLB29" s="3"/>
      <c r="OLC29" s="3"/>
      <c r="OLD29" s="3"/>
      <c r="OLE29" s="3"/>
      <c r="OLF29" s="3"/>
      <c r="OLG29" s="3"/>
      <c r="OLH29" s="3"/>
      <c r="OLI29" s="3"/>
      <c r="OLJ29" s="3"/>
      <c r="OLK29" s="3"/>
      <c r="OLL29" s="3"/>
      <c r="OLM29" s="3"/>
      <c r="OLN29" s="3"/>
      <c r="OLO29" s="3"/>
      <c r="OLP29" s="3"/>
      <c r="OLQ29" s="3"/>
      <c r="OLR29" s="3"/>
      <c r="OLS29" s="3"/>
      <c r="OLT29" s="3"/>
      <c r="OLU29" s="3"/>
      <c r="OLV29" s="3"/>
      <c r="OLW29" s="3"/>
      <c r="OLX29" s="3"/>
      <c r="OLY29" s="3"/>
      <c r="OLZ29" s="3"/>
      <c r="OMA29" s="3"/>
      <c r="OMB29" s="3"/>
      <c r="OMC29" s="3"/>
      <c r="OMD29" s="3"/>
      <c r="OME29" s="3"/>
      <c r="OMF29" s="3"/>
      <c r="OMG29" s="3"/>
      <c r="OMH29" s="3"/>
      <c r="OMI29" s="3"/>
      <c r="OMJ29" s="3"/>
      <c r="OMK29" s="3"/>
      <c r="OML29" s="3"/>
      <c r="OMM29" s="3"/>
      <c r="OMN29" s="3"/>
      <c r="OMO29" s="3"/>
      <c r="OMP29" s="3"/>
      <c r="OMQ29" s="3"/>
      <c r="OMR29" s="3"/>
      <c r="OMS29" s="3"/>
      <c r="OMT29" s="3"/>
      <c r="OMU29" s="3"/>
      <c r="OMV29" s="3"/>
      <c r="OMW29" s="3"/>
      <c r="OMX29" s="3"/>
      <c r="OMY29" s="3"/>
      <c r="OMZ29" s="3"/>
      <c r="ONA29" s="3"/>
      <c r="ONB29" s="3"/>
      <c r="ONC29" s="3"/>
      <c r="OND29" s="3"/>
      <c r="ONE29" s="3"/>
      <c r="ONF29" s="3"/>
      <c r="ONG29" s="3"/>
      <c r="ONH29" s="3"/>
      <c r="ONI29" s="3"/>
      <c r="ONJ29" s="3"/>
      <c r="ONK29" s="3"/>
      <c r="ONL29" s="3"/>
      <c r="ONM29" s="3"/>
      <c r="ONN29" s="3"/>
      <c r="ONO29" s="3"/>
      <c r="ONP29" s="3"/>
      <c r="ONQ29" s="3"/>
      <c r="ONR29" s="3"/>
      <c r="ONS29" s="3"/>
      <c r="ONT29" s="3"/>
      <c r="ONU29" s="3"/>
      <c r="ONV29" s="3"/>
      <c r="ONW29" s="3"/>
      <c r="ONX29" s="3"/>
      <c r="ONY29" s="3"/>
      <c r="ONZ29" s="3"/>
      <c r="OOA29" s="3"/>
      <c r="OOB29" s="3"/>
      <c r="OOC29" s="3"/>
      <c r="OOD29" s="3"/>
      <c r="OOE29" s="3"/>
      <c r="OOF29" s="3"/>
      <c r="OOG29" s="3"/>
      <c r="OOH29" s="3"/>
      <c r="OOI29" s="3"/>
      <c r="OOJ29" s="3"/>
      <c r="OOK29" s="3"/>
      <c r="OOL29" s="3"/>
      <c r="OOM29" s="3"/>
      <c r="OON29" s="3"/>
      <c r="OOO29" s="3"/>
      <c r="OOP29" s="3"/>
      <c r="OOQ29" s="3"/>
      <c r="OOR29" s="3"/>
      <c r="OOS29" s="3"/>
      <c r="OOT29" s="3"/>
      <c r="OOU29" s="3"/>
      <c r="OOV29" s="3"/>
      <c r="OOW29" s="3"/>
      <c r="OOX29" s="3"/>
      <c r="OOY29" s="3"/>
      <c r="OOZ29" s="3"/>
      <c r="OPA29" s="3"/>
      <c r="OPB29" s="3"/>
      <c r="OPC29" s="3"/>
      <c r="OPD29" s="3"/>
      <c r="OPE29" s="3"/>
      <c r="OPF29" s="3"/>
      <c r="OPG29" s="3"/>
      <c r="OPH29" s="3"/>
      <c r="OPI29" s="3"/>
      <c r="OPJ29" s="3"/>
      <c r="OPK29" s="3"/>
      <c r="OPL29" s="3"/>
      <c r="OPM29" s="3"/>
      <c r="OPN29" s="3"/>
      <c r="OPO29" s="3"/>
      <c r="OPP29" s="3"/>
      <c r="OPQ29" s="3"/>
      <c r="OPR29" s="3"/>
      <c r="OPS29" s="3"/>
      <c r="OPT29" s="3"/>
      <c r="OPU29" s="3"/>
      <c r="OPV29" s="3"/>
      <c r="OPW29" s="3"/>
      <c r="OPX29" s="3"/>
      <c r="OPY29" s="3"/>
      <c r="OPZ29" s="3"/>
      <c r="OQA29" s="3"/>
      <c r="OQB29" s="3"/>
      <c r="OQC29" s="3"/>
      <c r="OQD29" s="3"/>
      <c r="OQE29" s="3"/>
      <c r="OQF29" s="3"/>
      <c r="OQG29" s="3"/>
      <c r="OQH29" s="3"/>
      <c r="OQI29" s="3"/>
      <c r="OQJ29" s="3"/>
      <c r="OQK29" s="3"/>
      <c r="OQL29" s="3"/>
      <c r="OQM29" s="3"/>
      <c r="OQN29" s="3"/>
      <c r="OQO29" s="3"/>
      <c r="OQP29" s="3"/>
      <c r="OQQ29" s="3"/>
      <c r="OQR29" s="3"/>
      <c r="OQS29" s="3"/>
      <c r="OQT29" s="3"/>
      <c r="OQU29" s="3"/>
      <c r="OQV29" s="3"/>
      <c r="OQW29" s="3"/>
      <c r="OQX29" s="3"/>
      <c r="OQY29" s="3"/>
      <c r="OQZ29" s="3"/>
      <c r="ORA29" s="3"/>
      <c r="ORB29" s="3"/>
      <c r="ORC29" s="3"/>
      <c r="ORD29" s="3"/>
      <c r="ORE29" s="3"/>
      <c r="ORF29" s="3"/>
      <c r="ORG29" s="3"/>
      <c r="ORH29" s="3"/>
      <c r="ORI29" s="3"/>
      <c r="ORJ29" s="3"/>
      <c r="ORK29" s="3"/>
      <c r="ORL29" s="3"/>
      <c r="ORM29" s="3"/>
      <c r="ORN29" s="3"/>
      <c r="ORO29" s="3"/>
      <c r="ORP29" s="3"/>
      <c r="ORQ29" s="3"/>
      <c r="ORR29" s="3"/>
      <c r="ORS29" s="3"/>
      <c r="ORT29" s="3"/>
      <c r="ORU29" s="3"/>
      <c r="ORV29" s="3"/>
      <c r="ORW29" s="3"/>
      <c r="ORX29" s="3"/>
      <c r="ORY29" s="3"/>
      <c r="ORZ29" s="3"/>
      <c r="OSA29" s="3"/>
      <c r="OSB29" s="3"/>
      <c r="OSC29" s="3"/>
      <c r="OSD29" s="3"/>
      <c r="OSE29" s="3"/>
      <c r="OSF29" s="3"/>
      <c r="OSG29" s="3"/>
      <c r="OSH29" s="3"/>
      <c r="OSI29" s="3"/>
      <c r="OSJ29" s="3"/>
      <c r="OSK29" s="3"/>
      <c r="OSL29" s="3"/>
      <c r="OSM29" s="3"/>
      <c r="OSN29" s="3"/>
      <c r="OSO29" s="3"/>
      <c r="OSP29" s="3"/>
      <c r="OSQ29" s="3"/>
      <c r="OSR29" s="3"/>
      <c r="OSS29" s="3"/>
      <c r="OST29" s="3"/>
      <c r="OSU29" s="3"/>
      <c r="OSV29" s="3"/>
      <c r="OSW29" s="3"/>
      <c r="OSX29" s="3"/>
      <c r="OSY29" s="3"/>
      <c r="OSZ29" s="3"/>
      <c r="OTA29" s="3"/>
      <c r="OTB29" s="3"/>
      <c r="OTC29" s="3"/>
      <c r="OTD29" s="3"/>
      <c r="OTE29" s="3"/>
      <c r="OTF29" s="3"/>
      <c r="OTG29" s="3"/>
      <c r="OTH29" s="3"/>
      <c r="OTI29" s="3"/>
      <c r="OTJ29" s="3"/>
      <c r="OTK29" s="3"/>
      <c r="OTL29" s="3"/>
      <c r="OTM29" s="3"/>
      <c r="OTN29" s="3"/>
      <c r="OTO29" s="3"/>
      <c r="OTP29" s="3"/>
      <c r="OTQ29" s="3"/>
      <c r="OTR29" s="3"/>
      <c r="OTS29" s="3"/>
      <c r="OTT29" s="3"/>
      <c r="OTU29" s="3"/>
      <c r="OTV29" s="3"/>
      <c r="OTW29" s="3"/>
      <c r="OTX29" s="3"/>
      <c r="OTY29" s="3"/>
      <c r="OTZ29" s="3"/>
      <c r="OUA29" s="3"/>
      <c r="OUB29" s="3"/>
      <c r="OUC29" s="3"/>
      <c r="OUD29" s="3"/>
      <c r="OUE29" s="3"/>
      <c r="OUF29" s="3"/>
      <c r="OUG29" s="3"/>
      <c r="OUH29" s="3"/>
      <c r="OUI29" s="3"/>
      <c r="OUJ29" s="3"/>
      <c r="OUK29" s="3"/>
      <c r="OUL29" s="3"/>
      <c r="OUM29" s="3"/>
      <c r="OUN29" s="3"/>
      <c r="OUO29" s="3"/>
      <c r="OUP29" s="3"/>
      <c r="OUQ29" s="3"/>
      <c r="OUR29" s="3"/>
      <c r="OUS29" s="3"/>
      <c r="OUT29" s="3"/>
      <c r="OUU29" s="3"/>
      <c r="OUV29" s="3"/>
      <c r="OUW29" s="3"/>
      <c r="OUX29" s="3"/>
      <c r="OUY29" s="3"/>
      <c r="OUZ29" s="3"/>
      <c r="OVA29" s="3"/>
      <c r="OVB29" s="3"/>
      <c r="OVC29" s="3"/>
      <c r="OVD29" s="3"/>
      <c r="OVE29" s="3"/>
      <c r="OVF29" s="3"/>
      <c r="OVG29" s="3"/>
      <c r="OVH29" s="3"/>
      <c r="OVI29" s="3"/>
      <c r="OVJ29" s="3"/>
      <c r="OVK29" s="3"/>
      <c r="OVL29" s="3"/>
      <c r="OVM29" s="3"/>
      <c r="OVN29" s="3"/>
      <c r="OVO29" s="3"/>
      <c r="OVP29" s="3"/>
      <c r="OVQ29" s="3"/>
      <c r="OVR29" s="3"/>
      <c r="OVS29" s="3"/>
      <c r="OVT29" s="3"/>
      <c r="OVU29" s="3"/>
      <c r="OVV29" s="3"/>
      <c r="OVW29" s="3"/>
      <c r="OVX29" s="3"/>
      <c r="OVY29" s="3"/>
      <c r="OVZ29" s="3"/>
      <c r="OWA29" s="3"/>
      <c r="OWB29" s="3"/>
      <c r="OWC29" s="3"/>
      <c r="OWD29" s="3"/>
      <c r="OWE29" s="3"/>
      <c r="OWF29" s="3"/>
      <c r="OWG29" s="3"/>
      <c r="OWH29" s="3"/>
      <c r="OWI29" s="3"/>
      <c r="OWJ29" s="3"/>
      <c r="OWK29" s="3"/>
      <c r="OWL29" s="3"/>
      <c r="OWM29" s="3"/>
      <c r="OWN29" s="3"/>
      <c r="OWO29" s="3"/>
      <c r="OWP29" s="3"/>
      <c r="OWQ29" s="3"/>
      <c r="OWR29" s="3"/>
      <c r="OWS29" s="3"/>
      <c r="OWT29" s="3"/>
      <c r="OWU29" s="3"/>
      <c r="OWV29" s="3"/>
      <c r="OWW29" s="3"/>
      <c r="OWX29" s="3"/>
      <c r="OWY29" s="3"/>
      <c r="OWZ29" s="3"/>
      <c r="OXA29" s="3"/>
      <c r="OXB29" s="3"/>
      <c r="OXC29" s="3"/>
      <c r="OXD29" s="3"/>
      <c r="OXE29" s="3"/>
      <c r="OXF29" s="3"/>
      <c r="OXG29" s="3"/>
      <c r="OXH29" s="3"/>
      <c r="OXI29" s="3"/>
      <c r="OXJ29" s="3"/>
      <c r="OXK29" s="3"/>
      <c r="OXL29" s="3"/>
      <c r="OXM29" s="3"/>
      <c r="OXN29" s="3"/>
      <c r="OXO29" s="3"/>
      <c r="OXP29" s="3"/>
      <c r="OXQ29" s="3"/>
      <c r="OXR29" s="3"/>
      <c r="OXS29" s="3"/>
      <c r="OXT29" s="3"/>
      <c r="OXU29" s="3"/>
      <c r="OXV29" s="3"/>
      <c r="OXW29" s="3"/>
      <c r="OXX29" s="3"/>
      <c r="OXY29" s="3"/>
      <c r="OXZ29" s="3"/>
      <c r="OYA29" s="3"/>
      <c r="OYB29" s="3"/>
      <c r="OYC29" s="3"/>
      <c r="OYD29" s="3"/>
      <c r="OYE29" s="3"/>
      <c r="OYF29" s="3"/>
      <c r="OYG29" s="3"/>
      <c r="OYH29" s="3"/>
      <c r="OYI29" s="3"/>
      <c r="OYJ29" s="3"/>
      <c r="OYK29" s="3"/>
      <c r="OYL29" s="3"/>
      <c r="OYM29" s="3"/>
      <c r="OYN29" s="3"/>
      <c r="OYO29" s="3"/>
      <c r="OYP29" s="3"/>
      <c r="OYQ29" s="3"/>
      <c r="OYR29" s="3"/>
      <c r="OYS29" s="3"/>
      <c r="OYT29" s="3"/>
      <c r="OYU29" s="3"/>
      <c r="OYV29" s="3"/>
      <c r="OYW29" s="3"/>
      <c r="OYX29" s="3"/>
      <c r="OYY29" s="3"/>
      <c r="OYZ29" s="3"/>
      <c r="OZA29" s="3"/>
      <c r="OZB29" s="3"/>
      <c r="OZC29" s="3"/>
      <c r="OZD29" s="3"/>
      <c r="OZE29" s="3"/>
      <c r="OZF29" s="3"/>
      <c r="OZG29" s="3"/>
      <c r="OZH29" s="3"/>
      <c r="OZI29" s="3"/>
      <c r="OZJ29" s="3"/>
      <c r="OZK29" s="3"/>
      <c r="OZL29" s="3"/>
      <c r="OZM29" s="3"/>
      <c r="OZN29" s="3"/>
      <c r="OZO29" s="3"/>
      <c r="OZP29" s="3"/>
      <c r="OZQ29" s="3"/>
      <c r="OZR29" s="3"/>
      <c r="OZS29" s="3"/>
      <c r="OZT29" s="3"/>
      <c r="OZU29" s="3"/>
      <c r="OZV29" s="3"/>
      <c r="OZW29" s="3"/>
      <c r="OZX29" s="3"/>
      <c r="OZY29" s="3"/>
      <c r="OZZ29" s="3"/>
      <c r="PAA29" s="3"/>
      <c r="PAB29" s="3"/>
      <c r="PAC29" s="3"/>
      <c r="PAD29" s="3"/>
      <c r="PAE29" s="3"/>
      <c r="PAF29" s="3"/>
      <c r="PAG29" s="3"/>
      <c r="PAH29" s="3"/>
      <c r="PAI29" s="3"/>
      <c r="PAJ29" s="3"/>
      <c r="PAK29" s="3"/>
      <c r="PAL29" s="3"/>
      <c r="PAM29" s="3"/>
      <c r="PAN29" s="3"/>
      <c r="PAO29" s="3"/>
      <c r="PAP29" s="3"/>
      <c r="PAQ29" s="3"/>
      <c r="PAR29" s="3"/>
      <c r="PAS29" s="3"/>
      <c r="PAT29" s="3"/>
      <c r="PAU29" s="3"/>
      <c r="PAV29" s="3"/>
      <c r="PAW29" s="3"/>
      <c r="PAX29" s="3"/>
      <c r="PAY29" s="3"/>
      <c r="PAZ29" s="3"/>
      <c r="PBA29" s="3"/>
      <c r="PBB29" s="3"/>
      <c r="PBC29" s="3"/>
      <c r="PBD29" s="3"/>
      <c r="PBE29" s="3"/>
      <c r="PBF29" s="3"/>
      <c r="PBG29" s="3"/>
      <c r="PBH29" s="3"/>
      <c r="PBI29" s="3"/>
      <c r="PBJ29" s="3"/>
      <c r="PBK29" s="3"/>
      <c r="PBL29" s="3"/>
      <c r="PBM29" s="3"/>
      <c r="PBN29" s="3"/>
      <c r="PBO29" s="3"/>
      <c r="PBP29" s="3"/>
      <c r="PBQ29" s="3"/>
      <c r="PBR29" s="3"/>
      <c r="PBS29" s="3"/>
      <c r="PBT29" s="3"/>
      <c r="PBU29" s="3"/>
      <c r="PBV29" s="3"/>
      <c r="PBW29" s="3"/>
      <c r="PBX29" s="3"/>
      <c r="PBY29" s="3"/>
      <c r="PBZ29" s="3"/>
      <c r="PCA29" s="3"/>
      <c r="PCB29" s="3"/>
      <c r="PCC29" s="3"/>
      <c r="PCD29" s="3"/>
      <c r="PCE29" s="3"/>
      <c r="PCF29" s="3"/>
      <c r="PCG29" s="3"/>
      <c r="PCH29" s="3"/>
      <c r="PCI29" s="3"/>
      <c r="PCJ29" s="3"/>
      <c r="PCK29" s="3"/>
      <c r="PCL29" s="3"/>
      <c r="PCM29" s="3"/>
      <c r="PCN29" s="3"/>
      <c r="PCO29" s="3"/>
      <c r="PCP29" s="3"/>
      <c r="PCQ29" s="3"/>
      <c r="PCR29" s="3"/>
      <c r="PCS29" s="3"/>
      <c r="PCT29" s="3"/>
      <c r="PCU29" s="3"/>
      <c r="PCV29" s="3"/>
      <c r="PCW29" s="3"/>
      <c r="PCX29" s="3"/>
      <c r="PCY29" s="3"/>
      <c r="PCZ29" s="3"/>
      <c r="PDA29" s="3"/>
      <c r="PDB29" s="3"/>
      <c r="PDC29" s="3"/>
      <c r="PDD29" s="3"/>
      <c r="PDE29" s="3"/>
      <c r="PDF29" s="3"/>
      <c r="PDG29" s="3"/>
      <c r="PDH29" s="3"/>
      <c r="PDI29" s="3"/>
      <c r="PDJ29" s="3"/>
      <c r="PDK29" s="3"/>
      <c r="PDL29" s="3"/>
      <c r="PDM29" s="3"/>
      <c r="PDN29" s="3"/>
      <c r="PDO29" s="3"/>
      <c r="PDP29" s="3"/>
      <c r="PDQ29" s="3"/>
      <c r="PDR29" s="3"/>
      <c r="PDS29" s="3"/>
      <c r="PDT29" s="3"/>
      <c r="PDU29" s="3"/>
      <c r="PDV29" s="3"/>
      <c r="PDW29" s="3"/>
      <c r="PDX29" s="3"/>
      <c r="PDY29" s="3"/>
      <c r="PDZ29" s="3"/>
      <c r="PEA29" s="3"/>
      <c r="PEB29" s="3"/>
      <c r="PEC29" s="3"/>
      <c r="PED29" s="3"/>
      <c r="PEE29" s="3"/>
      <c r="PEF29" s="3"/>
      <c r="PEG29" s="3"/>
      <c r="PEH29" s="3"/>
      <c r="PEI29" s="3"/>
      <c r="PEJ29" s="3"/>
      <c r="PEK29" s="3"/>
      <c r="PEL29" s="3"/>
      <c r="PEM29" s="3"/>
      <c r="PEN29" s="3"/>
      <c r="PEO29" s="3"/>
      <c r="PEP29" s="3"/>
      <c r="PEQ29" s="3"/>
      <c r="PER29" s="3"/>
      <c r="PES29" s="3"/>
      <c r="PET29" s="3"/>
      <c r="PEU29" s="3"/>
      <c r="PEV29" s="3"/>
      <c r="PEW29" s="3"/>
      <c r="PEX29" s="3"/>
      <c r="PEY29" s="3"/>
      <c r="PEZ29" s="3"/>
      <c r="PFA29" s="3"/>
      <c r="PFB29" s="3"/>
      <c r="PFC29" s="3"/>
      <c r="PFD29" s="3"/>
      <c r="PFE29" s="3"/>
      <c r="PFF29" s="3"/>
      <c r="PFG29" s="3"/>
      <c r="PFH29" s="3"/>
      <c r="PFI29" s="3"/>
      <c r="PFJ29" s="3"/>
      <c r="PFK29" s="3"/>
      <c r="PFL29" s="3"/>
      <c r="PFM29" s="3"/>
      <c r="PFN29" s="3"/>
      <c r="PFO29" s="3"/>
      <c r="PFP29" s="3"/>
      <c r="PFQ29" s="3"/>
      <c r="PFR29" s="3"/>
      <c r="PFS29" s="3"/>
      <c r="PFT29" s="3"/>
      <c r="PFU29" s="3"/>
      <c r="PFV29" s="3"/>
      <c r="PFW29" s="3"/>
      <c r="PFX29" s="3"/>
      <c r="PFY29" s="3"/>
      <c r="PFZ29" s="3"/>
      <c r="PGA29" s="3"/>
      <c r="PGB29" s="3"/>
      <c r="PGC29" s="3"/>
      <c r="PGD29" s="3"/>
      <c r="PGE29" s="3"/>
      <c r="PGF29" s="3"/>
      <c r="PGG29" s="3"/>
      <c r="PGH29" s="3"/>
      <c r="PGI29" s="3"/>
      <c r="PGJ29" s="3"/>
      <c r="PGK29" s="3"/>
      <c r="PGL29" s="3"/>
      <c r="PGM29" s="3"/>
      <c r="PGN29" s="3"/>
      <c r="PGO29" s="3"/>
      <c r="PGP29" s="3"/>
      <c r="PGQ29" s="3"/>
      <c r="PGR29" s="3"/>
      <c r="PGS29" s="3"/>
      <c r="PGT29" s="3"/>
      <c r="PGU29" s="3"/>
      <c r="PGV29" s="3"/>
      <c r="PGW29" s="3"/>
      <c r="PGX29" s="3"/>
      <c r="PGY29" s="3"/>
      <c r="PGZ29" s="3"/>
      <c r="PHA29" s="3"/>
      <c r="PHB29" s="3"/>
      <c r="PHC29" s="3"/>
      <c r="PHD29" s="3"/>
      <c r="PHE29" s="3"/>
      <c r="PHF29" s="3"/>
      <c r="PHG29" s="3"/>
      <c r="PHH29" s="3"/>
      <c r="PHI29" s="3"/>
      <c r="PHJ29" s="3"/>
      <c r="PHK29" s="3"/>
      <c r="PHL29" s="3"/>
      <c r="PHM29" s="3"/>
      <c r="PHN29" s="3"/>
      <c r="PHO29" s="3"/>
      <c r="PHP29" s="3"/>
      <c r="PHQ29" s="3"/>
      <c r="PHR29" s="3"/>
      <c r="PHS29" s="3"/>
      <c r="PHT29" s="3"/>
      <c r="PHU29" s="3"/>
      <c r="PHV29" s="3"/>
      <c r="PHW29" s="3"/>
      <c r="PHX29" s="3"/>
      <c r="PHY29" s="3"/>
      <c r="PHZ29" s="3"/>
      <c r="PIA29" s="3"/>
      <c r="PIB29" s="3"/>
      <c r="PIC29" s="3"/>
      <c r="PID29" s="3"/>
      <c r="PIE29" s="3"/>
      <c r="PIF29" s="3"/>
      <c r="PIG29" s="3"/>
      <c r="PIH29" s="3"/>
      <c r="PII29" s="3"/>
      <c r="PIJ29" s="3"/>
      <c r="PIK29" s="3"/>
      <c r="PIL29" s="3"/>
      <c r="PIM29" s="3"/>
      <c r="PIN29" s="3"/>
      <c r="PIO29" s="3"/>
      <c r="PIP29" s="3"/>
      <c r="PIQ29" s="3"/>
      <c r="PIR29" s="3"/>
      <c r="PIS29" s="3"/>
      <c r="PIT29" s="3"/>
      <c r="PIU29" s="3"/>
      <c r="PIV29" s="3"/>
      <c r="PIW29" s="3"/>
      <c r="PIX29" s="3"/>
      <c r="PIY29" s="3"/>
      <c r="PIZ29" s="3"/>
      <c r="PJA29" s="3"/>
      <c r="PJB29" s="3"/>
      <c r="PJC29" s="3"/>
      <c r="PJD29" s="3"/>
      <c r="PJE29" s="3"/>
      <c r="PJF29" s="3"/>
      <c r="PJG29" s="3"/>
      <c r="PJH29" s="3"/>
      <c r="PJI29" s="3"/>
      <c r="PJJ29" s="3"/>
      <c r="PJK29" s="3"/>
      <c r="PJL29" s="3"/>
      <c r="PJM29" s="3"/>
      <c r="PJN29" s="3"/>
      <c r="PJO29" s="3"/>
      <c r="PJP29" s="3"/>
      <c r="PJQ29" s="3"/>
      <c r="PJR29" s="3"/>
      <c r="PJS29" s="3"/>
      <c r="PJT29" s="3"/>
      <c r="PJU29" s="3"/>
      <c r="PJV29" s="3"/>
      <c r="PJW29" s="3"/>
      <c r="PJX29" s="3"/>
      <c r="PJY29" s="3"/>
      <c r="PJZ29" s="3"/>
      <c r="PKA29" s="3"/>
      <c r="PKB29" s="3"/>
      <c r="PKC29" s="3"/>
      <c r="PKD29" s="3"/>
      <c r="PKE29" s="3"/>
      <c r="PKF29" s="3"/>
      <c r="PKG29" s="3"/>
      <c r="PKH29" s="3"/>
      <c r="PKI29" s="3"/>
      <c r="PKJ29" s="3"/>
      <c r="PKK29" s="3"/>
      <c r="PKL29" s="3"/>
      <c r="PKM29" s="3"/>
      <c r="PKN29" s="3"/>
      <c r="PKO29" s="3"/>
      <c r="PKP29" s="3"/>
      <c r="PKQ29" s="3"/>
      <c r="PKR29" s="3"/>
      <c r="PKS29" s="3"/>
      <c r="PKT29" s="3"/>
      <c r="PKU29" s="3"/>
      <c r="PKV29" s="3"/>
      <c r="PKW29" s="3"/>
      <c r="PKX29" s="3"/>
      <c r="PKY29" s="3"/>
      <c r="PKZ29" s="3"/>
      <c r="PLA29" s="3"/>
      <c r="PLB29" s="3"/>
      <c r="PLC29" s="3"/>
      <c r="PLD29" s="3"/>
      <c r="PLE29" s="3"/>
      <c r="PLF29" s="3"/>
      <c r="PLG29" s="3"/>
      <c r="PLH29" s="3"/>
      <c r="PLI29" s="3"/>
      <c r="PLJ29" s="3"/>
      <c r="PLK29" s="3"/>
      <c r="PLL29" s="3"/>
      <c r="PLM29" s="3"/>
      <c r="PLN29" s="3"/>
      <c r="PLO29" s="3"/>
      <c r="PLP29" s="3"/>
      <c r="PLQ29" s="3"/>
      <c r="PLR29" s="3"/>
      <c r="PLS29" s="3"/>
      <c r="PLT29" s="3"/>
      <c r="PLU29" s="3"/>
      <c r="PLV29" s="3"/>
      <c r="PLW29" s="3"/>
      <c r="PLX29" s="3"/>
      <c r="PLY29" s="3"/>
      <c r="PLZ29" s="3"/>
      <c r="PMA29" s="3"/>
      <c r="PMB29" s="3"/>
      <c r="PMC29" s="3"/>
      <c r="PMD29" s="3"/>
      <c r="PME29" s="3"/>
      <c r="PMF29" s="3"/>
      <c r="PMG29" s="3"/>
      <c r="PMH29" s="3"/>
      <c r="PMI29" s="3"/>
      <c r="PMJ29" s="3"/>
      <c r="PMK29" s="3"/>
      <c r="PML29" s="3"/>
      <c r="PMM29" s="3"/>
      <c r="PMN29" s="3"/>
      <c r="PMO29" s="3"/>
      <c r="PMP29" s="3"/>
      <c r="PMQ29" s="3"/>
      <c r="PMR29" s="3"/>
      <c r="PMS29" s="3"/>
      <c r="PMT29" s="3"/>
      <c r="PMU29" s="3"/>
      <c r="PMV29" s="3"/>
      <c r="PMW29" s="3"/>
      <c r="PMX29" s="3"/>
      <c r="PMY29" s="3"/>
      <c r="PMZ29" s="3"/>
      <c r="PNA29" s="3"/>
      <c r="PNB29" s="3"/>
      <c r="PNC29" s="3"/>
      <c r="PND29" s="3"/>
      <c r="PNE29" s="3"/>
      <c r="PNF29" s="3"/>
      <c r="PNG29" s="3"/>
      <c r="PNH29" s="3"/>
      <c r="PNI29" s="3"/>
      <c r="PNJ29" s="3"/>
      <c r="PNK29" s="3"/>
      <c r="PNL29" s="3"/>
      <c r="PNM29" s="3"/>
      <c r="PNN29" s="3"/>
      <c r="PNO29" s="3"/>
      <c r="PNP29" s="3"/>
      <c r="PNQ29" s="3"/>
      <c r="PNR29" s="3"/>
      <c r="PNS29" s="3"/>
      <c r="PNT29" s="3"/>
      <c r="PNU29" s="3"/>
      <c r="PNV29" s="3"/>
      <c r="PNW29" s="3"/>
      <c r="PNX29" s="3"/>
      <c r="PNY29" s="3"/>
      <c r="PNZ29" s="3"/>
      <c r="POA29" s="3"/>
      <c r="POB29" s="3"/>
      <c r="POC29" s="3"/>
      <c r="POD29" s="3"/>
      <c r="POE29" s="3"/>
      <c r="POF29" s="3"/>
      <c r="POG29" s="3"/>
      <c r="POH29" s="3"/>
      <c r="POI29" s="3"/>
      <c r="POJ29" s="3"/>
      <c r="POK29" s="3"/>
      <c r="POL29" s="3"/>
      <c r="POM29" s="3"/>
      <c r="PON29" s="3"/>
      <c r="POO29" s="3"/>
      <c r="POP29" s="3"/>
      <c r="POQ29" s="3"/>
      <c r="POR29" s="3"/>
      <c r="POS29" s="3"/>
      <c r="POT29" s="3"/>
      <c r="POU29" s="3"/>
      <c r="POV29" s="3"/>
      <c r="POW29" s="3"/>
      <c r="POX29" s="3"/>
      <c r="POY29" s="3"/>
      <c r="POZ29" s="3"/>
      <c r="PPA29" s="3"/>
      <c r="PPB29" s="3"/>
      <c r="PPC29" s="3"/>
      <c r="PPD29" s="3"/>
      <c r="PPE29" s="3"/>
      <c r="PPF29" s="3"/>
      <c r="PPG29" s="3"/>
      <c r="PPH29" s="3"/>
      <c r="PPI29" s="3"/>
      <c r="PPJ29" s="3"/>
      <c r="PPK29" s="3"/>
      <c r="PPL29" s="3"/>
      <c r="PPM29" s="3"/>
      <c r="PPN29" s="3"/>
      <c r="PPO29" s="3"/>
      <c r="PPP29" s="3"/>
      <c r="PPQ29" s="3"/>
      <c r="PPR29" s="3"/>
      <c r="PPS29" s="3"/>
      <c r="PPT29" s="3"/>
      <c r="PPU29" s="3"/>
      <c r="PPV29" s="3"/>
      <c r="PPW29" s="3"/>
      <c r="PPX29" s="3"/>
      <c r="PPY29" s="3"/>
      <c r="PPZ29" s="3"/>
      <c r="PQA29" s="3"/>
      <c r="PQB29" s="3"/>
      <c r="PQC29" s="3"/>
      <c r="PQD29" s="3"/>
      <c r="PQE29" s="3"/>
      <c r="PQF29" s="3"/>
      <c r="PQG29" s="3"/>
      <c r="PQH29" s="3"/>
      <c r="PQI29" s="3"/>
      <c r="PQJ29" s="3"/>
      <c r="PQK29" s="3"/>
      <c r="PQL29" s="3"/>
      <c r="PQM29" s="3"/>
      <c r="PQN29" s="3"/>
      <c r="PQO29" s="3"/>
      <c r="PQP29" s="3"/>
      <c r="PQQ29" s="3"/>
      <c r="PQR29" s="3"/>
      <c r="PQS29" s="3"/>
      <c r="PQT29" s="3"/>
      <c r="PQU29" s="3"/>
      <c r="PQV29" s="3"/>
      <c r="PQW29" s="3"/>
      <c r="PQX29" s="3"/>
      <c r="PQY29" s="3"/>
      <c r="PQZ29" s="3"/>
      <c r="PRA29" s="3"/>
      <c r="PRB29" s="3"/>
      <c r="PRC29" s="3"/>
      <c r="PRD29" s="3"/>
      <c r="PRE29" s="3"/>
      <c r="PRF29" s="3"/>
      <c r="PRG29" s="3"/>
      <c r="PRH29" s="3"/>
      <c r="PRI29" s="3"/>
      <c r="PRJ29" s="3"/>
      <c r="PRK29" s="3"/>
      <c r="PRL29" s="3"/>
      <c r="PRM29" s="3"/>
      <c r="PRN29" s="3"/>
      <c r="PRO29" s="3"/>
      <c r="PRP29" s="3"/>
      <c r="PRQ29" s="3"/>
      <c r="PRR29" s="3"/>
      <c r="PRS29" s="3"/>
      <c r="PRT29" s="3"/>
      <c r="PRU29" s="3"/>
      <c r="PRV29" s="3"/>
      <c r="PRW29" s="3"/>
      <c r="PRX29" s="3"/>
      <c r="PRY29" s="3"/>
      <c r="PRZ29" s="3"/>
      <c r="PSA29" s="3"/>
      <c r="PSB29" s="3"/>
      <c r="PSC29" s="3"/>
      <c r="PSD29" s="3"/>
      <c r="PSE29" s="3"/>
      <c r="PSF29" s="3"/>
      <c r="PSG29" s="3"/>
      <c r="PSH29" s="3"/>
      <c r="PSI29" s="3"/>
      <c r="PSJ29" s="3"/>
      <c r="PSK29" s="3"/>
      <c r="PSL29" s="3"/>
      <c r="PSM29" s="3"/>
      <c r="PSN29" s="3"/>
      <c r="PSO29" s="3"/>
      <c r="PSP29" s="3"/>
      <c r="PSQ29" s="3"/>
      <c r="PSR29" s="3"/>
      <c r="PSS29" s="3"/>
      <c r="PST29" s="3"/>
      <c r="PSU29" s="3"/>
      <c r="PSV29" s="3"/>
      <c r="PSW29" s="3"/>
      <c r="PSX29" s="3"/>
      <c r="PSY29" s="3"/>
      <c r="PSZ29" s="3"/>
      <c r="PTA29" s="3"/>
      <c r="PTB29" s="3"/>
      <c r="PTC29" s="3"/>
      <c r="PTD29" s="3"/>
      <c r="PTE29" s="3"/>
      <c r="PTF29" s="3"/>
      <c r="PTG29" s="3"/>
      <c r="PTH29" s="3"/>
      <c r="PTI29" s="3"/>
      <c r="PTJ29" s="3"/>
      <c r="PTK29" s="3"/>
      <c r="PTL29" s="3"/>
      <c r="PTM29" s="3"/>
      <c r="PTN29" s="3"/>
      <c r="PTO29" s="3"/>
      <c r="PTP29" s="3"/>
      <c r="PTQ29" s="3"/>
      <c r="PTR29" s="3"/>
      <c r="PTS29" s="3"/>
      <c r="PTT29" s="3"/>
      <c r="PTU29" s="3"/>
      <c r="PTV29" s="3"/>
      <c r="PTW29" s="3"/>
      <c r="PTX29" s="3"/>
      <c r="PTY29" s="3"/>
      <c r="PTZ29" s="3"/>
      <c r="PUA29" s="3"/>
      <c r="PUB29" s="3"/>
      <c r="PUC29" s="3"/>
      <c r="PUD29" s="3"/>
      <c r="PUE29" s="3"/>
      <c r="PUF29" s="3"/>
      <c r="PUG29" s="3"/>
      <c r="PUH29" s="3"/>
      <c r="PUI29" s="3"/>
      <c r="PUJ29" s="3"/>
      <c r="PUK29" s="3"/>
      <c r="PUL29" s="3"/>
      <c r="PUM29" s="3"/>
      <c r="PUN29" s="3"/>
      <c r="PUO29" s="3"/>
      <c r="PUP29" s="3"/>
      <c r="PUQ29" s="3"/>
      <c r="PUR29" s="3"/>
      <c r="PUS29" s="3"/>
      <c r="PUT29" s="3"/>
      <c r="PUU29" s="3"/>
      <c r="PUV29" s="3"/>
      <c r="PUW29" s="3"/>
      <c r="PUX29" s="3"/>
      <c r="PUY29" s="3"/>
      <c r="PUZ29" s="3"/>
      <c r="PVA29" s="3"/>
      <c r="PVB29" s="3"/>
      <c r="PVC29" s="3"/>
      <c r="PVD29" s="3"/>
      <c r="PVE29" s="3"/>
      <c r="PVF29" s="3"/>
      <c r="PVG29" s="3"/>
      <c r="PVH29" s="3"/>
      <c r="PVI29" s="3"/>
      <c r="PVJ29" s="3"/>
      <c r="PVK29" s="3"/>
      <c r="PVL29" s="3"/>
      <c r="PVM29" s="3"/>
      <c r="PVN29" s="3"/>
      <c r="PVO29" s="3"/>
      <c r="PVP29" s="3"/>
      <c r="PVQ29" s="3"/>
      <c r="PVR29" s="3"/>
      <c r="PVS29" s="3"/>
      <c r="PVT29" s="3"/>
      <c r="PVU29" s="3"/>
      <c r="PVV29" s="3"/>
      <c r="PVW29" s="3"/>
      <c r="PVX29" s="3"/>
      <c r="PVY29" s="3"/>
      <c r="PVZ29" s="3"/>
      <c r="PWA29" s="3"/>
      <c r="PWB29" s="3"/>
      <c r="PWC29" s="3"/>
      <c r="PWD29" s="3"/>
      <c r="PWE29" s="3"/>
      <c r="PWF29" s="3"/>
      <c r="PWG29" s="3"/>
      <c r="PWH29" s="3"/>
      <c r="PWI29" s="3"/>
      <c r="PWJ29" s="3"/>
      <c r="PWK29" s="3"/>
      <c r="PWL29" s="3"/>
      <c r="PWM29" s="3"/>
      <c r="PWN29" s="3"/>
      <c r="PWO29" s="3"/>
      <c r="PWP29" s="3"/>
      <c r="PWQ29" s="3"/>
      <c r="PWR29" s="3"/>
      <c r="PWS29" s="3"/>
      <c r="PWT29" s="3"/>
      <c r="PWU29" s="3"/>
      <c r="PWV29" s="3"/>
      <c r="PWW29" s="3"/>
      <c r="PWX29" s="3"/>
      <c r="PWY29" s="3"/>
      <c r="PWZ29" s="3"/>
      <c r="PXA29" s="3"/>
      <c r="PXB29" s="3"/>
      <c r="PXC29" s="3"/>
      <c r="PXD29" s="3"/>
      <c r="PXE29" s="3"/>
      <c r="PXF29" s="3"/>
      <c r="PXG29" s="3"/>
      <c r="PXH29" s="3"/>
      <c r="PXI29" s="3"/>
      <c r="PXJ29" s="3"/>
      <c r="PXK29" s="3"/>
      <c r="PXL29" s="3"/>
      <c r="PXM29" s="3"/>
      <c r="PXN29" s="3"/>
      <c r="PXO29" s="3"/>
      <c r="PXP29" s="3"/>
      <c r="PXQ29" s="3"/>
      <c r="PXR29" s="3"/>
      <c r="PXS29" s="3"/>
      <c r="PXT29" s="3"/>
      <c r="PXU29" s="3"/>
      <c r="PXV29" s="3"/>
      <c r="PXW29" s="3"/>
      <c r="PXX29" s="3"/>
      <c r="PXY29" s="3"/>
      <c r="PXZ29" s="3"/>
      <c r="PYA29" s="3"/>
      <c r="PYB29" s="3"/>
      <c r="PYC29" s="3"/>
      <c r="PYD29" s="3"/>
      <c r="PYE29" s="3"/>
      <c r="PYF29" s="3"/>
      <c r="PYG29" s="3"/>
      <c r="PYH29" s="3"/>
      <c r="PYI29" s="3"/>
      <c r="PYJ29" s="3"/>
      <c r="PYK29" s="3"/>
      <c r="PYL29" s="3"/>
      <c r="PYM29" s="3"/>
      <c r="PYN29" s="3"/>
      <c r="PYO29" s="3"/>
      <c r="PYP29" s="3"/>
      <c r="PYQ29" s="3"/>
      <c r="PYR29" s="3"/>
      <c r="PYS29" s="3"/>
      <c r="PYT29" s="3"/>
      <c r="PYU29" s="3"/>
      <c r="PYV29" s="3"/>
      <c r="PYW29" s="3"/>
      <c r="PYX29" s="3"/>
      <c r="PYY29" s="3"/>
      <c r="PYZ29" s="3"/>
      <c r="PZA29" s="3"/>
      <c r="PZB29" s="3"/>
      <c r="PZC29" s="3"/>
      <c r="PZD29" s="3"/>
      <c r="PZE29" s="3"/>
      <c r="PZF29" s="3"/>
      <c r="PZG29" s="3"/>
      <c r="PZH29" s="3"/>
      <c r="PZI29" s="3"/>
      <c r="PZJ29" s="3"/>
      <c r="PZK29" s="3"/>
      <c r="PZL29" s="3"/>
      <c r="PZM29" s="3"/>
      <c r="PZN29" s="3"/>
      <c r="PZO29" s="3"/>
      <c r="PZP29" s="3"/>
      <c r="PZQ29" s="3"/>
      <c r="PZR29" s="3"/>
      <c r="PZS29" s="3"/>
      <c r="PZT29" s="3"/>
      <c r="PZU29" s="3"/>
      <c r="PZV29" s="3"/>
      <c r="PZW29" s="3"/>
      <c r="PZX29" s="3"/>
      <c r="PZY29" s="3"/>
      <c r="PZZ29" s="3"/>
      <c r="QAA29" s="3"/>
      <c r="QAB29" s="3"/>
      <c r="QAC29" s="3"/>
      <c r="QAD29" s="3"/>
      <c r="QAE29" s="3"/>
      <c r="QAF29" s="3"/>
      <c r="QAG29" s="3"/>
      <c r="QAH29" s="3"/>
      <c r="QAI29" s="3"/>
      <c r="QAJ29" s="3"/>
      <c r="QAK29" s="3"/>
      <c r="QAL29" s="3"/>
      <c r="QAM29" s="3"/>
      <c r="QAN29" s="3"/>
      <c r="QAO29" s="3"/>
      <c r="QAP29" s="3"/>
      <c r="QAQ29" s="3"/>
      <c r="QAR29" s="3"/>
      <c r="QAS29" s="3"/>
      <c r="QAT29" s="3"/>
      <c r="QAU29" s="3"/>
      <c r="QAV29" s="3"/>
      <c r="QAW29" s="3"/>
      <c r="QAX29" s="3"/>
      <c r="QAY29" s="3"/>
      <c r="QAZ29" s="3"/>
      <c r="QBA29" s="3"/>
      <c r="QBB29" s="3"/>
      <c r="QBC29" s="3"/>
      <c r="QBD29" s="3"/>
      <c r="QBE29" s="3"/>
      <c r="QBF29" s="3"/>
      <c r="QBG29" s="3"/>
      <c r="QBH29" s="3"/>
      <c r="QBI29" s="3"/>
      <c r="QBJ29" s="3"/>
      <c r="QBK29" s="3"/>
      <c r="QBL29" s="3"/>
      <c r="QBM29" s="3"/>
      <c r="QBN29" s="3"/>
      <c r="QBO29" s="3"/>
      <c r="QBP29" s="3"/>
      <c r="QBQ29" s="3"/>
      <c r="QBR29" s="3"/>
      <c r="QBS29" s="3"/>
      <c r="QBT29" s="3"/>
      <c r="QBU29" s="3"/>
      <c r="QBV29" s="3"/>
      <c r="QBW29" s="3"/>
      <c r="QBX29" s="3"/>
      <c r="QBY29" s="3"/>
      <c r="QBZ29" s="3"/>
      <c r="QCA29" s="3"/>
      <c r="QCB29" s="3"/>
      <c r="QCC29" s="3"/>
      <c r="QCD29" s="3"/>
      <c r="QCE29" s="3"/>
      <c r="QCF29" s="3"/>
      <c r="QCG29" s="3"/>
      <c r="QCH29" s="3"/>
      <c r="QCI29" s="3"/>
      <c r="QCJ29" s="3"/>
      <c r="QCK29" s="3"/>
      <c r="QCL29" s="3"/>
      <c r="QCM29" s="3"/>
      <c r="QCN29" s="3"/>
      <c r="QCO29" s="3"/>
      <c r="QCP29" s="3"/>
      <c r="QCQ29" s="3"/>
      <c r="QCR29" s="3"/>
      <c r="QCS29" s="3"/>
      <c r="QCT29" s="3"/>
      <c r="QCU29" s="3"/>
      <c r="QCV29" s="3"/>
      <c r="QCW29" s="3"/>
      <c r="QCX29" s="3"/>
      <c r="QCY29" s="3"/>
      <c r="QCZ29" s="3"/>
      <c r="QDA29" s="3"/>
      <c r="QDB29" s="3"/>
      <c r="QDC29" s="3"/>
      <c r="QDD29" s="3"/>
      <c r="QDE29" s="3"/>
      <c r="QDF29" s="3"/>
      <c r="QDG29" s="3"/>
      <c r="QDH29" s="3"/>
      <c r="QDI29" s="3"/>
      <c r="QDJ29" s="3"/>
      <c r="QDK29" s="3"/>
      <c r="QDL29" s="3"/>
      <c r="QDM29" s="3"/>
      <c r="QDN29" s="3"/>
      <c r="QDO29" s="3"/>
      <c r="QDP29" s="3"/>
      <c r="QDQ29" s="3"/>
      <c r="QDR29" s="3"/>
      <c r="QDS29" s="3"/>
      <c r="QDT29" s="3"/>
      <c r="QDU29" s="3"/>
      <c r="QDV29" s="3"/>
      <c r="QDW29" s="3"/>
      <c r="QDX29" s="3"/>
      <c r="QDY29" s="3"/>
      <c r="QDZ29" s="3"/>
      <c r="QEA29" s="3"/>
      <c r="QEB29" s="3"/>
      <c r="QEC29" s="3"/>
      <c r="QED29" s="3"/>
      <c r="QEE29" s="3"/>
      <c r="QEF29" s="3"/>
      <c r="QEG29" s="3"/>
      <c r="QEH29" s="3"/>
      <c r="QEI29" s="3"/>
      <c r="QEJ29" s="3"/>
      <c r="QEK29" s="3"/>
      <c r="QEL29" s="3"/>
      <c r="QEM29" s="3"/>
      <c r="QEN29" s="3"/>
      <c r="QEO29" s="3"/>
      <c r="QEP29" s="3"/>
      <c r="QEQ29" s="3"/>
      <c r="QER29" s="3"/>
      <c r="QES29" s="3"/>
      <c r="QET29" s="3"/>
      <c r="QEU29" s="3"/>
      <c r="QEV29" s="3"/>
      <c r="QEW29" s="3"/>
      <c r="QEX29" s="3"/>
      <c r="QEY29" s="3"/>
      <c r="QEZ29" s="3"/>
      <c r="QFA29" s="3"/>
      <c r="QFB29" s="3"/>
      <c r="QFC29" s="3"/>
      <c r="QFD29" s="3"/>
      <c r="QFE29" s="3"/>
      <c r="QFF29" s="3"/>
      <c r="QFG29" s="3"/>
      <c r="QFH29" s="3"/>
      <c r="QFI29" s="3"/>
      <c r="QFJ29" s="3"/>
      <c r="QFK29" s="3"/>
      <c r="QFL29" s="3"/>
      <c r="QFM29" s="3"/>
      <c r="QFN29" s="3"/>
      <c r="QFO29" s="3"/>
      <c r="QFP29" s="3"/>
      <c r="QFQ29" s="3"/>
      <c r="QFR29" s="3"/>
      <c r="QFS29" s="3"/>
      <c r="QFT29" s="3"/>
      <c r="QFU29" s="3"/>
      <c r="QFV29" s="3"/>
      <c r="QFW29" s="3"/>
      <c r="QFX29" s="3"/>
      <c r="QFY29" s="3"/>
      <c r="QFZ29" s="3"/>
      <c r="QGA29" s="3"/>
      <c r="QGB29" s="3"/>
      <c r="QGC29" s="3"/>
      <c r="QGD29" s="3"/>
      <c r="QGE29" s="3"/>
      <c r="QGF29" s="3"/>
      <c r="QGG29" s="3"/>
      <c r="QGH29" s="3"/>
      <c r="QGI29" s="3"/>
      <c r="QGJ29" s="3"/>
      <c r="QGK29" s="3"/>
      <c r="QGL29" s="3"/>
      <c r="QGM29" s="3"/>
      <c r="QGN29" s="3"/>
      <c r="QGO29" s="3"/>
      <c r="QGP29" s="3"/>
      <c r="QGQ29" s="3"/>
      <c r="QGR29" s="3"/>
      <c r="QGS29" s="3"/>
      <c r="QGT29" s="3"/>
      <c r="QGU29" s="3"/>
      <c r="QGV29" s="3"/>
      <c r="QGW29" s="3"/>
      <c r="QGX29" s="3"/>
      <c r="QGY29" s="3"/>
      <c r="QGZ29" s="3"/>
      <c r="QHA29" s="3"/>
      <c r="QHB29" s="3"/>
      <c r="QHC29" s="3"/>
      <c r="QHD29" s="3"/>
      <c r="QHE29" s="3"/>
      <c r="QHF29" s="3"/>
      <c r="QHG29" s="3"/>
      <c r="QHH29" s="3"/>
      <c r="QHI29" s="3"/>
      <c r="QHJ29" s="3"/>
      <c r="QHK29" s="3"/>
      <c r="QHL29" s="3"/>
      <c r="QHM29" s="3"/>
      <c r="QHN29" s="3"/>
      <c r="QHO29" s="3"/>
      <c r="QHP29" s="3"/>
      <c r="QHQ29" s="3"/>
      <c r="QHR29" s="3"/>
      <c r="QHS29" s="3"/>
      <c r="QHT29" s="3"/>
      <c r="QHU29" s="3"/>
      <c r="QHV29" s="3"/>
      <c r="QHW29" s="3"/>
      <c r="QHX29" s="3"/>
      <c r="QHY29" s="3"/>
      <c r="QHZ29" s="3"/>
      <c r="QIA29" s="3"/>
      <c r="QIB29" s="3"/>
      <c r="QIC29" s="3"/>
      <c r="QID29" s="3"/>
      <c r="QIE29" s="3"/>
      <c r="QIF29" s="3"/>
      <c r="QIG29" s="3"/>
      <c r="QIH29" s="3"/>
      <c r="QII29" s="3"/>
      <c r="QIJ29" s="3"/>
      <c r="QIK29" s="3"/>
      <c r="QIL29" s="3"/>
      <c r="QIM29" s="3"/>
      <c r="QIN29" s="3"/>
      <c r="QIO29" s="3"/>
      <c r="QIP29" s="3"/>
      <c r="QIQ29" s="3"/>
      <c r="QIR29" s="3"/>
      <c r="QIS29" s="3"/>
      <c r="QIT29" s="3"/>
      <c r="QIU29" s="3"/>
      <c r="QIV29" s="3"/>
      <c r="QIW29" s="3"/>
      <c r="QIX29" s="3"/>
      <c r="QIY29" s="3"/>
      <c r="QIZ29" s="3"/>
      <c r="QJA29" s="3"/>
      <c r="QJB29" s="3"/>
      <c r="QJC29" s="3"/>
      <c r="QJD29" s="3"/>
      <c r="QJE29" s="3"/>
      <c r="QJF29" s="3"/>
      <c r="QJG29" s="3"/>
      <c r="QJH29" s="3"/>
      <c r="QJI29" s="3"/>
      <c r="QJJ29" s="3"/>
      <c r="QJK29" s="3"/>
      <c r="QJL29" s="3"/>
      <c r="QJM29" s="3"/>
      <c r="QJN29" s="3"/>
      <c r="QJO29" s="3"/>
      <c r="QJP29" s="3"/>
      <c r="QJQ29" s="3"/>
      <c r="QJR29" s="3"/>
      <c r="QJS29" s="3"/>
      <c r="QJT29" s="3"/>
      <c r="QJU29" s="3"/>
      <c r="QJV29" s="3"/>
      <c r="QJW29" s="3"/>
      <c r="QJX29" s="3"/>
      <c r="QJY29" s="3"/>
      <c r="QJZ29" s="3"/>
      <c r="QKA29" s="3"/>
      <c r="QKB29" s="3"/>
      <c r="QKC29" s="3"/>
      <c r="QKD29" s="3"/>
      <c r="QKE29" s="3"/>
      <c r="QKF29" s="3"/>
      <c r="QKG29" s="3"/>
      <c r="QKH29" s="3"/>
      <c r="QKI29" s="3"/>
      <c r="QKJ29" s="3"/>
      <c r="QKK29" s="3"/>
      <c r="QKL29" s="3"/>
      <c r="QKM29" s="3"/>
      <c r="QKN29" s="3"/>
      <c r="QKO29" s="3"/>
      <c r="QKP29" s="3"/>
      <c r="QKQ29" s="3"/>
      <c r="QKR29" s="3"/>
      <c r="QKS29" s="3"/>
      <c r="QKT29" s="3"/>
      <c r="QKU29" s="3"/>
      <c r="QKV29" s="3"/>
      <c r="QKW29" s="3"/>
      <c r="QKX29" s="3"/>
      <c r="QKY29" s="3"/>
      <c r="QKZ29" s="3"/>
      <c r="QLA29" s="3"/>
      <c r="QLB29" s="3"/>
      <c r="QLC29" s="3"/>
      <c r="QLD29" s="3"/>
      <c r="QLE29" s="3"/>
      <c r="QLF29" s="3"/>
      <c r="QLG29" s="3"/>
      <c r="QLH29" s="3"/>
      <c r="QLI29" s="3"/>
      <c r="QLJ29" s="3"/>
      <c r="QLK29" s="3"/>
      <c r="QLL29" s="3"/>
      <c r="QLM29" s="3"/>
      <c r="QLN29" s="3"/>
      <c r="QLO29" s="3"/>
      <c r="QLP29" s="3"/>
      <c r="QLQ29" s="3"/>
      <c r="QLR29" s="3"/>
      <c r="QLS29" s="3"/>
      <c r="QLT29" s="3"/>
      <c r="QLU29" s="3"/>
      <c r="QLV29" s="3"/>
      <c r="QLW29" s="3"/>
      <c r="QLX29" s="3"/>
      <c r="QLY29" s="3"/>
      <c r="QLZ29" s="3"/>
      <c r="QMA29" s="3"/>
      <c r="QMB29" s="3"/>
      <c r="QMC29" s="3"/>
      <c r="QMD29" s="3"/>
      <c r="QME29" s="3"/>
      <c r="QMF29" s="3"/>
      <c r="QMG29" s="3"/>
      <c r="QMH29" s="3"/>
      <c r="QMI29" s="3"/>
      <c r="QMJ29" s="3"/>
      <c r="QMK29" s="3"/>
      <c r="QML29" s="3"/>
      <c r="QMM29" s="3"/>
      <c r="QMN29" s="3"/>
      <c r="QMO29" s="3"/>
      <c r="QMP29" s="3"/>
      <c r="QMQ29" s="3"/>
      <c r="QMR29" s="3"/>
      <c r="QMS29" s="3"/>
      <c r="QMT29" s="3"/>
      <c r="QMU29" s="3"/>
      <c r="QMV29" s="3"/>
      <c r="QMW29" s="3"/>
      <c r="QMX29" s="3"/>
      <c r="QMY29" s="3"/>
      <c r="QMZ29" s="3"/>
      <c r="QNA29" s="3"/>
      <c r="QNB29" s="3"/>
      <c r="QNC29" s="3"/>
      <c r="QND29" s="3"/>
      <c r="QNE29" s="3"/>
      <c r="QNF29" s="3"/>
      <c r="QNG29" s="3"/>
      <c r="QNH29" s="3"/>
      <c r="QNI29" s="3"/>
      <c r="QNJ29" s="3"/>
      <c r="QNK29" s="3"/>
      <c r="QNL29" s="3"/>
      <c r="QNM29" s="3"/>
      <c r="QNN29" s="3"/>
      <c r="QNO29" s="3"/>
      <c r="QNP29" s="3"/>
      <c r="QNQ29" s="3"/>
      <c r="QNR29" s="3"/>
      <c r="QNS29" s="3"/>
      <c r="QNT29" s="3"/>
      <c r="QNU29" s="3"/>
      <c r="QNV29" s="3"/>
      <c r="QNW29" s="3"/>
      <c r="QNX29" s="3"/>
      <c r="QNY29" s="3"/>
      <c r="QNZ29" s="3"/>
      <c r="QOA29" s="3"/>
      <c r="QOB29" s="3"/>
      <c r="QOC29" s="3"/>
      <c r="QOD29" s="3"/>
      <c r="QOE29" s="3"/>
      <c r="QOF29" s="3"/>
      <c r="QOG29" s="3"/>
      <c r="QOH29" s="3"/>
      <c r="QOI29" s="3"/>
      <c r="QOJ29" s="3"/>
      <c r="QOK29" s="3"/>
      <c r="QOL29" s="3"/>
      <c r="QOM29" s="3"/>
      <c r="QON29" s="3"/>
      <c r="QOO29" s="3"/>
      <c r="QOP29" s="3"/>
      <c r="QOQ29" s="3"/>
      <c r="QOR29" s="3"/>
      <c r="QOS29" s="3"/>
      <c r="QOT29" s="3"/>
      <c r="QOU29" s="3"/>
      <c r="QOV29" s="3"/>
      <c r="QOW29" s="3"/>
      <c r="QOX29" s="3"/>
      <c r="QOY29" s="3"/>
      <c r="QOZ29" s="3"/>
      <c r="QPA29" s="3"/>
      <c r="QPB29" s="3"/>
      <c r="QPC29" s="3"/>
      <c r="QPD29" s="3"/>
      <c r="QPE29" s="3"/>
      <c r="QPF29" s="3"/>
      <c r="QPG29" s="3"/>
      <c r="QPH29" s="3"/>
      <c r="QPI29" s="3"/>
      <c r="QPJ29" s="3"/>
      <c r="QPK29" s="3"/>
      <c r="QPL29" s="3"/>
      <c r="QPM29" s="3"/>
      <c r="QPN29" s="3"/>
      <c r="QPO29" s="3"/>
      <c r="QPP29" s="3"/>
      <c r="QPQ29" s="3"/>
      <c r="QPR29" s="3"/>
      <c r="QPS29" s="3"/>
      <c r="QPT29" s="3"/>
      <c r="QPU29" s="3"/>
      <c r="QPV29" s="3"/>
      <c r="QPW29" s="3"/>
      <c r="QPX29" s="3"/>
      <c r="QPY29" s="3"/>
      <c r="QPZ29" s="3"/>
      <c r="QQA29" s="3"/>
      <c r="QQB29" s="3"/>
      <c r="QQC29" s="3"/>
      <c r="QQD29" s="3"/>
      <c r="QQE29" s="3"/>
      <c r="QQF29" s="3"/>
      <c r="QQG29" s="3"/>
      <c r="QQH29" s="3"/>
      <c r="QQI29" s="3"/>
      <c r="QQJ29" s="3"/>
      <c r="QQK29" s="3"/>
      <c r="QQL29" s="3"/>
      <c r="QQM29" s="3"/>
      <c r="QQN29" s="3"/>
      <c r="QQO29" s="3"/>
      <c r="QQP29" s="3"/>
      <c r="QQQ29" s="3"/>
      <c r="QQR29" s="3"/>
      <c r="QQS29" s="3"/>
      <c r="QQT29" s="3"/>
      <c r="QQU29" s="3"/>
      <c r="QQV29" s="3"/>
      <c r="QQW29" s="3"/>
      <c r="QQX29" s="3"/>
      <c r="QQY29" s="3"/>
      <c r="QQZ29" s="3"/>
      <c r="QRA29" s="3"/>
      <c r="QRB29" s="3"/>
      <c r="QRC29" s="3"/>
      <c r="QRD29" s="3"/>
      <c r="QRE29" s="3"/>
      <c r="QRF29" s="3"/>
      <c r="QRG29" s="3"/>
      <c r="QRH29" s="3"/>
      <c r="QRI29" s="3"/>
      <c r="QRJ29" s="3"/>
      <c r="QRK29" s="3"/>
      <c r="QRL29" s="3"/>
      <c r="QRM29" s="3"/>
      <c r="QRN29" s="3"/>
      <c r="QRO29" s="3"/>
      <c r="QRP29" s="3"/>
      <c r="QRQ29" s="3"/>
      <c r="QRR29" s="3"/>
      <c r="QRS29" s="3"/>
      <c r="QRT29" s="3"/>
      <c r="QRU29" s="3"/>
      <c r="QRV29" s="3"/>
      <c r="QRW29" s="3"/>
      <c r="QRX29" s="3"/>
      <c r="QRY29" s="3"/>
      <c r="QRZ29" s="3"/>
      <c r="QSA29" s="3"/>
      <c r="QSB29" s="3"/>
      <c r="QSC29" s="3"/>
      <c r="QSD29" s="3"/>
      <c r="QSE29" s="3"/>
      <c r="QSF29" s="3"/>
      <c r="QSG29" s="3"/>
      <c r="QSH29" s="3"/>
      <c r="QSI29" s="3"/>
      <c r="QSJ29" s="3"/>
      <c r="QSK29" s="3"/>
      <c r="QSL29" s="3"/>
      <c r="QSM29" s="3"/>
      <c r="QSN29" s="3"/>
      <c r="QSO29" s="3"/>
      <c r="QSP29" s="3"/>
      <c r="QSQ29" s="3"/>
      <c r="QSR29" s="3"/>
      <c r="QSS29" s="3"/>
      <c r="QST29" s="3"/>
      <c r="QSU29" s="3"/>
      <c r="QSV29" s="3"/>
      <c r="QSW29" s="3"/>
      <c r="QSX29" s="3"/>
      <c r="QSY29" s="3"/>
      <c r="QSZ29" s="3"/>
      <c r="QTA29" s="3"/>
      <c r="QTB29" s="3"/>
      <c r="QTC29" s="3"/>
      <c r="QTD29" s="3"/>
      <c r="QTE29" s="3"/>
      <c r="QTF29" s="3"/>
      <c r="QTG29" s="3"/>
      <c r="QTH29" s="3"/>
      <c r="QTI29" s="3"/>
      <c r="QTJ29" s="3"/>
      <c r="QTK29" s="3"/>
      <c r="QTL29" s="3"/>
      <c r="QTM29" s="3"/>
      <c r="QTN29" s="3"/>
      <c r="QTO29" s="3"/>
      <c r="QTP29" s="3"/>
      <c r="QTQ29" s="3"/>
      <c r="QTR29" s="3"/>
      <c r="QTS29" s="3"/>
      <c r="QTT29" s="3"/>
      <c r="QTU29" s="3"/>
      <c r="QTV29" s="3"/>
      <c r="QTW29" s="3"/>
      <c r="QTX29" s="3"/>
      <c r="QTY29" s="3"/>
      <c r="QTZ29" s="3"/>
      <c r="QUA29" s="3"/>
      <c r="QUB29" s="3"/>
      <c r="QUC29" s="3"/>
      <c r="QUD29" s="3"/>
      <c r="QUE29" s="3"/>
      <c r="QUF29" s="3"/>
      <c r="QUG29" s="3"/>
      <c r="QUH29" s="3"/>
      <c r="QUI29" s="3"/>
      <c r="QUJ29" s="3"/>
      <c r="QUK29" s="3"/>
      <c r="QUL29" s="3"/>
      <c r="QUM29" s="3"/>
      <c r="QUN29" s="3"/>
      <c r="QUO29" s="3"/>
      <c r="QUP29" s="3"/>
      <c r="QUQ29" s="3"/>
      <c r="QUR29" s="3"/>
      <c r="QUS29" s="3"/>
      <c r="QUT29" s="3"/>
      <c r="QUU29" s="3"/>
      <c r="QUV29" s="3"/>
      <c r="QUW29" s="3"/>
      <c r="QUX29" s="3"/>
      <c r="QUY29" s="3"/>
      <c r="QUZ29" s="3"/>
      <c r="QVA29" s="3"/>
      <c r="QVB29" s="3"/>
      <c r="QVC29" s="3"/>
      <c r="QVD29" s="3"/>
      <c r="QVE29" s="3"/>
      <c r="QVF29" s="3"/>
      <c r="QVG29" s="3"/>
      <c r="QVH29" s="3"/>
      <c r="QVI29" s="3"/>
      <c r="QVJ29" s="3"/>
      <c r="QVK29" s="3"/>
      <c r="QVL29" s="3"/>
      <c r="QVM29" s="3"/>
      <c r="QVN29" s="3"/>
      <c r="QVO29" s="3"/>
      <c r="QVP29" s="3"/>
      <c r="QVQ29" s="3"/>
      <c r="QVR29" s="3"/>
      <c r="QVS29" s="3"/>
      <c r="QVT29" s="3"/>
      <c r="QVU29" s="3"/>
      <c r="QVV29" s="3"/>
      <c r="QVW29" s="3"/>
      <c r="QVX29" s="3"/>
      <c r="QVY29" s="3"/>
      <c r="QVZ29" s="3"/>
      <c r="QWA29" s="3"/>
      <c r="QWB29" s="3"/>
      <c r="QWC29" s="3"/>
      <c r="QWD29" s="3"/>
      <c r="QWE29" s="3"/>
      <c r="QWF29" s="3"/>
      <c r="QWG29" s="3"/>
      <c r="QWH29" s="3"/>
      <c r="QWI29" s="3"/>
      <c r="QWJ29" s="3"/>
      <c r="QWK29" s="3"/>
      <c r="QWL29" s="3"/>
      <c r="QWM29" s="3"/>
      <c r="QWN29" s="3"/>
      <c r="QWO29" s="3"/>
      <c r="QWP29" s="3"/>
      <c r="QWQ29" s="3"/>
      <c r="QWR29" s="3"/>
      <c r="QWS29" s="3"/>
      <c r="QWT29" s="3"/>
      <c r="QWU29" s="3"/>
      <c r="QWV29" s="3"/>
      <c r="QWW29" s="3"/>
      <c r="QWX29" s="3"/>
      <c r="QWY29" s="3"/>
      <c r="QWZ29" s="3"/>
      <c r="QXA29" s="3"/>
      <c r="QXB29" s="3"/>
      <c r="QXC29" s="3"/>
      <c r="QXD29" s="3"/>
      <c r="QXE29" s="3"/>
      <c r="QXF29" s="3"/>
      <c r="QXG29" s="3"/>
      <c r="QXH29" s="3"/>
      <c r="QXI29" s="3"/>
      <c r="QXJ29" s="3"/>
      <c r="QXK29" s="3"/>
      <c r="QXL29" s="3"/>
      <c r="QXM29" s="3"/>
      <c r="QXN29" s="3"/>
      <c r="QXO29" s="3"/>
      <c r="QXP29" s="3"/>
      <c r="QXQ29" s="3"/>
      <c r="QXR29" s="3"/>
      <c r="QXS29" s="3"/>
      <c r="QXT29" s="3"/>
      <c r="QXU29" s="3"/>
      <c r="QXV29" s="3"/>
      <c r="QXW29" s="3"/>
      <c r="QXX29" s="3"/>
      <c r="QXY29" s="3"/>
      <c r="QXZ29" s="3"/>
      <c r="QYA29" s="3"/>
      <c r="QYB29" s="3"/>
      <c r="QYC29" s="3"/>
      <c r="QYD29" s="3"/>
      <c r="QYE29" s="3"/>
      <c r="QYF29" s="3"/>
      <c r="QYG29" s="3"/>
      <c r="QYH29" s="3"/>
      <c r="QYI29" s="3"/>
      <c r="QYJ29" s="3"/>
      <c r="QYK29" s="3"/>
      <c r="QYL29" s="3"/>
      <c r="QYM29" s="3"/>
      <c r="QYN29" s="3"/>
      <c r="QYO29" s="3"/>
      <c r="QYP29" s="3"/>
      <c r="QYQ29" s="3"/>
      <c r="QYR29" s="3"/>
      <c r="QYS29" s="3"/>
      <c r="QYT29" s="3"/>
      <c r="QYU29" s="3"/>
      <c r="QYV29" s="3"/>
      <c r="QYW29" s="3"/>
      <c r="QYX29" s="3"/>
      <c r="QYY29" s="3"/>
      <c r="QYZ29" s="3"/>
      <c r="QZA29" s="3"/>
      <c r="QZB29" s="3"/>
      <c r="QZC29" s="3"/>
      <c r="QZD29" s="3"/>
      <c r="QZE29" s="3"/>
      <c r="QZF29" s="3"/>
      <c r="QZG29" s="3"/>
      <c r="QZH29" s="3"/>
      <c r="QZI29" s="3"/>
      <c r="QZJ29" s="3"/>
      <c r="QZK29" s="3"/>
      <c r="QZL29" s="3"/>
      <c r="QZM29" s="3"/>
      <c r="QZN29" s="3"/>
      <c r="QZO29" s="3"/>
      <c r="QZP29" s="3"/>
      <c r="QZQ29" s="3"/>
      <c r="QZR29" s="3"/>
      <c r="QZS29" s="3"/>
      <c r="QZT29" s="3"/>
      <c r="QZU29" s="3"/>
      <c r="QZV29" s="3"/>
      <c r="QZW29" s="3"/>
      <c r="QZX29" s="3"/>
      <c r="QZY29" s="3"/>
      <c r="QZZ29" s="3"/>
      <c r="RAA29" s="3"/>
      <c r="RAB29" s="3"/>
      <c r="RAC29" s="3"/>
      <c r="RAD29" s="3"/>
      <c r="RAE29" s="3"/>
      <c r="RAF29" s="3"/>
      <c r="RAG29" s="3"/>
      <c r="RAH29" s="3"/>
      <c r="RAI29" s="3"/>
      <c r="RAJ29" s="3"/>
      <c r="RAK29" s="3"/>
      <c r="RAL29" s="3"/>
      <c r="RAM29" s="3"/>
      <c r="RAN29" s="3"/>
      <c r="RAO29" s="3"/>
      <c r="RAP29" s="3"/>
      <c r="RAQ29" s="3"/>
      <c r="RAR29" s="3"/>
      <c r="RAS29" s="3"/>
      <c r="RAT29" s="3"/>
      <c r="RAU29" s="3"/>
      <c r="RAV29" s="3"/>
      <c r="RAW29" s="3"/>
      <c r="RAX29" s="3"/>
      <c r="RAY29" s="3"/>
      <c r="RAZ29" s="3"/>
      <c r="RBA29" s="3"/>
      <c r="RBB29" s="3"/>
      <c r="RBC29" s="3"/>
      <c r="RBD29" s="3"/>
      <c r="RBE29" s="3"/>
      <c r="RBF29" s="3"/>
      <c r="RBG29" s="3"/>
      <c r="RBH29" s="3"/>
      <c r="RBI29" s="3"/>
      <c r="RBJ29" s="3"/>
      <c r="RBK29" s="3"/>
      <c r="RBL29" s="3"/>
      <c r="RBM29" s="3"/>
      <c r="RBN29" s="3"/>
      <c r="RBO29" s="3"/>
      <c r="RBP29" s="3"/>
      <c r="RBQ29" s="3"/>
      <c r="RBR29" s="3"/>
      <c r="RBS29" s="3"/>
      <c r="RBT29" s="3"/>
      <c r="RBU29" s="3"/>
      <c r="RBV29" s="3"/>
      <c r="RBW29" s="3"/>
      <c r="RBX29" s="3"/>
      <c r="RBY29" s="3"/>
      <c r="RBZ29" s="3"/>
      <c r="RCA29" s="3"/>
      <c r="RCB29" s="3"/>
      <c r="RCC29" s="3"/>
      <c r="RCD29" s="3"/>
      <c r="RCE29" s="3"/>
      <c r="RCF29" s="3"/>
      <c r="RCG29" s="3"/>
      <c r="RCH29" s="3"/>
      <c r="RCI29" s="3"/>
      <c r="RCJ29" s="3"/>
      <c r="RCK29" s="3"/>
      <c r="RCL29" s="3"/>
      <c r="RCM29" s="3"/>
      <c r="RCN29" s="3"/>
      <c r="RCO29" s="3"/>
      <c r="RCP29" s="3"/>
      <c r="RCQ29" s="3"/>
      <c r="RCR29" s="3"/>
      <c r="RCS29" s="3"/>
      <c r="RCT29" s="3"/>
      <c r="RCU29" s="3"/>
      <c r="RCV29" s="3"/>
      <c r="RCW29" s="3"/>
      <c r="RCX29" s="3"/>
      <c r="RCY29" s="3"/>
      <c r="RCZ29" s="3"/>
      <c r="RDA29" s="3"/>
      <c r="RDB29" s="3"/>
      <c r="RDC29" s="3"/>
      <c r="RDD29" s="3"/>
      <c r="RDE29" s="3"/>
      <c r="RDF29" s="3"/>
      <c r="RDG29" s="3"/>
      <c r="RDH29" s="3"/>
      <c r="RDI29" s="3"/>
      <c r="RDJ29" s="3"/>
      <c r="RDK29" s="3"/>
      <c r="RDL29" s="3"/>
      <c r="RDM29" s="3"/>
      <c r="RDN29" s="3"/>
      <c r="RDO29" s="3"/>
      <c r="RDP29" s="3"/>
      <c r="RDQ29" s="3"/>
      <c r="RDR29" s="3"/>
      <c r="RDS29" s="3"/>
      <c r="RDT29" s="3"/>
      <c r="RDU29" s="3"/>
      <c r="RDV29" s="3"/>
      <c r="RDW29" s="3"/>
      <c r="RDX29" s="3"/>
      <c r="RDY29" s="3"/>
      <c r="RDZ29" s="3"/>
      <c r="REA29" s="3"/>
      <c r="REB29" s="3"/>
      <c r="REC29" s="3"/>
      <c r="RED29" s="3"/>
      <c r="REE29" s="3"/>
      <c r="REF29" s="3"/>
      <c r="REG29" s="3"/>
      <c r="REH29" s="3"/>
      <c r="REI29" s="3"/>
      <c r="REJ29" s="3"/>
      <c r="REK29" s="3"/>
      <c r="REL29" s="3"/>
      <c r="REM29" s="3"/>
      <c r="REN29" s="3"/>
      <c r="REO29" s="3"/>
      <c r="REP29" s="3"/>
      <c r="REQ29" s="3"/>
      <c r="RER29" s="3"/>
      <c r="RES29" s="3"/>
      <c r="RET29" s="3"/>
      <c r="REU29" s="3"/>
      <c r="REV29" s="3"/>
      <c r="REW29" s="3"/>
      <c r="REX29" s="3"/>
      <c r="REY29" s="3"/>
      <c r="REZ29" s="3"/>
      <c r="RFA29" s="3"/>
      <c r="RFB29" s="3"/>
      <c r="RFC29" s="3"/>
      <c r="RFD29" s="3"/>
      <c r="RFE29" s="3"/>
      <c r="RFF29" s="3"/>
      <c r="RFG29" s="3"/>
      <c r="RFH29" s="3"/>
      <c r="RFI29" s="3"/>
      <c r="RFJ29" s="3"/>
      <c r="RFK29" s="3"/>
      <c r="RFL29" s="3"/>
      <c r="RFM29" s="3"/>
      <c r="RFN29" s="3"/>
      <c r="RFO29" s="3"/>
      <c r="RFP29" s="3"/>
      <c r="RFQ29" s="3"/>
      <c r="RFR29" s="3"/>
      <c r="RFS29" s="3"/>
      <c r="RFT29" s="3"/>
      <c r="RFU29" s="3"/>
      <c r="RFV29" s="3"/>
      <c r="RFW29" s="3"/>
      <c r="RFX29" s="3"/>
      <c r="RFY29" s="3"/>
      <c r="RFZ29" s="3"/>
      <c r="RGA29" s="3"/>
      <c r="RGB29" s="3"/>
      <c r="RGC29" s="3"/>
      <c r="RGD29" s="3"/>
      <c r="RGE29" s="3"/>
      <c r="RGF29" s="3"/>
      <c r="RGG29" s="3"/>
      <c r="RGH29" s="3"/>
      <c r="RGI29" s="3"/>
      <c r="RGJ29" s="3"/>
      <c r="RGK29" s="3"/>
      <c r="RGL29" s="3"/>
      <c r="RGM29" s="3"/>
      <c r="RGN29" s="3"/>
      <c r="RGO29" s="3"/>
      <c r="RGP29" s="3"/>
      <c r="RGQ29" s="3"/>
      <c r="RGR29" s="3"/>
      <c r="RGS29" s="3"/>
      <c r="RGT29" s="3"/>
      <c r="RGU29" s="3"/>
      <c r="RGV29" s="3"/>
      <c r="RGW29" s="3"/>
      <c r="RGX29" s="3"/>
      <c r="RGY29" s="3"/>
      <c r="RGZ29" s="3"/>
      <c r="RHA29" s="3"/>
      <c r="RHB29" s="3"/>
      <c r="RHC29" s="3"/>
      <c r="RHD29" s="3"/>
      <c r="RHE29" s="3"/>
      <c r="RHF29" s="3"/>
      <c r="RHG29" s="3"/>
      <c r="RHH29" s="3"/>
      <c r="RHI29" s="3"/>
      <c r="RHJ29" s="3"/>
      <c r="RHK29" s="3"/>
      <c r="RHL29" s="3"/>
      <c r="RHM29" s="3"/>
      <c r="RHN29" s="3"/>
      <c r="RHO29" s="3"/>
      <c r="RHP29" s="3"/>
      <c r="RHQ29" s="3"/>
      <c r="RHR29" s="3"/>
      <c r="RHS29" s="3"/>
      <c r="RHT29" s="3"/>
      <c r="RHU29" s="3"/>
      <c r="RHV29" s="3"/>
      <c r="RHW29" s="3"/>
      <c r="RHX29" s="3"/>
      <c r="RHY29" s="3"/>
      <c r="RHZ29" s="3"/>
      <c r="RIA29" s="3"/>
      <c r="RIB29" s="3"/>
      <c r="RIC29" s="3"/>
      <c r="RID29" s="3"/>
      <c r="RIE29" s="3"/>
      <c r="RIF29" s="3"/>
      <c r="RIG29" s="3"/>
      <c r="RIH29" s="3"/>
      <c r="RII29" s="3"/>
      <c r="RIJ29" s="3"/>
      <c r="RIK29" s="3"/>
      <c r="RIL29" s="3"/>
      <c r="RIM29" s="3"/>
      <c r="RIN29" s="3"/>
      <c r="RIO29" s="3"/>
      <c r="RIP29" s="3"/>
      <c r="RIQ29" s="3"/>
      <c r="RIR29" s="3"/>
      <c r="RIS29" s="3"/>
      <c r="RIT29" s="3"/>
      <c r="RIU29" s="3"/>
      <c r="RIV29" s="3"/>
      <c r="RIW29" s="3"/>
      <c r="RIX29" s="3"/>
      <c r="RIY29" s="3"/>
      <c r="RIZ29" s="3"/>
      <c r="RJA29" s="3"/>
      <c r="RJB29" s="3"/>
      <c r="RJC29" s="3"/>
      <c r="RJD29" s="3"/>
      <c r="RJE29" s="3"/>
      <c r="RJF29" s="3"/>
      <c r="RJG29" s="3"/>
      <c r="RJH29" s="3"/>
      <c r="RJI29" s="3"/>
      <c r="RJJ29" s="3"/>
      <c r="RJK29" s="3"/>
      <c r="RJL29" s="3"/>
      <c r="RJM29" s="3"/>
      <c r="RJN29" s="3"/>
      <c r="RJO29" s="3"/>
      <c r="RJP29" s="3"/>
      <c r="RJQ29" s="3"/>
      <c r="RJR29" s="3"/>
      <c r="RJS29" s="3"/>
      <c r="RJT29" s="3"/>
      <c r="RJU29" s="3"/>
      <c r="RJV29" s="3"/>
      <c r="RJW29" s="3"/>
      <c r="RJX29" s="3"/>
      <c r="RJY29" s="3"/>
      <c r="RJZ29" s="3"/>
      <c r="RKA29" s="3"/>
      <c r="RKB29" s="3"/>
      <c r="RKC29" s="3"/>
      <c r="RKD29" s="3"/>
      <c r="RKE29" s="3"/>
      <c r="RKF29" s="3"/>
      <c r="RKG29" s="3"/>
      <c r="RKH29" s="3"/>
      <c r="RKI29" s="3"/>
      <c r="RKJ29" s="3"/>
      <c r="RKK29" s="3"/>
      <c r="RKL29" s="3"/>
      <c r="RKM29" s="3"/>
      <c r="RKN29" s="3"/>
      <c r="RKO29" s="3"/>
      <c r="RKP29" s="3"/>
      <c r="RKQ29" s="3"/>
      <c r="RKR29" s="3"/>
      <c r="RKS29" s="3"/>
      <c r="RKT29" s="3"/>
      <c r="RKU29" s="3"/>
      <c r="RKV29" s="3"/>
      <c r="RKW29" s="3"/>
      <c r="RKX29" s="3"/>
      <c r="RKY29" s="3"/>
      <c r="RKZ29" s="3"/>
      <c r="RLA29" s="3"/>
      <c r="RLB29" s="3"/>
      <c r="RLC29" s="3"/>
      <c r="RLD29" s="3"/>
      <c r="RLE29" s="3"/>
      <c r="RLF29" s="3"/>
      <c r="RLG29" s="3"/>
      <c r="RLH29" s="3"/>
      <c r="RLI29" s="3"/>
      <c r="RLJ29" s="3"/>
      <c r="RLK29" s="3"/>
      <c r="RLL29" s="3"/>
      <c r="RLM29" s="3"/>
      <c r="RLN29" s="3"/>
      <c r="RLO29" s="3"/>
      <c r="RLP29" s="3"/>
      <c r="RLQ29" s="3"/>
      <c r="RLR29" s="3"/>
      <c r="RLS29" s="3"/>
      <c r="RLT29" s="3"/>
      <c r="RLU29" s="3"/>
      <c r="RLV29" s="3"/>
      <c r="RLW29" s="3"/>
      <c r="RLX29" s="3"/>
      <c r="RLY29" s="3"/>
      <c r="RLZ29" s="3"/>
      <c r="RMA29" s="3"/>
      <c r="RMB29" s="3"/>
      <c r="RMC29" s="3"/>
      <c r="RMD29" s="3"/>
      <c r="RME29" s="3"/>
      <c r="RMF29" s="3"/>
      <c r="RMG29" s="3"/>
      <c r="RMH29" s="3"/>
      <c r="RMI29" s="3"/>
      <c r="RMJ29" s="3"/>
      <c r="RMK29" s="3"/>
      <c r="RML29" s="3"/>
      <c r="RMM29" s="3"/>
      <c r="RMN29" s="3"/>
      <c r="RMO29" s="3"/>
      <c r="RMP29" s="3"/>
      <c r="RMQ29" s="3"/>
      <c r="RMR29" s="3"/>
      <c r="RMS29" s="3"/>
      <c r="RMT29" s="3"/>
      <c r="RMU29" s="3"/>
      <c r="RMV29" s="3"/>
      <c r="RMW29" s="3"/>
      <c r="RMX29" s="3"/>
      <c r="RMY29" s="3"/>
      <c r="RMZ29" s="3"/>
      <c r="RNA29" s="3"/>
      <c r="RNB29" s="3"/>
      <c r="RNC29" s="3"/>
      <c r="RND29" s="3"/>
      <c r="RNE29" s="3"/>
      <c r="RNF29" s="3"/>
      <c r="RNG29" s="3"/>
      <c r="RNH29" s="3"/>
      <c r="RNI29" s="3"/>
      <c r="RNJ29" s="3"/>
      <c r="RNK29" s="3"/>
      <c r="RNL29" s="3"/>
      <c r="RNM29" s="3"/>
      <c r="RNN29" s="3"/>
      <c r="RNO29" s="3"/>
      <c r="RNP29" s="3"/>
      <c r="RNQ29" s="3"/>
      <c r="RNR29" s="3"/>
      <c r="RNS29" s="3"/>
      <c r="RNT29" s="3"/>
      <c r="RNU29" s="3"/>
      <c r="RNV29" s="3"/>
      <c r="RNW29" s="3"/>
      <c r="RNX29" s="3"/>
      <c r="RNY29" s="3"/>
      <c r="RNZ29" s="3"/>
      <c r="ROA29" s="3"/>
      <c r="ROB29" s="3"/>
      <c r="ROC29" s="3"/>
      <c r="ROD29" s="3"/>
      <c r="ROE29" s="3"/>
      <c r="ROF29" s="3"/>
      <c r="ROG29" s="3"/>
      <c r="ROH29" s="3"/>
      <c r="ROI29" s="3"/>
      <c r="ROJ29" s="3"/>
      <c r="ROK29" s="3"/>
      <c r="ROL29" s="3"/>
      <c r="ROM29" s="3"/>
      <c r="RON29" s="3"/>
      <c r="ROO29" s="3"/>
      <c r="ROP29" s="3"/>
      <c r="ROQ29" s="3"/>
      <c r="ROR29" s="3"/>
      <c r="ROS29" s="3"/>
      <c r="ROT29" s="3"/>
      <c r="ROU29" s="3"/>
      <c r="ROV29" s="3"/>
      <c r="ROW29" s="3"/>
      <c r="ROX29" s="3"/>
      <c r="ROY29" s="3"/>
      <c r="ROZ29" s="3"/>
      <c r="RPA29" s="3"/>
      <c r="RPB29" s="3"/>
      <c r="RPC29" s="3"/>
      <c r="RPD29" s="3"/>
      <c r="RPE29" s="3"/>
      <c r="RPF29" s="3"/>
      <c r="RPG29" s="3"/>
      <c r="RPH29" s="3"/>
      <c r="RPI29" s="3"/>
      <c r="RPJ29" s="3"/>
      <c r="RPK29" s="3"/>
      <c r="RPL29" s="3"/>
      <c r="RPM29" s="3"/>
      <c r="RPN29" s="3"/>
      <c r="RPO29" s="3"/>
      <c r="RPP29" s="3"/>
      <c r="RPQ29" s="3"/>
      <c r="RPR29" s="3"/>
      <c r="RPS29" s="3"/>
      <c r="RPT29" s="3"/>
      <c r="RPU29" s="3"/>
      <c r="RPV29" s="3"/>
      <c r="RPW29" s="3"/>
      <c r="RPX29" s="3"/>
      <c r="RPY29" s="3"/>
      <c r="RPZ29" s="3"/>
      <c r="RQA29" s="3"/>
      <c r="RQB29" s="3"/>
      <c r="RQC29" s="3"/>
      <c r="RQD29" s="3"/>
      <c r="RQE29" s="3"/>
      <c r="RQF29" s="3"/>
      <c r="RQG29" s="3"/>
      <c r="RQH29" s="3"/>
      <c r="RQI29" s="3"/>
      <c r="RQJ29" s="3"/>
      <c r="RQK29" s="3"/>
      <c r="RQL29" s="3"/>
      <c r="RQM29" s="3"/>
      <c r="RQN29" s="3"/>
      <c r="RQO29" s="3"/>
      <c r="RQP29" s="3"/>
      <c r="RQQ29" s="3"/>
      <c r="RQR29" s="3"/>
      <c r="RQS29" s="3"/>
      <c r="RQT29" s="3"/>
      <c r="RQU29" s="3"/>
      <c r="RQV29" s="3"/>
      <c r="RQW29" s="3"/>
      <c r="RQX29" s="3"/>
      <c r="RQY29" s="3"/>
      <c r="RQZ29" s="3"/>
      <c r="RRA29" s="3"/>
      <c r="RRB29" s="3"/>
      <c r="RRC29" s="3"/>
      <c r="RRD29" s="3"/>
      <c r="RRE29" s="3"/>
      <c r="RRF29" s="3"/>
      <c r="RRG29" s="3"/>
      <c r="RRH29" s="3"/>
      <c r="RRI29" s="3"/>
      <c r="RRJ29" s="3"/>
      <c r="RRK29" s="3"/>
      <c r="RRL29" s="3"/>
      <c r="RRM29" s="3"/>
      <c r="RRN29" s="3"/>
      <c r="RRO29" s="3"/>
      <c r="RRP29" s="3"/>
      <c r="RRQ29" s="3"/>
      <c r="RRR29" s="3"/>
      <c r="RRS29" s="3"/>
      <c r="RRT29" s="3"/>
      <c r="RRU29" s="3"/>
      <c r="RRV29" s="3"/>
      <c r="RRW29" s="3"/>
      <c r="RRX29" s="3"/>
      <c r="RRY29" s="3"/>
      <c r="RRZ29" s="3"/>
      <c r="RSA29" s="3"/>
      <c r="RSB29" s="3"/>
      <c r="RSC29" s="3"/>
      <c r="RSD29" s="3"/>
      <c r="RSE29" s="3"/>
      <c r="RSF29" s="3"/>
      <c r="RSG29" s="3"/>
      <c r="RSH29" s="3"/>
      <c r="RSI29" s="3"/>
      <c r="RSJ29" s="3"/>
      <c r="RSK29" s="3"/>
      <c r="RSL29" s="3"/>
      <c r="RSM29" s="3"/>
      <c r="RSN29" s="3"/>
      <c r="RSO29" s="3"/>
      <c r="RSP29" s="3"/>
      <c r="RSQ29" s="3"/>
      <c r="RSR29" s="3"/>
      <c r="RSS29" s="3"/>
      <c r="RST29" s="3"/>
      <c r="RSU29" s="3"/>
      <c r="RSV29" s="3"/>
      <c r="RSW29" s="3"/>
      <c r="RSX29" s="3"/>
      <c r="RSY29" s="3"/>
      <c r="RSZ29" s="3"/>
      <c r="RTA29" s="3"/>
      <c r="RTB29" s="3"/>
      <c r="RTC29" s="3"/>
      <c r="RTD29" s="3"/>
      <c r="RTE29" s="3"/>
      <c r="RTF29" s="3"/>
      <c r="RTG29" s="3"/>
      <c r="RTH29" s="3"/>
      <c r="RTI29" s="3"/>
      <c r="RTJ29" s="3"/>
      <c r="RTK29" s="3"/>
      <c r="RTL29" s="3"/>
      <c r="RTM29" s="3"/>
      <c r="RTN29" s="3"/>
      <c r="RTO29" s="3"/>
      <c r="RTP29" s="3"/>
      <c r="RTQ29" s="3"/>
      <c r="RTR29" s="3"/>
      <c r="RTS29" s="3"/>
      <c r="RTT29" s="3"/>
      <c r="RTU29" s="3"/>
      <c r="RTV29" s="3"/>
      <c r="RTW29" s="3"/>
      <c r="RTX29" s="3"/>
      <c r="RTY29" s="3"/>
      <c r="RTZ29" s="3"/>
      <c r="RUA29" s="3"/>
      <c r="RUB29" s="3"/>
      <c r="RUC29" s="3"/>
      <c r="RUD29" s="3"/>
      <c r="RUE29" s="3"/>
      <c r="RUF29" s="3"/>
      <c r="RUG29" s="3"/>
      <c r="RUH29" s="3"/>
      <c r="RUI29" s="3"/>
      <c r="RUJ29" s="3"/>
      <c r="RUK29" s="3"/>
      <c r="RUL29" s="3"/>
      <c r="RUM29" s="3"/>
      <c r="RUN29" s="3"/>
      <c r="RUO29" s="3"/>
      <c r="RUP29" s="3"/>
      <c r="RUQ29" s="3"/>
      <c r="RUR29" s="3"/>
      <c r="RUS29" s="3"/>
      <c r="RUT29" s="3"/>
      <c r="RUU29" s="3"/>
      <c r="RUV29" s="3"/>
      <c r="RUW29" s="3"/>
      <c r="RUX29" s="3"/>
      <c r="RUY29" s="3"/>
      <c r="RUZ29" s="3"/>
      <c r="RVA29" s="3"/>
      <c r="RVB29" s="3"/>
      <c r="RVC29" s="3"/>
      <c r="RVD29" s="3"/>
      <c r="RVE29" s="3"/>
      <c r="RVF29" s="3"/>
      <c r="RVG29" s="3"/>
      <c r="RVH29" s="3"/>
      <c r="RVI29" s="3"/>
      <c r="RVJ29" s="3"/>
      <c r="RVK29" s="3"/>
      <c r="RVL29" s="3"/>
      <c r="RVM29" s="3"/>
      <c r="RVN29" s="3"/>
      <c r="RVO29" s="3"/>
      <c r="RVP29" s="3"/>
      <c r="RVQ29" s="3"/>
      <c r="RVR29" s="3"/>
      <c r="RVS29" s="3"/>
      <c r="RVT29" s="3"/>
      <c r="RVU29" s="3"/>
      <c r="RVV29" s="3"/>
      <c r="RVW29" s="3"/>
      <c r="RVX29" s="3"/>
      <c r="RVY29" s="3"/>
      <c r="RVZ29" s="3"/>
      <c r="RWA29" s="3"/>
      <c r="RWB29" s="3"/>
      <c r="RWC29" s="3"/>
      <c r="RWD29" s="3"/>
      <c r="RWE29" s="3"/>
      <c r="RWF29" s="3"/>
      <c r="RWG29" s="3"/>
      <c r="RWH29" s="3"/>
      <c r="RWI29" s="3"/>
      <c r="RWJ29" s="3"/>
      <c r="RWK29" s="3"/>
      <c r="RWL29" s="3"/>
      <c r="RWM29" s="3"/>
      <c r="RWN29" s="3"/>
      <c r="RWO29" s="3"/>
      <c r="RWP29" s="3"/>
      <c r="RWQ29" s="3"/>
      <c r="RWR29" s="3"/>
      <c r="RWS29" s="3"/>
      <c r="RWT29" s="3"/>
      <c r="RWU29" s="3"/>
      <c r="RWV29" s="3"/>
      <c r="RWW29" s="3"/>
      <c r="RWX29" s="3"/>
      <c r="RWY29" s="3"/>
      <c r="RWZ29" s="3"/>
      <c r="RXA29" s="3"/>
      <c r="RXB29" s="3"/>
      <c r="RXC29" s="3"/>
      <c r="RXD29" s="3"/>
      <c r="RXE29" s="3"/>
      <c r="RXF29" s="3"/>
      <c r="RXG29" s="3"/>
      <c r="RXH29" s="3"/>
      <c r="RXI29" s="3"/>
      <c r="RXJ29" s="3"/>
      <c r="RXK29" s="3"/>
      <c r="RXL29" s="3"/>
      <c r="RXM29" s="3"/>
      <c r="RXN29" s="3"/>
      <c r="RXO29" s="3"/>
      <c r="RXP29" s="3"/>
      <c r="RXQ29" s="3"/>
      <c r="RXR29" s="3"/>
      <c r="RXS29" s="3"/>
      <c r="RXT29" s="3"/>
      <c r="RXU29" s="3"/>
      <c r="RXV29" s="3"/>
      <c r="RXW29" s="3"/>
      <c r="RXX29" s="3"/>
      <c r="RXY29" s="3"/>
      <c r="RXZ29" s="3"/>
      <c r="RYA29" s="3"/>
      <c r="RYB29" s="3"/>
      <c r="RYC29" s="3"/>
      <c r="RYD29" s="3"/>
      <c r="RYE29" s="3"/>
      <c r="RYF29" s="3"/>
      <c r="RYG29" s="3"/>
      <c r="RYH29" s="3"/>
      <c r="RYI29" s="3"/>
      <c r="RYJ29" s="3"/>
      <c r="RYK29" s="3"/>
      <c r="RYL29" s="3"/>
      <c r="RYM29" s="3"/>
      <c r="RYN29" s="3"/>
      <c r="RYO29" s="3"/>
      <c r="RYP29" s="3"/>
      <c r="RYQ29" s="3"/>
      <c r="RYR29" s="3"/>
      <c r="RYS29" s="3"/>
      <c r="RYT29" s="3"/>
      <c r="RYU29" s="3"/>
      <c r="RYV29" s="3"/>
      <c r="RYW29" s="3"/>
      <c r="RYX29" s="3"/>
      <c r="RYY29" s="3"/>
      <c r="RYZ29" s="3"/>
      <c r="RZA29" s="3"/>
      <c r="RZB29" s="3"/>
      <c r="RZC29" s="3"/>
      <c r="RZD29" s="3"/>
      <c r="RZE29" s="3"/>
      <c r="RZF29" s="3"/>
      <c r="RZG29" s="3"/>
      <c r="RZH29" s="3"/>
      <c r="RZI29" s="3"/>
      <c r="RZJ29" s="3"/>
      <c r="RZK29" s="3"/>
      <c r="RZL29" s="3"/>
      <c r="RZM29" s="3"/>
      <c r="RZN29" s="3"/>
      <c r="RZO29" s="3"/>
      <c r="RZP29" s="3"/>
      <c r="RZQ29" s="3"/>
      <c r="RZR29" s="3"/>
      <c r="RZS29" s="3"/>
      <c r="RZT29" s="3"/>
      <c r="RZU29" s="3"/>
      <c r="RZV29" s="3"/>
      <c r="RZW29" s="3"/>
      <c r="RZX29" s="3"/>
      <c r="RZY29" s="3"/>
      <c r="RZZ29" s="3"/>
      <c r="SAA29" s="3"/>
      <c r="SAB29" s="3"/>
      <c r="SAC29" s="3"/>
      <c r="SAD29" s="3"/>
      <c r="SAE29" s="3"/>
      <c r="SAF29" s="3"/>
      <c r="SAG29" s="3"/>
      <c r="SAH29" s="3"/>
      <c r="SAI29" s="3"/>
      <c r="SAJ29" s="3"/>
      <c r="SAK29" s="3"/>
      <c r="SAL29" s="3"/>
      <c r="SAM29" s="3"/>
      <c r="SAN29" s="3"/>
      <c r="SAO29" s="3"/>
      <c r="SAP29" s="3"/>
      <c r="SAQ29" s="3"/>
      <c r="SAR29" s="3"/>
      <c r="SAS29" s="3"/>
      <c r="SAT29" s="3"/>
      <c r="SAU29" s="3"/>
      <c r="SAV29" s="3"/>
      <c r="SAW29" s="3"/>
      <c r="SAX29" s="3"/>
      <c r="SAY29" s="3"/>
      <c r="SAZ29" s="3"/>
      <c r="SBA29" s="3"/>
      <c r="SBB29" s="3"/>
      <c r="SBC29" s="3"/>
      <c r="SBD29" s="3"/>
      <c r="SBE29" s="3"/>
      <c r="SBF29" s="3"/>
      <c r="SBG29" s="3"/>
      <c r="SBH29" s="3"/>
      <c r="SBI29" s="3"/>
      <c r="SBJ29" s="3"/>
      <c r="SBK29" s="3"/>
      <c r="SBL29" s="3"/>
      <c r="SBM29" s="3"/>
      <c r="SBN29" s="3"/>
      <c r="SBO29" s="3"/>
      <c r="SBP29" s="3"/>
      <c r="SBQ29" s="3"/>
      <c r="SBR29" s="3"/>
      <c r="SBS29" s="3"/>
      <c r="SBT29" s="3"/>
      <c r="SBU29" s="3"/>
      <c r="SBV29" s="3"/>
      <c r="SBW29" s="3"/>
      <c r="SBX29" s="3"/>
      <c r="SBY29" s="3"/>
      <c r="SBZ29" s="3"/>
      <c r="SCA29" s="3"/>
      <c r="SCB29" s="3"/>
      <c r="SCC29" s="3"/>
      <c r="SCD29" s="3"/>
      <c r="SCE29" s="3"/>
      <c r="SCF29" s="3"/>
      <c r="SCG29" s="3"/>
      <c r="SCH29" s="3"/>
      <c r="SCI29" s="3"/>
      <c r="SCJ29" s="3"/>
      <c r="SCK29" s="3"/>
      <c r="SCL29" s="3"/>
      <c r="SCM29" s="3"/>
      <c r="SCN29" s="3"/>
      <c r="SCO29" s="3"/>
      <c r="SCP29" s="3"/>
      <c r="SCQ29" s="3"/>
      <c r="SCR29" s="3"/>
      <c r="SCS29" s="3"/>
      <c r="SCT29" s="3"/>
      <c r="SCU29" s="3"/>
      <c r="SCV29" s="3"/>
      <c r="SCW29" s="3"/>
      <c r="SCX29" s="3"/>
      <c r="SCY29" s="3"/>
      <c r="SCZ29" s="3"/>
      <c r="SDA29" s="3"/>
      <c r="SDB29" s="3"/>
      <c r="SDC29" s="3"/>
      <c r="SDD29" s="3"/>
      <c r="SDE29" s="3"/>
      <c r="SDF29" s="3"/>
      <c r="SDG29" s="3"/>
      <c r="SDH29" s="3"/>
      <c r="SDI29" s="3"/>
      <c r="SDJ29" s="3"/>
      <c r="SDK29" s="3"/>
      <c r="SDL29" s="3"/>
      <c r="SDM29" s="3"/>
      <c r="SDN29" s="3"/>
      <c r="SDO29" s="3"/>
      <c r="SDP29" s="3"/>
      <c r="SDQ29" s="3"/>
      <c r="SDR29" s="3"/>
      <c r="SDS29" s="3"/>
      <c r="SDT29" s="3"/>
      <c r="SDU29" s="3"/>
      <c r="SDV29" s="3"/>
      <c r="SDW29" s="3"/>
      <c r="SDX29" s="3"/>
      <c r="SDY29" s="3"/>
      <c r="SDZ29" s="3"/>
      <c r="SEA29" s="3"/>
      <c r="SEB29" s="3"/>
      <c r="SEC29" s="3"/>
      <c r="SED29" s="3"/>
      <c r="SEE29" s="3"/>
      <c r="SEF29" s="3"/>
      <c r="SEG29" s="3"/>
      <c r="SEH29" s="3"/>
      <c r="SEI29" s="3"/>
      <c r="SEJ29" s="3"/>
      <c r="SEK29" s="3"/>
      <c r="SEL29" s="3"/>
      <c r="SEM29" s="3"/>
      <c r="SEN29" s="3"/>
      <c r="SEO29" s="3"/>
      <c r="SEP29" s="3"/>
      <c r="SEQ29" s="3"/>
      <c r="SER29" s="3"/>
      <c r="SES29" s="3"/>
      <c r="SET29" s="3"/>
      <c r="SEU29" s="3"/>
      <c r="SEV29" s="3"/>
      <c r="SEW29" s="3"/>
      <c r="SEX29" s="3"/>
      <c r="SEY29" s="3"/>
      <c r="SEZ29" s="3"/>
      <c r="SFA29" s="3"/>
      <c r="SFB29" s="3"/>
      <c r="SFC29" s="3"/>
      <c r="SFD29" s="3"/>
      <c r="SFE29" s="3"/>
      <c r="SFF29" s="3"/>
      <c r="SFG29" s="3"/>
      <c r="SFH29" s="3"/>
      <c r="SFI29" s="3"/>
      <c r="SFJ29" s="3"/>
      <c r="SFK29" s="3"/>
      <c r="SFL29" s="3"/>
      <c r="SFM29" s="3"/>
      <c r="SFN29" s="3"/>
      <c r="SFO29" s="3"/>
      <c r="SFP29" s="3"/>
      <c r="SFQ29" s="3"/>
      <c r="SFR29" s="3"/>
      <c r="SFS29" s="3"/>
      <c r="SFT29" s="3"/>
      <c r="SFU29" s="3"/>
      <c r="SFV29" s="3"/>
      <c r="SFW29" s="3"/>
      <c r="SFX29" s="3"/>
      <c r="SFY29" s="3"/>
      <c r="SFZ29" s="3"/>
      <c r="SGA29" s="3"/>
      <c r="SGB29" s="3"/>
      <c r="SGC29" s="3"/>
      <c r="SGD29" s="3"/>
      <c r="SGE29" s="3"/>
      <c r="SGF29" s="3"/>
      <c r="SGG29" s="3"/>
      <c r="SGH29" s="3"/>
      <c r="SGI29" s="3"/>
      <c r="SGJ29" s="3"/>
      <c r="SGK29" s="3"/>
      <c r="SGL29" s="3"/>
      <c r="SGM29" s="3"/>
      <c r="SGN29" s="3"/>
      <c r="SGO29" s="3"/>
      <c r="SGP29" s="3"/>
      <c r="SGQ29" s="3"/>
      <c r="SGR29" s="3"/>
      <c r="SGS29" s="3"/>
      <c r="SGT29" s="3"/>
      <c r="SGU29" s="3"/>
      <c r="SGV29" s="3"/>
      <c r="SGW29" s="3"/>
      <c r="SGX29" s="3"/>
      <c r="SGY29" s="3"/>
      <c r="SGZ29" s="3"/>
      <c r="SHA29" s="3"/>
      <c r="SHB29" s="3"/>
      <c r="SHC29" s="3"/>
      <c r="SHD29" s="3"/>
      <c r="SHE29" s="3"/>
      <c r="SHF29" s="3"/>
      <c r="SHG29" s="3"/>
      <c r="SHH29" s="3"/>
      <c r="SHI29" s="3"/>
      <c r="SHJ29" s="3"/>
      <c r="SHK29" s="3"/>
      <c r="SHL29" s="3"/>
      <c r="SHM29" s="3"/>
      <c r="SHN29" s="3"/>
      <c r="SHO29" s="3"/>
      <c r="SHP29" s="3"/>
      <c r="SHQ29" s="3"/>
      <c r="SHR29" s="3"/>
      <c r="SHS29" s="3"/>
      <c r="SHT29" s="3"/>
      <c r="SHU29" s="3"/>
      <c r="SHV29" s="3"/>
      <c r="SHW29" s="3"/>
      <c r="SHX29" s="3"/>
      <c r="SHY29" s="3"/>
      <c r="SHZ29" s="3"/>
      <c r="SIA29" s="3"/>
      <c r="SIB29" s="3"/>
      <c r="SIC29" s="3"/>
      <c r="SID29" s="3"/>
      <c r="SIE29" s="3"/>
      <c r="SIF29" s="3"/>
      <c r="SIG29" s="3"/>
      <c r="SIH29" s="3"/>
      <c r="SII29" s="3"/>
      <c r="SIJ29" s="3"/>
      <c r="SIK29" s="3"/>
      <c r="SIL29" s="3"/>
      <c r="SIM29" s="3"/>
      <c r="SIN29" s="3"/>
      <c r="SIO29" s="3"/>
      <c r="SIP29" s="3"/>
      <c r="SIQ29" s="3"/>
      <c r="SIR29" s="3"/>
      <c r="SIS29" s="3"/>
      <c r="SIT29" s="3"/>
      <c r="SIU29" s="3"/>
      <c r="SIV29" s="3"/>
      <c r="SIW29" s="3"/>
      <c r="SIX29" s="3"/>
      <c r="SIY29" s="3"/>
      <c r="SIZ29" s="3"/>
      <c r="SJA29" s="3"/>
      <c r="SJB29" s="3"/>
      <c r="SJC29" s="3"/>
      <c r="SJD29" s="3"/>
      <c r="SJE29" s="3"/>
      <c r="SJF29" s="3"/>
      <c r="SJG29" s="3"/>
      <c r="SJH29" s="3"/>
      <c r="SJI29" s="3"/>
      <c r="SJJ29" s="3"/>
      <c r="SJK29" s="3"/>
      <c r="SJL29" s="3"/>
      <c r="SJM29" s="3"/>
      <c r="SJN29" s="3"/>
      <c r="SJO29" s="3"/>
      <c r="SJP29" s="3"/>
      <c r="SJQ29" s="3"/>
      <c r="SJR29" s="3"/>
      <c r="SJS29" s="3"/>
      <c r="SJT29" s="3"/>
      <c r="SJU29" s="3"/>
      <c r="SJV29" s="3"/>
      <c r="SJW29" s="3"/>
      <c r="SJX29" s="3"/>
      <c r="SJY29" s="3"/>
      <c r="SJZ29" s="3"/>
      <c r="SKA29" s="3"/>
      <c r="SKB29" s="3"/>
      <c r="SKC29" s="3"/>
      <c r="SKD29" s="3"/>
      <c r="SKE29" s="3"/>
      <c r="SKF29" s="3"/>
      <c r="SKG29" s="3"/>
      <c r="SKH29" s="3"/>
      <c r="SKI29" s="3"/>
      <c r="SKJ29" s="3"/>
      <c r="SKK29" s="3"/>
      <c r="SKL29" s="3"/>
      <c r="SKM29" s="3"/>
      <c r="SKN29" s="3"/>
      <c r="SKO29" s="3"/>
      <c r="SKP29" s="3"/>
      <c r="SKQ29" s="3"/>
      <c r="SKR29" s="3"/>
      <c r="SKS29" s="3"/>
      <c r="SKT29" s="3"/>
      <c r="SKU29" s="3"/>
      <c r="SKV29" s="3"/>
      <c r="SKW29" s="3"/>
      <c r="SKX29" s="3"/>
      <c r="SKY29" s="3"/>
      <c r="SKZ29" s="3"/>
      <c r="SLA29" s="3"/>
      <c r="SLB29" s="3"/>
      <c r="SLC29" s="3"/>
      <c r="SLD29" s="3"/>
      <c r="SLE29" s="3"/>
      <c r="SLF29" s="3"/>
      <c r="SLG29" s="3"/>
      <c r="SLH29" s="3"/>
      <c r="SLI29" s="3"/>
      <c r="SLJ29" s="3"/>
      <c r="SLK29" s="3"/>
      <c r="SLL29" s="3"/>
      <c r="SLM29" s="3"/>
      <c r="SLN29" s="3"/>
      <c r="SLO29" s="3"/>
      <c r="SLP29" s="3"/>
      <c r="SLQ29" s="3"/>
      <c r="SLR29" s="3"/>
      <c r="SLS29" s="3"/>
      <c r="SLT29" s="3"/>
      <c r="SLU29" s="3"/>
      <c r="SLV29" s="3"/>
      <c r="SLW29" s="3"/>
      <c r="SLX29" s="3"/>
      <c r="SLY29" s="3"/>
      <c r="SLZ29" s="3"/>
      <c r="SMA29" s="3"/>
      <c r="SMB29" s="3"/>
      <c r="SMC29" s="3"/>
      <c r="SMD29" s="3"/>
      <c r="SME29" s="3"/>
      <c r="SMF29" s="3"/>
      <c r="SMG29" s="3"/>
      <c r="SMH29" s="3"/>
      <c r="SMI29" s="3"/>
      <c r="SMJ29" s="3"/>
      <c r="SMK29" s="3"/>
      <c r="SML29" s="3"/>
      <c r="SMM29" s="3"/>
      <c r="SMN29" s="3"/>
      <c r="SMO29" s="3"/>
      <c r="SMP29" s="3"/>
      <c r="SMQ29" s="3"/>
      <c r="SMR29" s="3"/>
      <c r="SMS29" s="3"/>
      <c r="SMT29" s="3"/>
      <c r="SMU29" s="3"/>
      <c r="SMV29" s="3"/>
      <c r="SMW29" s="3"/>
      <c r="SMX29" s="3"/>
      <c r="SMY29" s="3"/>
      <c r="SMZ29" s="3"/>
      <c r="SNA29" s="3"/>
      <c r="SNB29" s="3"/>
      <c r="SNC29" s="3"/>
      <c r="SND29" s="3"/>
      <c r="SNE29" s="3"/>
      <c r="SNF29" s="3"/>
      <c r="SNG29" s="3"/>
      <c r="SNH29" s="3"/>
      <c r="SNI29" s="3"/>
      <c r="SNJ29" s="3"/>
      <c r="SNK29" s="3"/>
      <c r="SNL29" s="3"/>
      <c r="SNM29" s="3"/>
      <c r="SNN29" s="3"/>
      <c r="SNO29" s="3"/>
      <c r="SNP29" s="3"/>
      <c r="SNQ29" s="3"/>
      <c r="SNR29" s="3"/>
      <c r="SNS29" s="3"/>
      <c r="SNT29" s="3"/>
      <c r="SNU29" s="3"/>
      <c r="SNV29" s="3"/>
      <c r="SNW29" s="3"/>
      <c r="SNX29" s="3"/>
      <c r="SNY29" s="3"/>
      <c r="SNZ29" s="3"/>
      <c r="SOA29" s="3"/>
      <c r="SOB29" s="3"/>
      <c r="SOC29" s="3"/>
      <c r="SOD29" s="3"/>
      <c r="SOE29" s="3"/>
      <c r="SOF29" s="3"/>
      <c r="SOG29" s="3"/>
      <c r="SOH29" s="3"/>
      <c r="SOI29" s="3"/>
      <c r="SOJ29" s="3"/>
      <c r="SOK29" s="3"/>
      <c r="SOL29" s="3"/>
      <c r="SOM29" s="3"/>
      <c r="SON29" s="3"/>
      <c r="SOO29" s="3"/>
      <c r="SOP29" s="3"/>
      <c r="SOQ29" s="3"/>
      <c r="SOR29" s="3"/>
      <c r="SOS29" s="3"/>
      <c r="SOT29" s="3"/>
      <c r="SOU29" s="3"/>
      <c r="SOV29" s="3"/>
      <c r="SOW29" s="3"/>
      <c r="SOX29" s="3"/>
      <c r="SOY29" s="3"/>
      <c r="SOZ29" s="3"/>
      <c r="SPA29" s="3"/>
      <c r="SPB29" s="3"/>
      <c r="SPC29" s="3"/>
      <c r="SPD29" s="3"/>
      <c r="SPE29" s="3"/>
      <c r="SPF29" s="3"/>
      <c r="SPG29" s="3"/>
      <c r="SPH29" s="3"/>
      <c r="SPI29" s="3"/>
      <c r="SPJ29" s="3"/>
      <c r="SPK29" s="3"/>
      <c r="SPL29" s="3"/>
      <c r="SPM29" s="3"/>
      <c r="SPN29" s="3"/>
      <c r="SPO29" s="3"/>
      <c r="SPP29" s="3"/>
      <c r="SPQ29" s="3"/>
      <c r="SPR29" s="3"/>
      <c r="SPS29" s="3"/>
      <c r="SPT29" s="3"/>
      <c r="SPU29" s="3"/>
      <c r="SPV29" s="3"/>
      <c r="SPW29" s="3"/>
      <c r="SPX29" s="3"/>
      <c r="SPY29" s="3"/>
      <c r="SPZ29" s="3"/>
      <c r="SQA29" s="3"/>
      <c r="SQB29" s="3"/>
      <c r="SQC29" s="3"/>
      <c r="SQD29" s="3"/>
      <c r="SQE29" s="3"/>
      <c r="SQF29" s="3"/>
      <c r="SQG29" s="3"/>
      <c r="SQH29" s="3"/>
      <c r="SQI29" s="3"/>
      <c r="SQJ29" s="3"/>
      <c r="SQK29" s="3"/>
      <c r="SQL29" s="3"/>
      <c r="SQM29" s="3"/>
      <c r="SQN29" s="3"/>
      <c r="SQO29" s="3"/>
      <c r="SQP29" s="3"/>
      <c r="SQQ29" s="3"/>
      <c r="SQR29" s="3"/>
      <c r="SQS29" s="3"/>
      <c r="SQT29" s="3"/>
      <c r="SQU29" s="3"/>
      <c r="SQV29" s="3"/>
      <c r="SQW29" s="3"/>
      <c r="SQX29" s="3"/>
      <c r="SQY29" s="3"/>
      <c r="SQZ29" s="3"/>
      <c r="SRA29" s="3"/>
      <c r="SRB29" s="3"/>
      <c r="SRC29" s="3"/>
      <c r="SRD29" s="3"/>
      <c r="SRE29" s="3"/>
      <c r="SRF29" s="3"/>
      <c r="SRG29" s="3"/>
      <c r="SRH29" s="3"/>
      <c r="SRI29" s="3"/>
      <c r="SRJ29" s="3"/>
      <c r="SRK29" s="3"/>
      <c r="SRL29" s="3"/>
      <c r="SRM29" s="3"/>
      <c r="SRN29" s="3"/>
      <c r="SRO29" s="3"/>
      <c r="SRP29" s="3"/>
      <c r="SRQ29" s="3"/>
      <c r="SRR29" s="3"/>
      <c r="SRS29" s="3"/>
      <c r="SRT29" s="3"/>
      <c r="SRU29" s="3"/>
      <c r="SRV29" s="3"/>
      <c r="SRW29" s="3"/>
      <c r="SRX29" s="3"/>
      <c r="SRY29" s="3"/>
      <c r="SRZ29" s="3"/>
      <c r="SSA29" s="3"/>
      <c r="SSB29" s="3"/>
      <c r="SSC29" s="3"/>
      <c r="SSD29" s="3"/>
      <c r="SSE29" s="3"/>
      <c r="SSF29" s="3"/>
      <c r="SSG29" s="3"/>
      <c r="SSH29" s="3"/>
      <c r="SSI29" s="3"/>
      <c r="SSJ29" s="3"/>
      <c r="SSK29" s="3"/>
      <c r="SSL29" s="3"/>
      <c r="SSM29" s="3"/>
      <c r="SSN29" s="3"/>
      <c r="SSO29" s="3"/>
      <c r="SSP29" s="3"/>
      <c r="SSQ29" s="3"/>
      <c r="SSR29" s="3"/>
      <c r="SSS29" s="3"/>
      <c r="SST29" s="3"/>
      <c r="SSU29" s="3"/>
      <c r="SSV29" s="3"/>
      <c r="SSW29" s="3"/>
      <c r="SSX29" s="3"/>
      <c r="SSY29" s="3"/>
      <c r="SSZ29" s="3"/>
      <c r="STA29" s="3"/>
      <c r="STB29" s="3"/>
      <c r="STC29" s="3"/>
      <c r="STD29" s="3"/>
      <c r="STE29" s="3"/>
      <c r="STF29" s="3"/>
      <c r="STG29" s="3"/>
      <c r="STH29" s="3"/>
      <c r="STI29" s="3"/>
      <c r="STJ29" s="3"/>
      <c r="STK29" s="3"/>
      <c r="STL29" s="3"/>
      <c r="STM29" s="3"/>
      <c r="STN29" s="3"/>
      <c r="STO29" s="3"/>
      <c r="STP29" s="3"/>
      <c r="STQ29" s="3"/>
      <c r="STR29" s="3"/>
      <c r="STS29" s="3"/>
      <c r="STT29" s="3"/>
      <c r="STU29" s="3"/>
      <c r="STV29" s="3"/>
      <c r="STW29" s="3"/>
      <c r="STX29" s="3"/>
      <c r="STY29" s="3"/>
      <c r="STZ29" s="3"/>
      <c r="SUA29" s="3"/>
      <c r="SUB29" s="3"/>
      <c r="SUC29" s="3"/>
      <c r="SUD29" s="3"/>
      <c r="SUE29" s="3"/>
      <c r="SUF29" s="3"/>
      <c r="SUG29" s="3"/>
      <c r="SUH29" s="3"/>
      <c r="SUI29" s="3"/>
      <c r="SUJ29" s="3"/>
      <c r="SUK29" s="3"/>
      <c r="SUL29" s="3"/>
      <c r="SUM29" s="3"/>
      <c r="SUN29" s="3"/>
      <c r="SUO29" s="3"/>
      <c r="SUP29" s="3"/>
      <c r="SUQ29" s="3"/>
      <c r="SUR29" s="3"/>
      <c r="SUS29" s="3"/>
      <c r="SUT29" s="3"/>
      <c r="SUU29" s="3"/>
      <c r="SUV29" s="3"/>
      <c r="SUW29" s="3"/>
      <c r="SUX29" s="3"/>
      <c r="SUY29" s="3"/>
      <c r="SUZ29" s="3"/>
      <c r="SVA29" s="3"/>
      <c r="SVB29" s="3"/>
      <c r="SVC29" s="3"/>
      <c r="SVD29" s="3"/>
      <c r="SVE29" s="3"/>
      <c r="SVF29" s="3"/>
      <c r="SVG29" s="3"/>
      <c r="SVH29" s="3"/>
      <c r="SVI29" s="3"/>
      <c r="SVJ29" s="3"/>
      <c r="SVK29" s="3"/>
      <c r="SVL29" s="3"/>
      <c r="SVM29" s="3"/>
      <c r="SVN29" s="3"/>
      <c r="SVO29" s="3"/>
      <c r="SVP29" s="3"/>
      <c r="SVQ29" s="3"/>
      <c r="SVR29" s="3"/>
      <c r="SVS29" s="3"/>
      <c r="SVT29" s="3"/>
      <c r="SVU29" s="3"/>
      <c r="SVV29" s="3"/>
      <c r="SVW29" s="3"/>
      <c r="SVX29" s="3"/>
      <c r="SVY29" s="3"/>
      <c r="SVZ29" s="3"/>
      <c r="SWA29" s="3"/>
      <c r="SWB29" s="3"/>
      <c r="SWC29" s="3"/>
      <c r="SWD29" s="3"/>
      <c r="SWE29" s="3"/>
      <c r="SWF29" s="3"/>
      <c r="SWG29" s="3"/>
      <c r="SWH29" s="3"/>
      <c r="SWI29" s="3"/>
      <c r="SWJ29" s="3"/>
      <c r="SWK29" s="3"/>
      <c r="SWL29" s="3"/>
      <c r="SWM29" s="3"/>
      <c r="SWN29" s="3"/>
      <c r="SWO29" s="3"/>
      <c r="SWP29" s="3"/>
      <c r="SWQ29" s="3"/>
      <c r="SWR29" s="3"/>
      <c r="SWS29" s="3"/>
      <c r="SWT29" s="3"/>
      <c r="SWU29" s="3"/>
      <c r="SWV29" s="3"/>
      <c r="SWW29" s="3"/>
      <c r="SWX29" s="3"/>
      <c r="SWY29" s="3"/>
      <c r="SWZ29" s="3"/>
      <c r="SXA29" s="3"/>
      <c r="SXB29" s="3"/>
      <c r="SXC29" s="3"/>
      <c r="SXD29" s="3"/>
      <c r="SXE29" s="3"/>
      <c r="SXF29" s="3"/>
      <c r="SXG29" s="3"/>
      <c r="SXH29" s="3"/>
      <c r="SXI29" s="3"/>
      <c r="SXJ29" s="3"/>
      <c r="SXK29" s="3"/>
      <c r="SXL29" s="3"/>
      <c r="SXM29" s="3"/>
      <c r="SXN29" s="3"/>
      <c r="SXO29" s="3"/>
      <c r="SXP29" s="3"/>
      <c r="SXQ29" s="3"/>
      <c r="SXR29" s="3"/>
      <c r="SXS29" s="3"/>
      <c r="SXT29" s="3"/>
      <c r="SXU29" s="3"/>
      <c r="SXV29" s="3"/>
      <c r="SXW29" s="3"/>
      <c r="SXX29" s="3"/>
      <c r="SXY29" s="3"/>
      <c r="SXZ29" s="3"/>
      <c r="SYA29" s="3"/>
      <c r="SYB29" s="3"/>
      <c r="SYC29" s="3"/>
      <c r="SYD29" s="3"/>
      <c r="SYE29" s="3"/>
      <c r="SYF29" s="3"/>
      <c r="SYG29" s="3"/>
      <c r="SYH29" s="3"/>
      <c r="SYI29" s="3"/>
      <c r="SYJ29" s="3"/>
      <c r="SYK29" s="3"/>
      <c r="SYL29" s="3"/>
      <c r="SYM29" s="3"/>
      <c r="SYN29" s="3"/>
      <c r="SYO29" s="3"/>
      <c r="SYP29" s="3"/>
      <c r="SYQ29" s="3"/>
      <c r="SYR29" s="3"/>
      <c r="SYS29" s="3"/>
      <c r="SYT29" s="3"/>
      <c r="SYU29" s="3"/>
      <c r="SYV29" s="3"/>
      <c r="SYW29" s="3"/>
      <c r="SYX29" s="3"/>
      <c r="SYY29" s="3"/>
      <c r="SYZ29" s="3"/>
      <c r="SZA29" s="3"/>
      <c r="SZB29" s="3"/>
      <c r="SZC29" s="3"/>
      <c r="SZD29" s="3"/>
      <c r="SZE29" s="3"/>
      <c r="SZF29" s="3"/>
      <c r="SZG29" s="3"/>
      <c r="SZH29" s="3"/>
      <c r="SZI29" s="3"/>
      <c r="SZJ29" s="3"/>
      <c r="SZK29" s="3"/>
      <c r="SZL29" s="3"/>
      <c r="SZM29" s="3"/>
      <c r="SZN29" s="3"/>
      <c r="SZO29" s="3"/>
      <c r="SZP29" s="3"/>
      <c r="SZQ29" s="3"/>
      <c r="SZR29" s="3"/>
      <c r="SZS29" s="3"/>
      <c r="SZT29" s="3"/>
      <c r="SZU29" s="3"/>
      <c r="SZV29" s="3"/>
      <c r="SZW29" s="3"/>
      <c r="SZX29" s="3"/>
      <c r="SZY29" s="3"/>
      <c r="SZZ29" s="3"/>
      <c r="TAA29" s="3"/>
      <c r="TAB29" s="3"/>
      <c r="TAC29" s="3"/>
      <c r="TAD29" s="3"/>
      <c r="TAE29" s="3"/>
      <c r="TAF29" s="3"/>
      <c r="TAG29" s="3"/>
      <c r="TAH29" s="3"/>
      <c r="TAI29" s="3"/>
      <c r="TAJ29" s="3"/>
      <c r="TAK29" s="3"/>
      <c r="TAL29" s="3"/>
      <c r="TAM29" s="3"/>
      <c r="TAN29" s="3"/>
      <c r="TAO29" s="3"/>
      <c r="TAP29" s="3"/>
      <c r="TAQ29" s="3"/>
      <c r="TAR29" s="3"/>
      <c r="TAS29" s="3"/>
      <c r="TAT29" s="3"/>
      <c r="TAU29" s="3"/>
      <c r="TAV29" s="3"/>
      <c r="TAW29" s="3"/>
      <c r="TAX29" s="3"/>
      <c r="TAY29" s="3"/>
      <c r="TAZ29" s="3"/>
      <c r="TBA29" s="3"/>
      <c r="TBB29" s="3"/>
      <c r="TBC29" s="3"/>
      <c r="TBD29" s="3"/>
      <c r="TBE29" s="3"/>
      <c r="TBF29" s="3"/>
      <c r="TBG29" s="3"/>
      <c r="TBH29" s="3"/>
      <c r="TBI29" s="3"/>
      <c r="TBJ29" s="3"/>
      <c r="TBK29" s="3"/>
      <c r="TBL29" s="3"/>
      <c r="TBM29" s="3"/>
      <c r="TBN29" s="3"/>
      <c r="TBO29" s="3"/>
      <c r="TBP29" s="3"/>
      <c r="TBQ29" s="3"/>
      <c r="TBR29" s="3"/>
      <c r="TBS29" s="3"/>
      <c r="TBT29" s="3"/>
      <c r="TBU29" s="3"/>
      <c r="TBV29" s="3"/>
      <c r="TBW29" s="3"/>
      <c r="TBX29" s="3"/>
      <c r="TBY29" s="3"/>
      <c r="TBZ29" s="3"/>
      <c r="TCA29" s="3"/>
      <c r="TCB29" s="3"/>
      <c r="TCC29" s="3"/>
      <c r="TCD29" s="3"/>
      <c r="TCE29" s="3"/>
      <c r="TCF29" s="3"/>
      <c r="TCG29" s="3"/>
      <c r="TCH29" s="3"/>
      <c r="TCI29" s="3"/>
      <c r="TCJ29" s="3"/>
      <c r="TCK29" s="3"/>
      <c r="TCL29" s="3"/>
      <c r="TCM29" s="3"/>
      <c r="TCN29" s="3"/>
      <c r="TCO29" s="3"/>
      <c r="TCP29" s="3"/>
      <c r="TCQ29" s="3"/>
      <c r="TCR29" s="3"/>
      <c r="TCS29" s="3"/>
      <c r="TCT29" s="3"/>
      <c r="TCU29" s="3"/>
      <c r="TCV29" s="3"/>
      <c r="TCW29" s="3"/>
      <c r="TCX29" s="3"/>
      <c r="TCY29" s="3"/>
      <c r="TCZ29" s="3"/>
      <c r="TDA29" s="3"/>
      <c r="TDB29" s="3"/>
      <c r="TDC29" s="3"/>
      <c r="TDD29" s="3"/>
      <c r="TDE29" s="3"/>
      <c r="TDF29" s="3"/>
      <c r="TDG29" s="3"/>
      <c r="TDH29" s="3"/>
      <c r="TDI29" s="3"/>
      <c r="TDJ29" s="3"/>
      <c r="TDK29" s="3"/>
      <c r="TDL29" s="3"/>
      <c r="TDM29" s="3"/>
      <c r="TDN29" s="3"/>
      <c r="TDO29" s="3"/>
      <c r="TDP29" s="3"/>
      <c r="TDQ29" s="3"/>
      <c r="TDR29" s="3"/>
      <c r="TDS29" s="3"/>
      <c r="TDT29" s="3"/>
      <c r="TDU29" s="3"/>
      <c r="TDV29" s="3"/>
      <c r="TDW29" s="3"/>
      <c r="TDX29" s="3"/>
      <c r="TDY29" s="3"/>
      <c r="TDZ29" s="3"/>
      <c r="TEA29" s="3"/>
      <c r="TEB29" s="3"/>
      <c r="TEC29" s="3"/>
      <c r="TED29" s="3"/>
      <c r="TEE29" s="3"/>
      <c r="TEF29" s="3"/>
      <c r="TEG29" s="3"/>
      <c r="TEH29" s="3"/>
      <c r="TEI29" s="3"/>
      <c r="TEJ29" s="3"/>
      <c r="TEK29" s="3"/>
      <c r="TEL29" s="3"/>
      <c r="TEM29" s="3"/>
      <c r="TEN29" s="3"/>
      <c r="TEO29" s="3"/>
      <c r="TEP29" s="3"/>
      <c r="TEQ29" s="3"/>
      <c r="TER29" s="3"/>
      <c r="TES29" s="3"/>
      <c r="TET29" s="3"/>
      <c r="TEU29" s="3"/>
      <c r="TEV29" s="3"/>
      <c r="TEW29" s="3"/>
      <c r="TEX29" s="3"/>
      <c r="TEY29" s="3"/>
      <c r="TEZ29" s="3"/>
      <c r="TFA29" s="3"/>
      <c r="TFB29" s="3"/>
      <c r="TFC29" s="3"/>
      <c r="TFD29" s="3"/>
      <c r="TFE29" s="3"/>
      <c r="TFF29" s="3"/>
      <c r="TFG29" s="3"/>
      <c r="TFH29" s="3"/>
      <c r="TFI29" s="3"/>
      <c r="TFJ29" s="3"/>
      <c r="TFK29" s="3"/>
      <c r="TFL29" s="3"/>
      <c r="TFM29" s="3"/>
      <c r="TFN29" s="3"/>
      <c r="TFO29" s="3"/>
      <c r="TFP29" s="3"/>
      <c r="TFQ29" s="3"/>
      <c r="TFR29" s="3"/>
      <c r="TFS29" s="3"/>
      <c r="TFT29" s="3"/>
      <c r="TFU29" s="3"/>
      <c r="TFV29" s="3"/>
      <c r="TFW29" s="3"/>
      <c r="TFX29" s="3"/>
      <c r="TFY29" s="3"/>
      <c r="TFZ29" s="3"/>
      <c r="TGA29" s="3"/>
      <c r="TGB29" s="3"/>
      <c r="TGC29" s="3"/>
      <c r="TGD29" s="3"/>
      <c r="TGE29" s="3"/>
      <c r="TGF29" s="3"/>
      <c r="TGG29" s="3"/>
      <c r="TGH29" s="3"/>
      <c r="TGI29" s="3"/>
      <c r="TGJ29" s="3"/>
      <c r="TGK29" s="3"/>
      <c r="TGL29" s="3"/>
      <c r="TGM29" s="3"/>
      <c r="TGN29" s="3"/>
      <c r="TGO29" s="3"/>
      <c r="TGP29" s="3"/>
      <c r="TGQ29" s="3"/>
      <c r="TGR29" s="3"/>
      <c r="TGS29" s="3"/>
      <c r="TGT29" s="3"/>
      <c r="TGU29" s="3"/>
      <c r="TGV29" s="3"/>
      <c r="TGW29" s="3"/>
      <c r="TGX29" s="3"/>
      <c r="TGY29" s="3"/>
      <c r="TGZ29" s="3"/>
      <c r="THA29" s="3"/>
      <c r="THB29" s="3"/>
      <c r="THC29" s="3"/>
      <c r="THD29" s="3"/>
      <c r="THE29" s="3"/>
      <c r="THF29" s="3"/>
      <c r="THG29" s="3"/>
      <c r="THH29" s="3"/>
      <c r="THI29" s="3"/>
      <c r="THJ29" s="3"/>
      <c r="THK29" s="3"/>
      <c r="THL29" s="3"/>
      <c r="THM29" s="3"/>
      <c r="THN29" s="3"/>
      <c r="THO29" s="3"/>
      <c r="THP29" s="3"/>
      <c r="THQ29" s="3"/>
      <c r="THR29" s="3"/>
      <c r="THS29" s="3"/>
      <c r="THT29" s="3"/>
      <c r="THU29" s="3"/>
      <c r="THV29" s="3"/>
      <c r="THW29" s="3"/>
      <c r="THX29" s="3"/>
      <c r="THY29" s="3"/>
      <c r="THZ29" s="3"/>
      <c r="TIA29" s="3"/>
      <c r="TIB29" s="3"/>
      <c r="TIC29" s="3"/>
      <c r="TID29" s="3"/>
      <c r="TIE29" s="3"/>
      <c r="TIF29" s="3"/>
      <c r="TIG29" s="3"/>
      <c r="TIH29" s="3"/>
      <c r="TII29" s="3"/>
      <c r="TIJ29" s="3"/>
      <c r="TIK29" s="3"/>
      <c r="TIL29" s="3"/>
      <c r="TIM29" s="3"/>
      <c r="TIN29" s="3"/>
      <c r="TIO29" s="3"/>
      <c r="TIP29" s="3"/>
      <c r="TIQ29" s="3"/>
      <c r="TIR29" s="3"/>
      <c r="TIS29" s="3"/>
      <c r="TIT29" s="3"/>
      <c r="TIU29" s="3"/>
      <c r="TIV29" s="3"/>
      <c r="TIW29" s="3"/>
      <c r="TIX29" s="3"/>
      <c r="TIY29" s="3"/>
      <c r="TIZ29" s="3"/>
      <c r="TJA29" s="3"/>
      <c r="TJB29" s="3"/>
      <c r="TJC29" s="3"/>
      <c r="TJD29" s="3"/>
      <c r="TJE29" s="3"/>
      <c r="TJF29" s="3"/>
      <c r="TJG29" s="3"/>
      <c r="TJH29" s="3"/>
      <c r="TJI29" s="3"/>
      <c r="TJJ29" s="3"/>
      <c r="TJK29" s="3"/>
      <c r="TJL29" s="3"/>
      <c r="TJM29" s="3"/>
      <c r="TJN29" s="3"/>
      <c r="TJO29" s="3"/>
      <c r="TJP29" s="3"/>
      <c r="TJQ29" s="3"/>
      <c r="TJR29" s="3"/>
      <c r="TJS29" s="3"/>
      <c r="TJT29" s="3"/>
      <c r="TJU29" s="3"/>
      <c r="TJV29" s="3"/>
      <c r="TJW29" s="3"/>
      <c r="TJX29" s="3"/>
      <c r="TJY29" s="3"/>
      <c r="TJZ29" s="3"/>
      <c r="TKA29" s="3"/>
      <c r="TKB29" s="3"/>
      <c r="TKC29" s="3"/>
      <c r="TKD29" s="3"/>
      <c r="TKE29" s="3"/>
      <c r="TKF29" s="3"/>
      <c r="TKG29" s="3"/>
      <c r="TKH29" s="3"/>
      <c r="TKI29" s="3"/>
      <c r="TKJ29" s="3"/>
      <c r="TKK29" s="3"/>
      <c r="TKL29" s="3"/>
      <c r="TKM29" s="3"/>
      <c r="TKN29" s="3"/>
      <c r="TKO29" s="3"/>
      <c r="TKP29" s="3"/>
      <c r="TKQ29" s="3"/>
      <c r="TKR29" s="3"/>
      <c r="TKS29" s="3"/>
      <c r="TKT29" s="3"/>
      <c r="TKU29" s="3"/>
      <c r="TKV29" s="3"/>
      <c r="TKW29" s="3"/>
      <c r="TKX29" s="3"/>
      <c r="TKY29" s="3"/>
      <c r="TKZ29" s="3"/>
      <c r="TLA29" s="3"/>
      <c r="TLB29" s="3"/>
      <c r="TLC29" s="3"/>
      <c r="TLD29" s="3"/>
      <c r="TLE29" s="3"/>
      <c r="TLF29" s="3"/>
      <c r="TLG29" s="3"/>
      <c r="TLH29" s="3"/>
      <c r="TLI29" s="3"/>
      <c r="TLJ29" s="3"/>
      <c r="TLK29" s="3"/>
      <c r="TLL29" s="3"/>
      <c r="TLM29" s="3"/>
      <c r="TLN29" s="3"/>
      <c r="TLO29" s="3"/>
      <c r="TLP29" s="3"/>
      <c r="TLQ29" s="3"/>
      <c r="TLR29" s="3"/>
      <c r="TLS29" s="3"/>
      <c r="TLT29" s="3"/>
      <c r="TLU29" s="3"/>
      <c r="TLV29" s="3"/>
      <c r="TLW29" s="3"/>
      <c r="TLX29" s="3"/>
      <c r="TLY29" s="3"/>
      <c r="TLZ29" s="3"/>
      <c r="TMA29" s="3"/>
      <c r="TMB29" s="3"/>
      <c r="TMC29" s="3"/>
      <c r="TMD29" s="3"/>
      <c r="TME29" s="3"/>
      <c r="TMF29" s="3"/>
      <c r="TMG29" s="3"/>
      <c r="TMH29" s="3"/>
      <c r="TMI29" s="3"/>
      <c r="TMJ29" s="3"/>
      <c r="TMK29" s="3"/>
      <c r="TML29" s="3"/>
      <c r="TMM29" s="3"/>
      <c r="TMN29" s="3"/>
      <c r="TMO29" s="3"/>
      <c r="TMP29" s="3"/>
      <c r="TMQ29" s="3"/>
      <c r="TMR29" s="3"/>
      <c r="TMS29" s="3"/>
      <c r="TMT29" s="3"/>
      <c r="TMU29" s="3"/>
      <c r="TMV29" s="3"/>
      <c r="TMW29" s="3"/>
      <c r="TMX29" s="3"/>
      <c r="TMY29" s="3"/>
      <c r="TMZ29" s="3"/>
      <c r="TNA29" s="3"/>
      <c r="TNB29" s="3"/>
      <c r="TNC29" s="3"/>
      <c r="TND29" s="3"/>
      <c r="TNE29" s="3"/>
      <c r="TNF29" s="3"/>
      <c r="TNG29" s="3"/>
      <c r="TNH29" s="3"/>
      <c r="TNI29" s="3"/>
      <c r="TNJ29" s="3"/>
      <c r="TNK29" s="3"/>
      <c r="TNL29" s="3"/>
      <c r="TNM29" s="3"/>
      <c r="TNN29" s="3"/>
      <c r="TNO29" s="3"/>
      <c r="TNP29" s="3"/>
      <c r="TNQ29" s="3"/>
      <c r="TNR29" s="3"/>
      <c r="TNS29" s="3"/>
      <c r="TNT29" s="3"/>
      <c r="TNU29" s="3"/>
      <c r="TNV29" s="3"/>
      <c r="TNW29" s="3"/>
      <c r="TNX29" s="3"/>
      <c r="TNY29" s="3"/>
      <c r="TNZ29" s="3"/>
      <c r="TOA29" s="3"/>
      <c r="TOB29" s="3"/>
      <c r="TOC29" s="3"/>
      <c r="TOD29" s="3"/>
      <c r="TOE29" s="3"/>
      <c r="TOF29" s="3"/>
      <c r="TOG29" s="3"/>
      <c r="TOH29" s="3"/>
      <c r="TOI29" s="3"/>
      <c r="TOJ29" s="3"/>
      <c r="TOK29" s="3"/>
      <c r="TOL29" s="3"/>
      <c r="TOM29" s="3"/>
      <c r="TON29" s="3"/>
      <c r="TOO29" s="3"/>
      <c r="TOP29" s="3"/>
      <c r="TOQ29" s="3"/>
      <c r="TOR29" s="3"/>
      <c r="TOS29" s="3"/>
      <c r="TOT29" s="3"/>
      <c r="TOU29" s="3"/>
      <c r="TOV29" s="3"/>
      <c r="TOW29" s="3"/>
      <c r="TOX29" s="3"/>
      <c r="TOY29" s="3"/>
      <c r="TOZ29" s="3"/>
      <c r="TPA29" s="3"/>
      <c r="TPB29" s="3"/>
      <c r="TPC29" s="3"/>
      <c r="TPD29" s="3"/>
      <c r="TPE29" s="3"/>
      <c r="TPF29" s="3"/>
      <c r="TPG29" s="3"/>
      <c r="TPH29" s="3"/>
      <c r="TPI29" s="3"/>
      <c r="TPJ29" s="3"/>
      <c r="TPK29" s="3"/>
      <c r="TPL29" s="3"/>
      <c r="TPM29" s="3"/>
      <c r="TPN29" s="3"/>
      <c r="TPO29" s="3"/>
      <c r="TPP29" s="3"/>
      <c r="TPQ29" s="3"/>
      <c r="TPR29" s="3"/>
      <c r="TPS29" s="3"/>
      <c r="TPT29" s="3"/>
      <c r="TPU29" s="3"/>
      <c r="TPV29" s="3"/>
      <c r="TPW29" s="3"/>
      <c r="TPX29" s="3"/>
      <c r="TPY29" s="3"/>
      <c r="TPZ29" s="3"/>
      <c r="TQA29" s="3"/>
      <c r="TQB29" s="3"/>
      <c r="TQC29" s="3"/>
      <c r="TQD29" s="3"/>
      <c r="TQE29" s="3"/>
      <c r="TQF29" s="3"/>
      <c r="TQG29" s="3"/>
      <c r="TQH29" s="3"/>
      <c r="TQI29" s="3"/>
      <c r="TQJ29" s="3"/>
      <c r="TQK29" s="3"/>
      <c r="TQL29" s="3"/>
      <c r="TQM29" s="3"/>
      <c r="TQN29" s="3"/>
      <c r="TQO29" s="3"/>
      <c r="TQP29" s="3"/>
      <c r="TQQ29" s="3"/>
      <c r="TQR29" s="3"/>
      <c r="TQS29" s="3"/>
      <c r="TQT29" s="3"/>
      <c r="TQU29" s="3"/>
      <c r="TQV29" s="3"/>
      <c r="TQW29" s="3"/>
      <c r="TQX29" s="3"/>
      <c r="TQY29" s="3"/>
      <c r="TQZ29" s="3"/>
      <c r="TRA29" s="3"/>
      <c r="TRB29" s="3"/>
      <c r="TRC29" s="3"/>
      <c r="TRD29" s="3"/>
      <c r="TRE29" s="3"/>
      <c r="TRF29" s="3"/>
      <c r="TRG29" s="3"/>
      <c r="TRH29" s="3"/>
      <c r="TRI29" s="3"/>
      <c r="TRJ29" s="3"/>
      <c r="TRK29" s="3"/>
      <c r="TRL29" s="3"/>
      <c r="TRM29" s="3"/>
      <c r="TRN29" s="3"/>
      <c r="TRO29" s="3"/>
      <c r="TRP29" s="3"/>
      <c r="TRQ29" s="3"/>
      <c r="TRR29" s="3"/>
      <c r="TRS29" s="3"/>
      <c r="TRT29" s="3"/>
      <c r="TRU29" s="3"/>
      <c r="TRV29" s="3"/>
      <c r="TRW29" s="3"/>
      <c r="TRX29" s="3"/>
      <c r="TRY29" s="3"/>
      <c r="TRZ29" s="3"/>
      <c r="TSA29" s="3"/>
      <c r="TSB29" s="3"/>
      <c r="TSC29" s="3"/>
      <c r="TSD29" s="3"/>
      <c r="TSE29" s="3"/>
      <c r="TSF29" s="3"/>
      <c r="TSG29" s="3"/>
      <c r="TSH29" s="3"/>
      <c r="TSI29" s="3"/>
      <c r="TSJ29" s="3"/>
      <c r="TSK29" s="3"/>
      <c r="TSL29" s="3"/>
      <c r="TSM29" s="3"/>
      <c r="TSN29" s="3"/>
      <c r="TSO29" s="3"/>
      <c r="TSP29" s="3"/>
      <c r="TSQ29" s="3"/>
      <c r="TSR29" s="3"/>
      <c r="TSS29" s="3"/>
      <c r="TST29" s="3"/>
      <c r="TSU29" s="3"/>
      <c r="TSV29" s="3"/>
      <c r="TSW29" s="3"/>
      <c r="TSX29" s="3"/>
      <c r="TSY29" s="3"/>
      <c r="TSZ29" s="3"/>
      <c r="TTA29" s="3"/>
      <c r="TTB29" s="3"/>
      <c r="TTC29" s="3"/>
      <c r="TTD29" s="3"/>
      <c r="TTE29" s="3"/>
      <c r="TTF29" s="3"/>
      <c r="TTG29" s="3"/>
      <c r="TTH29" s="3"/>
      <c r="TTI29" s="3"/>
      <c r="TTJ29" s="3"/>
      <c r="TTK29" s="3"/>
      <c r="TTL29" s="3"/>
      <c r="TTM29" s="3"/>
      <c r="TTN29" s="3"/>
      <c r="TTO29" s="3"/>
      <c r="TTP29" s="3"/>
      <c r="TTQ29" s="3"/>
      <c r="TTR29" s="3"/>
      <c r="TTS29" s="3"/>
      <c r="TTT29" s="3"/>
      <c r="TTU29" s="3"/>
      <c r="TTV29" s="3"/>
      <c r="TTW29" s="3"/>
      <c r="TTX29" s="3"/>
      <c r="TTY29" s="3"/>
      <c r="TTZ29" s="3"/>
      <c r="TUA29" s="3"/>
      <c r="TUB29" s="3"/>
      <c r="TUC29" s="3"/>
      <c r="TUD29" s="3"/>
      <c r="TUE29" s="3"/>
      <c r="TUF29" s="3"/>
      <c r="TUG29" s="3"/>
      <c r="TUH29" s="3"/>
      <c r="TUI29" s="3"/>
      <c r="TUJ29" s="3"/>
      <c r="TUK29" s="3"/>
      <c r="TUL29" s="3"/>
      <c r="TUM29" s="3"/>
      <c r="TUN29" s="3"/>
      <c r="TUO29" s="3"/>
      <c r="TUP29" s="3"/>
      <c r="TUQ29" s="3"/>
      <c r="TUR29" s="3"/>
      <c r="TUS29" s="3"/>
      <c r="TUT29" s="3"/>
      <c r="TUU29" s="3"/>
      <c r="TUV29" s="3"/>
      <c r="TUW29" s="3"/>
      <c r="TUX29" s="3"/>
      <c r="TUY29" s="3"/>
      <c r="TUZ29" s="3"/>
      <c r="TVA29" s="3"/>
      <c r="TVB29" s="3"/>
      <c r="TVC29" s="3"/>
      <c r="TVD29" s="3"/>
      <c r="TVE29" s="3"/>
      <c r="TVF29" s="3"/>
      <c r="TVG29" s="3"/>
      <c r="TVH29" s="3"/>
      <c r="TVI29" s="3"/>
      <c r="TVJ29" s="3"/>
      <c r="TVK29" s="3"/>
      <c r="TVL29" s="3"/>
      <c r="TVM29" s="3"/>
      <c r="TVN29" s="3"/>
      <c r="TVO29" s="3"/>
      <c r="TVP29" s="3"/>
      <c r="TVQ29" s="3"/>
      <c r="TVR29" s="3"/>
      <c r="TVS29" s="3"/>
      <c r="TVT29" s="3"/>
      <c r="TVU29" s="3"/>
      <c r="TVV29" s="3"/>
      <c r="TVW29" s="3"/>
      <c r="TVX29" s="3"/>
      <c r="TVY29" s="3"/>
      <c r="TVZ29" s="3"/>
      <c r="TWA29" s="3"/>
      <c r="TWB29" s="3"/>
      <c r="TWC29" s="3"/>
      <c r="TWD29" s="3"/>
      <c r="TWE29" s="3"/>
      <c r="TWF29" s="3"/>
      <c r="TWG29" s="3"/>
      <c r="TWH29" s="3"/>
      <c r="TWI29" s="3"/>
      <c r="TWJ29" s="3"/>
      <c r="TWK29" s="3"/>
      <c r="TWL29" s="3"/>
      <c r="TWM29" s="3"/>
      <c r="TWN29" s="3"/>
      <c r="TWO29" s="3"/>
      <c r="TWP29" s="3"/>
      <c r="TWQ29" s="3"/>
      <c r="TWR29" s="3"/>
      <c r="TWS29" s="3"/>
      <c r="TWT29" s="3"/>
      <c r="TWU29" s="3"/>
      <c r="TWV29" s="3"/>
      <c r="TWW29" s="3"/>
      <c r="TWX29" s="3"/>
      <c r="TWY29" s="3"/>
      <c r="TWZ29" s="3"/>
      <c r="TXA29" s="3"/>
      <c r="TXB29" s="3"/>
      <c r="TXC29" s="3"/>
      <c r="TXD29" s="3"/>
      <c r="TXE29" s="3"/>
      <c r="TXF29" s="3"/>
      <c r="TXG29" s="3"/>
      <c r="TXH29" s="3"/>
      <c r="TXI29" s="3"/>
      <c r="TXJ29" s="3"/>
      <c r="TXK29" s="3"/>
      <c r="TXL29" s="3"/>
      <c r="TXM29" s="3"/>
      <c r="TXN29" s="3"/>
      <c r="TXO29" s="3"/>
      <c r="TXP29" s="3"/>
      <c r="TXQ29" s="3"/>
      <c r="TXR29" s="3"/>
      <c r="TXS29" s="3"/>
      <c r="TXT29" s="3"/>
      <c r="TXU29" s="3"/>
      <c r="TXV29" s="3"/>
      <c r="TXW29" s="3"/>
      <c r="TXX29" s="3"/>
      <c r="TXY29" s="3"/>
      <c r="TXZ29" s="3"/>
      <c r="TYA29" s="3"/>
      <c r="TYB29" s="3"/>
      <c r="TYC29" s="3"/>
      <c r="TYD29" s="3"/>
      <c r="TYE29" s="3"/>
      <c r="TYF29" s="3"/>
      <c r="TYG29" s="3"/>
      <c r="TYH29" s="3"/>
      <c r="TYI29" s="3"/>
      <c r="TYJ29" s="3"/>
      <c r="TYK29" s="3"/>
      <c r="TYL29" s="3"/>
      <c r="TYM29" s="3"/>
      <c r="TYN29" s="3"/>
      <c r="TYO29" s="3"/>
      <c r="TYP29" s="3"/>
      <c r="TYQ29" s="3"/>
      <c r="TYR29" s="3"/>
      <c r="TYS29" s="3"/>
      <c r="TYT29" s="3"/>
      <c r="TYU29" s="3"/>
      <c r="TYV29" s="3"/>
      <c r="TYW29" s="3"/>
      <c r="TYX29" s="3"/>
      <c r="TYY29" s="3"/>
      <c r="TYZ29" s="3"/>
      <c r="TZA29" s="3"/>
      <c r="TZB29" s="3"/>
      <c r="TZC29" s="3"/>
      <c r="TZD29" s="3"/>
      <c r="TZE29" s="3"/>
      <c r="TZF29" s="3"/>
      <c r="TZG29" s="3"/>
      <c r="TZH29" s="3"/>
      <c r="TZI29" s="3"/>
      <c r="TZJ29" s="3"/>
      <c r="TZK29" s="3"/>
      <c r="TZL29" s="3"/>
      <c r="TZM29" s="3"/>
      <c r="TZN29" s="3"/>
      <c r="TZO29" s="3"/>
      <c r="TZP29" s="3"/>
      <c r="TZQ29" s="3"/>
      <c r="TZR29" s="3"/>
      <c r="TZS29" s="3"/>
      <c r="TZT29" s="3"/>
      <c r="TZU29" s="3"/>
      <c r="TZV29" s="3"/>
      <c r="TZW29" s="3"/>
      <c r="TZX29" s="3"/>
      <c r="TZY29" s="3"/>
      <c r="TZZ29" s="3"/>
      <c r="UAA29" s="3"/>
      <c r="UAB29" s="3"/>
      <c r="UAC29" s="3"/>
      <c r="UAD29" s="3"/>
      <c r="UAE29" s="3"/>
      <c r="UAF29" s="3"/>
      <c r="UAG29" s="3"/>
      <c r="UAH29" s="3"/>
      <c r="UAI29" s="3"/>
      <c r="UAJ29" s="3"/>
      <c r="UAK29" s="3"/>
      <c r="UAL29" s="3"/>
      <c r="UAM29" s="3"/>
      <c r="UAN29" s="3"/>
      <c r="UAO29" s="3"/>
      <c r="UAP29" s="3"/>
      <c r="UAQ29" s="3"/>
      <c r="UAR29" s="3"/>
      <c r="UAS29" s="3"/>
      <c r="UAT29" s="3"/>
      <c r="UAU29" s="3"/>
      <c r="UAV29" s="3"/>
      <c r="UAW29" s="3"/>
      <c r="UAX29" s="3"/>
      <c r="UAY29" s="3"/>
      <c r="UAZ29" s="3"/>
      <c r="UBA29" s="3"/>
      <c r="UBB29" s="3"/>
      <c r="UBC29" s="3"/>
      <c r="UBD29" s="3"/>
      <c r="UBE29" s="3"/>
      <c r="UBF29" s="3"/>
      <c r="UBG29" s="3"/>
      <c r="UBH29" s="3"/>
      <c r="UBI29" s="3"/>
      <c r="UBJ29" s="3"/>
      <c r="UBK29" s="3"/>
      <c r="UBL29" s="3"/>
      <c r="UBM29" s="3"/>
      <c r="UBN29" s="3"/>
      <c r="UBO29" s="3"/>
      <c r="UBP29" s="3"/>
      <c r="UBQ29" s="3"/>
      <c r="UBR29" s="3"/>
      <c r="UBS29" s="3"/>
      <c r="UBT29" s="3"/>
      <c r="UBU29" s="3"/>
      <c r="UBV29" s="3"/>
      <c r="UBW29" s="3"/>
      <c r="UBX29" s="3"/>
      <c r="UBY29" s="3"/>
      <c r="UBZ29" s="3"/>
      <c r="UCA29" s="3"/>
      <c r="UCB29" s="3"/>
      <c r="UCC29" s="3"/>
      <c r="UCD29" s="3"/>
      <c r="UCE29" s="3"/>
      <c r="UCF29" s="3"/>
      <c r="UCG29" s="3"/>
      <c r="UCH29" s="3"/>
      <c r="UCI29" s="3"/>
      <c r="UCJ29" s="3"/>
      <c r="UCK29" s="3"/>
      <c r="UCL29" s="3"/>
      <c r="UCM29" s="3"/>
      <c r="UCN29" s="3"/>
      <c r="UCO29" s="3"/>
      <c r="UCP29" s="3"/>
      <c r="UCQ29" s="3"/>
      <c r="UCR29" s="3"/>
      <c r="UCS29" s="3"/>
      <c r="UCT29" s="3"/>
      <c r="UCU29" s="3"/>
      <c r="UCV29" s="3"/>
      <c r="UCW29" s="3"/>
      <c r="UCX29" s="3"/>
      <c r="UCY29" s="3"/>
      <c r="UCZ29" s="3"/>
      <c r="UDA29" s="3"/>
      <c r="UDB29" s="3"/>
      <c r="UDC29" s="3"/>
      <c r="UDD29" s="3"/>
      <c r="UDE29" s="3"/>
      <c r="UDF29" s="3"/>
      <c r="UDG29" s="3"/>
      <c r="UDH29" s="3"/>
      <c r="UDI29" s="3"/>
      <c r="UDJ29" s="3"/>
      <c r="UDK29" s="3"/>
      <c r="UDL29" s="3"/>
      <c r="UDM29" s="3"/>
      <c r="UDN29" s="3"/>
      <c r="UDO29" s="3"/>
      <c r="UDP29" s="3"/>
      <c r="UDQ29" s="3"/>
      <c r="UDR29" s="3"/>
      <c r="UDS29" s="3"/>
      <c r="UDT29" s="3"/>
      <c r="UDU29" s="3"/>
      <c r="UDV29" s="3"/>
      <c r="UDW29" s="3"/>
      <c r="UDX29" s="3"/>
      <c r="UDY29" s="3"/>
      <c r="UDZ29" s="3"/>
      <c r="UEA29" s="3"/>
      <c r="UEB29" s="3"/>
      <c r="UEC29" s="3"/>
      <c r="UED29" s="3"/>
      <c r="UEE29" s="3"/>
      <c r="UEF29" s="3"/>
      <c r="UEG29" s="3"/>
      <c r="UEH29" s="3"/>
      <c r="UEI29" s="3"/>
      <c r="UEJ29" s="3"/>
      <c r="UEK29" s="3"/>
      <c r="UEL29" s="3"/>
      <c r="UEM29" s="3"/>
      <c r="UEN29" s="3"/>
      <c r="UEO29" s="3"/>
      <c r="UEP29" s="3"/>
      <c r="UEQ29" s="3"/>
      <c r="UER29" s="3"/>
      <c r="UES29" s="3"/>
      <c r="UET29" s="3"/>
      <c r="UEU29" s="3"/>
      <c r="UEV29" s="3"/>
      <c r="UEW29" s="3"/>
      <c r="UEX29" s="3"/>
      <c r="UEY29" s="3"/>
      <c r="UEZ29" s="3"/>
      <c r="UFA29" s="3"/>
      <c r="UFB29" s="3"/>
      <c r="UFC29" s="3"/>
      <c r="UFD29" s="3"/>
      <c r="UFE29" s="3"/>
      <c r="UFF29" s="3"/>
      <c r="UFG29" s="3"/>
      <c r="UFH29" s="3"/>
      <c r="UFI29" s="3"/>
      <c r="UFJ29" s="3"/>
      <c r="UFK29" s="3"/>
      <c r="UFL29" s="3"/>
      <c r="UFM29" s="3"/>
      <c r="UFN29" s="3"/>
      <c r="UFO29" s="3"/>
      <c r="UFP29" s="3"/>
      <c r="UFQ29" s="3"/>
      <c r="UFR29" s="3"/>
      <c r="UFS29" s="3"/>
      <c r="UFT29" s="3"/>
      <c r="UFU29" s="3"/>
      <c r="UFV29" s="3"/>
      <c r="UFW29" s="3"/>
      <c r="UFX29" s="3"/>
      <c r="UFY29" s="3"/>
      <c r="UFZ29" s="3"/>
      <c r="UGA29" s="3"/>
      <c r="UGB29" s="3"/>
      <c r="UGC29" s="3"/>
      <c r="UGD29" s="3"/>
      <c r="UGE29" s="3"/>
      <c r="UGF29" s="3"/>
      <c r="UGG29" s="3"/>
      <c r="UGH29" s="3"/>
      <c r="UGI29" s="3"/>
      <c r="UGJ29" s="3"/>
      <c r="UGK29" s="3"/>
      <c r="UGL29" s="3"/>
      <c r="UGM29" s="3"/>
      <c r="UGN29" s="3"/>
      <c r="UGO29" s="3"/>
      <c r="UGP29" s="3"/>
      <c r="UGQ29" s="3"/>
      <c r="UGR29" s="3"/>
      <c r="UGS29" s="3"/>
      <c r="UGT29" s="3"/>
      <c r="UGU29" s="3"/>
      <c r="UGV29" s="3"/>
      <c r="UGW29" s="3"/>
      <c r="UGX29" s="3"/>
      <c r="UGY29" s="3"/>
      <c r="UGZ29" s="3"/>
      <c r="UHA29" s="3"/>
      <c r="UHB29" s="3"/>
      <c r="UHC29" s="3"/>
      <c r="UHD29" s="3"/>
      <c r="UHE29" s="3"/>
      <c r="UHF29" s="3"/>
      <c r="UHG29" s="3"/>
      <c r="UHH29" s="3"/>
      <c r="UHI29" s="3"/>
      <c r="UHJ29" s="3"/>
      <c r="UHK29" s="3"/>
      <c r="UHL29" s="3"/>
      <c r="UHM29" s="3"/>
      <c r="UHN29" s="3"/>
      <c r="UHO29" s="3"/>
      <c r="UHP29" s="3"/>
      <c r="UHQ29" s="3"/>
      <c r="UHR29" s="3"/>
      <c r="UHS29" s="3"/>
      <c r="UHT29" s="3"/>
      <c r="UHU29" s="3"/>
      <c r="UHV29" s="3"/>
      <c r="UHW29" s="3"/>
      <c r="UHX29" s="3"/>
      <c r="UHY29" s="3"/>
      <c r="UHZ29" s="3"/>
      <c r="UIA29" s="3"/>
      <c r="UIB29" s="3"/>
      <c r="UIC29" s="3"/>
      <c r="UID29" s="3"/>
      <c r="UIE29" s="3"/>
      <c r="UIF29" s="3"/>
      <c r="UIG29" s="3"/>
      <c r="UIH29" s="3"/>
      <c r="UII29" s="3"/>
      <c r="UIJ29" s="3"/>
      <c r="UIK29" s="3"/>
      <c r="UIL29" s="3"/>
      <c r="UIM29" s="3"/>
      <c r="UIN29" s="3"/>
      <c r="UIO29" s="3"/>
      <c r="UIP29" s="3"/>
      <c r="UIQ29" s="3"/>
      <c r="UIR29" s="3"/>
      <c r="UIS29" s="3"/>
      <c r="UIT29" s="3"/>
      <c r="UIU29" s="3"/>
      <c r="UIV29" s="3"/>
      <c r="UIW29" s="3"/>
      <c r="UIX29" s="3"/>
      <c r="UIY29" s="3"/>
      <c r="UIZ29" s="3"/>
      <c r="UJA29" s="3"/>
      <c r="UJB29" s="3"/>
      <c r="UJC29" s="3"/>
      <c r="UJD29" s="3"/>
      <c r="UJE29" s="3"/>
      <c r="UJF29" s="3"/>
      <c r="UJG29" s="3"/>
      <c r="UJH29" s="3"/>
      <c r="UJI29" s="3"/>
      <c r="UJJ29" s="3"/>
      <c r="UJK29" s="3"/>
      <c r="UJL29" s="3"/>
      <c r="UJM29" s="3"/>
      <c r="UJN29" s="3"/>
      <c r="UJO29" s="3"/>
      <c r="UJP29" s="3"/>
      <c r="UJQ29" s="3"/>
      <c r="UJR29" s="3"/>
      <c r="UJS29" s="3"/>
      <c r="UJT29" s="3"/>
      <c r="UJU29" s="3"/>
      <c r="UJV29" s="3"/>
      <c r="UJW29" s="3"/>
      <c r="UJX29" s="3"/>
      <c r="UJY29" s="3"/>
      <c r="UJZ29" s="3"/>
      <c r="UKA29" s="3"/>
      <c r="UKB29" s="3"/>
      <c r="UKC29" s="3"/>
      <c r="UKD29" s="3"/>
      <c r="UKE29" s="3"/>
      <c r="UKF29" s="3"/>
      <c r="UKG29" s="3"/>
      <c r="UKH29" s="3"/>
      <c r="UKI29" s="3"/>
      <c r="UKJ29" s="3"/>
      <c r="UKK29" s="3"/>
      <c r="UKL29" s="3"/>
      <c r="UKM29" s="3"/>
      <c r="UKN29" s="3"/>
      <c r="UKO29" s="3"/>
      <c r="UKP29" s="3"/>
      <c r="UKQ29" s="3"/>
      <c r="UKR29" s="3"/>
      <c r="UKS29" s="3"/>
      <c r="UKT29" s="3"/>
      <c r="UKU29" s="3"/>
      <c r="UKV29" s="3"/>
      <c r="UKW29" s="3"/>
      <c r="UKX29" s="3"/>
      <c r="UKY29" s="3"/>
      <c r="UKZ29" s="3"/>
      <c r="ULA29" s="3"/>
      <c r="ULB29" s="3"/>
      <c r="ULC29" s="3"/>
      <c r="ULD29" s="3"/>
      <c r="ULE29" s="3"/>
      <c r="ULF29" s="3"/>
      <c r="ULG29" s="3"/>
      <c r="ULH29" s="3"/>
      <c r="ULI29" s="3"/>
      <c r="ULJ29" s="3"/>
      <c r="ULK29" s="3"/>
      <c r="ULL29" s="3"/>
      <c r="ULM29" s="3"/>
      <c r="ULN29" s="3"/>
      <c r="ULO29" s="3"/>
      <c r="ULP29" s="3"/>
      <c r="ULQ29" s="3"/>
      <c r="ULR29" s="3"/>
      <c r="ULS29" s="3"/>
      <c r="ULT29" s="3"/>
      <c r="ULU29" s="3"/>
      <c r="ULV29" s="3"/>
      <c r="ULW29" s="3"/>
      <c r="ULX29" s="3"/>
      <c r="ULY29" s="3"/>
      <c r="ULZ29" s="3"/>
      <c r="UMA29" s="3"/>
      <c r="UMB29" s="3"/>
      <c r="UMC29" s="3"/>
      <c r="UMD29" s="3"/>
      <c r="UME29" s="3"/>
      <c r="UMF29" s="3"/>
      <c r="UMG29" s="3"/>
      <c r="UMH29" s="3"/>
      <c r="UMI29" s="3"/>
      <c r="UMJ29" s="3"/>
      <c r="UMK29" s="3"/>
      <c r="UML29" s="3"/>
      <c r="UMM29" s="3"/>
      <c r="UMN29" s="3"/>
      <c r="UMO29" s="3"/>
      <c r="UMP29" s="3"/>
      <c r="UMQ29" s="3"/>
      <c r="UMR29" s="3"/>
      <c r="UMS29" s="3"/>
      <c r="UMT29" s="3"/>
      <c r="UMU29" s="3"/>
      <c r="UMV29" s="3"/>
      <c r="UMW29" s="3"/>
      <c r="UMX29" s="3"/>
      <c r="UMY29" s="3"/>
      <c r="UMZ29" s="3"/>
      <c r="UNA29" s="3"/>
      <c r="UNB29" s="3"/>
      <c r="UNC29" s="3"/>
      <c r="UND29" s="3"/>
      <c r="UNE29" s="3"/>
      <c r="UNF29" s="3"/>
      <c r="UNG29" s="3"/>
      <c r="UNH29" s="3"/>
      <c r="UNI29" s="3"/>
      <c r="UNJ29" s="3"/>
      <c r="UNK29" s="3"/>
      <c r="UNL29" s="3"/>
      <c r="UNM29" s="3"/>
      <c r="UNN29" s="3"/>
      <c r="UNO29" s="3"/>
      <c r="UNP29" s="3"/>
      <c r="UNQ29" s="3"/>
      <c r="UNR29" s="3"/>
      <c r="UNS29" s="3"/>
      <c r="UNT29" s="3"/>
      <c r="UNU29" s="3"/>
      <c r="UNV29" s="3"/>
      <c r="UNW29" s="3"/>
      <c r="UNX29" s="3"/>
      <c r="UNY29" s="3"/>
      <c r="UNZ29" s="3"/>
      <c r="UOA29" s="3"/>
      <c r="UOB29" s="3"/>
      <c r="UOC29" s="3"/>
      <c r="UOD29" s="3"/>
      <c r="UOE29" s="3"/>
      <c r="UOF29" s="3"/>
      <c r="UOG29" s="3"/>
      <c r="UOH29" s="3"/>
      <c r="UOI29" s="3"/>
      <c r="UOJ29" s="3"/>
      <c r="UOK29" s="3"/>
      <c r="UOL29" s="3"/>
      <c r="UOM29" s="3"/>
      <c r="UON29" s="3"/>
      <c r="UOO29" s="3"/>
      <c r="UOP29" s="3"/>
      <c r="UOQ29" s="3"/>
      <c r="UOR29" s="3"/>
      <c r="UOS29" s="3"/>
      <c r="UOT29" s="3"/>
      <c r="UOU29" s="3"/>
      <c r="UOV29" s="3"/>
      <c r="UOW29" s="3"/>
      <c r="UOX29" s="3"/>
      <c r="UOY29" s="3"/>
      <c r="UOZ29" s="3"/>
      <c r="UPA29" s="3"/>
      <c r="UPB29" s="3"/>
      <c r="UPC29" s="3"/>
      <c r="UPD29" s="3"/>
      <c r="UPE29" s="3"/>
      <c r="UPF29" s="3"/>
      <c r="UPG29" s="3"/>
      <c r="UPH29" s="3"/>
      <c r="UPI29" s="3"/>
      <c r="UPJ29" s="3"/>
      <c r="UPK29" s="3"/>
      <c r="UPL29" s="3"/>
      <c r="UPM29" s="3"/>
      <c r="UPN29" s="3"/>
      <c r="UPO29" s="3"/>
      <c r="UPP29" s="3"/>
      <c r="UPQ29" s="3"/>
      <c r="UPR29" s="3"/>
      <c r="UPS29" s="3"/>
      <c r="UPT29" s="3"/>
      <c r="UPU29" s="3"/>
      <c r="UPV29" s="3"/>
      <c r="UPW29" s="3"/>
      <c r="UPX29" s="3"/>
      <c r="UPY29" s="3"/>
      <c r="UPZ29" s="3"/>
      <c r="UQA29" s="3"/>
      <c r="UQB29" s="3"/>
      <c r="UQC29" s="3"/>
      <c r="UQD29" s="3"/>
      <c r="UQE29" s="3"/>
      <c r="UQF29" s="3"/>
      <c r="UQG29" s="3"/>
      <c r="UQH29" s="3"/>
      <c r="UQI29" s="3"/>
      <c r="UQJ29" s="3"/>
      <c r="UQK29" s="3"/>
      <c r="UQL29" s="3"/>
      <c r="UQM29" s="3"/>
      <c r="UQN29" s="3"/>
      <c r="UQO29" s="3"/>
      <c r="UQP29" s="3"/>
      <c r="UQQ29" s="3"/>
      <c r="UQR29" s="3"/>
      <c r="UQS29" s="3"/>
      <c r="UQT29" s="3"/>
      <c r="UQU29" s="3"/>
      <c r="UQV29" s="3"/>
      <c r="UQW29" s="3"/>
      <c r="UQX29" s="3"/>
      <c r="UQY29" s="3"/>
      <c r="UQZ29" s="3"/>
      <c r="URA29" s="3"/>
      <c r="URB29" s="3"/>
      <c r="URC29" s="3"/>
      <c r="URD29" s="3"/>
      <c r="URE29" s="3"/>
      <c r="URF29" s="3"/>
      <c r="URG29" s="3"/>
      <c r="URH29" s="3"/>
      <c r="URI29" s="3"/>
      <c r="URJ29" s="3"/>
      <c r="URK29" s="3"/>
      <c r="URL29" s="3"/>
      <c r="URM29" s="3"/>
      <c r="URN29" s="3"/>
      <c r="URO29" s="3"/>
      <c r="URP29" s="3"/>
      <c r="URQ29" s="3"/>
      <c r="URR29" s="3"/>
      <c r="URS29" s="3"/>
      <c r="URT29" s="3"/>
      <c r="URU29" s="3"/>
      <c r="URV29" s="3"/>
      <c r="URW29" s="3"/>
      <c r="URX29" s="3"/>
      <c r="URY29" s="3"/>
      <c r="URZ29" s="3"/>
      <c r="USA29" s="3"/>
      <c r="USB29" s="3"/>
      <c r="USC29" s="3"/>
      <c r="USD29" s="3"/>
      <c r="USE29" s="3"/>
      <c r="USF29" s="3"/>
      <c r="USG29" s="3"/>
      <c r="USH29" s="3"/>
      <c r="USI29" s="3"/>
      <c r="USJ29" s="3"/>
      <c r="USK29" s="3"/>
      <c r="USL29" s="3"/>
      <c r="USM29" s="3"/>
      <c r="USN29" s="3"/>
      <c r="USO29" s="3"/>
      <c r="USP29" s="3"/>
      <c r="USQ29" s="3"/>
      <c r="USR29" s="3"/>
      <c r="USS29" s="3"/>
      <c r="UST29" s="3"/>
      <c r="USU29" s="3"/>
      <c r="USV29" s="3"/>
      <c r="USW29" s="3"/>
      <c r="USX29" s="3"/>
      <c r="USY29" s="3"/>
      <c r="USZ29" s="3"/>
      <c r="UTA29" s="3"/>
      <c r="UTB29" s="3"/>
      <c r="UTC29" s="3"/>
      <c r="UTD29" s="3"/>
      <c r="UTE29" s="3"/>
      <c r="UTF29" s="3"/>
      <c r="UTG29" s="3"/>
      <c r="UTH29" s="3"/>
      <c r="UTI29" s="3"/>
      <c r="UTJ29" s="3"/>
      <c r="UTK29" s="3"/>
      <c r="UTL29" s="3"/>
      <c r="UTM29" s="3"/>
      <c r="UTN29" s="3"/>
      <c r="UTO29" s="3"/>
      <c r="UTP29" s="3"/>
      <c r="UTQ29" s="3"/>
      <c r="UTR29" s="3"/>
      <c r="UTS29" s="3"/>
      <c r="UTT29" s="3"/>
      <c r="UTU29" s="3"/>
      <c r="UTV29" s="3"/>
      <c r="UTW29" s="3"/>
      <c r="UTX29" s="3"/>
      <c r="UTY29" s="3"/>
      <c r="UTZ29" s="3"/>
      <c r="UUA29" s="3"/>
      <c r="UUB29" s="3"/>
      <c r="UUC29" s="3"/>
      <c r="UUD29" s="3"/>
      <c r="UUE29" s="3"/>
      <c r="UUF29" s="3"/>
      <c r="UUG29" s="3"/>
      <c r="UUH29" s="3"/>
      <c r="UUI29" s="3"/>
      <c r="UUJ29" s="3"/>
      <c r="UUK29" s="3"/>
      <c r="UUL29" s="3"/>
      <c r="UUM29" s="3"/>
      <c r="UUN29" s="3"/>
      <c r="UUO29" s="3"/>
      <c r="UUP29" s="3"/>
      <c r="UUQ29" s="3"/>
      <c r="UUR29" s="3"/>
      <c r="UUS29" s="3"/>
      <c r="UUT29" s="3"/>
      <c r="UUU29" s="3"/>
      <c r="UUV29" s="3"/>
      <c r="UUW29" s="3"/>
      <c r="UUX29" s="3"/>
      <c r="UUY29" s="3"/>
      <c r="UUZ29" s="3"/>
      <c r="UVA29" s="3"/>
      <c r="UVB29" s="3"/>
      <c r="UVC29" s="3"/>
      <c r="UVD29" s="3"/>
      <c r="UVE29" s="3"/>
      <c r="UVF29" s="3"/>
      <c r="UVG29" s="3"/>
      <c r="UVH29" s="3"/>
      <c r="UVI29" s="3"/>
      <c r="UVJ29" s="3"/>
      <c r="UVK29" s="3"/>
      <c r="UVL29" s="3"/>
      <c r="UVM29" s="3"/>
      <c r="UVN29" s="3"/>
      <c r="UVO29" s="3"/>
      <c r="UVP29" s="3"/>
      <c r="UVQ29" s="3"/>
      <c r="UVR29" s="3"/>
      <c r="UVS29" s="3"/>
      <c r="UVT29" s="3"/>
      <c r="UVU29" s="3"/>
      <c r="UVV29" s="3"/>
      <c r="UVW29" s="3"/>
      <c r="UVX29" s="3"/>
      <c r="UVY29" s="3"/>
      <c r="UVZ29" s="3"/>
      <c r="UWA29" s="3"/>
      <c r="UWB29" s="3"/>
      <c r="UWC29" s="3"/>
      <c r="UWD29" s="3"/>
      <c r="UWE29" s="3"/>
      <c r="UWF29" s="3"/>
      <c r="UWG29" s="3"/>
      <c r="UWH29" s="3"/>
      <c r="UWI29" s="3"/>
      <c r="UWJ29" s="3"/>
      <c r="UWK29" s="3"/>
      <c r="UWL29" s="3"/>
      <c r="UWM29" s="3"/>
      <c r="UWN29" s="3"/>
      <c r="UWO29" s="3"/>
      <c r="UWP29" s="3"/>
      <c r="UWQ29" s="3"/>
      <c r="UWR29" s="3"/>
      <c r="UWS29" s="3"/>
      <c r="UWT29" s="3"/>
      <c r="UWU29" s="3"/>
      <c r="UWV29" s="3"/>
      <c r="UWW29" s="3"/>
      <c r="UWX29" s="3"/>
      <c r="UWY29" s="3"/>
      <c r="UWZ29" s="3"/>
      <c r="UXA29" s="3"/>
      <c r="UXB29" s="3"/>
      <c r="UXC29" s="3"/>
      <c r="UXD29" s="3"/>
      <c r="UXE29" s="3"/>
      <c r="UXF29" s="3"/>
      <c r="UXG29" s="3"/>
      <c r="UXH29" s="3"/>
      <c r="UXI29" s="3"/>
      <c r="UXJ29" s="3"/>
      <c r="UXK29" s="3"/>
      <c r="UXL29" s="3"/>
      <c r="UXM29" s="3"/>
      <c r="UXN29" s="3"/>
      <c r="UXO29" s="3"/>
      <c r="UXP29" s="3"/>
      <c r="UXQ29" s="3"/>
      <c r="UXR29" s="3"/>
      <c r="UXS29" s="3"/>
      <c r="UXT29" s="3"/>
      <c r="UXU29" s="3"/>
      <c r="UXV29" s="3"/>
      <c r="UXW29" s="3"/>
      <c r="UXX29" s="3"/>
      <c r="UXY29" s="3"/>
      <c r="UXZ29" s="3"/>
      <c r="UYA29" s="3"/>
      <c r="UYB29" s="3"/>
      <c r="UYC29" s="3"/>
      <c r="UYD29" s="3"/>
      <c r="UYE29" s="3"/>
      <c r="UYF29" s="3"/>
      <c r="UYG29" s="3"/>
      <c r="UYH29" s="3"/>
      <c r="UYI29" s="3"/>
      <c r="UYJ29" s="3"/>
      <c r="UYK29" s="3"/>
      <c r="UYL29" s="3"/>
      <c r="UYM29" s="3"/>
      <c r="UYN29" s="3"/>
      <c r="UYO29" s="3"/>
      <c r="UYP29" s="3"/>
      <c r="UYQ29" s="3"/>
      <c r="UYR29" s="3"/>
      <c r="UYS29" s="3"/>
      <c r="UYT29" s="3"/>
      <c r="UYU29" s="3"/>
      <c r="UYV29" s="3"/>
      <c r="UYW29" s="3"/>
      <c r="UYX29" s="3"/>
      <c r="UYY29" s="3"/>
      <c r="UYZ29" s="3"/>
      <c r="UZA29" s="3"/>
      <c r="UZB29" s="3"/>
      <c r="UZC29" s="3"/>
      <c r="UZD29" s="3"/>
      <c r="UZE29" s="3"/>
      <c r="UZF29" s="3"/>
      <c r="UZG29" s="3"/>
      <c r="UZH29" s="3"/>
      <c r="UZI29" s="3"/>
      <c r="UZJ29" s="3"/>
      <c r="UZK29" s="3"/>
      <c r="UZL29" s="3"/>
      <c r="UZM29" s="3"/>
      <c r="UZN29" s="3"/>
      <c r="UZO29" s="3"/>
      <c r="UZP29" s="3"/>
      <c r="UZQ29" s="3"/>
      <c r="UZR29" s="3"/>
      <c r="UZS29" s="3"/>
      <c r="UZT29" s="3"/>
      <c r="UZU29" s="3"/>
      <c r="UZV29" s="3"/>
      <c r="UZW29" s="3"/>
      <c r="UZX29" s="3"/>
      <c r="UZY29" s="3"/>
      <c r="UZZ29" s="3"/>
      <c r="VAA29" s="3"/>
      <c r="VAB29" s="3"/>
      <c r="VAC29" s="3"/>
      <c r="VAD29" s="3"/>
      <c r="VAE29" s="3"/>
      <c r="VAF29" s="3"/>
      <c r="VAG29" s="3"/>
      <c r="VAH29" s="3"/>
      <c r="VAI29" s="3"/>
      <c r="VAJ29" s="3"/>
      <c r="VAK29" s="3"/>
      <c r="VAL29" s="3"/>
      <c r="VAM29" s="3"/>
      <c r="VAN29" s="3"/>
      <c r="VAO29" s="3"/>
      <c r="VAP29" s="3"/>
      <c r="VAQ29" s="3"/>
      <c r="VAR29" s="3"/>
      <c r="VAS29" s="3"/>
      <c r="VAT29" s="3"/>
      <c r="VAU29" s="3"/>
      <c r="VAV29" s="3"/>
      <c r="VAW29" s="3"/>
      <c r="VAX29" s="3"/>
      <c r="VAY29" s="3"/>
      <c r="VAZ29" s="3"/>
      <c r="VBA29" s="3"/>
      <c r="VBB29" s="3"/>
      <c r="VBC29" s="3"/>
      <c r="VBD29" s="3"/>
      <c r="VBE29" s="3"/>
      <c r="VBF29" s="3"/>
      <c r="VBG29" s="3"/>
      <c r="VBH29" s="3"/>
      <c r="VBI29" s="3"/>
      <c r="VBJ29" s="3"/>
      <c r="VBK29" s="3"/>
      <c r="VBL29" s="3"/>
      <c r="VBM29" s="3"/>
      <c r="VBN29" s="3"/>
      <c r="VBO29" s="3"/>
      <c r="VBP29" s="3"/>
      <c r="VBQ29" s="3"/>
      <c r="VBR29" s="3"/>
      <c r="VBS29" s="3"/>
      <c r="VBT29" s="3"/>
      <c r="VBU29" s="3"/>
      <c r="VBV29" s="3"/>
      <c r="VBW29" s="3"/>
      <c r="VBX29" s="3"/>
      <c r="VBY29" s="3"/>
      <c r="VBZ29" s="3"/>
      <c r="VCA29" s="3"/>
      <c r="VCB29" s="3"/>
      <c r="VCC29" s="3"/>
      <c r="VCD29" s="3"/>
      <c r="VCE29" s="3"/>
      <c r="VCF29" s="3"/>
      <c r="VCG29" s="3"/>
      <c r="VCH29" s="3"/>
      <c r="VCI29" s="3"/>
      <c r="VCJ29" s="3"/>
      <c r="VCK29" s="3"/>
      <c r="VCL29" s="3"/>
      <c r="VCM29" s="3"/>
      <c r="VCN29" s="3"/>
      <c r="VCO29" s="3"/>
      <c r="VCP29" s="3"/>
      <c r="VCQ29" s="3"/>
      <c r="VCR29" s="3"/>
      <c r="VCS29" s="3"/>
      <c r="VCT29" s="3"/>
      <c r="VCU29" s="3"/>
      <c r="VCV29" s="3"/>
      <c r="VCW29" s="3"/>
      <c r="VCX29" s="3"/>
      <c r="VCY29" s="3"/>
      <c r="VCZ29" s="3"/>
      <c r="VDA29" s="3"/>
      <c r="VDB29" s="3"/>
      <c r="VDC29" s="3"/>
      <c r="VDD29" s="3"/>
      <c r="VDE29" s="3"/>
      <c r="VDF29" s="3"/>
      <c r="VDG29" s="3"/>
      <c r="VDH29" s="3"/>
      <c r="VDI29" s="3"/>
      <c r="VDJ29" s="3"/>
      <c r="VDK29" s="3"/>
      <c r="VDL29" s="3"/>
      <c r="VDM29" s="3"/>
      <c r="VDN29" s="3"/>
      <c r="VDO29" s="3"/>
      <c r="VDP29" s="3"/>
      <c r="VDQ29" s="3"/>
      <c r="VDR29" s="3"/>
      <c r="VDS29" s="3"/>
      <c r="VDT29" s="3"/>
      <c r="VDU29" s="3"/>
      <c r="VDV29" s="3"/>
      <c r="VDW29" s="3"/>
      <c r="VDX29" s="3"/>
      <c r="VDY29" s="3"/>
      <c r="VDZ29" s="3"/>
      <c r="VEA29" s="3"/>
      <c r="VEB29" s="3"/>
      <c r="VEC29" s="3"/>
      <c r="VED29" s="3"/>
      <c r="VEE29" s="3"/>
      <c r="VEF29" s="3"/>
      <c r="VEG29" s="3"/>
      <c r="VEH29" s="3"/>
      <c r="VEI29" s="3"/>
      <c r="VEJ29" s="3"/>
      <c r="VEK29" s="3"/>
      <c r="VEL29" s="3"/>
      <c r="VEM29" s="3"/>
      <c r="VEN29" s="3"/>
      <c r="VEO29" s="3"/>
      <c r="VEP29" s="3"/>
      <c r="VEQ29" s="3"/>
      <c r="VER29" s="3"/>
      <c r="VES29" s="3"/>
      <c r="VET29" s="3"/>
      <c r="VEU29" s="3"/>
      <c r="VEV29" s="3"/>
      <c r="VEW29" s="3"/>
      <c r="VEX29" s="3"/>
      <c r="VEY29" s="3"/>
      <c r="VEZ29" s="3"/>
      <c r="VFA29" s="3"/>
      <c r="VFB29" s="3"/>
      <c r="VFC29" s="3"/>
      <c r="VFD29" s="3"/>
      <c r="VFE29" s="3"/>
      <c r="VFF29" s="3"/>
      <c r="VFG29" s="3"/>
      <c r="VFH29" s="3"/>
      <c r="VFI29" s="3"/>
      <c r="VFJ29" s="3"/>
      <c r="VFK29" s="3"/>
      <c r="VFL29" s="3"/>
      <c r="VFM29" s="3"/>
      <c r="VFN29" s="3"/>
      <c r="VFO29" s="3"/>
      <c r="VFP29" s="3"/>
      <c r="VFQ29" s="3"/>
      <c r="VFR29" s="3"/>
      <c r="VFS29" s="3"/>
      <c r="VFT29" s="3"/>
      <c r="VFU29" s="3"/>
      <c r="VFV29" s="3"/>
      <c r="VFW29" s="3"/>
      <c r="VFX29" s="3"/>
      <c r="VFY29" s="3"/>
      <c r="VFZ29" s="3"/>
      <c r="VGA29" s="3"/>
      <c r="VGB29" s="3"/>
      <c r="VGC29" s="3"/>
      <c r="VGD29" s="3"/>
      <c r="VGE29" s="3"/>
      <c r="VGF29" s="3"/>
      <c r="VGG29" s="3"/>
      <c r="VGH29" s="3"/>
      <c r="VGI29" s="3"/>
      <c r="VGJ29" s="3"/>
      <c r="VGK29" s="3"/>
      <c r="VGL29" s="3"/>
      <c r="VGM29" s="3"/>
      <c r="VGN29" s="3"/>
      <c r="VGO29" s="3"/>
      <c r="VGP29" s="3"/>
      <c r="VGQ29" s="3"/>
      <c r="VGR29" s="3"/>
      <c r="VGS29" s="3"/>
      <c r="VGT29" s="3"/>
      <c r="VGU29" s="3"/>
      <c r="VGV29" s="3"/>
      <c r="VGW29" s="3"/>
      <c r="VGX29" s="3"/>
      <c r="VGY29" s="3"/>
      <c r="VGZ29" s="3"/>
      <c r="VHA29" s="3"/>
      <c r="VHB29" s="3"/>
      <c r="VHC29" s="3"/>
      <c r="VHD29" s="3"/>
      <c r="VHE29" s="3"/>
      <c r="VHF29" s="3"/>
      <c r="VHG29" s="3"/>
      <c r="VHH29" s="3"/>
      <c r="VHI29" s="3"/>
      <c r="VHJ29" s="3"/>
      <c r="VHK29" s="3"/>
      <c r="VHL29" s="3"/>
      <c r="VHM29" s="3"/>
      <c r="VHN29" s="3"/>
      <c r="VHO29" s="3"/>
      <c r="VHP29" s="3"/>
      <c r="VHQ29" s="3"/>
      <c r="VHR29" s="3"/>
      <c r="VHS29" s="3"/>
      <c r="VHT29" s="3"/>
      <c r="VHU29" s="3"/>
      <c r="VHV29" s="3"/>
      <c r="VHW29" s="3"/>
      <c r="VHX29" s="3"/>
      <c r="VHY29" s="3"/>
      <c r="VHZ29" s="3"/>
      <c r="VIA29" s="3"/>
      <c r="VIB29" s="3"/>
      <c r="VIC29" s="3"/>
      <c r="VID29" s="3"/>
      <c r="VIE29" s="3"/>
      <c r="VIF29" s="3"/>
      <c r="VIG29" s="3"/>
      <c r="VIH29" s="3"/>
      <c r="VII29" s="3"/>
      <c r="VIJ29" s="3"/>
      <c r="VIK29" s="3"/>
      <c r="VIL29" s="3"/>
      <c r="VIM29" s="3"/>
      <c r="VIN29" s="3"/>
      <c r="VIO29" s="3"/>
      <c r="VIP29" s="3"/>
      <c r="VIQ29" s="3"/>
      <c r="VIR29" s="3"/>
      <c r="VIS29" s="3"/>
      <c r="VIT29" s="3"/>
      <c r="VIU29" s="3"/>
      <c r="VIV29" s="3"/>
      <c r="VIW29" s="3"/>
      <c r="VIX29" s="3"/>
      <c r="VIY29" s="3"/>
      <c r="VIZ29" s="3"/>
      <c r="VJA29" s="3"/>
      <c r="VJB29" s="3"/>
      <c r="VJC29" s="3"/>
      <c r="VJD29" s="3"/>
      <c r="VJE29" s="3"/>
      <c r="VJF29" s="3"/>
      <c r="VJG29" s="3"/>
      <c r="VJH29" s="3"/>
      <c r="VJI29" s="3"/>
      <c r="VJJ29" s="3"/>
      <c r="VJK29" s="3"/>
      <c r="VJL29" s="3"/>
      <c r="VJM29" s="3"/>
      <c r="VJN29" s="3"/>
      <c r="VJO29" s="3"/>
      <c r="VJP29" s="3"/>
      <c r="VJQ29" s="3"/>
      <c r="VJR29" s="3"/>
      <c r="VJS29" s="3"/>
      <c r="VJT29" s="3"/>
      <c r="VJU29" s="3"/>
      <c r="VJV29" s="3"/>
      <c r="VJW29" s="3"/>
      <c r="VJX29" s="3"/>
      <c r="VJY29" s="3"/>
      <c r="VJZ29" s="3"/>
      <c r="VKA29" s="3"/>
      <c r="VKB29" s="3"/>
      <c r="VKC29" s="3"/>
      <c r="VKD29" s="3"/>
      <c r="VKE29" s="3"/>
      <c r="VKF29" s="3"/>
      <c r="VKG29" s="3"/>
      <c r="VKH29" s="3"/>
      <c r="VKI29" s="3"/>
      <c r="VKJ29" s="3"/>
      <c r="VKK29" s="3"/>
      <c r="VKL29" s="3"/>
      <c r="VKM29" s="3"/>
      <c r="VKN29" s="3"/>
      <c r="VKO29" s="3"/>
      <c r="VKP29" s="3"/>
      <c r="VKQ29" s="3"/>
      <c r="VKR29" s="3"/>
      <c r="VKS29" s="3"/>
      <c r="VKT29" s="3"/>
      <c r="VKU29" s="3"/>
      <c r="VKV29" s="3"/>
      <c r="VKW29" s="3"/>
      <c r="VKX29" s="3"/>
      <c r="VKY29" s="3"/>
      <c r="VKZ29" s="3"/>
      <c r="VLA29" s="3"/>
      <c r="VLB29" s="3"/>
      <c r="VLC29" s="3"/>
      <c r="VLD29" s="3"/>
      <c r="VLE29" s="3"/>
      <c r="VLF29" s="3"/>
      <c r="VLG29" s="3"/>
      <c r="VLH29" s="3"/>
      <c r="VLI29" s="3"/>
      <c r="VLJ29" s="3"/>
      <c r="VLK29" s="3"/>
      <c r="VLL29" s="3"/>
      <c r="VLM29" s="3"/>
      <c r="VLN29" s="3"/>
      <c r="VLO29" s="3"/>
      <c r="VLP29" s="3"/>
      <c r="VLQ29" s="3"/>
      <c r="VLR29" s="3"/>
      <c r="VLS29" s="3"/>
      <c r="VLT29" s="3"/>
      <c r="VLU29" s="3"/>
      <c r="VLV29" s="3"/>
      <c r="VLW29" s="3"/>
      <c r="VLX29" s="3"/>
      <c r="VLY29" s="3"/>
      <c r="VLZ29" s="3"/>
      <c r="VMA29" s="3"/>
      <c r="VMB29" s="3"/>
      <c r="VMC29" s="3"/>
      <c r="VMD29" s="3"/>
      <c r="VME29" s="3"/>
      <c r="VMF29" s="3"/>
      <c r="VMG29" s="3"/>
      <c r="VMH29" s="3"/>
      <c r="VMI29" s="3"/>
      <c r="VMJ29" s="3"/>
      <c r="VMK29" s="3"/>
      <c r="VML29" s="3"/>
      <c r="VMM29" s="3"/>
      <c r="VMN29" s="3"/>
      <c r="VMO29" s="3"/>
      <c r="VMP29" s="3"/>
      <c r="VMQ29" s="3"/>
      <c r="VMR29" s="3"/>
      <c r="VMS29" s="3"/>
      <c r="VMT29" s="3"/>
      <c r="VMU29" s="3"/>
      <c r="VMV29" s="3"/>
      <c r="VMW29" s="3"/>
      <c r="VMX29" s="3"/>
      <c r="VMY29" s="3"/>
      <c r="VMZ29" s="3"/>
      <c r="VNA29" s="3"/>
      <c r="VNB29" s="3"/>
      <c r="VNC29" s="3"/>
      <c r="VND29" s="3"/>
      <c r="VNE29" s="3"/>
      <c r="VNF29" s="3"/>
      <c r="VNG29" s="3"/>
      <c r="VNH29" s="3"/>
      <c r="VNI29" s="3"/>
      <c r="VNJ29" s="3"/>
      <c r="VNK29" s="3"/>
      <c r="VNL29" s="3"/>
      <c r="VNM29" s="3"/>
      <c r="VNN29" s="3"/>
      <c r="VNO29" s="3"/>
      <c r="VNP29" s="3"/>
      <c r="VNQ29" s="3"/>
      <c r="VNR29" s="3"/>
      <c r="VNS29" s="3"/>
      <c r="VNT29" s="3"/>
      <c r="VNU29" s="3"/>
      <c r="VNV29" s="3"/>
      <c r="VNW29" s="3"/>
      <c r="VNX29" s="3"/>
      <c r="VNY29" s="3"/>
      <c r="VNZ29" s="3"/>
      <c r="VOA29" s="3"/>
      <c r="VOB29" s="3"/>
      <c r="VOC29" s="3"/>
      <c r="VOD29" s="3"/>
      <c r="VOE29" s="3"/>
      <c r="VOF29" s="3"/>
      <c r="VOG29" s="3"/>
      <c r="VOH29" s="3"/>
      <c r="VOI29" s="3"/>
      <c r="VOJ29" s="3"/>
      <c r="VOK29" s="3"/>
      <c r="VOL29" s="3"/>
      <c r="VOM29" s="3"/>
      <c r="VON29" s="3"/>
      <c r="VOO29" s="3"/>
      <c r="VOP29" s="3"/>
      <c r="VOQ29" s="3"/>
      <c r="VOR29" s="3"/>
      <c r="VOS29" s="3"/>
      <c r="VOT29" s="3"/>
      <c r="VOU29" s="3"/>
      <c r="VOV29" s="3"/>
      <c r="VOW29" s="3"/>
      <c r="VOX29" s="3"/>
      <c r="VOY29" s="3"/>
      <c r="VOZ29" s="3"/>
      <c r="VPA29" s="3"/>
      <c r="VPB29" s="3"/>
      <c r="VPC29" s="3"/>
      <c r="VPD29" s="3"/>
      <c r="VPE29" s="3"/>
      <c r="VPF29" s="3"/>
      <c r="VPG29" s="3"/>
      <c r="VPH29" s="3"/>
      <c r="VPI29" s="3"/>
      <c r="VPJ29" s="3"/>
      <c r="VPK29" s="3"/>
      <c r="VPL29" s="3"/>
      <c r="VPM29" s="3"/>
      <c r="VPN29" s="3"/>
      <c r="VPO29" s="3"/>
      <c r="VPP29" s="3"/>
      <c r="VPQ29" s="3"/>
      <c r="VPR29" s="3"/>
      <c r="VPS29" s="3"/>
      <c r="VPT29" s="3"/>
      <c r="VPU29" s="3"/>
      <c r="VPV29" s="3"/>
      <c r="VPW29" s="3"/>
      <c r="VPX29" s="3"/>
      <c r="VPY29" s="3"/>
      <c r="VPZ29" s="3"/>
      <c r="VQA29" s="3"/>
      <c r="VQB29" s="3"/>
      <c r="VQC29" s="3"/>
      <c r="VQD29" s="3"/>
      <c r="VQE29" s="3"/>
      <c r="VQF29" s="3"/>
      <c r="VQG29" s="3"/>
      <c r="VQH29" s="3"/>
      <c r="VQI29" s="3"/>
      <c r="VQJ29" s="3"/>
      <c r="VQK29" s="3"/>
      <c r="VQL29" s="3"/>
      <c r="VQM29" s="3"/>
      <c r="VQN29" s="3"/>
      <c r="VQO29" s="3"/>
      <c r="VQP29" s="3"/>
      <c r="VQQ29" s="3"/>
      <c r="VQR29" s="3"/>
      <c r="VQS29" s="3"/>
      <c r="VQT29" s="3"/>
      <c r="VQU29" s="3"/>
      <c r="VQV29" s="3"/>
      <c r="VQW29" s="3"/>
      <c r="VQX29" s="3"/>
      <c r="VQY29" s="3"/>
      <c r="VQZ29" s="3"/>
      <c r="VRA29" s="3"/>
      <c r="VRB29" s="3"/>
      <c r="VRC29" s="3"/>
      <c r="VRD29" s="3"/>
      <c r="VRE29" s="3"/>
      <c r="VRF29" s="3"/>
      <c r="VRG29" s="3"/>
      <c r="VRH29" s="3"/>
      <c r="VRI29" s="3"/>
      <c r="VRJ29" s="3"/>
      <c r="VRK29" s="3"/>
      <c r="VRL29" s="3"/>
      <c r="VRM29" s="3"/>
      <c r="VRN29" s="3"/>
      <c r="VRO29" s="3"/>
      <c r="VRP29" s="3"/>
      <c r="VRQ29" s="3"/>
      <c r="VRR29" s="3"/>
      <c r="VRS29" s="3"/>
      <c r="VRT29" s="3"/>
      <c r="VRU29" s="3"/>
      <c r="VRV29" s="3"/>
      <c r="VRW29" s="3"/>
      <c r="VRX29" s="3"/>
      <c r="VRY29" s="3"/>
      <c r="VRZ29" s="3"/>
      <c r="VSA29" s="3"/>
      <c r="VSB29" s="3"/>
      <c r="VSC29" s="3"/>
      <c r="VSD29" s="3"/>
      <c r="VSE29" s="3"/>
      <c r="VSF29" s="3"/>
      <c r="VSG29" s="3"/>
      <c r="VSH29" s="3"/>
      <c r="VSI29" s="3"/>
      <c r="VSJ29" s="3"/>
      <c r="VSK29" s="3"/>
      <c r="VSL29" s="3"/>
      <c r="VSM29" s="3"/>
      <c r="VSN29" s="3"/>
      <c r="VSO29" s="3"/>
      <c r="VSP29" s="3"/>
      <c r="VSQ29" s="3"/>
      <c r="VSR29" s="3"/>
      <c r="VSS29" s="3"/>
      <c r="VST29" s="3"/>
      <c r="VSU29" s="3"/>
      <c r="VSV29" s="3"/>
      <c r="VSW29" s="3"/>
      <c r="VSX29" s="3"/>
      <c r="VSY29" s="3"/>
      <c r="VSZ29" s="3"/>
      <c r="VTA29" s="3"/>
      <c r="VTB29" s="3"/>
      <c r="VTC29" s="3"/>
      <c r="VTD29" s="3"/>
      <c r="VTE29" s="3"/>
      <c r="VTF29" s="3"/>
      <c r="VTG29" s="3"/>
      <c r="VTH29" s="3"/>
      <c r="VTI29" s="3"/>
      <c r="VTJ29" s="3"/>
      <c r="VTK29" s="3"/>
      <c r="VTL29" s="3"/>
      <c r="VTM29" s="3"/>
      <c r="VTN29" s="3"/>
      <c r="VTO29" s="3"/>
      <c r="VTP29" s="3"/>
      <c r="VTQ29" s="3"/>
      <c r="VTR29" s="3"/>
      <c r="VTS29" s="3"/>
      <c r="VTT29" s="3"/>
      <c r="VTU29" s="3"/>
      <c r="VTV29" s="3"/>
      <c r="VTW29" s="3"/>
      <c r="VTX29" s="3"/>
      <c r="VTY29" s="3"/>
      <c r="VTZ29" s="3"/>
      <c r="VUA29" s="3"/>
      <c r="VUB29" s="3"/>
      <c r="VUC29" s="3"/>
      <c r="VUD29" s="3"/>
      <c r="VUE29" s="3"/>
      <c r="VUF29" s="3"/>
      <c r="VUG29" s="3"/>
      <c r="VUH29" s="3"/>
      <c r="VUI29" s="3"/>
      <c r="VUJ29" s="3"/>
      <c r="VUK29" s="3"/>
      <c r="VUL29" s="3"/>
      <c r="VUM29" s="3"/>
      <c r="VUN29" s="3"/>
      <c r="VUO29" s="3"/>
      <c r="VUP29" s="3"/>
      <c r="VUQ29" s="3"/>
      <c r="VUR29" s="3"/>
      <c r="VUS29" s="3"/>
      <c r="VUT29" s="3"/>
      <c r="VUU29" s="3"/>
      <c r="VUV29" s="3"/>
      <c r="VUW29" s="3"/>
      <c r="VUX29" s="3"/>
      <c r="VUY29" s="3"/>
      <c r="VUZ29" s="3"/>
      <c r="VVA29" s="3"/>
      <c r="VVB29" s="3"/>
      <c r="VVC29" s="3"/>
      <c r="VVD29" s="3"/>
      <c r="VVE29" s="3"/>
      <c r="VVF29" s="3"/>
      <c r="VVG29" s="3"/>
      <c r="VVH29" s="3"/>
      <c r="VVI29" s="3"/>
      <c r="VVJ29" s="3"/>
      <c r="VVK29" s="3"/>
      <c r="VVL29" s="3"/>
      <c r="VVM29" s="3"/>
      <c r="VVN29" s="3"/>
      <c r="VVO29" s="3"/>
      <c r="VVP29" s="3"/>
      <c r="VVQ29" s="3"/>
      <c r="VVR29" s="3"/>
      <c r="VVS29" s="3"/>
      <c r="VVT29" s="3"/>
      <c r="VVU29" s="3"/>
      <c r="VVV29" s="3"/>
      <c r="VVW29" s="3"/>
      <c r="VVX29" s="3"/>
      <c r="VVY29" s="3"/>
      <c r="VVZ29" s="3"/>
      <c r="VWA29" s="3"/>
      <c r="VWB29" s="3"/>
      <c r="VWC29" s="3"/>
      <c r="VWD29" s="3"/>
      <c r="VWE29" s="3"/>
      <c r="VWF29" s="3"/>
      <c r="VWG29" s="3"/>
      <c r="VWH29" s="3"/>
      <c r="VWI29" s="3"/>
      <c r="VWJ29" s="3"/>
      <c r="VWK29" s="3"/>
      <c r="VWL29" s="3"/>
      <c r="VWM29" s="3"/>
      <c r="VWN29" s="3"/>
      <c r="VWO29" s="3"/>
      <c r="VWP29" s="3"/>
      <c r="VWQ29" s="3"/>
      <c r="VWR29" s="3"/>
      <c r="VWS29" s="3"/>
      <c r="VWT29" s="3"/>
      <c r="VWU29" s="3"/>
      <c r="VWV29" s="3"/>
      <c r="VWW29" s="3"/>
      <c r="VWX29" s="3"/>
      <c r="VWY29" s="3"/>
      <c r="VWZ29" s="3"/>
      <c r="VXA29" s="3"/>
      <c r="VXB29" s="3"/>
      <c r="VXC29" s="3"/>
      <c r="VXD29" s="3"/>
      <c r="VXE29" s="3"/>
      <c r="VXF29" s="3"/>
      <c r="VXG29" s="3"/>
      <c r="VXH29" s="3"/>
      <c r="VXI29" s="3"/>
      <c r="VXJ29" s="3"/>
      <c r="VXK29" s="3"/>
      <c r="VXL29" s="3"/>
      <c r="VXM29" s="3"/>
      <c r="VXN29" s="3"/>
      <c r="VXO29" s="3"/>
      <c r="VXP29" s="3"/>
      <c r="VXQ29" s="3"/>
      <c r="VXR29" s="3"/>
      <c r="VXS29" s="3"/>
      <c r="VXT29" s="3"/>
      <c r="VXU29" s="3"/>
      <c r="VXV29" s="3"/>
      <c r="VXW29" s="3"/>
      <c r="VXX29" s="3"/>
      <c r="VXY29" s="3"/>
      <c r="VXZ29" s="3"/>
      <c r="VYA29" s="3"/>
      <c r="VYB29" s="3"/>
      <c r="VYC29" s="3"/>
      <c r="VYD29" s="3"/>
      <c r="VYE29" s="3"/>
      <c r="VYF29" s="3"/>
      <c r="VYG29" s="3"/>
      <c r="VYH29" s="3"/>
      <c r="VYI29" s="3"/>
      <c r="VYJ29" s="3"/>
      <c r="VYK29" s="3"/>
      <c r="VYL29" s="3"/>
      <c r="VYM29" s="3"/>
      <c r="VYN29" s="3"/>
      <c r="VYO29" s="3"/>
      <c r="VYP29" s="3"/>
      <c r="VYQ29" s="3"/>
      <c r="VYR29" s="3"/>
      <c r="VYS29" s="3"/>
      <c r="VYT29" s="3"/>
      <c r="VYU29" s="3"/>
      <c r="VYV29" s="3"/>
      <c r="VYW29" s="3"/>
      <c r="VYX29" s="3"/>
      <c r="VYY29" s="3"/>
      <c r="VYZ29" s="3"/>
      <c r="VZA29" s="3"/>
      <c r="VZB29" s="3"/>
      <c r="VZC29" s="3"/>
      <c r="VZD29" s="3"/>
      <c r="VZE29" s="3"/>
      <c r="VZF29" s="3"/>
      <c r="VZG29" s="3"/>
      <c r="VZH29" s="3"/>
      <c r="VZI29" s="3"/>
      <c r="VZJ29" s="3"/>
      <c r="VZK29" s="3"/>
      <c r="VZL29" s="3"/>
      <c r="VZM29" s="3"/>
      <c r="VZN29" s="3"/>
      <c r="VZO29" s="3"/>
      <c r="VZP29" s="3"/>
      <c r="VZQ29" s="3"/>
      <c r="VZR29" s="3"/>
      <c r="VZS29" s="3"/>
      <c r="VZT29" s="3"/>
      <c r="VZU29" s="3"/>
      <c r="VZV29" s="3"/>
      <c r="VZW29" s="3"/>
      <c r="VZX29" s="3"/>
      <c r="VZY29" s="3"/>
      <c r="VZZ29" s="3"/>
      <c r="WAA29" s="3"/>
      <c r="WAB29" s="3"/>
      <c r="WAC29" s="3"/>
      <c r="WAD29" s="3"/>
      <c r="WAE29" s="3"/>
      <c r="WAF29" s="3"/>
      <c r="WAG29" s="3"/>
      <c r="WAH29" s="3"/>
      <c r="WAI29" s="3"/>
      <c r="WAJ29" s="3"/>
      <c r="WAK29" s="3"/>
      <c r="WAL29" s="3"/>
      <c r="WAM29" s="3"/>
      <c r="WAN29" s="3"/>
      <c r="WAO29" s="3"/>
      <c r="WAP29" s="3"/>
      <c r="WAQ29" s="3"/>
      <c r="WAR29" s="3"/>
      <c r="WAS29" s="3"/>
      <c r="WAT29" s="3"/>
      <c r="WAU29" s="3"/>
      <c r="WAV29" s="3"/>
      <c r="WAW29" s="3"/>
      <c r="WAX29" s="3"/>
      <c r="WAY29" s="3"/>
      <c r="WAZ29" s="3"/>
      <c r="WBA29" s="3"/>
      <c r="WBB29" s="3"/>
      <c r="WBC29" s="3"/>
      <c r="WBD29" s="3"/>
      <c r="WBE29" s="3"/>
      <c r="WBF29" s="3"/>
      <c r="WBG29" s="3"/>
      <c r="WBH29" s="3"/>
      <c r="WBI29" s="3"/>
      <c r="WBJ29" s="3"/>
      <c r="WBK29" s="3"/>
      <c r="WBL29" s="3"/>
      <c r="WBM29" s="3"/>
      <c r="WBN29" s="3"/>
      <c r="WBO29" s="3"/>
      <c r="WBP29" s="3"/>
      <c r="WBQ29" s="3"/>
      <c r="WBR29" s="3"/>
      <c r="WBS29" s="3"/>
      <c r="WBT29" s="3"/>
      <c r="WBU29" s="3"/>
      <c r="WBV29" s="3"/>
      <c r="WBW29" s="3"/>
      <c r="WBX29" s="3"/>
      <c r="WBY29" s="3"/>
      <c r="WBZ29" s="3"/>
      <c r="WCA29" s="3"/>
      <c r="WCB29" s="3"/>
      <c r="WCC29" s="3"/>
      <c r="WCD29" s="3"/>
      <c r="WCE29" s="3"/>
      <c r="WCF29" s="3"/>
      <c r="WCG29" s="3"/>
      <c r="WCH29" s="3"/>
      <c r="WCI29" s="3"/>
      <c r="WCJ29" s="3"/>
      <c r="WCK29" s="3"/>
      <c r="WCL29" s="3"/>
      <c r="WCM29" s="3"/>
      <c r="WCN29" s="3"/>
      <c r="WCO29" s="3"/>
      <c r="WCP29" s="3"/>
      <c r="WCQ29" s="3"/>
      <c r="WCR29" s="3"/>
      <c r="WCS29" s="3"/>
      <c r="WCT29" s="3"/>
      <c r="WCU29" s="3"/>
      <c r="WCV29" s="3"/>
      <c r="WCW29" s="3"/>
      <c r="WCX29" s="3"/>
      <c r="WCY29" s="3"/>
      <c r="WCZ29" s="3"/>
      <c r="WDA29" s="3"/>
      <c r="WDB29" s="3"/>
      <c r="WDC29" s="3"/>
      <c r="WDD29" s="3"/>
      <c r="WDE29" s="3"/>
      <c r="WDF29" s="3"/>
      <c r="WDG29" s="3"/>
      <c r="WDH29" s="3"/>
      <c r="WDI29" s="3"/>
      <c r="WDJ29" s="3"/>
      <c r="WDK29" s="3"/>
      <c r="WDL29" s="3"/>
      <c r="WDM29" s="3"/>
      <c r="WDN29" s="3"/>
      <c r="WDO29" s="3"/>
      <c r="WDP29" s="3"/>
      <c r="WDQ29" s="3"/>
      <c r="WDR29" s="3"/>
      <c r="WDS29" s="3"/>
      <c r="WDT29" s="3"/>
      <c r="WDU29" s="3"/>
      <c r="WDV29" s="3"/>
      <c r="WDW29" s="3"/>
      <c r="WDX29" s="3"/>
      <c r="WDY29" s="3"/>
      <c r="WDZ29" s="3"/>
      <c r="WEA29" s="3"/>
      <c r="WEB29" s="3"/>
      <c r="WEC29" s="3"/>
      <c r="WED29" s="3"/>
      <c r="WEE29" s="3"/>
      <c r="WEF29" s="3"/>
      <c r="WEG29" s="3"/>
      <c r="WEH29" s="3"/>
      <c r="WEI29" s="3"/>
      <c r="WEJ29" s="3"/>
      <c r="WEK29" s="3"/>
      <c r="WEL29" s="3"/>
      <c r="WEM29" s="3"/>
      <c r="WEN29" s="3"/>
      <c r="WEO29" s="3"/>
      <c r="WEP29" s="3"/>
      <c r="WEQ29" s="3"/>
      <c r="WER29" s="3"/>
      <c r="WES29" s="3"/>
      <c r="WET29" s="3"/>
      <c r="WEU29" s="3"/>
      <c r="WEV29" s="3"/>
      <c r="WEW29" s="3"/>
      <c r="WEX29" s="3"/>
      <c r="WEY29" s="3"/>
      <c r="WEZ29" s="3"/>
      <c r="WFA29" s="3"/>
      <c r="WFB29" s="3"/>
      <c r="WFC29" s="3"/>
      <c r="WFD29" s="3"/>
      <c r="WFE29" s="3"/>
      <c r="WFF29" s="3"/>
      <c r="WFG29" s="3"/>
      <c r="WFH29" s="3"/>
      <c r="WFI29" s="3"/>
      <c r="WFJ29" s="3"/>
      <c r="WFK29" s="3"/>
      <c r="WFL29" s="3"/>
      <c r="WFM29" s="3"/>
      <c r="WFN29" s="3"/>
      <c r="WFO29" s="3"/>
      <c r="WFP29" s="3"/>
      <c r="WFQ29" s="3"/>
      <c r="WFR29" s="3"/>
      <c r="WFS29" s="3"/>
      <c r="WFT29" s="3"/>
      <c r="WFU29" s="3"/>
      <c r="WFV29" s="3"/>
      <c r="WFW29" s="3"/>
      <c r="WFX29" s="3"/>
      <c r="WFY29" s="3"/>
      <c r="WFZ29" s="3"/>
      <c r="WGA29" s="3"/>
      <c r="WGB29" s="3"/>
      <c r="WGC29" s="3"/>
      <c r="WGD29" s="3"/>
      <c r="WGE29" s="3"/>
      <c r="WGF29" s="3"/>
      <c r="WGG29" s="3"/>
      <c r="WGH29" s="3"/>
      <c r="WGI29" s="3"/>
      <c r="WGJ29" s="3"/>
      <c r="WGK29" s="3"/>
      <c r="WGL29" s="3"/>
      <c r="WGM29" s="3"/>
      <c r="WGN29" s="3"/>
      <c r="WGO29" s="3"/>
      <c r="WGP29" s="3"/>
      <c r="WGQ29" s="3"/>
      <c r="WGR29" s="3"/>
      <c r="WGS29" s="3"/>
      <c r="WGT29" s="3"/>
      <c r="WGU29" s="3"/>
      <c r="WGV29" s="3"/>
      <c r="WGW29" s="3"/>
      <c r="WGX29" s="3"/>
      <c r="WGY29" s="3"/>
      <c r="WGZ29" s="3"/>
      <c r="WHA29" s="3"/>
      <c r="WHB29" s="3"/>
      <c r="WHC29" s="3"/>
      <c r="WHD29" s="3"/>
      <c r="WHE29" s="3"/>
      <c r="WHF29" s="3"/>
      <c r="WHG29" s="3"/>
      <c r="WHH29" s="3"/>
      <c r="WHI29" s="3"/>
      <c r="WHJ29" s="3"/>
      <c r="WHK29" s="3"/>
      <c r="WHL29" s="3"/>
      <c r="WHM29" s="3"/>
      <c r="WHN29" s="3"/>
      <c r="WHO29" s="3"/>
      <c r="WHP29" s="3"/>
      <c r="WHQ29" s="3"/>
      <c r="WHR29" s="3"/>
      <c r="WHS29" s="3"/>
      <c r="WHT29" s="3"/>
      <c r="WHU29" s="3"/>
      <c r="WHV29" s="3"/>
      <c r="WHW29" s="3"/>
      <c r="WHX29" s="3"/>
      <c r="WHY29" s="3"/>
      <c r="WHZ29" s="3"/>
      <c r="WIA29" s="3"/>
      <c r="WIB29" s="3"/>
      <c r="WIC29" s="3"/>
      <c r="WID29" s="3"/>
      <c r="WIE29" s="3"/>
      <c r="WIF29" s="3"/>
      <c r="WIG29" s="3"/>
      <c r="WIH29" s="3"/>
      <c r="WII29" s="3"/>
      <c r="WIJ29" s="3"/>
      <c r="WIK29" s="3"/>
      <c r="WIL29" s="3"/>
      <c r="WIM29" s="3"/>
      <c r="WIN29" s="3"/>
      <c r="WIO29" s="3"/>
      <c r="WIP29" s="3"/>
      <c r="WIQ29" s="3"/>
      <c r="WIR29" s="3"/>
      <c r="WIS29" s="3"/>
      <c r="WIT29" s="3"/>
      <c r="WIU29" s="3"/>
      <c r="WIV29" s="3"/>
      <c r="WIW29" s="3"/>
      <c r="WIX29" s="3"/>
      <c r="WIY29" s="3"/>
      <c r="WIZ29" s="3"/>
      <c r="WJA29" s="3"/>
      <c r="WJB29" s="3"/>
      <c r="WJC29" s="3"/>
      <c r="WJD29" s="3"/>
      <c r="WJE29" s="3"/>
      <c r="WJF29" s="3"/>
      <c r="WJG29" s="3"/>
      <c r="WJH29" s="3"/>
      <c r="WJI29" s="3"/>
      <c r="WJJ29" s="3"/>
      <c r="WJK29" s="3"/>
      <c r="WJL29" s="3"/>
      <c r="WJM29" s="3"/>
      <c r="WJN29" s="3"/>
      <c r="WJO29" s="3"/>
      <c r="WJP29" s="3"/>
      <c r="WJQ29" s="3"/>
      <c r="WJR29" s="3"/>
      <c r="WJS29" s="3"/>
      <c r="WJT29" s="3"/>
      <c r="WJU29" s="3"/>
      <c r="WJV29" s="3"/>
      <c r="WJW29" s="3"/>
      <c r="WJX29" s="3"/>
      <c r="WJY29" s="3"/>
      <c r="WJZ29" s="3"/>
      <c r="WKA29" s="3"/>
      <c r="WKB29" s="3"/>
      <c r="WKC29" s="3"/>
      <c r="WKD29" s="3"/>
      <c r="WKE29" s="3"/>
      <c r="WKF29" s="3"/>
      <c r="WKG29" s="3"/>
      <c r="WKH29" s="3"/>
      <c r="WKI29" s="3"/>
      <c r="WKJ29" s="3"/>
      <c r="WKK29" s="3"/>
      <c r="WKL29" s="3"/>
      <c r="WKM29" s="3"/>
      <c r="WKN29" s="3"/>
      <c r="WKO29" s="3"/>
      <c r="WKP29" s="3"/>
      <c r="WKQ29" s="3"/>
      <c r="WKR29" s="3"/>
      <c r="WKS29" s="3"/>
      <c r="WKT29" s="3"/>
      <c r="WKU29" s="3"/>
      <c r="WKV29" s="3"/>
      <c r="WKW29" s="3"/>
      <c r="WKX29" s="3"/>
      <c r="WKY29" s="3"/>
      <c r="WKZ29" s="3"/>
      <c r="WLA29" s="3"/>
      <c r="WLB29" s="3"/>
      <c r="WLC29" s="3"/>
      <c r="WLD29" s="3"/>
      <c r="WLE29" s="3"/>
      <c r="WLF29" s="3"/>
      <c r="WLG29" s="3"/>
      <c r="WLH29" s="3"/>
      <c r="WLI29" s="3"/>
      <c r="WLJ29" s="3"/>
      <c r="WLK29" s="3"/>
      <c r="WLL29" s="3"/>
      <c r="WLM29" s="3"/>
      <c r="WLN29" s="3"/>
      <c r="WLO29" s="3"/>
      <c r="WLP29" s="3"/>
      <c r="WLQ29" s="3"/>
      <c r="WLR29" s="3"/>
      <c r="WLS29" s="3"/>
      <c r="WLT29" s="3"/>
      <c r="WLU29" s="3"/>
      <c r="WLV29" s="3"/>
      <c r="WLW29" s="3"/>
      <c r="WLX29" s="3"/>
      <c r="WLY29" s="3"/>
      <c r="WLZ29" s="3"/>
      <c r="WMA29" s="3"/>
      <c r="WMB29" s="3"/>
      <c r="WMC29" s="3"/>
      <c r="WMD29" s="3"/>
      <c r="WME29" s="3"/>
      <c r="WMF29" s="3"/>
      <c r="WMG29" s="3"/>
      <c r="WMH29" s="3"/>
      <c r="WMI29" s="3"/>
      <c r="WMJ29" s="3"/>
      <c r="WMK29" s="3"/>
      <c r="WML29" s="3"/>
      <c r="WMM29" s="3"/>
      <c r="WMN29" s="3"/>
      <c r="WMO29" s="3"/>
      <c r="WMP29" s="3"/>
      <c r="WMQ29" s="3"/>
      <c r="WMR29" s="3"/>
      <c r="WMS29" s="3"/>
      <c r="WMT29" s="3"/>
      <c r="WMU29" s="3"/>
      <c r="WMV29" s="3"/>
      <c r="WMW29" s="3"/>
      <c r="WMX29" s="3"/>
      <c r="WMY29" s="3"/>
      <c r="WMZ29" s="3"/>
      <c r="WNA29" s="3"/>
      <c r="WNB29" s="3"/>
      <c r="WNC29" s="3"/>
      <c r="WND29" s="3"/>
      <c r="WNE29" s="3"/>
      <c r="WNF29" s="3"/>
      <c r="WNG29" s="3"/>
      <c r="WNH29" s="3"/>
      <c r="WNI29" s="3"/>
      <c r="WNJ29" s="3"/>
      <c r="WNK29" s="3"/>
      <c r="WNL29" s="3"/>
      <c r="WNM29" s="3"/>
      <c r="WNN29" s="3"/>
      <c r="WNO29" s="3"/>
      <c r="WNP29" s="3"/>
      <c r="WNQ29" s="3"/>
      <c r="WNR29" s="3"/>
      <c r="WNS29" s="3"/>
      <c r="WNT29" s="3"/>
      <c r="WNU29" s="3"/>
      <c r="WNV29" s="3"/>
      <c r="WNW29" s="3"/>
      <c r="WNX29" s="3"/>
      <c r="WNY29" s="3"/>
      <c r="WNZ29" s="3"/>
      <c r="WOA29" s="3"/>
      <c r="WOB29" s="3"/>
      <c r="WOC29" s="3"/>
      <c r="WOD29" s="3"/>
      <c r="WOE29" s="3"/>
      <c r="WOF29" s="3"/>
      <c r="WOG29" s="3"/>
      <c r="WOH29" s="3"/>
      <c r="WOI29" s="3"/>
      <c r="WOJ29" s="3"/>
      <c r="WOK29" s="3"/>
      <c r="WOL29" s="3"/>
      <c r="WOM29" s="3"/>
      <c r="WON29" s="3"/>
      <c r="WOO29" s="3"/>
      <c r="WOP29" s="3"/>
      <c r="WOQ29" s="3"/>
      <c r="WOR29" s="3"/>
      <c r="WOS29" s="3"/>
      <c r="WOT29" s="3"/>
      <c r="WOU29" s="3"/>
      <c r="WOV29" s="3"/>
      <c r="WOW29" s="3"/>
      <c r="WOX29" s="3"/>
      <c r="WOY29" s="3"/>
      <c r="WOZ29" s="3"/>
      <c r="WPA29" s="3"/>
      <c r="WPB29" s="3"/>
      <c r="WPC29" s="3"/>
      <c r="WPD29" s="3"/>
      <c r="WPE29" s="3"/>
      <c r="WPF29" s="3"/>
      <c r="WPG29" s="3"/>
      <c r="WPH29" s="3"/>
      <c r="WPI29" s="3"/>
      <c r="WPJ29" s="3"/>
      <c r="WPK29" s="3"/>
      <c r="WPL29" s="3"/>
      <c r="WPM29" s="3"/>
      <c r="WPN29" s="3"/>
      <c r="WPO29" s="3"/>
      <c r="WPP29" s="3"/>
      <c r="WPQ29" s="3"/>
      <c r="WPR29" s="3"/>
      <c r="WPS29" s="3"/>
      <c r="WPT29" s="3"/>
      <c r="WPU29" s="3"/>
      <c r="WPV29" s="3"/>
      <c r="WPW29" s="3"/>
      <c r="WPX29" s="3"/>
      <c r="WPY29" s="3"/>
      <c r="WPZ29" s="3"/>
      <c r="WQA29" s="3"/>
      <c r="WQB29" s="3"/>
      <c r="WQC29" s="3"/>
      <c r="WQD29" s="3"/>
      <c r="WQE29" s="3"/>
      <c r="WQF29" s="3"/>
      <c r="WQG29" s="3"/>
      <c r="WQH29" s="3"/>
      <c r="WQI29" s="3"/>
      <c r="WQJ29" s="3"/>
      <c r="WQK29" s="3"/>
      <c r="WQL29" s="3"/>
      <c r="WQM29" s="3"/>
      <c r="WQN29" s="3"/>
      <c r="WQO29" s="3"/>
      <c r="WQP29" s="3"/>
      <c r="WQQ29" s="3"/>
      <c r="WQR29" s="3"/>
      <c r="WQS29" s="3"/>
      <c r="WQT29" s="3"/>
      <c r="WQU29" s="3"/>
      <c r="WQV29" s="3"/>
      <c r="WQW29" s="3"/>
      <c r="WQX29" s="3"/>
      <c r="WQY29" s="3"/>
      <c r="WQZ29" s="3"/>
      <c r="WRA29" s="3"/>
      <c r="WRB29" s="3"/>
      <c r="WRC29" s="3"/>
      <c r="WRD29" s="3"/>
      <c r="WRE29" s="3"/>
      <c r="WRF29" s="3"/>
      <c r="WRG29" s="3"/>
      <c r="WRH29" s="3"/>
      <c r="WRI29" s="3"/>
      <c r="WRJ29" s="3"/>
      <c r="WRK29" s="3"/>
      <c r="WRL29" s="3"/>
      <c r="WRM29" s="3"/>
      <c r="WRN29" s="3"/>
      <c r="WRO29" s="3"/>
      <c r="WRP29" s="3"/>
      <c r="WRQ29" s="3"/>
      <c r="WRR29" s="3"/>
      <c r="WRS29" s="3"/>
      <c r="WRT29" s="3"/>
      <c r="WRU29" s="3"/>
      <c r="WRV29" s="3"/>
      <c r="WRW29" s="3"/>
      <c r="WRX29" s="3"/>
      <c r="WRY29" s="3"/>
      <c r="WRZ29" s="3"/>
      <c r="WSA29" s="3"/>
      <c r="WSB29" s="3"/>
      <c r="WSC29" s="3"/>
      <c r="WSD29" s="3"/>
      <c r="WSE29" s="3"/>
      <c r="WSF29" s="3"/>
      <c r="WSG29" s="3"/>
      <c r="WSH29" s="3"/>
      <c r="WSI29" s="3"/>
      <c r="WSJ29" s="3"/>
      <c r="WSK29" s="3"/>
      <c r="WSL29" s="3"/>
      <c r="WSM29" s="3"/>
      <c r="WSN29" s="3"/>
      <c r="WSO29" s="3"/>
      <c r="WSP29" s="3"/>
      <c r="WSQ29" s="3"/>
      <c r="WSR29" s="3"/>
      <c r="WSS29" s="3"/>
      <c r="WST29" s="3"/>
      <c r="WSU29" s="3"/>
      <c r="WSV29" s="3"/>
      <c r="WSW29" s="3"/>
      <c r="WSX29" s="3"/>
      <c r="WSY29" s="3"/>
      <c r="WSZ29" s="3"/>
      <c r="WTA29" s="3"/>
      <c r="WTB29" s="3"/>
      <c r="WTC29" s="3"/>
      <c r="WTD29" s="3"/>
      <c r="WTE29" s="3"/>
      <c r="WTF29" s="3"/>
      <c r="WTG29" s="3"/>
      <c r="WTH29" s="3"/>
      <c r="WTI29" s="3"/>
      <c r="WTJ29" s="3"/>
      <c r="WTK29" s="3"/>
      <c r="WTL29" s="3"/>
      <c r="WTM29" s="3"/>
      <c r="WTN29" s="3"/>
      <c r="WTO29" s="3"/>
      <c r="WTP29" s="3"/>
      <c r="WTQ29" s="3"/>
      <c r="WTR29" s="3"/>
      <c r="WTS29" s="3"/>
      <c r="WTT29" s="3"/>
      <c r="WTU29" s="3"/>
      <c r="WTV29" s="3"/>
      <c r="WTW29" s="3"/>
      <c r="WTX29" s="3"/>
      <c r="WTY29" s="3"/>
      <c r="WTZ29" s="3"/>
      <c r="WUA29" s="3"/>
      <c r="WUB29" s="3"/>
      <c r="WUC29" s="3"/>
      <c r="WUD29" s="3"/>
      <c r="WUE29" s="3"/>
      <c r="WUF29" s="3"/>
      <c r="WUG29" s="3"/>
      <c r="WUH29" s="3"/>
      <c r="WUI29" s="3"/>
      <c r="WUJ29" s="3"/>
      <c r="WUK29" s="3"/>
      <c r="WUL29" s="3"/>
      <c r="WUM29" s="3"/>
      <c r="WUN29" s="3"/>
      <c r="WUO29" s="3"/>
      <c r="WUP29" s="3"/>
      <c r="WUQ29" s="3"/>
      <c r="WUR29" s="3"/>
      <c r="WUS29" s="3"/>
      <c r="WUT29" s="3"/>
      <c r="WUU29" s="3"/>
      <c r="WUV29" s="3"/>
      <c r="WUW29" s="3"/>
      <c r="WUX29" s="3"/>
      <c r="WUY29" s="3"/>
      <c r="WUZ29" s="3"/>
      <c r="WVA29" s="3"/>
      <c r="WVB29" s="3"/>
      <c r="WVC29" s="3"/>
      <c r="WVD29" s="3"/>
      <c r="WVE29" s="3"/>
      <c r="WVF29" s="3"/>
      <c r="WVG29" s="3"/>
      <c r="WVH29" s="3"/>
      <c r="WVI29" s="3"/>
      <c r="WVJ29" s="3"/>
      <c r="WVK29" s="3"/>
      <c r="WVL29" s="3"/>
      <c r="WVM29" s="3"/>
      <c r="WVN29" s="3"/>
      <c r="WVO29" s="3"/>
      <c r="WVP29" s="3"/>
      <c r="WVQ29" s="3"/>
      <c r="WVR29" s="3"/>
      <c r="WVS29" s="3"/>
      <c r="WVT29" s="3"/>
      <c r="WVU29" s="3"/>
      <c r="WVV29" s="3"/>
      <c r="WVW29" s="3"/>
      <c r="WVX29" s="3"/>
      <c r="WVY29" s="3"/>
      <c r="WVZ29" s="3"/>
      <c r="WWA29" s="3"/>
      <c r="WWB29" s="3"/>
      <c r="WWC29" s="3"/>
      <c r="WWD29" s="3"/>
      <c r="WWE29" s="3"/>
      <c r="WWF29" s="3"/>
      <c r="WWG29" s="3"/>
      <c r="WWH29" s="3"/>
      <c r="WWI29" s="3"/>
      <c r="WWJ29" s="3"/>
      <c r="WWK29" s="3"/>
      <c r="WWL29" s="3"/>
      <c r="WWM29" s="3"/>
      <c r="WWN29" s="3"/>
      <c r="WWO29" s="3"/>
      <c r="WWP29" s="3"/>
      <c r="WWQ29" s="3"/>
      <c r="WWR29" s="3"/>
      <c r="WWS29" s="3"/>
      <c r="WWT29" s="3"/>
      <c r="WWU29" s="3"/>
      <c r="WWV29" s="3"/>
      <c r="WWW29" s="3"/>
      <c r="WWX29" s="3"/>
      <c r="WWY29" s="3"/>
      <c r="WWZ29" s="3"/>
      <c r="WXA29" s="3"/>
      <c r="WXB29" s="3"/>
      <c r="WXC29" s="3"/>
      <c r="WXD29" s="3"/>
      <c r="WXE29" s="3"/>
      <c r="WXF29" s="3"/>
      <c r="WXG29" s="3"/>
      <c r="WXH29" s="3"/>
      <c r="WXI29" s="3"/>
      <c r="WXJ29" s="3"/>
      <c r="WXK29" s="3"/>
      <c r="WXL29" s="3"/>
      <c r="WXM29" s="3"/>
      <c r="WXN29" s="3"/>
      <c r="WXO29" s="3"/>
      <c r="WXP29" s="3"/>
      <c r="WXQ29" s="3"/>
      <c r="WXR29" s="3"/>
      <c r="WXS29" s="3"/>
      <c r="WXT29" s="3"/>
      <c r="WXU29" s="3"/>
      <c r="WXV29" s="3"/>
      <c r="WXW29" s="3"/>
      <c r="WXX29" s="3"/>
      <c r="WXY29" s="3"/>
      <c r="WXZ29" s="3"/>
      <c r="WYA29" s="3"/>
      <c r="WYB29" s="3"/>
      <c r="WYC29" s="3"/>
      <c r="WYD29" s="3"/>
      <c r="WYE29" s="3"/>
      <c r="WYF29" s="3"/>
      <c r="WYG29" s="3"/>
      <c r="WYH29" s="3"/>
      <c r="WYI29" s="3"/>
      <c r="WYJ29" s="3"/>
      <c r="WYK29" s="3"/>
      <c r="WYL29" s="3"/>
      <c r="WYM29" s="3"/>
      <c r="WYN29" s="3"/>
      <c r="WYO29" s="3"/>
      <c r="WYP29" s="3"/>
      <c r="WYQ29" s="3"/>
      <c r="WYR29" s="3"/>
      <c r="WYS29" s="3"/>
      <c r="WYT29" s="3"/>
      <c r="WYU29" s="3"/>
      <c r="WYV29" s="3"/>
      <c r="WYW29" s="3"/>
      <c r="WYX29" s="3"/>
      <c r="WYY29" s="3"/>
      <c r="WYZ29" s="3"/>
      <c r="WZA29" s="3"/>
      <c r="WZB29" s="3"/>
      <c r="WZC29" s="3"/>
      <c r="WZD29" s="3"/>
      <c r="WZE29" s="3"/>
      <c r="WZF29" s="3"/>
      <c r="WZG29" s="3"/>
      <c r="WZH29" s="3"/>
      <c r="WZI29" s="3"/>
      <c r="WZJ29" s="3"/>
      <c r="WZK29" s="3"/>
      <c r="WZL29" s="3"/>
      <c r="WZM29" s="3"/>
      <c r="WZN29" s="3"/>
      <c r="WZO29" s="3"/>
      <c r="WZP29" s="3"/>
      <c r="WZQ29" s="3"/>
      <c r="WZR29" s="3"/>
      <c r="WZS29" s="3"/>
      <c r="WZT29" s="3"/>
      <c r="WZU29" s="3"/>
      <c r="WZV29" s="3"/>
      <c r="WZW29" s="3"/>
      <c r="WZX29" s="3"/>
      <c r="WZY29" s="3"/>
      <c r="WZZ29" s="3"/>
      <c r="XAA29" s="3"/>
      <c r="XAB29" s="3"/>
      <c r="XAC29" s="3"/>
      <c r="XAD29" s="3"/>
      <c r="XAE29" s="3"/>
      <c r="XAF29" s="3"/>
      <c r="XAG29" s="3"/>
      <c r="XAH29" s="3"/>
      <c r="XAI29" s="3"/>
      <c r="XAJ29" s="3"/>
      <c r="XAK29" s="3"/>
      <c r="XAL29" s="3"/>
      <c r="XAM29" s="3"/>
      <c r="XAN29" s="3"/>
      <c r="XAO29" s="3"/>
      <c r="XAP29" s="3"/>
      <c r="XAQ29" s="3"/>
      <c r="XAR29" s="3"/>
      <c r="XAS29" s="3"/>
      <c r="XAT29" s="3"/>
      <c r="XAU29" s="3"/>
      <c r="XAV29" s="3"/>
      <c r="XAW29" s="3"/>
      <c r="XAX29" s="3"/>
      <c r="XAY29" s="3"/>
      <c r="XAZ29" s="3"/>
      <c r="XBA29" s="3"/>
      <c r="XBB29" s="3"/>
      <c r="XBC29" s="3"/>
      <c r="XBD29" s="3"/>
      <c r="XBE29" s="3"/>
      <c r="XBF29" s="3"/>
      <c r="XBG29" s="3"/>
      <c r="XBH29" s="3"/>
      <c r="XBI29" s="3"/>
      <c r="XBJ29" s="3"/>
      <c r="XBK29" s="3"/>
      <c r="XBL29" s="3"/>
      <c r="XBM29" s="3"/>
      <c r="XBN29" s="3"/>
      <c r="XBO29" s="3"/>
      <c r="XBP29" s="3"/>
      <c r="XBQ29" s="3"/>
      <c r="XBR29" s="3"/>
      <c r="XBS29" s="3"/>
      <c r="XBT29" s="3"/>
      <c r="XBU29" s="3"/>
      <c r="XBV29" s="3"/>
      <c r="XBW29" s="3"/>
      <c r="XBX29" s="3"/>
      <c r="XBY29" s="3"/>
      <c r="XBZ29" s="3"/>
      <c r="XCA29" s="3"/>
      <c r="XCB29" s="3"/>
      <c r="XCC29" s="3"/>
      <c r="XCD29" s="3"/>
      <c r="XCE29" s="3"/>
      <c r="XCF29" s="3"/>
      <c r="XCG29" s="3"/>
      <c r="XCH29" s="3"/>
      <c r="XCI29" s="3"/>
      <c r="XCJ29" s="3"/>
      <c r="XCK29" s="3"/>
      <c r="XCL29" s="3"/>
      <c r="XCM29" s="3"/>
      <c r="XCN29" s="3"/>
      <c r="XCO29" s="3"/>
      <c r="XCP29" s="3"/>
      <c r="XCQ29" s="3"/>
      <c r="XCR29" s="3"/>
      <c r="XCS29" s="3"/>
      <c r="XCT29" s="3"/>
      <c r="XCU29" s="3"/>
      <c r="XCV29" s="3"/>
      <c r="XCW29" s="3"/>
      <c r="XCX29" s="3"/>
      <c r="XCY29" s="3"/>
      <c r="XCZ29" s="3"/>
      <c r="XDA29" s="3"/>
      <c r="XDB29" s="3"/>
      <c r="XDC29" s="3"/>
      <c r="XDD29" s="3"/>
      <c r="XDE29" s="3"/>
      <c r="XDF29" s="3"/>
      <c r="XDG29" s="3"/>
      <c r="XDH29" s="3"/>
      <c r="XDI29" s="3"/>
      <c r="XDJ29" s="3"/>
      <c r="XDK29" s="3"/>
      <c r="XDL29" s="3"/>
      <c r="XDM29" s="3"/>
      <c r="XDN29" s="3"/>
      <c r="XDO29" s="3"/>
      <c r="XDP29" s="3"/>
      <c r="XDQ29" s="3"/>
      <c r="XDR29" s="3"/>
      <c r="XDS29" s="3"/>
      <c r="XDT29" s="3"/>
      <c r="XDU29" s="3"/>
      <c r="XDV29" s="3"/>
      <c r="XDW29" s="3"/>
      <c r="XDX29" s="3"/>
      <c r="XDY29" s="3"/>
      <c r="XDZ29" s="3"/>
      <c r="XEA29" s="3"/>
      <c r="XEB29" s="3"/>
      <c r="XEC29" s="3"/>
      <c r="XED29" s="3"/>
      <c r="XEE29" s="3"/>
      <c r="XEF29" s="3"/>
      <c r="XEG29" s="3"/>
      <c r="XEH29" s="3"/>
      <c r="XEI29" s="3"/>
      <c r="XEJ29" s="3"/>
      <c r="XEK29" s="3"/>
      <c r="XEL29" s="3"/>
      <c r="XEM29" s="3"/>
      <c r="XEN29" s="3"/>
      <c r="XEO29" s="3"/>
      <c r="XEP29" s="3"/>
      <c r="XEQ29" s="3"/>
      <c r="XER29" s="3"/>
      <c r="XES29" s="3"/>
      <c r="XET29" s="3"/>
      <c r="XEU29" s="3"/>
      <c r="XEV29" s="3"/>
      <c r="XEW29" s="3"/>
      <c r="XEX29" s="3"/>
      <c r="XEY29" s="3"/>
      <c r="XEZ29" s="3"/>
      <c r="XFA29" s="3"/>
      <c r="XFB29" s="3"/>
      <c r="XFC29" s="3"/>
    </row>
    <row r="30" spans="1:16383" ht="16" x14ac:dyDescent="0.2">
      <c r="A30" s="32"/>
      <c r="B30" s="14" t="s">
        <v>2</v>
      </c>
      <c r="C30" s="15" t="s">
        <v>3</v>
      </c>
      <c r="D30" s="16">
        <v>2025</v>
      </c>
      <c r="E30" s="16">
        <v>2026</v>
      </c>
      <c r="F30" s="16">
        <v>2027</v>
      </c>
      <c r="G30" s="16">
        <v>2028</v>
      </c>
      <c r="H30" s="16">
        <v>2029</v>
      </c>
      <c r="I30" s="16">
        <v>2030</v>
      </c>
      <c r="J30" s="16">
        <v>2031</v>
      </c>
      <c r="K30" s="16">
        <v>2032</v>
      </c>
      <c r="L30" s="16">
        <v>2033</v>
      </c>
      <c r="M30" s="16">
        <v>2034</v>
      </c>
      <c r="N30" s="16">
        <v>2035</v>
      </c>
    </row>
    <row r="31" spans="1:16383" outlineLevel="1" x14ac:dyDescent="0.15">
      <c r="B31" s="3">
        <v>1</v>
      </c>
      <c r="C31" s="4" t="s">
        <v>7</v>
      </c>
      <c r="D31" s="4">
        <v>69920</v>
      </c>
      <c r="E31" s="4">
        <v>69920</v>
      </c>
      <c r="F31" s="4">
        <v>69920</v>
      </c>
      <c r="G31" s="4">
        <v>69920</v>
      </c>
      <c r="H31" s="4">
        <v>69920</v>
      </c>
      <c r="I31" s="4">
        <v>69920</v>
      </c>
      <c r="J31" s="4">
        <v>69920</v>
      </c>
      <c r="K31" s="4">
        <v>69920</v>
      </c>
      <c r="L31" s="4">
        <v>69920</v>
      </c>
      <c r="M31" s="4">
        <v>69920</v>
      </c>
      <c r="N31" s="4">
        <v>69920</v>
      </c>
      <c r="P31" s="39"/>
    </row>
    <row r="32" spans="1:16383" outlineLevel="1" x14ac:dyDescent="0.15">
      <c r="B32" s="3">
        <v>2</v>
      </c>
      <c r="C32" s="4" t="s">
        <v>7</v>
      </c>
      <c r="D32" s="4">
        <v>70958</v>
      </c>
      <c r="E32" s="4">
        <v>70958</v>
      </c>
      <c r="F32" s="4">
        <v>70958</v>
      </c>
      <c r="G32" s="4">
        <v>70958</v>
      </c>
      <c r="H32" s="4">
        <v>70958</v>
      </c>
      <c r="I32" s="4">
        <v>70958</v>
      </c>
      <c r="J32" s="4">
        <v>70958</v>
      </c>
      <c r="K32" s="4">
        <v>70958</v>
      </c>
      <c r="L32" s="4">
        <v>70958</v>
      </c>
      <c r="M32" s="4">
        <v>70958</v>
      </c>
      <c r="N32" s="4">
        <v>70958</v>
      </c>
      <c r="P32" s="39"/>
    </row>
    <row r="33" spans="1:16383" outlineLevel="1" x14ac:dyDescent="0.15">
      <c r="B33" s="3">
        <v>3</v>
      </c>
      <c r="C33" s="4" t="s">
        <v>7</v>
      </c>
      <c r="D33" s="4">
        <v>82364</v>
      </c>
      <c r="E33" s="4">
        <v>82364</v>
      </c>
      <c r="F33" s="4">
        <v>82364</v>
      </c>
      <c r="G33" s="4">
        <v>82364</v>
      </c>
      <c r="H33" s="4">
        <v>82364</v>
      </c>
      <c r="I33" s="4">
        <v>82364</v>
      </c>
      <c r="J33" s="4">
        <v>82364</v>
      </c>
      <c r="K33" s="4">
        <v>82364</v>
      </c>
      <c r="L33" s="4">
        <v>82364</v>
      </c>
      <c r="M33" s="4">
        <v>82364</v>
      </c>
      <c r="N33" s="4">
        <v>82364</v>
      </c>
      <c r="P33" s="39"/>
    </row>
    <row r="34" spans="1:16383" outlineLevel="1" x14ac:dyDescent="0.15">
      <c r="B34" s="3">
        <v>4</v>
      </c>
      <c r="C34" s="4" t="s">
        <v>7</v>
      </c>
      <c r="D34" s="4">
        <v>37618</v>
      </c>
      <c r="E34" s="4">
        <v>37618</v>
      </c>
      <c r="F34" s="4">
        <v>37618</v>
      </c>
      <c r="G34" s="4">
        <v>37618</v>
      </c>
      <c r="H34" s="4">
        <v>37618</v>
      </c>
      <c r="I34" s="4">
        <v>37618</v>
      </c>
      <c r="J34" s="4">
        <v>37618</v>
      </c>
      <c r="K34" s="4">
        <v>37618</v>
      </c>
      <c r="L34" s="4">
        <v>37618</v>
      </c>
      <c r="M34" s="4">
        <v>37618</v>
      </c>
      <c r="N34" s="4">
        <v>37618</v>
      </c>
      <c r="P34" s="39"/>
    </row>
    <row r="35" spans="1:16383" outlineLevel="1" x14ac:dyDescent="0.15">
      <c r="B35" s="3">
        <v>5</v>
      </c>
      <c r="C35" s="4" t="s">
        <v>7</v>
      </c>
      <c r="D35" s="4">
        <v>85800</v>
      </c>
      <c r="E35" s="4">
        <v>85800</v>
      </c>
      <c r="F35" s="4">
        <v>85800</v>
      </c>
      <c r="G35" s="4">
        <v>85800</v>
      </c>
      <c r="H35" s="4">
        <v>85800</v>
      </c>
      <c r="I35" s="4">
        <v>85800</v>
      </c>
      <c r="J35" s="4">
        <v>85800</v>
      </c>
      <c r="K35" s="4">
        <v>85800</v>
      </c>
      <c r="L35" s="4">
        <v>85800</v>
      </c>
      <c r="M35" s="4">
        <v>85800</v>
      </c>
      <c r="N35" s="4">
        <v>85800</v>
      </c>
      <c r="P35" s="39"/>
    </row>
    <row r="36" spans="1:16383" outlineLevel="1" x14ac:dyDescent="0.15">
      <c r="B36" s="3">
        <v>6</v>
      </c>
      <c r="C36" s="4" t="s">
        <v>7</v>
      </c>
      <c r="D36" s="4">
        <v>91000</v>
      </c>
      <c r="E36" s="4">
        <v>91000</v>
      </c>
      <c r="F36" s="4">
        <v>91000</v>
      </c>
      <c r="G36" s="4">
        <v>91000</v>
      </c>
      <c r="H36" s="4">
        <v>91000</v>
      </c>
      <c r="I36" s="4">
        <v>91000</v>
      </c>
      <c r="J36" s="4">
        <v>91000</v>
      </c>
      <c r="K36" s="4">
        <v>91000</v>
      </c>
      <c r="L36" s="4">
        <v>91000</v>
      </c>
      <c r="M36" s="4">
        <v>91000</v>
      </c>
      <c r="N36" s="4">
        <v>91000</v>
      </c>
      <c r="P36" s="39"/>
    </row>
    <row r="37" spans="1:16383" outlineLevel="1" x14ac:dyDescent="0.15">
      <c r="B37" s="3">
        <v>7</v>
      </c>
      <c r="C37" s="4" t="s">
        <v>7</v>
      </c>
      <c r="D37" s="4">
        <v>6370</v>
      </c>
      <c r="E37" s="4">
        <v>6370</v>
      </c>
      <c r="F37" s="4">
        <v>6370</v>
      </c>
      <c r="G37" s="4">
        <v>6370</v>
      </c>
      <c r="H37" s="4">
        <v>6370</v>
      </c>
      <c r="I37" s="4">
        <v>6370</v>
      </c>
      <c r="J37" s="4">
        <v>6370</v>
      </c>
      <c r="K37" s="4">
        <v>6370</v>
      </c>
      <c r="L37" s="4">
        <v>6370</v>
      </c>
      <c r="M37" s="4">
        <v>6370</v>
      </c>
      <c r="N37" s="4">
        <v>6370</v>
      </c>
      <c r="P37" s="39"/>
    </row>
    <row r="38" spans="1:16383" outlineLevel="1" x14ac:dyDescent="0.15">
      <c r="B38" s="3">
        <v>8</v>
      </c>
      <c r="C38" s="4" t="s">
        <v>7</v>
      </c>
      <c r="D38" s="4">
        <v>2577</v>
      </c>
      <c r="E38" s="4">
        <v>2577</v>
      </c>
      <c r="F38" s="4">
        <v>2577</v>
      </c>
      <c r="G38" s="4">
        <v>2577</v>
      </c>
      <c r="H38" s="4">
        <v>2577</v>
      </c>
      <c r="I38" s="4">
        <v>2577</v>
      </c>
      <c r="J38" s="4">
        <v>2577</v>
      </c>
      <c r="K38" s="4">
        <v>2577</v>
      </c>
      <c r="L38" s="4">
        <v>2577</v>
      </c>
      <c r="M38" s="4">
        <v>2577</v>
      </c>
      <c r="N38" s="4">
        <v>2577</v>
      </c>
      <c r="P38" s="39"/>
    </row>
    <row r="39" spans="1:16383" outlineLevel="1" x14ac:dyDescent="0.15">
      <c r="B39" s="3">
        <v>9</v>
      </c>
      <c r="C39" s="4" t="s">
        <v>7</v>
      </c>
      <c r="D39" s="4">
        <v>19110</v>
      </c>
      <c r="E39" s="4">
        <v>19110</v>
      </c>
      <c r="F39" s="4">
        <v>19110</v>
      </c>
      <c r="G39" s="4">
        <v>19110</v>
      </c>
      <c r="H39" s="4">
        <v>19110</v>
      </c>
      <c r="I39" s="4">
        <v>19110</v>
      </c>
      <c r="J39" s="4">
        <v>19110</v>
      </c>
      <c r="K39" s="4">
        <v>19110</v>
      </c>
      <c r="L39" s="4">
        <v>19110</v>
      </c>
      <c r="M39" s="4">
        <v>19110</v>
      </c>
      <c r="N39" s="4">
        <v>19110</v>
      </c>
      <c r="P39" s="39"/>
    </row>
    <row r="40" spans="1:16383" outlineLevel="1" x14ac:dyDescent="0.15">
      <c r="B40" s="3">
        <v>10</v>
      </c>
      <c r="C40" s="4" t="s">
        <v>7</v>
      </c>
      <c r="D40" s="4">
        <v>20300</v>
      </c>
      <c r="E40" s="4">
        <v>20300</v>
      </c>
      <c r="F40" s="4">
        <v>20300</v>
      </c>
      <c r="G40" s="4">
        <v>20300</v>
      </c>
      <c r="H40" s="4">
        <v>20300</v>
      </c>
      <c r="I40" s="4">
        <v>20300</v>
      </c>
      <c r="J40" s="4">
        <v>20300</v>
      </c>
      <c r="K40" s="4">
        <v>20300</v>
      </c>
      <c r="L40" s="4">
        <v>20300</v>
      </c>
      <c r="M40" s="4">
        <v>20300</v>
      </c>
      <c r="N40" s="4">
        <v>20300</v>
      </c>
      <c r="P40" s="39"/>
    </row>
    <row r="41" spans="1:16383" outlineLevel="1" x14ac:dyDescent="0.15">
      <c r="B41" s="3">
        <v>11</v>
      </c>
      <c r="C41" s="4" t="s">
        <v>7</v>
      </c>
      <c r="D41" s="4">
        <v>310700</v>
      </c>
      <c r="E41" s="4">
        <v>310700</v>
      </c>
      <c r="F41" s="4">
        <v>310700</v>
      </c>
      <c r="G41" s="4">
        <v>310700</v>
      </c>
      <c r="H41" s="4">
        <v>310700</v>
      </c>
      <c r="I41" s="4">
        <v>310700</v>
      </c>
      <c r="J41" s="4">
        <v>310700</v>
      </c>
      <c r="K41" s="4">
        <v>310700</v>
      </c>
      <c r="L41" s="4">
        <v>310700</v>
      </c>
      <c r="M41" s="4">
        <v>310700</v>
      </c>
      <c r="N41" s="4">
        <v>310700</v>
      </c>
      <c r="P41" s="39"/>
    </row>
    <row r="42" spans="1:16383" outlineLevel="1" x14ac:dyDescent="0.15">
      <c r="B42" s="3">
        <v>12</v>
      </c>
      <c r="C42" s="4" t="s">
        <v>7</v>
      </c>
      <c r="D42" s="4">
        <v>83300</v>
      </c>
      <c r="E42" s="4">
        <v>83300</v>
      </c>
      <c r="F42" s="4">
        <v>83300</v>
      </c>
      <c r="G42" s="4">
        <v>83300</v>
      </c>
      <c r="H42" s="4">
        <v>83300</v>
      </c>
      <c r="I42" s="4">
        <v>83300</v>
      </c>
      <c r="J42" s="4">
        <v>83300</v>
      </c>
      <c r="K42" s="4">
        <v>83300</v>
      </c>
      <c r="L42" s="4">
        <v>83300</v>
      </c>
      <c r="M42" s="4">
        <v>83300</v>
      </c>
      <c r="N42" s="4">
        <v>83300</v>
      </c>
      <c r="P42" s="39"/>
    </row>
    <row r="43" spans="1:16383" outlineLevel="1" x14ac:dyDescent="0.15">
      <c r="B43" s="3">
        <v>13</v>
      </c>
      <c r="C43" s="4" t="s">
        <v>7</v>
      </c>
      <c r="D43" s="4">
        <v>14348</v>
      </c>
      <c r="E43" s="4">
        <v>14348</v>
      </c>
      <c r="F43" s="4">
        <v>14348</v>
      </c>
      <c r="G43" s="4">
        <v>14348</v>
      </c>
      <c r="H43" s="4">
        <v>14348</v>
      </c>
      <c r="I43" s="4">
        <v>14348</v>
      </c>
      <c r="J43" s="4">
        <v>14348</v>
      </c>
      <c r="K43" s="4">
        <v>14348</v>
      </c>
      <c r="L43" s="4">
        <v>14348</v>
      </c>
      <c r="M43" s="4">
        <v>14348</v>
      </c>
      <c r="N43" s="4">
        <v>14348</v>
      </c>
      <c r="P43" s="39"/>
    </row>
    <row r="44" spans="1:16383" outlineLevel="1" x14ac:dyDescent="0.15">
      <c r="B44" s="3">
        <v>14</v>
      </c>
      <c r="C44" s="4" t="s">
        <v>7</v>
      </c>
      <c r="D44" s="4">
        <v>554000</v>
      </c>
      <c r="E44" s="4">
        <v>554000</v>
      </c>
      <c r="F44" s="4">
        <v>554000</v>
      </c>
      <c r="G44" s="4">
        <v>554000</v>
      </c>
      <c r="H44" s="4">
        <v>554000</v>
      </c>
      <c r="I44" s="4">
        <v>554000</v>
      </c>
      <c r="J44" s="4">
        <v>554000</v>
      </c>
      <c r="K44" s="4">
        <v>554000</v>
      </c>
      <c r="L44" s="4">
        <v>554000</v>
      </c>
      <c r="M44" s="4">
        <v>554000</v>
      </c>
      <c r="N44" s="4">
        <v>554000</v>
      </c>
      <c r="P44" s="86"/>
    </row>
    <row r="45" spans="1:16383" outlineLevel="1" x14ac:dyDescent="0.15">
      <c r="B45" s="3">
        <v>15</v>
      </c>
      <c r="C45" s="4" t="s">
        <v>7</v>
      </c>
      <c r="D45" s="4">
        <v>24921</v>
      </c>
      <c r="E45" s="4">
        <v>24921</v>
      </c>
      <c r="F45" s="4">
        <v>24921</v>
      </c>
      <c r="G45" s="4">
        <v>24921</v>
      </c>
      <c r="H45" s="4">
        <v>24921</v>
      </c>
      <c r="I45" s="4">
        <v>24921</v>
      </c>
      <c r="J45" s="4">
        <v>24921</v>
      </c>
      <c r="K45" s="4">
        <v>24921</v>
      </c>
      <c r="L45" s="4">
        <v>24921</v>
      </c>
      <c r="M45" s="4">
        <v>24921</v>
      </c>
      <c r="N45" s="4">
        <v>24921</v>
      </c>
    </row>
    <row r="46" spans="1:16383" x14ac:dyDescent="0.15">
      <c r="A46" s="56"/>
      <c r="B46" s="57" t="s">
        <v>123</v>
      </c>
      <c r="C46" s="74" t="s">
        <v>7</v>
      </c>
      <c r="D46" s="73">
        <f t="shared" ref="D46:N46" si="0">SUM(D31:D45)</f>
        <v>1473286</v>
      </c>
      <c r="E46" s="73">
        <f t="shared" si="0"/>
        <v>1473286</v>
      </c>
      <c r="F46" s="73">
        <f t="shared" si="0"/>
        <v>1473286</v>
      </c>
      <c r="G46" s="73">
        <f t="shared" si="0"/>
        <v>1473286</v>
      </c>
      <c r="H46" s="73">
        <f t="shared" si="0"/>
        <v>1473286</v>
      </c>
      <c r="I46" s="73">
        <f t="shared" si="0"/>
        <v>1473286</v>
      </c>
      <c r="J46" s="73">
        <f t="shared" si="0"/>
        <v>1473286</v>
      </c>
      <c r="K46" s="73">
        <f t="shared" si="0"/>
        <v>1473286</v>
      </c>
      <c r="L46" s="73">
        <f t="shared" si="0"/>
        <v>1473286</v>
      </c>
      <c r="M46" s="73">
        <f t="shared" si="0"/>
        <v>1473286</v>
      </c>
      <c r="N46" s="73">
        <f t="shared" si="0"/>
        <v>1473286</v>
      </c>
    </row>
    <row r="47" spans="1:16383" ht="6" customHeight="1" thickBot="1" x14ac:dyDescent="0.2">
      <c r="B47" s="37"/>
      <c r="C47" s="75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</row>
    <row r="48" spans="1:16383" s="37" customFormat="1" ht="15" thickBot="1" x14ac:dyDescent="0.2">
      <c r="A48" s="60" t="s">
        <v>137</v>
      </c>
      <c r="B48" s="60"/>
      <c r="C48" s="61"/>
      <c r="D48" s="62"/>
      <c r="E48" s="62"/>
      <c r="F48" s="62"/>
      <c r="G48" s="62"/>
      <c r="H48" s="60"/>
      <c r="I48" s="62"/>
      <c r="J48" s="62"/>
      <c r="K48" s="62"/>
      <c r="L48" s="62"/>
      <c r="M48" s="60"/>
      <c r="N48" s="6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/>
      <c r="ADA48" s="3"/>
      <c r="ADB48" s="3"/>
      <c r="ADC48" s="3"/>
      <c r="ADD48" s="3"/>
      <c r="ADE48" s="3"/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/>
      <c r="AEW48" s="3"/>
      <c r="AEX48" s="3"/>
      <c r="AEY48" s="3"/>
      <c r="AEZ48" s="3"/>
      <c r="AFA48" s="3"/>
      <c r="AFB48" s="3"/>
      <c r="AFC48" s="3"/>
      <c r="AFD48" s="3"/>
      <c r="AFE48" s="3"/>
      <c r="AFF48" s="3"/>
      <c r="AFG48" s="3"/>
      <c r="AFH48" s="3"/>
      <c r="AFI48" s="3"/>
      <c r="AFJ48" s="3"/>
      <c r="AFK48" s="3"/>
      <c r="AFL48" s="3"/>
      <c r="AFM48" s="3"/>
      <c r="AFN48" s="3"/>
      <c r="AFO48" s="3"/>
      <c r="AFP48" s="3"/>
      <c r="AFQ48" s="3"/>
      <c r="AFR48" s="3"/>
      <c r="AFS48" s="3"/>
      <c r="AFT48" s="3"/>
      <c r="AFU48" s="3"/>
      <c r="AFV48" s="3"/>
      <c r="AFW48" s="3"/>
      <c r="AFX48" s="3"/>
      <c r="AFY48" s="3"/>
      <c r="AFZ48" s="3"/>
      <c r="AGA48" s="3"/>
      <c r="AGB48" s="3"/>
      <c r="AGC48" s="3"/>
      <c r="AGD48" s="3"/>
      <c r="AGE48" s="3"/>
      <c r="AGF48" s="3"/>
      <c r="AGG48" s="3"/>
      <c r="AGH48" s="3"/>
      <c r="AGI48" s="3"/>
      <c r="AGJ48" s="3"/>
      <c r="AGK48" s="3"/>
      <c r="AGL48" s="3"/>
      <c r="AGM48" s="3"/>
      <c r="AGN48" s="3"/>
      <c r="AGO48" s="3"/>
      <c r="AGP48" s="3"/>
      <c r="AGQ48" s="3"/>
      <c r="AGR48" s="3"/>
      <c r="AGS48" s="3"/>
      <c r="AGT48" s="3"/>
      <c r="AGU48" s="3"/>
      <c r="AGV48" s="3"/>
      <c r="AGW48" s="3"/>
      <c r="AGX48" s="3"/>
      <c r="AGY48" s="3"/>
      <c r="AGZ48" s="3"/>
      <c r="AHA48" s="3"/>
      <c r="AHB48" s="3"/>
      <c r="AHC48" s="3"/>
      <c r="AHD48" s="3"/>
      <c r="AHE48" s="3"/>
      <c r="AHF48" s="3"/>
      <c r="AHG48" s="3"/>
      <c r="AHH48" s="3"/>
      <c r="AHI48" s="3"/>
      <c r="AHJ48" s="3"/>
      <c r="AHK48" s="3"/>
      <c r="AHL48" s="3"/>
      <c r="AHM48" s="3"/>
      <c r="AHN48" s="3"/>
      <c r="AHO48" s="3"/>
      <c r="AHP48" s="3"/>
      <c r="AHQ48" s="3"/>
      <c r="AHR48" s="3"/>
      <c r="AHS48" s="3"/>
      <c r="AHT48" s="3"/>
      <c r="AHU48" s="3"/>
      <c r="AHV48" s="3"/>
      <c r="AHW48" s="3"/>
      <c r="AHX48" s="3"/>
      <c r="AHY48" s="3"/>
      <c r="AHZ48" s="3"/>
      <c r="AIA48" s="3"/>
      <c r="AIB48" s="3"/>
      <c r="AIC48" s="3"/>
      <c r="AID48" s="3"/>
      <c r="AIE48" s="3"/>
      <c r="AIF48" s="3"/>
      <c r="AIG48" s="3"/>
      <c r="AIH48" s="3"/>
      <c r="AII48" s="3"/>
      <c r="AIJ48" s="3"/>
      <c r="AIK48" s="3"/>
      <c r="AIL48" s="3"/>
      <c r="AIM48" s="3"/>
      <c r="AIN48" s="3"/>
      <c r="AIO48" s="3"/>
      <c r="AIP48" s="3"/>
      <c r="AIQ48" s="3"/>
      <c r="AIR48" s="3"/>
      <c r="AIS48" s="3"/>
      <c r="AIT48" s="3"/>
      <c r="AIU48" s="3"/>
      <c r="AIV48" s="3"/>
      <c r="AIW48" s="3"/>
      <c r="AIX48" s="3"/>
      <c r="AIY48" s="3"/>
      <c r="AIZ48" s="3"/>
      <c r="AJA48" s="3"/>
      <c r="AJB48" s="3"/>
      <c r="AJC48" s="3"/>
      <c r="AJD48" s="3"/>
      <c r="AJE48" s="3"/>
      <c r="AJF48" s="3"/>
      <c r="AJG48" s="3"/>
      <c r="AJH48" s="3"/>
      <c r="AJI48" s="3"/>
      <c r="AJJ48" s="3"/>
      <c r="AJK48" s="3"/>
      <c r="AJL48" s="3"/>
      <c r="AJM48" s="3"/>
      <c r="AJN48" s="3"/>
      <c r="AJO48" s="3"/>
      <c r="AJP48" s="3"/>
      <c r="AJQ48" s="3"/>
      <c r="AJR48" s="3"/>
      <c r="AJS48" s="3"/>
      <c r="AJT48" s="3"/>
      <c r="AJU48" s="3"/>
      <c r="AJV48" s="3"/>
      <c r="AJW48" s="3"/>
      <c r="AJX48" s="3"/>
      <c r="AJY48" s="3"/>
      <c r="AJZ48" s="3"/>
      <c r="AKA48" s="3"/>
      <c r="AKB48" s="3"/>
      <c r="AKC48" s="3"/>
      <c r="AKD48" s="3"/>
      <c r="AKE48" s="3"/>
      <c r="AKF48" s="3"/>
      <c r="AKG48" s="3"/>
      <c r="AKH48" s="3"/>
      <c r="AKI48" s="3"/>
      <c r="AKJ48" s="3"/>
      <c r="AKK48" s="3"/>
      <c r="AKL48" s="3"/>
      <c r="AKM48" s="3"/>
      <c r="AKN48" s="3"/>
      <c r="AKO48" s="3"/>
      <c r="AKP48" s="3"/>
      <c r="AKQ48" s="3"/>
      <c r="AKR48" s="3"/>
      <c r="AKS48" s="3"/>
      <c r="AKT48" s="3"/>
      <c r="AKU48" s="3"/>
      <c r="AKV48" s="3"/>
      <c r="AKW48" s="3"/>
      <c r="AKX48" s="3"/>
      <c r="AKY48" s="3"/>
      <c r="AKZ48" s="3"/>
      <c r="ALA48" s="3"/>
      <c r="ALB48" s="3"/>
      <c r="ALC48" s="3"/>
      <c r="ALD48" s="3"/>
      <c r="ALE48" s="3"/>
      <c r="ALF48" s="3"/>
      <c r="ALG48" s="3"/>
      <c r="ALH48" s="3"/>
      <c r="ALI48" s="3"/>
      <c r="ALJ48" s="3"/>
      <c r="ALK48" s="3"/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  <c r="AQB48" s="3"/>
      <c r="AQC48" s="3"/>
      <c r="AQD48" s="3"/>
      <c r="AQE48" s="3"/>
      <c r="AQF48" s="3"/>
      <c r="AQG48" s="3"/>
      <c r="AQH48" s="3"/>
      <c r="AQI48" s="3"/>
      <c r="AQJ48" s="3"/>
      <c r="AQK48" s="3"/>
      <c r="AQL48" s="3"/>
      <c r="AQM48" s="3"/>
      <c r="AQN48" s="3"/>
      <c r="AQO48" s="3"/>
      <c r="AQP48" s="3"/>
      <c r="AQQ48" s="3"/>
      <c r="AQR48" s="3"/>
      <c r="AQS48" s="3"/>
      <c r="AQT48" s="3"/>
      <c r="AQU48" s="3"/>
      <c r="AQV48" s="3"/>
      <c r="AQW48" s="3"/>
      <c r="AQX48" s="3"/>
      <c r="AQY48" s="3"/>
      <c r="AQZ48" s="3"/>
      <c r="ARA48" s="3"/>
      <c r="ARB48" s="3"/>
      <c r="ARC48" s="3"/>
      <c r="ARD48" s="3"/>
      <c r="ARE48" s="3"/>
      <c r="ARF48" s="3"/>
      <c r="ARG48" s="3"/>
      <c r="ARH48" s="3"/>
      <c r="ARI48" s="3"/>
      <c r="ARJ48" s="3"/>
      <c r="ARK48" s="3"/>
      <c r="ARL48" s="3"/>
      <c r="ARM48" s="3"/>
      <c r="ARN48" s="3"/>
      <c r="ARO48" s="3"/>
      <c r="ARP48" s="3"/>
      <c r="ARQ48" s="3"/>
      <c r="ARR48" s="3"/>
      <c r="ARS48" s="3"/>
      <c r="ART48" s="3"/>
      <c r="ARU48" s="3"/>
      <c r="ARV48" s="3"/>
      <c r="ARW48" s="3"/>
      <c r="ARX48" s="3"/>
      <c r="ARY48" s="3"/>
      <c r="ARZ48" s="3"/>
      <c r="ASA48" s="3"/>
      <c r="ASB48" s="3"/>
      <c r="ASC48" s="3"/>
      <c r="ASD48" s="3"/>
      <c r="ASE48" s="3"/>
      <c r="ASF48" s="3"/>
      <c r="ASG48" s="3"/>
      <c r="ASH48" s="3"/>
      <c r="ASI48" s="3"/>
      <c r="ASJ48" s="3"/>
      <c r="ASK48" s="3"/>
      <c r="ASL48" s="3"/>
      <c r="ASM48" s="3"/>
      <c r="ASN48" s="3"/>
      <c r="ASO48" s="3"/>
      <c r="ASP48" s="3"/>
      <c r="ASQ48" s="3"/>
      <c r="ASR48" s="3"/>
      <c r="ASS48" s="3"/>
      <c r="AST48" s="3"/>
      <c r="ASU48" s="3"/>
      <c r="ASV48" s="3"/>
      <c r="ASW48" s="3"/>
      <c r="ASX48" s="3"/>
      <c r="ASY48" s="3"/>
      <c r="ASZ48" s="3"/>
      <c r="ATA48" s="3"/>
      <c r="ATB48" s="3"/>
      <c r="ATC48" s="3"/>
      <c r="ATD48" s="3"/>
      <c r="ATE48" s="3"/>
      <c r="ATF48" s="3"/>
      <c r="ATG48" s="3"/>
      <c r="ATH48" s="3"/>
      <c r="ATI48" s="3"/>
      <c r="ATJ48" s="3"/>
      <c r="ATK48" s="3"/>
      <c r="ATL48" s="3"/>
      <c r="ATM48" s="3"/>
      <c r="ATN48" s="3"/>
      <c r="ATO48" s="3"/>
      <c r="ATP48" s="3"/>
      <c r="ATQ48" s="3"/>
      <c r="ATR48" s="3"/>
      <c r="ATS48" s="3"/>
      <c r="ATT48" s="3"/>
      <c r="ATU48" s="3"/>
      <c r="ATV48" s="3"/>
      <c r="ATW48" s="3"/>
      <c r="ATX48" s="3"/>
      <c r="ATY48" s="3"/>
      <c r="ATZ48" s="3"/>
      <c r="AUA48" s="3"/>
      <c r="AUB48" s="3"/>
      <c r="AUC48" s="3"/>
      <c r="AUD48" s="3"/>
      <c r="AUE48" s="3"/>
      <c r="AUF48" s="3"/>
      <c r="AUG48" s="3"/>
      <c r="AUH48" s="3"/>
      <c r="AUI48" s="3"/>
      <c r="AUJ48" s="3"/>
      <c r="AUK48" s="3"/>
      <c r="AUL48" s="3"/>
      <c r="AUM48" s="3"/>
      <c r="AUN48" s="3"/>
      <c r="AUO48" s="3"/>
      <c r="AUP48" s="3"/>
      <c r="AUQ48" s="3"/>
      <c r="AUR48" s="3"/>
      <c r="AUS48" s="3"/>
      <c r="AUT48" s="3"/>
      <c r="AUU48" s="3"/>
      <c r="AUV48" s="3"/>
      <c r="AUW48" s="3"/>
      <c r="AUX48" s="3"/>
      <c r="AUY48" s="3"/>
      <c r="AUZ48" s="3"/>
      <c r="AVA48" s="3"/>
      <c r="AVB48" s="3"/>
      <c r="AVC48" s="3"/>
      <c r="AVD48" s="3"/>
      <c r="AVE48" s="3"/>
      <c r="AVF48" s="3"/>
      <c r="AVG48" s="3"/>
      <c r="AVH48" s="3"/>
      <c r="AVI48" s="3"/>
      <c r="AVJ48" s="3"/>
      <c r="AVK48" s="3"/>
      <c r="AVL48" s="3"/>
      <c r="AVM48" s="3"/>
      <c r="AVN48" s="3"/>
      <c r="AVO48" s="3"/>
      <c r="AVP48" s="3"/>
      <c r="AVQ48" s="3"/>
      <c r="AVR48" s="3"/>
      <c r="AVS48" s="3"/>
      <c r="AVT48" s="3"/>
      <c r="AVU48" s="3"/>
      <c r="AVV48" s="3"/>
      <c r="AVW48" s="3"/>
      <c r="AVX48" s="3"/>
      <c r="AVY48" s="3"/>
      <c r="AVZ48" s="3"/>
      <c r="AWA48" s="3"/>
      <c r="AWB48" s="3"/>
      <c r="AWC48" s="3"/>
      <c r="AWD48" s="3"/>
      <c r="AWE48" s="3"/>
      <c r="AWF48" s="3"/>
      <c r="AWG48" s="3"/>
      <c r="AWH48" s="3"/>
      <c r="AWI48" s="3"/>
      <c r="AWJ48" s="3"/>
      <c r="AWK48" s="3"/>
      <c r="AWL48" s="3"/>
      <c r="AWM48" s="3"/>
      <c r="AWN48" s="3"/>
      <c r="AWO48" s="3"/>
      <c r="AWP48" s="3"/>
      <c r="AWQ48" s="3"/>
      <c r="AWR48" s="3"/>
      <c r="AWS48" s="3"/>
      <c r="AWT48" s="3"/>
      <c r="AWU48" s="3"/>
      <c r="AWV48" s="3"/>
      <c r="AWW48" s="3"/>
      <c r="AWX48" s="3"/>
      <c r="AWY48" s="3"/>
      <c r="AWZ48" s="3"/>
      <c r="AXA48" s="3"/>
      <c r="AXB48" s="3"/>
      <c r="AXC48" s="3"/>
      <c r="AXD48" s="3"/>
      <c r="AXE48" s="3"/>
      <c r="AXF48" s="3"/>
      <c r="AXG48" s="3"/>
      <c r="AXH48" s="3"/>
      <c r="AXI48" s="3"/>
      <c r="AXJ48" s="3"/>
      <c r="AXK48" s="3"/>
      <c r="AXL48" s="3"/>
      <c r="AXM48" s="3"/>
      <c r="AXN48" s="3"/>
      <c r="AXO48" s="3"/>
      <c r="AXP48" s="3"/>
      <c r="AXQ48" s="3"/>
      <c r="AXR48" s="3"/>
      <c r="AXS48" s="3"/>
      <c r="AXT48" s="3"/>
      <c r="AXU48" s="3"/>
      <c r="AXV48" s="3"/>
      <c r="AXW48" s="3"/>
      <c r="AXX48" s="3"/>
      <c r="AXY48" s="3"/>
      <c r="AXZ48" s="3"/>
      <c r="AYA48" s="3"/>
      <c r="AYB48" s="3"/>
      <c r="AYC48" s="3"/>
      <c r="AYD48" s="3"/>
      <c r="AYE48" s="3"/>
      <c r="AYF48" s="3"/>
      <c r="AYG48" s="3"/>
      <c r="AYH48" s="3"/>
      <c r="AYI48" s="3"/>
      <c r="AYJ48" s="3"/>
      <c r="AYK48" s="3"/>
      <c r="AYL48" s="3"/>
      <c r="AYM48" s="3"/>
      <c r="AYN48" s="3"/>
      <c r="AYO48" s="3"/>
      <c r="AYP48" s="3"/>
      <c r="AYQ48" s="3"/>
      <c r="AYR48" s="3"/>
      <c r="AYS48" s="3"/>
      <c r="AYT48" s="3"/>
      <c r="AYU48" s="3"/>
      <c r="AYV48" s="3"/>
      <c r="AYW48" s="3"/>
      <c r="AYX48" s="3"/>
      <c r="AYY48" s="3"/>
      <c r="AYZ48" s="3"/>
      <c r="AZA48" s="3"/>
      <c r="AZB48" s="3"/>
      <c r="AZC48" s="3"/>
      <c r="AZD48" s="3"/>
      <c r="AZE48" s="3"/>
      <c r="AZF48" s="3"/>
      <c r="AZG48" s="3"/>
      <c r="AZH48" s="3"/>
      <c r="AZI48" s="3"/>
      <c r="AZJ48" s="3"/>
      <c r="AZK48" s="3"/>
      <c r="AZL48" s="3"/>
      <c r="AZM48" s="3"/>
      <c r="AZN48" s="3"/>
      <c r="AZO48" s="3"/>
      <c r="AZP48" s="3"/>
      <c r="AZQ48" s="3"/>
      <c r="AZR48" s="3"/>
      <c r="AZS48" s="3"/>
      <c r="AZT48" s="3"/>
      <c r="AZU48" s="3"/>
      <c r="AZV48" s="3"/>
      <c r="AZW48" s="3"/>
      <c r="AZX48" s="3"/>
      <c r="AZY48" s="3"/>
      <c r="AZZ48" s="3"/>
      <c r="BAA48" s="3"/>
      <c r="BAB48" s="3"/>
      <c r="BAC48" s="3"/>
      <c r="BAD48" s="3"/>
      <c r="BAE48" s="3"/>
      <c r="BAF48" s="3"/>
      <c r="BAG48" s="3"/>
      <c r="BAH48" s="3"/>
      <c r="BAI48" s="3"/>
      <c r="BAJ48" s="3"/>
      <c r="BAK48" s="3"/>
      <c r="BAL48" s="3"/>
      <c r="BAM48" s="3"/>
      <c r="BAN48" s="3"/>
      <c r="BAO48" s="3"/>
      <c r="BAP48" s="3"/>
      <c r="BAQ48" s="3"/>
      <c r="BAR48" s="3"/>
      <c r="BAS48" s="3"/>
      <c r="BAT48" s="3"/>
      <c r="BAU48" s="3"/>
      <c r="BAV48" s="3"/>
      <c r="BAW48" s="3"/>
      <c r="BAX48" s="3"/>
      <c r="BAY48" s="3"/>
      <c r="BAZ48" s="3"/>
      <c r="BBA48" s="3"/>
      <c r="BBB48" s="3"/>
      <c r="BBC48" s="3"/>
      <c r="BBD48" s="3"/>
      <c r="BBE48" s="3"/>
      <c r="BBF48" s="3"/>
      <c r="BBG48" s="3"/>
      <c r="BBH48" s="3"/>
      <c r="BBI48" s="3"/>
      <c r="BBJ48" s="3"/>
      <c r="BBK48" s="3"/>
      <c r="BBL48" s="3"/>
      <c r="BBM48" s="3"/>
      <c r="BBN48" s="3"/>
      <c r="BBO48" s="3"/>
      <c r="BBP48" s="3"/>
      <c r="BBQ48" s="3"/>
      <c r="BBR48" s="3"/>
      <c r="BBS48" s="3"/>
      <c r="BBT48" s="3"/>
      <c r="BBU48" s="3"/>
      <c r="BBV48" s="3"/>
      <c r="BBW48" s="3"/>
      <c r="BBX48" s="3"/>
      <c r="BBY48" s="3"/>
      <c r="BBZ48" s="3"/>
      <c r="BCA48" s="3"/>
      <c r="BCB48" s="3"/>
      <c r="BCC48" s="3"/>
      <c r="BCD48" s="3"/>
      <c r="BCE48" s="3"/>
      <c r="BCF48" s="3"/>
      <c r="BCG48" s="3"/>
      <c r="BCH48" s="3"/>
      <c r="BCI48" s="3"/>
      <c r="BCJ48" s="3"/>
      <c r="BCK48" s="3"/>
      <c r="BCL48" s="3"/>
      <c r="BCM48" s="3"/>
      <c r="BCN48" s="3"/>
      <c r="BCO48" s="3"/>
      <c r="BCP48" s="3"/>
      <c r="BCQ48" s="3"/>
      <c r="BCR48" s="3"/>
      <c r="BCS48" s="3"/>
      <c r="BCT48" s="3"/>
      <c r="BCU48" s="3"/>
      <c r="BCV48" s="3"/>
      <c r="BCW48" s="3"/>
      <c r="BCX48" s="3"/>
      <c r="BCY48" s="3"/>
      <c r="BCZ48" s="3"/>
      <c r="BDA48" s="3"/>
      <c r="BDB48" s="3"/>
      <c r="BDC48" s="3"/>
      <c r="BDD48" s="3"/>
      <c r="BDE48" s="3"/>
      <c r="BDF48" s="3"/>
      <c r="BDG48" s="3"/>
      <c r="BDH48" s="3"/>
      <c r="BDI48" s="3"/>
      <c r="BDJ48" s="3"/>
      <c r="BDK48" s="3"/>
      <c r="BDL48" s="3"/>
      <c r="BDM48" s="3"/>
      <c r="BDN48" s="3"/>
      <c r="BDO48" s="3"/>
      <c r="BDP48" s="3"/>
      <c r="BDQ48" s="3"/>
      <c r="BDR48" s="3"/>
      <c r="BDS48" s="3"/>
      <c r="BDT48" s="3"/>
      <c r="BDU48" s="3"/>
      <c r="BDV48" s="3"/>
      <c r="BDW48" s="3"/>
      <c r="BDX48" s="3"/>
      <c r="BDY48" s="3"/>
      <c r="BDZ48" s="3"/>
      <c r="BEA48" s="3"/>
      <c r="BEB48" s="3"/>
      <c r="BEC48" s="3"/>
      <c r="BED48" s="3"/>
      <c r="BEE48" s="3"/>
      <c r="BEF48" s="3"/>
      <c r="BEG48" s="3"/>
      <c r="BEH48" s="3"/>
      <c r="BEI48" s="3"/>
      <c r="BEJ48" s="3"/>
      <c r="BEK48" s="3"/>
      <c r="BEL48" s="3"/>
      <c r="BEM48" s="3"/>
      <c r="BEN48" s="3"/>
      <c r="BEO48" s="3"/>
      <c r="BEP48" s="3"/>
      <c r="BEQ48" s="3"/>
      <c r="BER48" s="3"/>
      <c r="BES48" s="3"/>
      <c r="BET48" s="3"/>
      <c r="BEU48" s="3"/>
      <c r="BEV48" s="3"/>
      <c r="BEW48" s="3"/>
      <c r="BEX48" s="3"/>
      <c r="BEY48" s="3"/>
      <c r="BEZ48" s="3"/>
      <c r="BFA48" s="3"/>
      <c r="BFB48" s="3"/>
      <c r="BFC48" s="3"/>
      <c r="BFD48" s="3"/>
      <c r="BFE48" s="3"/>
      <c r="BFF48" s="3"/>
      <c r="BFG48" s="3"/>
      <c r="BFH48" s="3"/>
      <c r="BFI48" s="3"/>
      <c r="BFJ48" s="3"/>
      <c r="BFK48" s="3"/>
      <c r="BFL48" s="3"/>
      <c r="BFM48" s="3"/>
      <c r="BFN48" s="3"/>
      <c r="BFO48" s="3"/>
      <c r="BFP48" s="3"/>
      <c r="BFQ48" s="3"/>
      <c r="BFR48" s="3"/>
      <c r="BFS48" s="3"/>
      <c r="BFT48" s="3"/>
      <c r="BFU48" s="3"/>
      <c r="BFV48" s="3"/>
      <c r="BFW48" s="3"/>
      <c r="BFX48" s="3"/>
      <c r="BFY48" s="3"/>
      <c r="BFZ48" s="3"/>
      <c r="BGA48" s="3"/>
      <c r="BGB48" s="3"/>
      <c r="BGC48" s="3"/>
      <c r="BGD48" s="3"/>
      <c r="BGE48" s="3"/>
      <c r="BGF48" s="3"/>
      <c r="BGG48" s="3"/>
      <c r="BGH48" s="3"/>
      <c r="BGI48" s="3"/>
      <c r="BGJ48" s="3"/>
      <c r="BGK48" s="3"/>
      <c r="BGL48" s="3"/>
      <c r="BGM48" s="3"/>
      <c r="BGN48" s="3"/>
      <c r="BGO48" s="3"/>
      <c r="BGP48" s="3"/>
      <c r="BGQ48" s="3"/>
      <c r="BGR48" s="3"/>
      <c r="BGS48" s="3"/>
      <c r="BGT48" s="3"/>
      <c r="BGU48" s="3"/>
      <c r="BGV48" s="3"/>
      <c r="BGW48" s="3"/>
      <c r="BGX48" s="3"/>
      <c r="BGY48" s="3"/>
      <c r="BGZ48" s="3"/>
      <c r="BHA48" s="3"/>
      <c r="BHB48" s="3"/>
      <c r="BHC48" s="3"/>
      <c r="BHD48" s="3"/>
      <c r="BHE48" s="3"/>
      <c r="BHF48" s="3"/>
      <c r="BHG48" s="3"/>
      <c r="BHH48" s="3"/>
      <c r="BHI48" s="3"/>
      <c r="BHJ48" s="3"/>
      <c r="BHK48" s="3"/>
      <c r="BHL48" s="3"/>
      <c r="BHM48" s="3"/>
      <c r="BHN48" s="3"/>
      <c r="BHO48" s="3"/>
      <c r="BHP48" s="3"/>
      <c r="BHQ48" s="3"/>
      <c r="BHR48" s="3"/>
      <c r="BHS48" s="3"/>
      <c r="BHT48" s="3"/>
      <c r="BHU48" s="3"/>
      <c r="BHV48" s="3"/>
      <c r="BHW48" s="3"/>
      <c r="BHX48" s="3"/>
      <c r="BHY48" s="3"/>
      <c r="BHZ48" s="3"/>
      <c r="BIA48" s="3"/>
      <c r="BIB48" s="3"/>
      <c r="BIC48" s="3"/>
      <c r="BID48" s="3"/>
      <c r="BIE48" s="3"/>
      <c r="BIF48" s="3"/>
      <c r="BIG48" s="3"/>
      <c r="BIH48" s="3"/>
      <c r="BII48" s="3"/>
      <c r="BIJ48" s="3"/>
      <c r="BIK48" s="3"/>
      <c r="BIL48" s="3"/>
      <c r="BIM48" s="3"/>
      <c r="BIN48" s="3"/>
      <c r="BIO48" s="3"/>
      <c r="BIP48" s="3"/>
      <c r="BIQ48" s="3"/>
      <c r="BIR48" s="3"/>
      <c r="BIS48" s="3"/>
      <c r="BIT48" s="3"/>
      <c r="BIU48" s="3"/>
      <c r="BIV48" s="3"/>
      <c r="BIW48" s="3"/>
      <c r="BIX48" s="3"/>
      <c r="BIY48" s="3"/>
      <c r="BIZ48" s="3"/>
      <c r="BJA48" s="3"/>
      <c r="BJB48" s="3"/>
      <c r="BJC48" s="3"/>
      <c r="BJD48" s="3"/>
      <c r="BJE48" s="3"/>
      <c r="BJF48" s="3"/>
      <c r="BJG48" s="3"/>
      <c r="BJH48" s="3"/>
      <c r="BJI48" s="3"/>
      <c r="BJJ48" s="3"/>
      <c r="BJK48" s="3"/>
      <c r="BJL48" s="3"/>
      <c r="BJM48" s="3"/>
      <c r="BJN48" s="3"/>
      <c r="BJO48" s="3"/>
      <c r="BJP48" s="3"/>
      <c r="BJQ48" s="3"/>
      <c r="BJR48" s="3"/>
      <c r="BJS48" s="3"/>
      <c r="BJT48" s="3"/>
      <c r="BJU48" s="3"/>
      <c r="BJV48" s="3"/>
      <c r="BJW48" s="3"/>
      <c r="BJX48" s="3"/>
      <c r="BJY48" s="3"/>
      <c r="BJZ48" s="3"/>
      <c r="BKA48" s="3"/>
      <c r="BKB48" s="3"/>
      <c r="BKC48" s="3"/>
      <c r="BKD48" s="3"/>
      <c r="BKE48" s="3"/>
      <c r="BKF48" s="3"/>
      <c r="BKG48" s="3"/>
      <c r="BKH48" s="3"/>
      <c r="BKI48" s="3"/>
      <c r="BKJ48" s="3"/>
      <c r="BKK48" s="3"/>
      <c r="BKL48" s="3"/>
      <c r="BKM48" s="3"/>
      <c r="BKN48" s="3"/>
      <c r="BKO48" s="3"/>
      <c r="BKP48" s="3"/>
      <c r="BKQ48" s="3"/>
      <c r="BKR48" s="3"/>
      <c r="BKS48" s="3"/>
      <c r="BKT48" s="3"/>
      <c r="BKU48" s="3"/>
      <c r="BKV48" s="3"/>
      <c r="BKW48" s="3"/>
      <c r="BKX48" s="3"/>
      <c r="BKY48" s="3"/>
      <c r="BKZ48" s="3"/>
      <c r="BLA48" s="3"/>
      <c r="BLB48" s="3"/>
      <c r="BLC48" s="3"/>
      <c r="BLD48" s="3"/>
      <c r="BLE48" s="3"/>
      <c r="BLF48" s="3"/>
      <c r="BLG48" s="3"/>
      <c r="BLH48" s="3"/>
      <c r="BLI48" s="3"/>
      <c r="BLJ48" s="3"/>
      <c r="BLK48" s="3"/>
      <c r="BLL48" s="3"/>
      <c r="BLM48" s="3"/>
      <c r="BLN48" s="3"/>
      <c r="BLO48" s="3"/>
      <c r="BLP48" s="3"/>
      <c r="BLQ48" s="3"/>
      <c r="BLR48" s="3"/>
      <c r="BLS48" s="3"/>
      <c r="BLT48" s="3"/>
      <c r="BLU48" s="3"/>
      <c r="BLV48" s="3"/>
      <c r="BLW48" s="3"/>
      <c r="BLX48" s="3"/>
      <c r="BLY48" s="3"/>
      <c r="BLZ48" s="3"/>
      <c r="BMA48" s="3"/>
      <c r="BMB48" s="3"/>
      <c r="BMC48" s="3"/>
      <c r="BMD48" s="3"/>
      <c r="BME48" s="3"/>
      <c r="BMF48" s="3"/>
      <c r="BMG48" s="3"/>
      <c r="BMH48" s="3"/>
      <c r="BMI48" s="3"/>
      <c r="BMJ48" s="3"/>
      <c r="BMK48" s="3"/>
      <c r="BML48" s="3"/>
      <c r="BMM48" s="3"/>
      <c r="BMN48" s="3"/>
      <c r="BMO48" s="3"/>
      <c r="BMP48" s="3"/>
      <c r="BMQ48" s="3"/>
      <c r="BMR48" s="3"/>
      <c r="BMS48" s="3"/>
      <c r="BMT48" s="3"/>
      <c r="BMU48" s="3"/>
      <c r="BMV48" s="3"/>
      <c r="BMW48" s="3"/>
      <c r="BMX48" s="3"/>
      <c r="BMY48" s="3"/>
      <c r="BMZ48" s="3"/>
      <c r="BNA48" s="3"/>
      <c r="BNB48" s="3"/>
      <c r="BNC48" s="3"/>
      <c r="BND48" s="3"/>
      <c r="BNE48" s="3"/>
      <c r="BNF48" s="3"/>
      <c r="BNG48" s="3"/>
      <c r="BNH48" s="3"/>
      <c r="BNI48" s="3"/>
      <c r="BNJ48" s="3"/>
      <c r="BNK48" s="3"/>
      <c r="BNL48" s="3"/>
      <c r="BNM48" s="3"/>
      <c r="BNN48" s="3"/>
      <c r="BNO48" s="3"/>
      <c r="BNP48" s="3"/>
      <c r="BNQ48" s="3"/>
      <c r="BNR48" s="3"/>
      <c r="BNS48" s="3"/>
      <c r="BNT48" s="3"/>
      <c r="BNU48" s="3"/>
      <c r="BNV48" s="3"/>
      <c r="BNW48" s="3"/>
      <c r="BNX48" s="3"/>
      <c r="BNY48" s="3"/>
      <c r="BNZ48" s="3"/>
      <c r="BOA48" s="3"/>
      <c r="BOB48" s="3"/>
      <c r="BOC48" s="3"/>
      <c r="BOD48" s="3"/>
      <c r="BOE48" s="3"/>
      <c r="BOF48" s="3"/>
      <c r="BOG48" s="3"/>
      <c r="BOH48" s="3"/>
      <c r="BOI48" s="3"/>
      <c r="BOJ48" s="3"/>
      <c r="BOK48" s="3"/>
      <c r="BOL48" s="3"/>
      <c r="BOM48" s="3"/>
      <c r="BON48" s="3"/>
      <c r="BOO48" s="3"/>
      <c r="BOP48" s="3"/>
      <c r="BOQ48" s="3"/>
      <c r="BOR48" s="3"/>
      <c r="BOS48" s="3"/>
      <c r="BOT48" s="3"/>
      <c r="BOU48" s="3"/>
      <c r="BOV48" s="3"/>
      <c r="BOW48" s="3"/>
      <c r="BOX48" s="3"/>
      <c r="BOY48" s="3"/>
      <c r="BOZ48" s="3"/>
      <c r="BPA48" s="3"/>
      <c r="BPB48" s="3"/>
      <c r="BPC48" s="3"/>
      <c r="BPD48" s="3"/>
      <c r="BPE48" s="3"/>
      <c r="BPF48" s="3"/>
      <c r="BPG48" s="3"/>
      <c r="BPH48" s="3"/>
      <c r="BPI48" s="3"/>
      <c r="BPJ48" s="3"/>
      <c r="BPK48" s="3"/>
      <c r="BPL48" s="3"/>
      <c r="BPM48" s="3"/>
      <c r="BPN48" s="3"/>
      <c r="BPO48" s="3"/>
      <c r="BPP48" s="3"/>
      <c r="BPQ48" s="3"/>
      <c r="BPR48" s="3"/>
      <c r="BPS48" s="3"/>
      <c r="BPT48" s="3"/>
      <c r="BPU48" s="3"/>
      <c r="BPV48" s="3"/>
      <c r="BPW48" s="3"/>
      <c r="BPX48" s="3"/>
      <c r="BPY48" s="3"/>
      <c r="BPZ48" s="3"/>
      <c r="BQA48" s="3"/>
      <c r="BQB48" s="3"/>
      <c r="BQC48" s="3"/>
      <c r="BQD48" s="3"/>
      <c r="BQE48" s="3"/>
      <c r="BQF48" s="3"/>
      <c r="BQG48" s="3"/>
      <c r="BQH48" s="3"/>
      <c r="BQI48" s="3"/>
      <c r="BQJ48" s="3"/>
      <c r="BQK48" s="3"/>
      <c r="BQL48" s="3"/>
      <c r="BQM48" s="3"/>
      <c r="BQN48" s="3"/>
      <c r="BQO48" s="3"/>
      <c r="BQP48" s="3"/>
      <c r="BQQ48" s="3"/>
      <c r="BQR48" s="3"/>
      <c r="BQS48" s="3"/>
      <c r="BQT48" s="3"/>
      <c r="BQU48" s="3"/>
      <c r="BQV48" s="3"/>
      <c r="BQW48" s="3"/>
      <c r="BQX48" s="3"/>
      <c r="BQY48" s="3"/>
      <c r="BQZ48" s="3"/>
      <c r="BRA48" s="3"/>
      <c r="BRB48" s="3"/>
      <c r="BRC48" s="3"/>
      <c r="BRD48" s="3"/>
      <c r="BRE48" s="3"/>
      <c r="BRF48" s="3"/>
      <c r="BRG48" s="3"/>
      <c r="BRH48" s="3"/>
      <c r="BRI48" s="3"/>
      <c r="BRJ48" s="3"/>
      <c r="BRK48" s="3"/>
      <c r="BRL48" s="3"/>
      <c r="BRM48" s="3"/>
      <c r="BRN48" s="3"/>
      <c r="BRO48" s="3"/>
      <c r="BRP48" s="3"/>
      <c r="BRQ48" s="3"/>
      <c r="BRR48" s="3"/>
      <c r="BRS48" s="3"/>
      <c r="BRT48" s="3"/>
      <c r="BRU48" s="3"/>
      <c r="BRV48" s="3"/>
      <c r="BRW48" s="3"/>
      <c r="BRX48" s="3"/>
      <c r="BRY48" s="3"/>
      <c r="BRZ48" s="3"/>
      <c r="BSA48" s="3"/>
      <c r="BSB48" s="3"/>
      <c r="BSC48" s="3"/>
      <c r="BSD48" s="3"/>
      <c r="BSE48" s="3"/>
      <c r="BSF48" s="3"/>
      <c r="BSG48" s="3"/>
      <c r="BSH48" s="3"/>
      <c r="BSI48" s="3"/>
      <c r="BSJ48" s="3"/>
      <c r="BSK48" s="3"/>
      <c r="BSL48" s="3"/>
      <c r="BSM48" s="3"/>
      <c r="BSN48" s="3"/>
      <c r="BSO48" s="3"/>
      <c r="BSP48" s="3"/>
      <c r="BSQ48" s="3"/>
      <c r="BSR48" s="3"/>
      <c r="BSS48" s="3"/>
      <c r="BST48" s="3"/>
      <c r="BSU48" s="3"/>
      <c r="BSV48" s="3"/>
      <c r="BSW48" s="3"/>
      <c r="BSX48" s="3"/>
      <c r="BSY48" s="3"/>
      <c r="BSZ48" s="3"/>
      <c r="BTA48" s="3"/>
      <c r="BTB48" s="3"/>
      <c r="BTC48" s="3"/>
      <c r="BTD48" s="3"/>
      <c r="BTE48" s="3"/>
      <c r="BTF48" s="3"/>
      <c r="BTG48" s="3"/>
      <c r="BTH48" s="3"/>
      <c r="BTI48" s="3"/>
      <c r="BTJ48" s="3"/>
      <c r="BTK48" s="3"/>
      <c r="BTL48" s="3"/>
      <c r="BTM48" s="3"/>
      <c r="BTN48" s="3"/>
      <c r="BTO48" s="3"/>
      <c r="BTP48" s="3"/>
      <c r="BTQ48" s="3"/>
      <c r="BTR48" s="3"/>
      <c r="BTS48" s="3"/>
      <c r="BTT48" s="3"/>
      <c r="BTU48" s="3"/>
      <c r="BTV48" s="3"/>
      <c r="BTW48" s="3"/>
      <c r="BTX48" s="3"/>
      <c r="BTY48" s="3"/>
      <c r="BTZ48" s="3"/>
      <c r="BUA48" s="3"/>
      <c r="BUB48" s="3"/>
      <c r="BUC48" s="3"/>
      <c r="BUD48" s="3"/>
      <c r="BUE48" s="3"/>
      <c r="BUF48" s="3"/>
      <c r="BUG48" s="3"/>
      <c r="BUH48" s="3"/>
      <c r="BUI48" s="3"/>
      <c r="BUJ48" s="3"/>
      <c r="BUK48" s="3"/>
      <c r="BUL48" s="3"/>
      <c r="BUM48" s="3"/>
      <c r="BUN48" s="3"/>
      <c r="BUO48" s="3"/>
      <c r="BUP48" s="3"/>
      <c r="BUQ48" s="3"/>
      <c r="BUR48" s="3"/>
      <c r="BUS48" s="3"/>
      <c r="BUT48" s="3"/>
      <c r="BUU48" s="3"/>
      <c r="BUV48" s="3"/>
      <c r="BUW48" s="3"/>
      <c r="BUX48" s="3"/>
      <c r="BUY48" s="3"/>
      <c r="BUZ48" s="3"/>
      <c r="BVA48" s="3"/>
      <c r="BVB48" s="3"/>
      <c r="BVC48" s="3"/>
      <c r="BVD48" s="3"/>
      <c r="BVE48" s="3"/>
      <c r="BVF48" s="3"/>
      <c r="BVG48" s="3"/>
      <c r="BVH48" s="3"/>
      <c r="BVI48" s="3"/>
      <c r="BVJ48" s="3"/>
      <c r="BVK48" s="3"/>
      <c r="BVL48" s="3"/>
      <c r="BVM48" s="3"/>
      <c r="BVN48" s="3"/>
      <c r="BVO48" s="3"/>
      <c r="BVP48" s="3"/>
      <c r="BVQ48" s="3"/>
      <c r="BVR48" s="3"/>
      <c r="BVS48" s="3"/>
      <c r="BVT48" s="3"/>
      <c r="BVU48" s="3"/>
      <c r="BVV48" s="3"/>
      <c r="BVW48" s="3"/>
      <c r="BVX48" s="3"/>
      <c r="BVY48" s="3"/>
      <c r="BVZ48" s="3"/>
      <c r="BWA48" s="3"/>
      <c r="BWB48" s="3"/>
      <c r="BWC48" s="3"/>
      <c r="BWD48" s="3"/>
      <c r="BWE48" s="3"/>
      <c r="BWF48" s="3"/>
      <c r="BWG48" s="3"/>
      <c r="BWH48" s="3"/>
      <c r="BWI48" s="3"/>
      <c r="BWJ48" s="3"/>
      <c r="BWK48" s="3"/>
      <c r="BWL48" s="3"/>
      <c r="BWM48" s="3"/>
      <c r="BWN48" s="3"/>
      <c r="BWO48" s="3"/>
      <c r="BWP48" s="3"/>
      <c r="BWQ48" s="3"/>
      <c r="BWR48" s="3"/>
      <c r="BWS48" s="3"/>
      <c r="BWT48" s="3"/>
      <c r="BWU48" s="3"/>
      <c r="BWV48" s="3"/>
      <c r="BWW48" s="3"/>
      <c r="BWX48" s="3"/>
      <c r="BWY48" s="3"/>
      <c r="BWZ48" s="3"/>
      <c r="BXA48" s="3"/>
      <c r="BXB48" s="3"/>
      <c r="BXC48" s="3"/>
      <c r="BXD48" s="3"/>
      <c r="BXE48" s="3"/>
      <c r="BXF48" s="3"/>
      <c r="BXG48" s="3"/>
      <c r="BXH48" s="3"/>
      <c r="BXI48" s="3"/>
      <c r="BXJ48" s="3"/>
      <c r="BXK48" s="3"/>
      <c r="BXL48" s="3"/>
      <c r="BXM48" s="3"/>
      <c r="BXN48" s="3"/>
      <c r="BXO48" s="3"/>
      <c r="BXP48" s="3"/>
      <c r="BXQ48" s="3"/>
      <c r="BXR48" s="3"/>
      <c r="BXS48" s="3"/>
      <c r="BXT48" s="3"/>
      <c r="BXU48" s="3"/>
      <c r="BXV48" s="3"/>
      <c r="BXW48" s="3"/>
      <c r="BXX48" s="3"/>
      <c r="BXY48" s="3"/>
      <c r="BXZ48" s="3"/>
      <c r="BYA48" s="3"/>
      <c r="BYB48" s="3"/>
      <c r="BYC48" s="3"/>
      <c r="BYD48" s="3"/>
      <c r="BYE48" s="3"/>
      <c r="BYF48" s="3"/>
      <c r="BYG48" s="3"/>
      <c r="BYH48" s="3"/>
      <c r="BYI48" s="3"/>
      <c r="BYJ48" s="3"/>
      <c r="BYK48" s="3"/>
      <c r="BYL48" s="3"/>
      <c r="BYM48" s="3"/>
      <c r="BYN48" s="3"/>
      <c r="BYO48" s="3"/>
      <c r="BYP48" s="3"/>
      <c r="BYQ48" s="3"/>
      <c r="BYR48" s="3"/>
      <c r="BYS48" s="3"/>
      <c r="BYT48" s="3"/>
      <c r="BYU48" s="3"/>
      <c r="BYV48" s="3"/>
      <c r="BYW48" s="3"/>
      <c r="BYX48" s="3"/>
      <c r="BYY48" s="3"/>
      <c r="BYZ48" s="3"/>
      <c r="BZA48" s="3"/>
      <c r="BZB48" s="3"/>
      <c r="BZC48" s="3"/>
      <c r="BZD48" s="3"/>
      <c r="BZE48" s="3"/>
      <c r="BZF48" s="3"/>
      <c r="BZG48" s="3"/>
      <c r="BZH48" s="3"/>
      <c r="BZI48" s="3"/>
      <c r="BZJ48" s="3"/>
      <c r="BZK48" s="3"/>
      <c r="BZL48" s="3"/>
      <c r="BZM48" s="3"/>
      <c r="BZN48" s="3"/>
      <c r="BZO48" s="3"/>
      <c r="BZP48" s="3"/>
      <c r="BZQ48" s="3"/>
      <c r="BZR48" s="3"/>
      <c r="BZS48" s="3"/>
      <c r="BZT48" s="3"/>
      <c r="BZU48" s="3"/>
      <c r="BZV48" s="3"/>
      <c r="BZW48" s="3"/>
      <c r="BZX48" s="3"/>
      <c r="BZY48" s="3"/>
      <c r="BZZ48" s="3"/>
      <c r="CAA48" s="3"/>
      <c r="CAB48" s="3"/>
      <c r="CAC48" s="3"/>
      <c r="CAD48" s="3"/>
      <c r="CAE48" s="3"/>
      <c r="CAF48" s="3"/>
      <c r="CAG48" s="3"/>
      <c r="CAH48" s="3"/>
      <c r="CAI48" s="3"/>
      <c r="CAJ48" s="3"/>
      <c r="CAK48" s="3"/>
      <c r="CAL48" s="3"/>
      <c r="CAM48" s="3"/>
      <c r="CAN48" s="3"/>
      <c r="CAO48" s="3"/>
      <c r="CAP48" s="3"/>
      <c r="CAQ48" s="3"/>
      <c r="CAR48" s="3"/>
      <c r="CAS48" s="3"/>
      <c r="CAT48" s="3"/>
      <c r="CAU48" s="3"/>
      <c r="CAV48" s="3"/>
      <c r="CAW48" s="3"/>
      <c r="CAX48" s="3"/>
      <c r="CAY48" s="3"/>
      <c r="CAZ48" s="3"/>
      <c r="CBA48" s="3"/>
      <c r="CBB48" s="3"/>
      <c r="CBC48" s="3"/>
      <c r="CBD48" s="3"/>
      <c r="CBE48" s="3"/>
      <c r="CBF48" s="3"/>
      <c r="CBG48" s="3"/>
      <c r="CBH48" s="3"/>
      <c r="CBI48" s="3"/>
      <c r="CBJ48" s="3"/>
      <c r="CBK48" s="3"/>
      <c r="CBL48" s="3"/>
      <c r="CBM48" s="3"/>
      <c r="CBN48" s="3"/>
      <c r="CBO48" s="3"/>
      <c r="CBP48" s="3"/>
      <c r="CBQ48" s="3"/>
      <c r="CBR48" s="3"/>
      <c r="CBS48" s="3"/>
      <c r="CBT48" s="3"/>
      <c r="CBU48" s="3"/>
      <c r="CBV48" s="3"/>
      <c r="CBW48" s="3"/>
      <c r="CBX48" s="3"/>
      <c r="CBY48" s="3"/>
      <c r="CBZ48" s="3"/>
      <c r="CCA48" s="3"/>
      <c r="CCB48" s="3"/>
      <c r="CCC48" s="3"/>
      <c r="CCD48" s="3"/>
      <c r="CCE48" s="3"/>
      <c r="CCF48" s="3"/>
      <c r="CCG48" s="3"/>
      <c r="CCH48" s="3"/>
      <c r="CCI48" s="3"/>
      <c r="CCJ48" s="3"/>
      <c r="CCK48" s="3"/>
      <c r="CCL48" s="3"/>
      <c r="CCM48" s="3"/>
      <c r="CCN48" s="3"/>
      <c r="CCO48" s="3"/>
      <c r="CCP48" s="3"/>
      <c r="CCQ48" s="3"/>
      <c r="CCR48" s="3"/>
      <c r="CCS48" s="3"/>
      <c r="CCT48" s="3"/>
      <c r="CCU48" s="3"/>
      <c r="CCV48" s="3"/>
      <c r="CCW48" s="3"/>
      <c r="CCX48" s="3"/>
      <c r="CCY48" s="3"/>
      <c r="CCZ48" s="3"/>
      <c r="CDA48" s="3"/>
      <c r="CDB48" s="3"/>
      <c r="CDC48" s="3"/>
      <c r="CDD48" s="3"/>
      <c r="CDE48" s="3"/>
      <c r="CDF48" s="3"/>
      <c r="CDG48" s="3"/>
      <c r="CDH48" s="3"/>
      <c r="CDI48" s="3"/>
      <c r="CDJ48" s="3"/>
      <c r="CDK48" s="3"/>
      <c r="CDL48" s="3"/>
      <c r="CDM48" s="3"/>
      <c r="CDN48" s="3"/>
      <c r="CDO48" s="3"/>
      <c r="CDP48" s="3"/>
      <c r="CDQ48" s="3"/>
      <c r="CDR48" s="3"/>
      <c r="CDS48" s="3"/>
      <c r="CDT48" s="3"/>
      <c r="CDU48" s="3"/>
      <c r="CDV48" s="3"/>
      <c r="CDW48" s="3"/>
      <c r="CDX48" s="3"/>
      <c r="CDY48" s="3"/>
      <c r="CDZ48" s="3"/>
      <c r="CEA48" s="3"/>
      <c r="CEB48" s="3"/>
      <c r="CEC48" s="3"/>
      <c r="CED48" s="3"/>
      <c r="CEE48" s="3"/>
      <c r="CEF48" s="3"/>
      <c r="CEG48" s="3"/>
      <c r="CEH48" s="3"/>
      <c r="CEI48" s="3"/>
      <c r="CEJ48" s="3"/>
      <c r="CEK48" s="3"/>
      <c r="CEL48" s="3"/>
      <c r="CEM48" s="3"/>
      <c r="CEN48" s="3"/>
      <c r="CEO48" s="3"/>
      <c r="CEP48" s="3"/>
      <c r="CEQ48" s="3"/>
      <c r="CER48" s="3"/>
      <c r="CES48" s="3"/>
      <c r="CET48" s="3"/>
      <c r="CEU48" s="3"/>
      <c r="CEV48" s="3"/>
      <c r="CEW48" s="3"/>
      <c r="CEX48" s="3"/>
      <c r="CEY48" s="3"/>
      <c r="CEZ48" s="3"/>
      <c r="CFA48" s="3"/>
      <c r="CFB48" s="3"/>
      <c r="CFC48" s="3"/>
      <c r="CFD48" s="3"/>
      <c r="CFE48" s="3"/>
      <c r="CFF48" s="3"/>
      <c r="CFG48" s="3"/>
      <c r="CFH48" s="3"/>
      <c r="CFI48" s="3"/>
      <c r="CFJ48" s="3"/>
      <c r="CFK48" s="3"/>
      <c r="CFL48" s="3"/>
      <c r="CFM48" s="3"/>
      <c r="CFN48" s="3"/>
      <c r="CFO48" s="3"/>
      <c r="CFP48" s="3"/>
      <c r="CFQ48" s="3"/>
      <c r="CFR48" s="3"/>
      <c r="CFS48" s="3"/>
      <c r="CFT48" s="3"/>
      <c r="CFU48" s="3"/>
      <c r="CFV48" s="3"/>
      <c r="CFW48" s="3"/>
      <c r="CFX48" s="3"/>
      <c r="CFY48" s="3"/>
      <c r="CFZ48" s="3"/>
      <c r="CGA48" s="3"/>
      <c r="CGB48" s="3"/>
      <c r="CGC48" s="3"/>
      <c r="CGD48" s="3"/>
      <c r="CGE48" s="3"/>
      <c r="CGF48" s="3"/>
      <c r="CGG48" s="3"/>
      <c r="CGH48" s="3"/>
      <c r="CGI48" s="3"/>
      <c r="CGJ48" s="3"/>
      <c r="CGK48" s="3"/>
      <c r="CGL48" s="3"/>
      <c r="CGM48" s="3"/>
      <c r="CGN48" s="3"/>
      <c r="CGO48" s="3"/>
      <c r="CGP48" s="3"/>
      <c r="CGQ48" s="3"/>
      <c r="CGR48" s="3"/>
      <c r="CGS48" s="3"/>
      <c r="CGT48" s="3"/>
      <c r="CGU48" s="3"/>
      <c r="CGV48" s="3"/>
      <c r="CGW48" s="3"/>
      <c r="CGX48" s="3"/>
      <c r="CGY48" s="3"/>
      <c r="CGZ48" s="3"/>
      <c r="CHA48" s="3"/>
      <c r="CHB48" s="3"/>
      <c r="CHC48" s="3"/>
      <c r="CHD48" s="3"/>
      <c r="CHE48" s="3"/>
      <c r="CHF48" s="3"/>
      <c r="CHG48" s="3"/>
      <c r="CHH48" s="3"/>
      <c r="CHI48" s="3"/>
      <c r="CHJ48" s="3"/>
      <c r="CHK48" s="3"/>
      <c r="CHL48" s="3"/>
      <c r="CHM48" s="3"/>
      <c r="CHN48" s="3"/>
      <c r="CHO48" s="3"/>
      <c r="CHP48" s="3"/>
      <c r="CHQ48" s="3"/>
      <c r="CHR48" s="3"/>
      <c r="CHS48" s="3"/>
      <c r="CHT48" s="3"/>
      <c r="CHU48" s="3"/>
      <c r="CHV48" s="3"/>
      <c r="CHW48" s="3"/>
      <c r="CHX48" s="3"/>
      <c r="CHY48" s="3"/>
      <c r="CHZ48" s="3"/>
      <c r="CIA48" s="3"/>
      <c r="CIB48" s="3"/>
      <c r="CIC48" s="3"/>
      <c r="CID48" s="3"/>
      <c r="CIE48" s="3"/>
      <c r="CIF48" s="3"/>
      <c r="CIG48" s="3"/>
      <c r="CIH48" s="3"/>
      <c r="CII48" s="3"/>
      <c r="CIJ48" s="3"/>
      <c r="CIK48" s="3"/>
      <c r="CIL48" s="3"/>
      <c r="CIM48" s="3"/>
      <c r="CIN48" s="3"/>
      <c r="CIO48" s="3"/>
      <c r="CIP48" s="3"/>
      <c r="CIQ48" s="3"/>
      <c r="CIR48" s="3"/>
      <c r="CIS48" s="3"/>
      <c r="CIT48" s="3"/>
      <c r="CIU48" s="3"/>
      <c r="CIV48" s="3"/>
      <c r="CIW48" s="3"/>
      <c r="CIX48" s="3"/>
      <c r="CIY48" s="3"/>
      <c r="CIZ48" s="3"/>
      <c r="CJA48" s="3"/>
      <c r="CJB48" s="3"/>
      <c r="CJC48" s="3"/>
      <c r="CJD48" s="3"/>
      <c r="CJE48" s="3"/>
      <c r="CJF48" s="3"/>
      <c r="CJG48" s="3"/>
      <c r="CJH48" s="3"/>
      <c r="CJI48" s="3"/>
      <c r="CJJ48" s="3"/>
      <c r="CJK48" s="3"/>
      <c r="CJL48" s="3"/>
      <c r="CJM48" s="3"/>
      <c r="CJN48" s="3"/>
      <c r="CJO48" s="3"/>
      <c r="CJP48" s="3"/>
      <c r="CJQ48" s="3"/>
      <c r="CJR48" s="3"/>
      <c r="CJS48" s="3"/>
      <c r="CJT48" s="3"/>
      <c r="CJU48" s="3"/>
      <c r="CJV48" s="3"/>
      <c r="CJW48" s="3"/>
      <c r="CJX48" s="3"/>
      <c r="CJY48" s="3"/>
      <c r="CJZ48" s="3"/>
      <c r="CKA48" s="3"/>
      <c r="CKB48" s="3"/>
      <c r="CKC48" s="3"/>
      <c r="CKD48" s="3"/>
      <c r="CKE48" s="3"/>
      <c r="CKF48" s="3"/>
      <c r="CKG48" s="3"/>
      <c r="CKH48" s="3"/>
      <c r="CKI48" s="3"/>
      <c r="CKJ48" s="3"/>
      <c r="CKK48" s="3"/>
      <c r="CKL48" s="3"/>
      <c r="CKM48" s="3"/>
      <c r="CKN48" s="3"/>
      <c r="CKO48" s="3"/>
      <c r="CKP48" s="3"/>
      <c r="CKQ48" s="3"/>
      <c r="CKR48" s="3"/>
      <c r="CKS48" s="3"/>
      <c r="CKT48" s="3"/>
      <c r="CKU48" s="3"/>
      <c r="CKV48" s="3"/>
      <c r="CKW48" s="3"/>
      <c r="CKX48" s="3"/>
      <c r="CKY48" s="3"/>
      <c r="CKZ48" s="3"/>
      <c r="CLA48" s="3"/>
      <c r="CLB48" s="3"/>
      <c r="CLC48" s="3"/>
      <c r="CLD48" s="3"/>
      <c r="CLE48" s="3"/>
      <c r="CLF48" s="3"/>
      <c r="CLG48" s="3"/>
      <c r="CLH48" s="3"/>
      <c r="CLI48" s="3"/>
      <c r="CLJ48" s="3"/>
      <c r="CLK48" s="3"/>
      <c r="CLL48" s="3"/>
      <c r="CLM48" s="3"/>
      <c r="CLN48" s="3"/>
      <c r="CLO48" s="3"/>
      <c r="CLP48" s="3"/>
      <c r="CLQ48" s="3"/>
      <c r="CLR48" s="3"/>
      <c r="CLS48" s="3"/>
      <c r="CLT48" s="3"/>
      <c r="CLU48" s="3"/>
      <c r="CLV48" s="3"/>
      <c r="CLW48" s="3"/>
      <c r="CLX48" s="3"/>
      <c r="CLY48" s="3"/>
      <c r="CLZ48" s="3"/>
      <c r="CMA48" s="3"/>
      <c r="CMB48" s="3"/>
      <c r="CMC48" s="3"/>
      <c r="CMD48" s="3"/>
      <c r="CME48" s="3"/>
      <c r="CMF48" s="3"/>
      <c r="CMG48" s="3"/>
      <c r="CMH48" s="3"/>
      <c r="CMI48" s="3"/>
      <c r="CMJ48" s="3"/>
      <c r="CMK48" s="3"/>
      <c r="CML48" s="3"/>
      <c r="CMM48" s="3"/>
      <c r="CMN48" s="3"/>
      <c r="CMO48" s="3"/>
      <c r="CMP48" s="3"/>
      <c r="CMQ48" s="3"/>
      <c r="CMR48" s="3"/>
      <c r="CMS48" s="3"/>
      <c r="CMT48" s="3"/>
      <c r="CMU48" s="3"/>
      <c r="CMV48" s="3"/>
      <c r="CMW48" s="3"/>
      <c r="CMX48" s="3"/>
      <c r="CMY48" s="3"/>
      <c r="CMZ48" s="3"/>
      <c r="CNA48" s="3"/>
      <c r="CNB48" s="3"/>
      <c r="CNC48" s="3"/>
      <c r="CND48" s="3"/>
      <c r="CNE48" s="3"/>
      <c r="CNF48" s="3"/>
      <c r="CNG48" s="3"/>
      <c r="CNH48" s="3"/>
      <c r="CNI48" s="3"/>
      <c r="CNJ48" s="3"/>
      <c r="CNK48" s="3"/>
      <c r="CNL48" s="3"/>
      <c r="CNM48" s="3"/>
      <c r="CNN48" s="3"/>
      <c r="CNO48" s="3"/>
      <c r="CNP48" s="3"/>
      <c r="CNQ48" s="3"/>
      <c r="CNR48" s="3"/>
      <c r="CNS48" s="3"/>
      <c r="CNT48" s="3"/>
      <c r="CNU48" s="3"/>
      <c r="CNV48" s="3"/>
      <c r="CNW48" s="3"/>
      <c r="CNX48" s="3"/>
      <c r="CNY48" s="3"/>
      <c r="CNZ48" s="3"/>
      <c r="COA48" s="3"/>
      <c r="COB48" s="3"/>
      <c r="COC48" s="3"/>
      <c r="COD48" s="3"/>
      <c r="COE48" s="3"/>
      <c r="COF48" s="3"/>
      <c r="COG48" s="3"/>
      <c r="COH48" s="3"/>
      <c r="COI48" s="3"/>
      <c r="COJ48" s="3"/>
      <c r="COK48" s="3"/>
      <c r="COL48" s="3"/>
      <c r="COM48" s="3"/>
      <c r="CON48" s="3"/>
      <c r="COO48" s="3"/>
      <c r="COP48" s="3"/>
      <c r="COQ48" s="3"/>
      <c r="COR48" s="3"/>
      <c r="COS48" s="3"/>
      <c r="COT48" s="3"/>
      <c r="COU48" s="3"/>
      <c r="COV48" s="3"/>
      <c r="COW48" s="3"/>
      <c r="COX48" s="3"/>
      <c r="COY48" s="3"/>
      <c r="COZ48" s="3"/>
      <c r="CPA48" s="3"/>
      <c r="CPB48" s="3"/>
      <c r="CPC48" s="3"/>
      <c r="CPD48" s="3"/>
      <c r="CPE48" s="3"/>
      <c r="CPF48" s="3"/>
      <c r="CPG48" s="3"/>
      <c r="CPH48" s="3"/>
      <c r="CPI48" s="3"/>
      <c r="CPJ48" s="3"/>
      <c r="CPK48" s="3"/>
      <c r="CPL48" s="3"/>
      <c r="CPM48" s="3"/>
      <c r="CPN48" s="3"/>
      <c r="CPO48" s="3"/>
      <c r="CPP48" s="3"/>
      <c r="CPQ48" s="3"/>
      <c r="CPR48" s="3"/>
      <c r="CPS48" s="3"/>
      <c r="CPT48" s="3"/>
      <c r="CPU48" s="3"/>
      <c r="CPV48" s="3"/>
      <c r="CPW48" s="3"/>
      <c r="CPX48" s="3"/>
      <c r="CPY48" s="3"/>
      <c r="CPZ48" s="3"/>
      <c r="CQA48" s="3"/>
      <c r="CQB48" s="3"/>
      <c r="CQC48" s="3"/>
      <c r="CQD48" s="3"/>
      <c r="CQE48" s="3"/>
      <c r="CQF48" s="3"/>
      <c r="CQG48" s="3"/>
      <c r="CQH48" s="3"/>
      <c r="CQI48" s="3"/>
      <c r="CQJ48" s="3"/>
      <c r="CQK48" s="3"/>
      <c r="CQL48" s="3"/>
      <c r="CQM48" s="3"/>
      <c r="CQN48" s="3"/>
      <c r="CQO48" s="3"/>
      <c r="CQP48" s="3"/>
      <c r="CQQ48" s="3"/>
      <c r="CQR48" s="3"/>
      <c r="CQS48" s="3"/>
      <c r="CQT48" s="3"/>
      <c r="CQU48" s="3"/>
      <c r="CQV48" s="3"/>
      <c r="CQW48" s="3"/>
      <c r="CQX48" s="3"/>
      <c r="CQY48" s="3"/>
      <c r="CQZ48" s="3"/>
      <c r="CRA48" s="3"/>
      <c r="CRB48" s="3"/>
      <c r="CRC48" s="3"/>
      <c r="CRD48" s="3"/>
      <c r="CRE48" s="3"/>
      <c r="CRF48" s="3"/>
      <c r="CRG48" s="3"/>
      <c r="CRH48" s="3"/>
      <c r="CRI48" s="3"/>
      <c r="CRJ48" s="3"/>
      <c r="CRK48" s="3"/>
      <c r="CRL48" s="3"/>
      <c r="CRM48" s="3"/>
      <c r="CRN48" s="3"/>
      <c r="CRO48" s="3"/>
      <c r="CRP48" s="3"/>
      <c r="CRQ48" s="3"/>
      <c r="CRR48" s="3"/>
      <c r="CRS48" s="3"/>
      <c r="CRT48" s="3"/>
      <c r="CRU48" s="3"/>
      <c r="CRV48" s="3"/>
      <c r="CRW48" s="3"/>
      <c r="CRX48" s="3"/>
      <c r="CRY48" s="3"/>
      <c r="CRZ48" s="3"/>
      <c r="CSA48" s="3"/>
      <c r="CSB48" s="3"/>
      <c r="CSC48" s="3"/>
      <c r="CSD48" s="3"/>
      <c r="CSE48" s="3"/>
      <c r="CSF48" s="3"/>
      <c r="CSG48" s="3"/>
      <c r="CSH48" s="3"/>
      <c r="CSI48" s="3"/>
      <c r="CSJ48" s="3"/>
      <c r="CSK48" s="3"/>
      <c r="CSL48" s="3"/>
      <c r="CSM48" s="3"/>
      <c r="CSN48" s="3"/>
      <c r="CSO48" s="3"/>
      <c r="CSP48" s="3"/>
      <c r="CSQ48" s="3"/>
      <c r="CSR48" s="3"/>
      <c r="CSS48" s="3"/>
      <c r="CST48" s="3"/>
      <c r="CSU48" s="3"/>
      <c r="CSV48" s="3"/>
      <c r="CSW48" s="3"/>
      <c r="CSX48" s="3"/>
      <c r="CSY48" s="3"/>
      <c r="CSZ48" s="3"/>
      <c r="CTA48" s="3"/>
      <c r="CTB48" s="3"/>
      <c r="CTC48" s="3"/>
      <c r="CTD48" s="3"/>
      <c r="CTE48" s="3"/>
      <c r="CTF48" s="3"/>
      <c r="CTG48" s="3"/>
      <c r="CTH48" s="3"/>
      <c r="CTI48" s="3"/>
      <c r="CTJ48" s="3"/>
      <c r="CTK48" s="3"/>
      <c r="CTL48" s="3"/>
      <c r="CTM48" s="3"/>
      <c r="CTN48" s="3"/>
      <c r="CTO48" s="3"/>
      <c r="CTP48" s="3"/>
      <c r="CTQ48" s="3"/>
      <c r="CTR48" s="3"/>
      <c r="CTS48" s="3"/>
      <c r="CTT48" s="3"/>
      <c r="CTU48" s="3"/>
      <c r="CTV48" s="3"/>
      <c r="CTW48" s="3"/>
      <c r="CTX48" s="3"/>
      <c r="CTY48" s="3"/>
      <c r="CTZ48" s="3"/>
      <c r="CUA48" s="3"/>
      <c r="CUB48" s="3"/>
      <c r="CUC48" s="3"/>
      <c r="CUD48" s="3"/>
      <c r="CUE48" s="3"/>
      <c r="CUF48" s="3"/>
      <c r="CUG48" s="3"/>
      <c r="CUH48" s="3"/>
      <c r="CUI48" s="3"/>
      <c r="CUJ48" s="3"/>
      <c r="CUK48" s="3"/>
      <c r="CUL48" s="3"/>
      <c r="CUM48" s="3"/>
      <c r="CUN48" s="3"/>
      <c r="CUO48" s="3"/>
      <c r="CUP48" s="3"/>
      <c r="CUQ48" s="3"/>
      <c r="CUR48" s="3"/>
      <c r="CUS48" s="3"/>
      <c r="CUT48" s="3"/>
      <c r="CUU48" s="3"/>
      <c r="CUV48" s="3"/>
      <c r="CUW48" s="3"/>
      <c r="CUX48" s="3"/>
      <c r="CUY48" s="3"/>
      <c r="CUZ48" s="3"/>
      <c r="CVA48" s="3"/>
      <c r="CVB48" s="3"/>
      <c r="CVC48" s="3"/>
      <c r="CVD48" s="3"/>
      <c r="CVE48" s="3"/>
      <c r="CVF48" s="3"/>
      <c r="CVG48" s="3"/>
      <c r="CVH48" s="3"/>
      <c r="CVI48" s="3"/>
      <c r="CVJ48" s="3"/>
      <c r="CVK48" s="3"/>
      <c r="CVL48" s="3"/>
      <c r="CVM48" s="3"/>
      <c r="CVN48" s="3"/>
      <c r="CVO48" s="3"/>
      <c r="CVP48" s="3"/>
      <c r="CVQ48" s="3"/>
      <c r="CVR48" s="3"/>
      <c r="CVS48" s="3"/>
      <c r="CVT48" s="3"/>
      <c r="CVU48" s="3"/>
      <c r="CVV48" s="3"/>
      <c r="CVW48" s="3"/>
      <c r="CVX48" s="3"/>
      <c r="CVY48" s="3"/>
      <c r="CVZ48" s="3"/>
      <c r="CWA48" s="3"/>
      <c r="CWB48" s="3"/>
      <c r="CWC48" s="3"/>
      <c r="CWD48" s="3"/>
      <c r="CWE48" s="3"/>
      <c r="CWF48" s="3"/>
      <c r="CWG48" s="3"/>
      <c r="CWH48" s="3"/>
      <c r="CWI48" s="3"/>
      <c r="CWJ48" s="3"/>
      <c r="CWK48" s="3"/>
      <c r="CWL48" s="3"/>
      <c r="CWM48" s="3"/>
      <c r="CWN48" s="3"/>
      <c r="CWO48" s="3"/>
      <c r="CWP48" s="3"/>
      <c r="CWQ48" s="3"/>
      <c r="CWR48" s="3"/>
      <c r="CWS48" s="3"/>
      <c r="CWT48" s="3"/>
      <c r="CWU48" s="3"/>
      <c r="CWV48" s="3"/>
      <c r="CWW48" s="3"/>
      <c r="CWX48" s="3"/>
      <c r="CWY48" s="3"/>
      <c r="CWZ48" s="3"/>
      <c r="CXA48" s="3"/>
      <c r="CXB48" s="3"/>
      <c r="CXC48" s="3"/>
      <c r="CXD48" s="3"/>
      <c r="CXE48" s="3"/>
      <c r="CXF48" s="3"/>
      <c r="CXG48" s="3"/>
      <c r="CXH48" s="3"/>
      <c r="CXI48" s="3"/>
      <c r="CXJ48" s="3"/>
      <c r="CXK48" s="3"/>
      <c r="CXL48" s="3"/>
      <c r="CXM48" s="3"/>
      <c r="CXN48" s="3"/>
      <c r="CXO48" s="3"/>
      <c r="CXP48" s="3"/>
      <c r="CXQ48" s="3"/>
      <c r="CXR48" s="3"/>
      <c r="CXS48" s="3"/>
      <c r="CXT48" s="3"/>
      <c r="CXU48" s="3"/>
      <c r="CXV48" s="3"/>
      <c r="CXW48" s="3"/>
      <c r="CXX48" s="3"/>
      <c r="CXY48" s="3"/>
      <c r="CXZ48" s="3"/>
      <c r="CYA48" s="3"/>
      <c r="CYB48" s="3"/>
      <c r="CYC48" s="3"/>
      <c r="CYD48" s="3"/>
      <c r="CYE48" s="3"/>
      <c r="CYF48" s="3"/>
      <c r="CYG48" s="3"/>
      <c r="CYH48" s="3"/>
      <c r="CYI48" s="3"/>
      <c r="CYJ48" s="3"/>
      <c r="CYK48" s="3"/>
      <c r="CYL48" s="3"/>
      <c r="CYM48" s="3"/>
      <c r="CYN48" s="3"/>
      <c r="CYO48" s="3"/>
      <c r="CYP48" s="3"/>
      <c r="CYQ48" s="3"/>
      <c r="CYR48" s="3"/>
      <c r="CYS48" s="3"/>
      <c r="CYT48" s="3"/>
      <c r="CYU48" s="3"/>
      <c r="CYV48" s="3"/>
      <c r="CYW48" s="3"/>
      <c r="CYX48" s="3"/>
      <c r="CYY48" s="3"/>
      <c r="CYZ48" s="3"/>
      <c r="CZA48" s="3"/>
      <c r="CZB48" s="3"/>
      <c r="CZC48" s="3"/>
      <c r="CZD48" s="3"/>
      <c r="CZE48" s="3"/>
      <c r="CZF48" s="3"/>
      <c r="CZG48" s="3"/>
      <c r="CZH48" s="3"/>
      <c r="CZI48" s="3"/>
      <c r="CZJ48" s="3"/>
      <c r="CZK48" s="3"/>
      <c r="CZL48" s="3"/>
      <c r="CZM48" s="3"/>
      <c r="CZN48" s="3"/>
      <c r="CZO48" s="3"/>
      <c r="CZP48" s="3"/>
      <c r="CZQ48" s="3"/>
      <c r="CZR48" s="3"/>
      <c r="CZS48" s="3"/>
      <c r="CZT48" s="3"/>
      <c r="CZU48" s="3"/>
      <c r="CZV48" s="3"/>
      <c r="CZW48" s="3"/>
      <c r="CZX48" s="3"/>
      <c r="CZY48" s="3"/>
      <c r="CZZ48" s="3"/>
      <c r="DAA48" s="3"/>
      <c r="DAB48" s="3"/>
      <c r="DAC48" s="3"/>
      <c r="DAD48" s="3"/>
      <c r="DAE48" s="3"/>
      <c r="DAF48" s="3"/>
      <c r="DAG48" s="3"/>
      <c r="DAH48" s="3"/>
      <c r="DAI48" s="3"/>
      <c r="DAJ48" s="3"/>
      <c r="DAK48" s="3"/>
      <c r="DAL48" s="3"/>
      <c r="DAM48" s="3"/>
      <c r="DAN48" s="3"/>
      <c r="DAO48" s="3"/>
      <c r="DAP48" s="3"/>
      <c r="DAQ48" s="3"/>
      <c r="DAR48" s="3"/>
      <c r="DAS48" s="3"/>
      <c r="DAT48" s="3"/>
      <c r="DAU48" s="3"/>
      <c r="DAV48" s="3"/>
      <c r="DAW48" s="3"/>
      <c r="DAX48" s="3"/>
      <c r="DAY48" s="3"/>
      <c r="DAZ48" s="3"/>
      <c r="DBA48" s="3"/>
      <c r="DBB48" s="3"/>
      <c r="DBC48" s="3"/>
      <c r="DBD48" s="3"/>
      <c r="DBE48" s="3"/>
      <c r="DBF48" s="3"/>
      <c r="DBG48" s="3"/>
      <c r="DBH48" s="3"/>
      <c r="DBI48" s="3"/>
      <c r="DBJ48" s="3"/>
      <c r="DBK48" s="3"/>
      <c r="DBL48" s="3"/>
      <c r="DBM48" s="3"/>
      <c r="DBN48" s="3"/>
      <c r="DBO48" s="3"/>
      <c r="DBP48" s="3"/>
      <c r="DBQ48" s="3"/>
      <c r="DBR48" s="3"/>
      <c r="DBS48" s="3"/>
      <c r="DBT48" s="3"/>
      <c r="DBU48" s="3"/>
      <c r="DBV48" s="3"/>
      <c r="DBW48" s="3"/>
      <c r="DBX48" s="3"/>
      <c r="DBY48" s="3"/>
      <c r="DBZ48" s="3"/>
      <c r="DCA48" s="3"/>
      <c r="DCB48" s="3"/>
      <c r="DCC48" s="3"/>
      <c r="DCD48" s="3"/>
      <c r="DCE48" s="3"/>
      <c r="DCF48" s="3"/>
      <c r="DCG48" s="3"/>
      <c r="DCH48" s="3"/>
      <c r="DCI48" s="3"/>
      <c r="DCJ48" s="3"/>
      <c r="DCK48" s="3"/>
      <c r="DCL48" s="3"/>
      <c r="DCM48" s="3"/>
      <c r="DCN48" s="3"/>
      <c r="DCO48" s="3"/>
      <c r="DCP48" s="3"/>
      <c r="DCQ48" s="3"/>
      <c r="DCR48" s="3"/>
      <c r="DCS48" s="3"/>
      <c r="DCT48" s="3"/>
      <c r="DCU48" s="3"/>
      <c r="DCV48" s="3"/>
      <c r="DCW48" s="3"/>
      <c r="DCX48" s="3"/>
      <c r="DCY48" s="3"/>
      <c r="DCZ48" s="3"/>
      <c r="DDA48" s="3"/>
      <c r="DDB48" s="3"/>
      <c r="DDC48" s="3"/>
      <c r="DDD48" s="3"/>
      <c r="DDE48" s="3"/>
      <c r="DDF48" s="3"/>
      <c r="DDG48" s="3"/>
      <c r="DDH48" s="3"/>
      <c r="DDI48" s="3"/>
      <c r="DDJ48" s="3"/>
      <c r="DDK48" s="3"/>
      <c r="DDL48" s="3"/>
      <c r="DDM48" s="3"/>
      <c r="DDN48" s="3"/>
      <c r="DDO48" s="3"/>
      <c r="DDP48" s="3"/>
      <c r="DDQ48" s="3"/>
      <c r="DDR48" s="3"/>
      <c r="DDS48" s="3"/>
      <c r="DDT48" s="3"/>
      <c r="DDU48" s="3"/>
      <c r="DDV48" s="3"/>
      <c r="DDW48" s="3"/>
      <c r="DDX48" s="3"/>
      <c r="DDY48" s="3"/>
      <c r="DDZ48" s="3"/>
      <c r="DEA48" s="3"/>
      <c r="DEB48" s="3"/>
      <c r="DEC48" s="3"/>
      <c r="DED48" s="3"/>
      <c r="DEE48" s="3"/>
      <c r="DEF48" s="3"/>
      <c r="DEG48" s="3"/>
      <c r="DEH48" s="3"/>
      <c r="DEI48" s="3"/>
      <c r="DEJ48" s="3"/>
      <c r="DEK48" s="3"/>
      <c r="DEL48" s="3"/>
      <c r="DEM48" s="3"/>
      <c r="DEN48" s="3"/>
      <c r="DEO48" s="3"/>
      <c r="DEP48" s="3"/>
      <c r="DEQ48" s="3"/>
      <c r="DER48" s="3"/>
      <c r="DES48" s="3"/>
      <c r="DET48" s="3"/>
      <c r="DEU48" s="3"/>
      <c r="DEV48" s="3"/>
      <c r="DEW48" s="3"/>
      <c r="DEX48" s="3"/>
      <c r="DEY48" s="3"/>
      <c r="DEZ48" s="3"/>
      <c r="DFA48" s="3"/>
      <c r="DFB48" s="3"/>
      <c r="DFC48" s="3"/>
      <c r="DFD48" s="3"/>
      <c r="DFE48" s="3"/>
      <c r="DFF48" s="3"/>
      <c r="DFG48" s="3"/>
      <c r="DFH48" s="3"/>
      <c r="DFI48" s="3"/>
      <c r="DFJ48" s="3"/>
      <c r="DFK48" s="3"/>
      <c r="DFL48" s="3"/>
      <c r="DFM48" s="3"/>
      <c r="DFN48" s="3"/>
      <c r="DFO48" s="3"/>
      <c r="DFP48" s="3"/>
      <c r="DFQ48" s="3"/>
      <c r="DFR48" s="3"/>
      <c r="DFS48" s="3"/>
      <c r="DFT48" s="3"/>
      <c r="DFU48" s="3"/>
      <c r="DFV48" s="3"/>
      <c r="DFW48" s="3"/>
      <c r="DFX48" s="3"/>
      <c r="DFY48" s="3"/>
      <c r="DFZ48" s="3"/>
      <c r="DGA48" s="3"/>
      <c r="DGB48" s="3"/>
      <c r="DGC48" s="3"/>
      <c r="DGD48" s="3"/>
      <c r="DGE48" s="3"/>
      <c r="DGF48" s="3"/>
      <c r="DGG48" s="3"/>
      <c r="DGH48" s="3"/>
      <c r="DGI48" s="3"/>
      <c r="DGJ48" s="3"/>
      <c r="DGK48" s="3"/>
      <c r="DGL48" s="3"/>
      <c r="DGM48" s="3"/>
      <c r="DGN48" s="3"/>
      <c r="DGO48" s="3"/>
      <c r="DGP48" s="3"/>
      <c r="DGQ48" s="3"/>
      <c r="DGR48" s="3"/>
      <c r="DGS48" s="3"/>
      <c r="DGT48" s="3"/>
      <c r="DGU48" s="3"/>
      <c r="DGV48" s="3"/>
      <c r="DGW48" s="3"/>
      <c r="DGX48" s="3"/>
      <c r="DGY48" s="3"/>
      <c r="DGZ48" s="3"/>
      <c r="DHA48" s="3"/>
      <c r="DHB48" s="3"/>
      <c r="DHC48" s="3"/>
      <c r="DHD48" s="3"/>
      <c r="DHE48" s="3"/>
      <c r="DHF48" s="3"/>
      <c r="DHG48" s="3"/>
      <c r="DHH48" s="3"/>
      <c r="DHI48" s="3"/>
      <c r="DHJ48" s="3"/>
      <c r="DHK48" s="3"/>
      <c r="DHL48" s="3"/>
      <c r="DHM48" s="3"/>
      <c r="DHN48" s="3"/>
      <c r="DHO48" s="3"/>
      <c r="DHP48" s="3"/>
      <c r="DHQ48" s="3"/>
      <c r="DHR48" s="3"/>
      <c r="DHS48" s="3"/>
      <c r="DHT48" s="3"/>
      <c r="DHU48" s="3"/>
      <c r="DHV48" s="3"/>
      <c r="DHW48" s="3"/>
      <c r="DHX48" s="3"/>
      <c r="DHY48" s="3"/>
      <c r="DHZ48" s="3"/>
      <c r="DIA48" s="3"/>
      <c r="DIB48" s="3"/>
      <c r="DIC48" s="3"/>
      <c r="DID48" s="3"/>
      <c r="DIE48" s="3"/>
      <c r="DIF48" s="3"/>
      <c r="DIG48" s="3"/>
      <c r="DIH48" s="3"/>
      <c r="DII48" s="3"/>
      <c r="DIJ48" s="3"/>
      <c r="DIK48" s="3"/>
      <c r="DIL48" s="3"/>
      <c r="DIM48" s="3"/>
      <c r="DIN48" s="3"/>
      <c r="DIO48" s="3"/>
      <c r="DIP48" s="3"/>
      <c r="DIQ48" s="3"/>
      <c r="DIR48" s="3"/>
      <c r="DIS48" s="3"/>
      <c r="DIT48" s="3"/>
      <c r="DIU48" s="3"/>
      <c r="DIV48" s="3"/>
      <c r="DIW48" s="3"/>
      <c r="DIX48" s="3"/>
      <c r="DIY48" s="3"/>
      <c r="DIZ48" s="3"/>
      <c r="DJA48" s="3"/>
      <c r="DJB48" s="3"/>
      <c r="DJC48" s="3"/>
      <c r="DJD48" s="3"/>
      <c r="DJE48" s="3"/>
      <c r="DJF48" s="3"/>
      <c r="DJG48" s="3"/>
      <c r="DJH48" s="3"/>
      <c r="DJI48" s="3"/>
      <c r="DJJ48" s="3"/>
      <c r="DJK48" s="3"/>
      <c r="DJL48" s="3"/>
      <c r="DJM48" s="3"/>
      <c r="DJN48" s="3"/>
      <c r="DJO48" s="3"/>
      <c r="DJP48" s="3"/>
      <c r="DJQ48" s="3"/>
      <c r="DJR48" s="3"/>
      <c r="DJS48" s="3"/>
      <c r="DJT48" s="3"/>
      <c r="DJU48" s="3"/>
      <c r="DJV48" s="3"/>
      <c r="DJW48" s="3"/>
      <c r="DJX48" s="3"/>
      <c r="DJY48" s="3"/>
      <c r="DJZ48" s="3"/>
      <c r="DKA48" s="3"/>
      <c r="DKB48" s="3"/>
      <c r="DKC48" s="3"/>
      <c r="DKD48" s="3"/>
      <c r="DKE48" s="3"/>
      <c r="DKF48" s="3"/>
      <c r="DKG48" s="3"/>
      <c r="DKH48" s="3"/>
      <c r="DKI48" s="3"/>
      <c r="DKJ48" s="3"/>
      <c r="DKK48" s="3"/>
      <c r="DKL48" s="3"/>
      <c r="DKM48" s="3"/>
      <c r="DKN48" s="3"/>
      <c r="DKO48" s="3"/>
      <c r="DKP48" s="3"/>
      <c r="DKQ48" s="3"/>
      <c r="DKR48" s="3"/>
      <c r="DKS48" s="3"/>
      <c r="DKT48" s="3"/>
      <c r="DKU48" s="3"/>
      <c r="DKV48" s="3"/>
      <c r="DKW48" s="3"/>
      <c r="DKX48" s="3"/>
      <c r="DKY48" s="3"/>
      <c r="DKZ48" s="3"/>
      <c r="DLA48" s="3"/>
      <c r="DLB48" s="3"/>
      <c r="DLC48" s="3"/>
      <c r="DLD48" s="3"/>
      <c r="DLE48" s="3"/>
      <c r="DLF48" s="3"/>
      <c r="DLG48" s="3"/>
      <c r="DLH48" s="3"/>
      <c r="DLI48" s="3"/>
      <c r="DLJ48" s="3"/>
      <c r="DLK48" s="3"/>
      <c r="DLL48" s="3"/>
      <c r="DLM48" s="3"/>
      <c r="DLN48" s="3"/>
      <c r="DLO48" s="3"/>
      <c r="DLP48" s="3"/>
      <c r="DLQ48" s="3"/>
      <c r="DLR48" s="3"/>
      <c r="DLS48" s="3"/>
      <c r="DLT48" s="3"/>
      <c r="DLU48" s="3"/>
      <c r="DLV48" s="3"/>
      <c r="DLW48" s="3"/>
      <c r="DLX48" s="3"/>
      <c r="DLY48" s="3"/>
      <c r="DLZ48" s="3"/>
      <c r="DMA48" s="3"/>
      <c r="DMB48" s="3"/>
      <c r="DMC48" s="3"/>
      <c r="DMD48" s="3"/>
      <c r="DME48" s="3"/>
      <c r="DMF48" s="3"/>
      <c r="DMG48" s="3"/>
      <c r="DMH48" s="3"/>
      <c r="DMI48" s="3"/>
      <c r="DMJ48" s="3"/>
      <c r="DMK48" s="3"/>
      <c r="DML48" s="3"/>
      <c r="DMM48" s="3"/>
      <c r="DMN48" s="3"/>
      <c r="DMO48" s="3"/>
      <c r="DMP48" s="3"/>
      <c r="DMQ48" s="3"/>
      <c r="DMR48" s="3"/>
      <c r="DMS48" s="3"/>
      <c r="DMT48" s="3"/>
      <c r="DMU48" s="3"/>
      <c r="DMV48" s="3"/>
      <c r="DMW48" s="3"/>
      <c r="DMX48" s="3"/>
      <c r="DMY48" s="3"/>
      <c r="DMZ48" s="3"/>
      <c r="DNA48" s="3"/>
      <c r="DNB48" s="3"/>
      <c r="DNC48" s="3"/>
      <c r="DND48" s="3"/>
      <c r="DNE48" s="3"/>
      <c r="DNF48" s="3"/>
      <c r="DNG48" s="3"/>
      <c r="DNH48" s="3"/>
      <c r="DNI48" s="3"/>
      <c r="DNJ48" s="3"/>
      <c r="DNK48" s="3"/>
      <c r="DNL48" s="3"/>
      <c r="DNM48" s="3"/>
      <c r="DNN48" s="3"/>
      <c r="DNO48" s="3"/>
      <c r="DNP48" s="3"/>
      <c r="DNQ48" s="3"/>
      <c r="DNR48" s="3"/>
      <c r="DNS48" s="3"/>
      <c r="DNT48" s="3"/>
      <c r="DNU48" s="3"/>
      <c r="DNV48" s="3"/>
      <c r="DNW48" s="3"/>
      <c r="DNX48" s="3"/>
      <c r="DNY48" s="3"/>
      <c r="DNZ48" s="3"/>
      <c r="DOA48" s="3"/>
      <c r="DOB48" s="3"/>
      <c r="DOC48" s="3"/>
      <c r="DOD48" s="3"/>
      <c r="DOE48" s="3"/>
      <c r="DOF48" s="3"/>
      <c r="DOG48" s="3"/>
      <c r="DOH48" s="3"/>
      <c r="DOI48" s="3"/>
      <c r="DOJ48" s="3"/>
      <c r="DOK48" s="3"/>
      <c r="DOL48" s="3"/>
      <c r="DOM48" s="3"/>
      <c r="DON48" s="3"/>
      <c r="DOO48" s="3"/>
      <c r="DOP48" s="3"/>
      <c r="DOQ48" s="3"/>
      <c r="DOR48" s="3"/>
      <c r="DOS48" s="3"/>
      <c r="DOT48" s="3"/>
      <c r="DOU48" s="3"/>
      <c r="DOV48" s="3"/>
      <c r="DOW48" s="3"/>
      <c r="DOX48" s="3"/>
      <c r="DOY48" s="3"/>
      <c r="DOZ48" s="3"/>
      <c r="DPA48" s="3"/>
      <c r="DPB48" s="3"/>
      <c r="DPC48" s="3"/>
      <c r="DPD48" s="3"/>
      <c r="DPE48" s="3"/>
      <c r="DPF48" s="3"/>
      <c r="DPG48" s="3"/>
      <c r="DPH48" s="3"/>
      <c r="DPI48" s="3"/>
      <c r="DPJ48" s="3"/>
      <c r="DPK48" s="3"/>
      <c r="DPL48" s="3"/>
      <c r="DPM48" s="3"/>
      <c r="DPN48" s="3"/>
      <c r="DPO48" s="3"/>
      <c r="DPP48" s="3"/>
      <c r="DPQ48" s="3"/>
      <c r="DPR48" s="3"/>
      <c r="DPS48" s="3"/>
      <c r="DPT48" s="3"/>
      <c r="DPU48" s="3"/>
      <c r="DPV48" s="3"/>
      <c r="DPW48" s="3"/>
      <c r="DPX48" s="3"/>
      <c r="DPY48" s="3"/>
      <c r="DPZ48" s="3"/>
      <c r="DQA48" s="3"/>
      <c r="DQB48" s="3"/>
      <c r="DQC48" s="3"/>
      <c r="DQD48" s="3"/>
      <c r="DQE48" s="3"/>
      <c r="DQF48" s="3"/>
      <c r="DQG48" s="3"/>
      <c r="DQH48" s="3"/>
      <c r="DQI48" s="3"/>
      <c r="DQJ48" s="3"/>
      <c r="DQK48" s="3"/>
      <c r="DQL48" s="3"/>
      <c r="DQM48" s="3"/>
      <c r="DQN48" s="3"/>
      <c r="DQO48" s="3"/>
      <c r="DQP48" s="3"/>
      <c r="DQQ48" s="3"/>
      <c r="DQR48" s="3"/>
      <c r="DQS48" s="3"/>
      <c r="DQT48" s="3"/>
      <c r="DQU48" s="3"/>
      <c r="DQV48" s="3"/>
      <c r="DQW48" s="3"/>
      <c r="DQX48" s="3"/>
      <c r="DQY48" s="3"/>
      <c r="DQZ48" s="3"/>
      <c r="DRA48" s="3"/>
      <c r="DRB48" s="3"/>
      <c r="DRC48" s="3"/>
      <c r="DRD48" s="3"/>
      <c r="DRE48" s="3"/>
      <c r="DRF48" s="3"/>
      <c r="DRG48" s="3"/>
      <c r="DRH48" s="3"/>
      <c r="DRI48" s="3"/>
      <c r="DRJ48" s="3"/>
      <c r="DRK48" s="3"/>
      <c r="DRL48" s="3"/>
      <c r="DRM48" s="3"/>
      <c r="DRN48" s="3"/>
      <c r="DRO48" s="3"/>
      <c r="DRP48" s="3"/>
      <c r="DRQ48" s="3"/>
      <c r="DRR48" s="3"/>
      <c r="DRS48" s="3"/>
      <c r="DRT48" s="3"/>
      <c r="DRU48" s="3"/>
      <c r="DRV48" s="3"/>
      <c r="DRW48" s="3"/>
      <c r="DRX48" s="3"/>
      <c r="DRY48" s="3"/>
      <c r="DRZ48" s="3"/>
      <c r="DSA48" s="3"/>
      <c r="DSB48" s="3"/>
      <c r="DSC48" s="3"/>
      <c r="DSD48" s="3"/>
      <c r="DSE48" s="3"/>
      <c r="DSF48" s="3"/>
      <c r="DSG48" s="3"/>
      <c r="DSH48" s="3"/>
      <c r="DSI48" s="3"/>
      <c r="DSJ48" s="3"/>
      <c r="DSK48" s="3"/>
      <c r="DSL48" s="3"/>
      <c r="DSM48" s="3"/>
      <c r="DSN48" s="3"/>
      <c r="DSO48" s="3"/>
      <c r="DSP48" s="3"/>
      <c r="DSQ48" s="3"/>
      <c r="DSR48" s="3"/>
      <c r="DSS48" s="3"/>
      <c r="DST48" s="3"/>
      <c r="DSU48" s="3"/>
      <c r="DSV48" s="3"/>
      <c r="DSW48" s="3"/>
      <c r="DSX48" s="3"/>
      <c r="DSY48" s="3"/>
      <c r="DSZ48" s="3"/>
      <c r="DTA48" s="3"/>
      <c r="DTB48" s="3"/>
      <c r="DTC48" s="3"/>
      <c r="DTD48" s="3"/>
      <c r="DTE48" s="3"/>
      <c r="DTF48" s="3"/>
      <c r="DTG48" s="3"/>
      <c r="DTH48" s="3"/>
      <c r="DTI48" s="3"/>
      <c r="DTJ48" s="3"/>
      <c r="DTK48" s="3"/>
      <c r="DTL48" s="3"/>
      <c r="DTM48" s="3"/>
      <c r="DTN48" s="3"/>
      <c r="DTO48" s="3"/>
      <c r="DTP48" s="3"/>
      <c r="DTQ48" s="3"/>
      <c r="DTR48" s="3"/>
      <c r="DTS48" s="3"/>
      <c r="DTT48" s="3"/>
      <c r="DTU48" s="3"/>
      <c r="DTV48" s="3"/>
      <c r="DTW48" s="3"/>
      <c r="DTX48" s="3"/>
      <c r="DTY48" s="3"/>
      <c r="DTZ48" s="3"/>
      <c r="DUA48" s="3"/>
      <c r="DUB48" s="3"/>
      <c r="DUC48" s="3"/>
      <c r="DUD48" s="3"/>
      <c r="DUE48" s="3"/>
      <c r="DUF48" s="3"/>
      <c r="DUG48" s="3"/>
      <c r="DUH48" s="3"/>
      <c r="DUI48" s="3"/>
      <c r="DUJ48" s="3"/>
      <c r="DUK48" s="3"/>
      <c r="DUL48" s="3"/>
      <c r="DUM48" s="3"/>
      <c r="DUN48" s="3"/>
      <c r="DUO48" s="3"/>
      <c r="DUP48" s="3"/>
      <c r="DUQ48" s="3"/>
      <c r="DUR48" s="3"/>
      <c r="DUS48" s="3"/>
      <c r="DUT48" s="3"/>
      <c r="DUU48" s="3"/>
      <c r="DUV48" s="3"/>
      <c r="DUW48" s="3"/>
      <c r="DUX48" s="3"/>
      <c r="DUY48" s="3"/>
      <c r="DUZ48" s="3"/>
      <c r="DVA48" s="3"/>
      <c r="DVB48" s="3"/>
      <c r="DVC48" s="3"/>
      <c r="DVD48" s="3"/>
      <c r="DVE48" s="3"/>
      <c r="DVF48" s="3"/>
      <c r="DVG48" s="3"/>
      <c r="DVH48" s="3"/>
      <c r="DVI48" s="3"/>
      <c r="DVJ48" s="3"/>
      <c r="DVK48" s="3"/>
      <c r="DVL48" s="3"/>
      <c r="DVM48" s="3"/>
      <c r="DVN48" s="3"/>
      <c r="DVO48" s="3"/>
      <c r="DVP48" s="3"/>
      <c r="DVQ48" s="3"/>
      <c r="DVR48" s="3"/>
      <c r="DVS48" s="3"/>
      <c r="DVT48" s="3"/>
      <c r="DVU48" s="3"/>
      <c r="DVV48" s="3"/>
      <c r="DVW48" s="3"/>
      <c r="DVX48" s="3"/>
      <c r="DVY48" s="3"/>
      <c r="DVZ48" s="3"/>
      <c r="DWA48" s="3"/>
      <c r="DWB48" s="3"/>
      <c r="DWC48" s="3"/>
      <c r="DWD48" s="3"/>
      <c r="DWE48" s="3"/>
      <c r="DWF48" s="3"/>
      <c r="DWG48" s="3"/>
      <c r="DWH48" s="3"/>
      <c r="DWI48" s="3"/>
      <c r="DWJ48" s="3"/>
      <c r="DWK48" s="3"/>
      <c r="DWL48" s="3"/>
      <c r="DWM48" s="3"/>
      <c r="DWN48" s="3"/>
      <c r="DWO48" s="3"/>
      <c r="DWP48" s="3"/>
      <c r="DWQ48" s="3"/>
      <c r="DWR48" s="3"/>
      <c r="DWS48" s="3"/>
      <c r="DWT48" s="3"/>
      <c r="DWU48" s="3"/>
      <c r="DWV48" s="3"/>
      <c r="DWW48" s="3"/>
      <c r="DWX48" s="3"/>
      <c r="DWY48" s="3"/>
      <c r="DWZ48" s="3"/>
      <c r="DXA48" s="3"/>
      <c r="DXB48" s="3"/>
      <c r="DXC48" s="3"/>
      <c r="DXD48" s="3"/>
      <c r="DXE48" s="3"/>
      <c r="DXF48" s="3"/>
      <c r="DXG48" s="3"/>
      <c r="DXH48" s="3"/>
      <c r="DXI48" s="3"/>
      <c r="DXJ48" s="3"/>
      <c r="DXK48" s="3"/>
      <c r="DXL48" s="3"/>
      <c r="DXM48" s="3"/>
      <c r="DXN48" s="3"/>
      <c r="DXO48" s="3"/>
      <c r="DXP48" s="3"/>
      <c r="DXQ48" s="3"/>
      <c r="DXR48" s="3"/>
      <c r="DXS48" s="3"/>
      <c r="DXT48" s="3"/>
      <c r="DXU48" s="3"/>
      <c r="DXV48" s="3"/>
      <c r="DXW48" s="3"/>
      <c r="DXX48" s="3"/>
      <c r="DXY48" s="3"/>
      <c r="DXZ48" s="3"/>
      <c r="DYA48" s="3"/>
      <c r="DYB48" s="3"/>
      <c r="DYC48" s="3"/>
      <c r="DYD48" s="3"/>
      <c r="DYE48" s="3"/>
      <c r="DYF48" s="3"/>
      <c r="DYG48" s="3"/>
      <c r="DYH48" s="3"/>
      <c r="DYI48" s="3"/>
      <c r="DYJ48" s="3"/>
      <c r="DYK48" s="3"/>
      <c r="DYL48" s="3"/>
      <c r="DYM48" s="3"/>
      <c r="DYN48" s="3"/>
      <c r="DYO48" s="3"/>
      <c r="DYP48" s="3"/>
      <c r="DYQ48" s="3"/>
      <c r="DYR48" s="3"/>
      <c r="DYS48" s="3"/>
      <c r="DYT48" s="3"/>
      <c r="DYU48" s="3"/>
      <c r="DYV48" s="3"/>
      <c r="DYW48" s="3"/>
      <c r="DYX48" s="3"/>
      <c r="DYY48" s="3"/>
      <c r="DYZ48" s="3"/>
      <c r="DZA48" s="3"/>
      <c r="DZB48" s="3"/>
      <c r="DZC48" s="3"/>
      <c r="DZD48" s="3"/>
      <c r="DZE48" s="3"/>
      <c r="DZF48" s="3"/>
      <c r="DZG48" s="3"/>
      <c r="DZH48" s="3"/>
      <c r="DZI48" s="3"/>
      <c r="DZJ48" s="3"/>
      <c r="DZK48" s="3"/>
      <c r="DZL48" s="3"/>
      <c r="DZM48" s="3"/>
      <c r="DZN48" s="3"/>
      <c r="DZO48" s="3"/>
      <c r="DZP48" s="3"/>
      <c r="DZQ48" s="3"/>
      <c r="DZR48" s="3"/>
      <c r="DZS48" s="3"/>
      <c r="DZT48" s="3"/>
      <c r="DZU48" s="3"/>
      <c r="DZV48" s="3"/>
      <c r="DZW48" s="3"/>
      <c r="DZX48" s="3"/>
      <c r="DZY48" s="3"/>
      <c r="DZZ48" s="3"/>
      <c r="EAA48" s="3"/>
      <c r="EAB48" s="3"/>
      <c r="EAC48" s="3"/>
      <c r="EAD48" s="3"/>
      <c r="EAE48" s="3"/>
      <c r="EAF48" s="3"/>
      <c r="EAG48" s="3"/>
      <c r="EAH48" s="3"/>
      <c r="EAI48" s="3"/>
      <c r="EAJ48" s="3"/>
      <c r="EAK48" s="3"/>
      <c r="EAL48" s="3"/>
      <c r="EAM48" s="3"/>
      <c r="EAN48" s="3"/>
      <c r="EAO48" s="3"/>
      <c r="EAP48" s="3"/>
      <c r="EAQ48" s="3"/>
      <c r="EAR48" s="3"/>
      <c r="EAS48" s="3"/>
      <c r="EAT48" s="3"/>
      <c r="EAU48" s="3"/>
      <c r="EAV48" s="3"/>
      <c r="EAW48" s="3"/>
      <c r="EAX48" s="3"/>
      <c r="EAY48" s="3"/>
      <c r="EAZ48" s="3"/>
      <c r="EBA48" s="3"/>
      <c r="EBB48" s="3"/>
      <c r="EBC48" s="3"/>
      <c r="EBD48" s="3"/>
      <c r="EBE48" s="3"/>
      <c r="EBF48" s="3"/>
      <c r="EBG48" s="3"/>
      <c r="EBH48" s="3"/>
      <c r="EBI48" s="3"/>
      <c r="EBJ48" s="3"/>
      <c r="EBK48" s="3"/>
      <c r="EBL48" s="3"/>
      <c r="EBM48" s="3"/>
      <c r="EBN48" s="3"/>
      <c r="EBO48" s="3"/>
      <c r="EBP48" s="3"/>
      <c r="EBQ48" s="3"/>
      <c r="EBR48" s="3"/>
      <c r="EBS48" s="3"/>
      <c r="EBT48" s="3"/>
      <c r="EBU48" s="3"/>
      <c r="EBV48" s="3"/>
      <c r="EBW48" s="3"/>
      <c r="EBX48" s="3"/>
      <c r="EBY48" s="3"/>
      <c r="EBZ48" s="3"/>
      <c r="ECA48" s="3"/>
      <c r="ECB48" s="3"/>
      <c r="ECC48" s="3"/>
      <c r="ECD48" s="3"/>
      <c r="ECE48" s="3"/>
      <c r="ECF48" s="3"/>
      <c r="ECG48" s="3"/>
      <c r="ECH48" s="3"/>
      <c r="ECI48" s="3"/>
      <c r="ECJ48" s="3"/>
      <c r="ECK48" s="3"/>
      <c r="ECL48" s="3"/>
      <c r="ECM48" s="3"/>
      <c r="ECN48" s="3"/>
      <c r="ECO48" s="3"/>
      <c r="ECP48" s="3"/>
      <c r="ECQ48" s="3"/>
      <c r="ECR48" s="3"/>
      <c r="ECS48" s="3"/>
      <c r="ECT48" s="3"/>
      <c r="ECU48" s="3"/>
      <c r="ECV48" s="3"/>
      <c r="ECW48" s="3"/>
      <c r="ECX48" s="3"/>
      <c r="ECY48" s="3"/>
      <c r="ECZ48" s="3"/>
      <c r="EDA48" s="3"/>
      <c r="EDB48" s="3"/>
      <c r="EDC48" s="3"/>
      <c r="EDD48" s="3"/>
      <c r="EDE48" s="3"/>
      <c r="EDF48" s="3"/>
      <c r="EDG48" s="3"/>
      <c r="EDH48" s="3"/>
      <c r="EDI48" s="3"/>
      <c r="EDJ48" s="3"/>
      <c r="EDK48" s="3"/>
      <c r="EDL48" s="3"/>
      <c r="EDM48" s="3"/>
      <c r="EDN48" s="3"/>
      <c r="EDO48" s="3"/>
      <c r="EDP48" s="3"/>
      <c r="EDQ48" s="3"/>
      <c r="EDR48" s="3"/>
      <c r="EDS48" s="3"/>
      <c r="EDT48" s="3"/>
      <c r="EDU48" s="3"/>
      <c r="EDV48" s="3"/>
      <c r="EDW48" s="3"/>
      <c r="EDX48" s="3"/>
      <c r="EDY48" s="3"/>
      <c r="EDZ48" s="3"/>
      <c r="EEA48" s="3"/>
      <c r="EEB48" s="3"/>
      <c r="EEC48" s="3"/>
      <c r="EED48" s="3"/>
      <c r="EEE48" s="3"/>
      <c r="EEF48" s="3"/>
      <c r="EEG48" s="3"/>
      <c r="EEH48" s="3"/>
      <c r="EEI48" s="3"/>
      <c r="EEJ48" s="3"/>
      <c r="EEK48" s="3"/>
      <c r="EEL48" s="3"/>
      <c r="EEM48" s="3"/>
      <c r="EEN48" s="3"/>
      <c r="EEO48" s="3"/>
      <c r="EEP48" s="3"/>
      <c r="EEQ48" s="3"/>
      <c r="EER48" s="3"/>
      <c r="EES48" s="3"/>
      <c r="EET48" s="3"/>
      <c r="EEU48" s="3"/>
      <c r="EEV48" s="3"/>
      <c r="EEW48" s="3"/>
      <c r="EEX48" s="3"/>
      <c r="EEY48" s="3"/>
      <c r="EEZ48" s="3"/>
      <c r="EFA48" s="3"/>
      <c r="EFB48" s="3"/>
      <c r="EFC48" s="3"/>
      <c r="EFD48" s="3"/>
      <c r="EFE48" s="3"/>
      <c r="EFF48" s="3"/>
      <c r="EFG48" s="3"/>
      <c r="EFH48" s="3"/>
      <c r="EFI48" s="3"/>
      <c r="EFJ48" s="3"/>
      <c r="EFK48" s="3"/>
      <c r="EFL48" s="3"/>
      <c r="EFM48" s="3"/>
      <c r="EFN48" s="3"/>
      <c r="EFO48" s="3"/>
      <c r="EFP48" s="3"/>
      <c r="EFQ48" s="3"/>
      <c r="EFR48" s="3"/>
      <c r="EFS48" s="3"/>
      <c r="EFT48" s="3"/>
      <c r="EFU48" s="3"/>
      <c r="EFV48" s="3"/>
      <c r="EFW48" s="3"/>
      <c r="EFX48" s="3"/>
      <c r="EFY48" s="3"/>
      <c r="EFZ48" s="3"/>
      <c r="EGA48" s="3"/>
      <c r="EGB48" s="3"/>
      <c r="EGC48" s="3"/>
      <c r="EGD48" s="3"/>
      <c r="EGE48" s="3"/>
      <c r="EGF48" s="3"/>
      <c r="EGG48" s="3"/>
      <c r="EGH48" s="3"/>
      <c r="EGI48" s="3"/>
      <c r="EGJ48" s="3"/>
      <c r="EGK48" s="3"/>
      <c r="EGL48" s="3"/>
      <c r="EGM48" s="3"/>
      <c r="EGN48" s="3"/>
      <c r="EGO48" s="3"/>
      <c r="EGP48" s="3"/>
      <c r="EGQ48" s="3"/>
      <c r="EGR48" s="3"/>
      <c r="EGS48" s="3"/>
      <c r="EGT48" s="3"/>
      <c r="EGU48" s="3"/>
      <c r="EGV48" s="3"/>
      <c r="EGW48" s="3"/>
      <c r="EGX48" s="3"/>
      <c r="EGY48" s="3"/>
      <c r="EGZ48" s="3"/>
      <c r="EHA48" s="3"/>
      <c r="EHB48" s="3"/>
      <c r="EHC48" s="3"/>
      <c r="EHD48" s="3"/>
      <c r="EHE48" s="3"/>
      <c r="EHF48" s="3"/>
      <c r="EHG48" s="3"/>
      <c r="EHH48" s="3"/>
      <c r="EHI48" s="3"/>
      <c r="EHJ48" s="3"/>
      <c r="EHK48" s="3"/>
      <c r="EHL48" s="3"/>
      <c r="EHM48" s="3"/>
      <c r="EHN48" s="3"/>
      <c r="EHO48" s="3"/>
      <c r="EHP48" s="3"/>
      <c r="EHQ48" s="3"/>
      <c r="EHR48" s="3"/>
      <c r="EHS48" s="3"/>
      <c r="EHT48" s="3"/>
      <c r="EHU48" s="3"/>
      <c r="EHV48" s="3"/>
      <c r="EHW48" s="3"/>
      <c r="EHX48" s="3"/>
      <c r="EHY48" s="3"/>
      <c r="EHZ48" s="3"/>
      <c r="EIA48" s="3"/>
      <c r="EIB48" s="3"/>
      <c r="EIC48" s="3"/>
      <c r="EID48" s="3"/>
      <c r="EIE48" s="3"/>
      <c r="EIF48" s="3"/>
      <c r="EIG48" s="3"/>
      <c r="EIH48" s="3"/>
      <c r="EII48" s="3"/>
      <c r="EIJ48" s="3"/>
      <c r="EIK48" s="3"/>
      <c r="EIL48" s="3"/>
      <c r="EIM48" s="3"/>
      <c r="EIN48" s="3"/>
      <c r="EIO48" s="3"/>
      <c r="EIP48" s="3"/>
      <c r="EIQ48" s="3"/>
      <c r="EIR48" s="3"/>
      <c r="EIS48" s="3"/>
      <c r="EIT48" s="3"/>
      <c r="EIU48" s="3"/>
      <c r="EIV48" s="3"/>
      <c r="EIW48" s="3"/>
      <c r="EIX48" s="3"/>
      <c r="EIY48" s="3"/>
      <c r="EIZ48" s="3"/>
      <c r="EJA48" s="3"/>
      <c r="EJB48" s="3"/>
      <c r="EJC48" s="3"/>
      <c r="EJD48" s="3"/>
      <c r="EJE48" s="3"/>
      <c r="EJF48" s="3"/>
      <c r="EJG48" s="3"/>
      <c r="EJH48" s="3"/>
      <c r="EJI48" s="3"/>
      <c r="EJJ48" s="3"/>
      <c r="EJK48" s="3"/>
      <c r="EJL48" s="3"/>
      <c r="EJM48" s="3"/>
      <c r="EJN48" s="3"/>
      <c r="EJO48" s="3"/>
      <c r="EJP48" s="3"/>
      <c r="EJQ48" s="3"/>
      <c r="EJR48" s="3"/>
      <c r="EJS48" s="3"/>
      <c r="EJT48" s="3"/>
      <c r="EJU48" s="3"/>
      <c r="EJV48" s="3"/>
      <c r="EJW48" s="3"/>
      <c r="EJX48" s="3"/>
      <c r="EJY48" s="3"/>
      <c r="EJZ48" s="3"/>
      <c r="EKA48" s="3"/>
      <c r="EKB48" s="3"/>
      <c r="EKC48" s="3"/>
      <c r="EKD48" s="3"/>
      <c r="EKE48" s="3"/>
      <c r="EKF48" s="3"/>
      <c r="EKG48" s="3"/>
      <c r="EKH48" s="3"/>
      <c r="EKI48" s="3"/>
      <c r="EKJ48" s="3"/>
      <c r="EKK48" s="3"/>
      <c r="EKL48" s="3"/>
      <c r="EKM48" s="3"/>
      <c r="EKN48" s="3"/>
      <c r="EKO48" s="3"/>
      <c r="EKP48" s="3"/>
      <c r="EKQ48" s="3"/>
      <c r="EKR48" s="3"/>
      <c r="EKS48" s="3"/>
      <c r="EKT48" s="3"/>
      <c r="EKU48" s="3"/>
      <c r="EKV48" s="3"/>
      <c r="EKW48" s="3"/>
      <c r="EKX48" s="3"/>
      <c r="EKY48" s="3"/>
      <c r="EKZ48" s="3"/>
      <c r="ELA48" s="3"/>
      <c r="ELB48" s="3"/>
      <c r="ELC48" s="3"/>
      <c r="ELD48" s="3"/>
      <c r="ELE48" s="3"/>
      <c r="ELF48" s="3"/>
      <c r="ELG48" s="3"/>
      <c r="ELH48" s="3"/>
      <c r="ELI48" s="3"/>
      <c r="ELJ48" s="3"/>
      <c r="ELK48" s="3"/>
      <c r="ELL48" s="3"/>
      <c r="ELM48" s="3"/>
      <c r="ELN48" s="3"/>
      <c r="ELO48" s="3"/>
      <c r="ELP48" s="3"/>
      <c r="ELQ48" s="3"/>
      <c r="ELR48" s="3"/>
      <c r="ELS48" s="3"/>
      <c r="ELT48" s="3"/>
      <c r="ELU48" s="3"/>
      <c r="ELV48" s="3"/>
      <c r="ELW48" s="3"/>
      <c r="ELX48" s="3"/>
      <c r="ELY48" s="3"/>
      <c r="ELZ48" s="3"/>
      <c r="EMA48" s="3"/>
      <c r="EMB48" s="3"/>
      <c r="EMC48" s="3"/>
      <c r="EMD48" s="3"/>
      <c r="EME48" s="3"/>
      <c r="EMF48" s="3"/>
      <c r="EMG48" s="3"/>
      <c r="EMH48" s="3"/>
      <c r="EMI48" s="3"/>
      <c r="EMJ48" s="3"/>
      <c r="EMK48" s="3"/>
      <c r="EML48" s="3"/>
      <c r="EMM48" s="3"/>
      <c r="EMN48" s="3"/>
      <c r="EMO48" s="3"/>
      <c r="EMP48" s="3"/>
      <c r="EMQ48" s="3"/>
      <c r="EMR48" s="3"/>
      <c r="EMS48" s="3"/>
      <c r="EMT48" s="3"/>
      <c r="EMU48" s="3"/>
      <c r="EMV48" s="3"/>
      <c r="EMW48" s="3"/>
      <c r="EMX48" s="3"/>
      <c r="EMY48" s="3"/>
      <c r="EMZ48" s="3"/>
      <c r="ENA48" s="3"/>
      <c r="ENB48" s="3"/>
      <c r="ENC48" s="3"/>
      <c r="END48" s="3"/>
      <c r="ENE48" s="3"/>
      <c r="ENF48" s="3"/>
      <c r="ENG48" s="3"/>
      <c r="ENH48" s="3"/>
      <c r="ENI48" s="3"/>
      <c r="ENJ48" s="3"/>
      <c r="ENK48" s="3"/>
      <c r="ENL48" s="3"/>
      <c r="ENM48" s="3"/>
      <c r="ENN48" s="3"/>
      <c r="ENO48" s="3"/>
      <c r="ENP48" s="3"/>
      <c r="ENQ48" s="3"/>
      <c r="ENR48" s="3"/>
      <c r="ENS48" s="3"/>
      <c r="ENT48" s="3"/>
      <c r="ENU48" s="3"/>
      <c r="ENV48" s="3"/>
      <c r="ENW48" s="3"/>
      <c r="ENX48" s="3"/>
      <c r="ENY48" s="3"/>
      <c r="ENZ48" s="3"/>
      <c r="EOA48" s="3"/>
      <c r="EOB48" s="3"/>
      <c r="EOC48" s="3"/>
      <c r="EOD48" s="3"/>
      <c r="EOE48" s="3"/>
      <c r="EOF48" s="3"/>
      <c r="EOG48" s="3"/>
      <c r="EOH48" s="3"/>
      <c r="EOI48" s="3"/>
      <c r="EOJ48" s="3"/>
      <c r="EOK48" s="3"/>
      <c r="EOL48" s="3"/>
      <c r="EOM48" s="3"/>
      <c r="EON48" s="3"/>
      <c r="EOO48" s="3"/>
      <c r="EOP48" s="3"/>
      <c r="EOQ48" s="3"/>
      <c r="EOR48" s="3"/>
      <c r="EOS48" s="3"/>
      <c r="EOT48" s="3"/>
      <c r="EOU48" s="3"/>
      <c r="EOV48" s="3"/>
      <c r="EOW48" s="3"/>
      <c r="EOX48" s="3"/>
      <c r="EOY48" s="3"/>
      <c r="EOZ48" s="3"/>
      <c r="EPA48" s="3"/>
      <c r="EPB48" s="3"/>
      <c r="EPC48" s="3"/>
      <c r="EPD48" s="3"/>
      <c r="EPE48" s="3"/>
      <c r="EPF48" s="3"/>
      <c r="EPG48" s="3"/>
      <c r="EPH48" s="3"/>
      <c r="EPI48" s="3"/>
      <c r="EPJ48" s="3"/>
      <c r="EPK48" s="3"/>
      <c r="EPL48" s="3"/>
      <c r="EPM48" s="3"/>
      <c r="EPN48" s="3"/>
      <c r="EPO48" s="3"/>
      <c r="EPP48" s="3"/>
      <c r="EPQ48" s="3"/>
      <c r="EPR48" s="3"/>
      <c r="EPS48" s="3"/>
      <c r="EPT48" s="3"/>
      <c r="EPU48" s="3"/>
      <c r="EPV48" s="3"/>
      <c r="EPW48" s="3"/>
      <c r="EPX48" s="3"/>
      <c r="EPY48" s="3"/>
      <c r="EPZ48" s="3"/>
      <c r="EQA48" s="3"/>
      <c r="EQB48" s="3"/>
      <c r="EQC48" s="3"/>
      <c r="EQD48" s="3"/>
      <c r="EQE48" s="3"/>
      <c r="EQF48" s="3"/>
      <c r="EQG48" s="3"/>
      <c r="EQH48" s="3"/>
      <c r="EQI48" s="3"/>
      <c r="EQJ48" s="3"/>
      <c r="EQK48" s="3"/>
      <c r="EQL48" s="3"/>
      <c r="EQM48" s="3"/>
      <c r="EQN48" s="3"/>
      <c r="EQO48" s="3"/>
      <c r="EQP48" s="3"/>
      <c r="EQQ48" s="3"/>
      <c r="EQR48" s="3"/>
      <c r="EQS48" s="3"/>
      <c r="EQT48" s="3"/>
      <c r="EQU48" s="3"/>
      <c r="EQV48" s="3"/>
      <c r="EQW48" s="3"/>
      <c r="EQX48" s="3"/>
      <c r="EQY48" s="3"/>
      <c r="EQZ48" s="3"/>
      <c r="ERA48" s="3"/>
      <c r="ERB48" s="3"/>
      <c r="ERC48" s="3"/>
      <c r="ERD48" s="3"/>
      <c r="ERE48" s="3"/>
      <c r="ERF48" s="3"/>
      <c r="ERG48" s="3"/>
      <c r="ERH48" s="3"/>
      <c r="ERI48" s="3"/>
      <c r="ERJ48" s="3"/>
      <c r="ERK48" s="3"/>
      <c r="ERL48" s="3"/>
      <c r="ERM48" s="3"/>
      <c r="ERN48" s="3"/>
      <c r="ERO48" s="3"/>
      <c r="ERP48" s="3"/>
      <c r="ERQ48" s="3"/>
      <c r="ERR48" s="3"/>
      <c r="ERS48" s="3"/>
      <c r="ERT48" s="3"/>
      <c r="ERU48" s="3"/>
      <c r="ERV48" s="3"/>
      <c r="ERW48" s="3"/>
      <c r="ERX48" s="3"/>
      <c r="ERY48" s="3"/>
      <c r="ERZ48" s="3"/>
      <c r="ESA48" s="3"/>
      <c r="ESB48" s="3"/>
      <c r="ESC48" s="3"/>
      <c r="ESD48" s="3"/>
      <c r="ESE48" s="3"/>
      <c r="ESF48" s="3"/>
      <c r="ESG48" s="3"/>
      <c r="ESH48" s="3"/>
      <c r="ESI48" s="3"/>
      <c r="ESJ48" s="3"/>
      <c r="ESK48" s="3"/>
      <c r="ESL48" s="3"/>
      <c r="ESM48" s="3"/>
      <c r="ESN48" s="3"/>
      <c r="ESO48" s="3"/>
      <c r="ESP48" s="3"/>
      <c r="ESQ48" s="3"/>
      <c r="ESR48" s="3"/>
      <c r="ESS48" s="3"/>
      <c r="EST48" s="3"/>
      <c r="ESU48" s="3"/>
      <c r="ESV48" s="3"/>
      <c r="ESW48" s="3"/>
      <c r="ESX48" s="3"/>
      <c r="ESY48" s="3"/>
      <c r="ESZ48" s="3"/>
      <c r="ETA48" s="3"/>
      <c r="ETB48" s="3"/>
      <c r="ETC48" s="3"/>
      <c r="ETD48" s="3"/>
      <c r="ETE48" s="3"/>
      <c r="ETF48" s="3"/>
      <c r="ETG48" s="3"/>
      <c r="ETH48" s="3"/>
      <c r="ETI48" s="3"/>
      <c r="ETJ48" s="3"/>
      <c r="ETK48" s="3"/>
      <c r="ETL48" s="3"/>
      <c r="ETM48" s="3"/>
      <c r="ETN48" s="3"/>
      <c r="ETO48" s="3"/>
      <c r="ETP48" s="3"/>
      <c r="ETQ48" s="3"/>
      <c r="ETR48" s="3"/>
      <c r="ETS48" s="3"/>
      <c r="ETT48" s="3"/>
      <c r="ETU48" s="3"/>
      <c r="ETV48" s="3"/>
      <c r="ETW48" s="3"/>
      <c r="ETX48" s="3"/>
      <c r="ETY48" s="3"/>
      <c r="ETZ48" s="3"/>
      <c r="EUA48" s="3"/>
      <c r="EUB48" s="3"/>
      <c r="EUC48" s="3"/>
      <c r="EUD48" s="3"/>
      <c r="EUE48" s="3"/>
      <c r="EUF48" s="3"/>
      <c r="EUG48" s="3"/>
      <c r="EUH48" s="3"/>
      <c r="EUI48" s="3"/>
      <c r="EUJ48" s="3"/>
      <c r="EUK48" s="3"/>
      <c r="EUL48" s="3"/>
      <c r="EUM48" s="3"/>
      <c r="EUN48" s="3"/>
      <c r="EUO48" s="3"/>
      <c r="EUP48" s="3"/>
      <c r="EUQ48" s="3"/>
      <c r="EUR48" s="3"/>
      <c r="EUS48" s="3"/>
      <c r="EUT48" s="3"/>
      <c r="EUU48" s="3"/>
      <c r="EUV48" s="3"/>
      <c r="EUW48" s="3"/>
      <c r="EUX48" s="3"/>
      <c r="EUY48" s="3"/>
      <c r="EUZ48" s="3"/>
      <c r="EVA48" s="3"/>
      <c r="EVB48" s="3"/>
      <c r="EVC48" s="3"/>
      <c r="EVD48" s="3"/>
      <c r="EVE48" s="3"/>
      <c r="EVF48" s="3"/>
      <c r="EVG48" s="3"/>
      <c r="EVH48" s="3"/>
      <c r="EVI48" s="3"/>
      <c r="EVJ48" s="3"/>
      <c r="EVK48" s="3"/>
      <c r="EVL48" s="3"/>
      <c r="EVM48" s="3"/>
      <c r="EVN48" s="3"/>
      <c r="EVO48" s="3"/>
      <c r="EVP48" s="3"/>
      <c r="EVQ48" s="3"/>
      <c r="EVR48" s="3"/>
      <c r="EVS48" s="3"/>
      <c r="EVT48" s="3"/>
      <c r="EVU48" s="3"/>
      <c r="EVV48" s="3"/>
      <c r="EVW48" s="3"/>
      <c r="EVX48" s="3"/>
      <c r="EVY48" s="3"/>
      <c r="EVZ48" s="3"/>
      <c r="EWA48" s="3"/>
      <c r="EWB48" s="3"/>
      <c r="EWC48" s="3"/>
      <c r="EWD48" s="3"/>
      <c r="EWE48" s="3"/>
      <c r="EWF48" s="3"/>
      <c r="EWG48" s="3"/>
      <c r="EWH48" s="3"/>
      <c r="EWI48" s="3"/>
      <c r="EWJ48" s="3"/>
      <c r="EWK48" s="3"/>
      <c r="EWL48" s="3"/>
      <c r="EWM48" s="3"/>
      <c r="EWN48" s="3"/>
      <c r="EWO48" s="3"/>
      <c r="EWP48" s="3"/>
      <c r="EWQ48" s="3"/>
      <c r="EWR48" s="3"/>
      <c r="EWS48" s="3"/>
      <c r="EWT48" s="3"/>
      <c r="EWU48" s="3"/>
      <c r="EWV48" s="3"/>
      <c r="EWW48" s="3"/>
      <c r="EWX48" s="3"/>
      <c r="EWY48" s="3"/>
      <c r="EWZ48" s="3"/>
      <c r="EXA48" s="3"/>
      <c r="EXB48" s="3"/>
      <c r="EXC48" s="3"/>
      <c r="EXD48" s="3"/>
      <c r="EXE48" s="3"/>
      <c r="EXF48" s="3"/>
      <c r="EXG48" s="3"/>
      <c r="EXH48" s="3"/>
      <c r="EXI48" s="3"/>
      <c r="EXJ48" s="3"/>
      <c r="EXK48" s="3"/>
      <c r="EXL48" s="3"/>
      <c r="EXM48" s="3"/>
      <c r="EXN48" s="3"/>
      <c r="EXO48" s="3"/>
      <c r="EXP48" s="3"/>
      <c r="EXQ48" s="3"/>
      <c r="EXR48" s="3"/>
      <c r="EXS48" s="3"/>
      <c r="EXT48" s="3"/>
      <c r="EXU48" s="3"/>
      <c r="EXV48" s="3"/>
      <c r="EXW48" s="3"/>
      <c r="EXX48" s="3"/>
      <c r="EXY48" s="3"/>
      <c r="EXZ48" s="3"/>
      <c r="EYA48" s="3"/>
      <c r="EYB48" s="3"/>
      <c r="EYC48" s="3"/>
      <c r="EYD48" s="3"/>
      <c r="EYE48" s="3"/>
      <c r="EYF48" s="3"/>
      <c r="EYG48" s="3"/>
      <c r="EYH48" s="3"/>
      <c r="EYI48" s="3"/>
      <c r="EYJ48" s="3"/>
      <c r="EYK48" s="3"/>
      <c r="EYL48" s="3"/>
      <c r="EYM48" s="3"/>
      <c r="EYN48" s="3"/>
      <c r="EYO48" s="3"/>
      <c r="EYP48" s="3"/>
      <c r="EYQ48" s="3"/>
      <c r="EYR48" s="3"/>
      <c r="EYS48" s="3"/>
      <c r="EYT48" s="3"/>
      <c r="EYU48" s="3"/>
      <c r="EYV48" s="3"/>
      <c r="EYW48" s="3"/>
      <c r="EYX48" s="3"/>
      <c r="EYY48" s="3"/>
      <c r="EYZ48" s="3"/>
      <c r="EZA48" s="3"/>
      <c r="EZB48" s="3"/>
      <c r="EZC48" s="3"/>
      <c r="EZD48" s="3"/>
      <c r="EZE48" s="3"/>
      <c r="EZF48" s="3"/>
      <c r="EZG48" s="3"/>
      <c r="EZH48" s="3"/>
      <c r="EZI48" s="3"/>
      <c r="EZJ48" s="3"/>
      <c r="EZK48" s="3"/>
      <c r="EZL48" s="3"/>
      <c r="EZM48" s="3"/>
      <c r="EZN48" s="3"/>
      <c r="EZO48" s="3"/>
      <c r="EZP48" s="3"/>
      <c r="EZQ48" s="3"/>
      <c r="EZR48" s="3"/>
      <c r="EZS48" s="3"/>
      <c r="EZT48" s="3"/>
      <c r="EZU48" s="3"/>
      <c r="EZV48" s="3"/>
      <c r="EZW48" s="3"/>
      <c r="EZX48" s="3"/>
      <c r="EZY48" s="3"/>
      <c r="EZZ48" s="3"/>
      <c r="FAA48" s="3"/>
      <c r="FAB48" s="3"/>
      <c r="FAC48" s="3"/>
      <c r="FAD48" s="3"/>
      <c r="FAE48" s="3"/>
      <c r="FAF48" s="3"/>
      <c r="FAG48" s="3"/>
      <c r="FAH48" s="3"/>
      <c r="FAI48" s="3"/>
      <c r="FAJ48" s="3"/>
      <c r="FAK48" s="3"/>
      <c r="FAL48" s="3"/>
      <c r="FAM48" s="3"/>
      <c r="FAN48" s="3"/>
      <c r="FAO48" s="3"/>
      <c r="FAP48" s="3"/>
      <c r="FAQ48" s="3"/>
      <c r="FAR48" s="3"/>
      <c r="FAS48" s="3"/>
      <c r="FAT48" s="3"/>
      <c r="FAU48" s="3"/>
      <c r="FAV48" s="3"/>
      <c r="FAW48" s="3"/>
      <c r="FAX48" s="3"/>
      <c r="FAY48" s="3"/>
      <c r="FAZ48" s="3"/>
      <c r="FBA48" s="3"/>
      <c r="FBB48" s="3"/>
      <c r="FBC48" s="3"/>
      <c r="FBD48" s="3"/>
      <c r="FBE48" s="3"/>
      <c r="FBF48" s="3"/>
      <c r="FBG48" s="3"/>
      <c r="FBH48" s="3"/>
      <c r="FBI48" s="3"/>
      <c r="FBJ48" s="3"/>
      <c r="FBK48" s="3"/>
      <c r="FBL48" s="3"/>
      <c r="FBM48" s="3"/>
      <c r="FBN48" s="3"/>
      <c r="FBO48" s="3"/>
      <c r="FBP48" s="3"/>
      <c r="FBQ48" s="3"/>
      <c r="FBR48" s="3"/>
      <c r="FBS48" s="3"/>
      <c r="FBT48" s="3"/>
      <c r="FBU48" s="3"/>
      <c r="FBV48" s="3"/>
      <c r="FBW48" s="3"/>
      <c r="FBX48" s="3"/>
      <c r="FBY48" s="3"/>
      <c r="FBZ48" s="3"/>
      <c r="FCA48" s="3"/>
      <c r="FCB48" s="3"/>
      <c r="FCC48" s="3"/>
      <c r="FCD48" s="3"/>
      <c r="FCE48" s="3"/>
      <c r="FCF48" s="3"/>
      <c r="FCG48" s="3"/>
      <c r="FCH48" s="3"/>
      <c r="FCI48" s="3"/>
      <c r="FCJ48" s="3"/>
      <c r="FCK48" s="3"/>
      <c r="FCL48" s="3"/>
      <c r="FCM48" s="3"/>
      <c r="FCN48" s="3"/>
      <c r="FCO48" s="3"/>
      <c r="FCP48" s="3"/>
      <c r="FCQ48" s="3"/>
      <c r="FCR48" s="3"/>
      <c r="FCS48" s="3"/>
      <c r="FCT48" s="3"/>
      <c r="FCU48" s="3"/>
      <c r="FCV48" s="3"/>
      <c r="FCW48" s="3"/>
      <c r="FCX48" s="3"/>
      <c r="FCY48" s="3"/>
      <c r="FCZ48" s="3"/>
      <c r="FDA48" s="3"/>
      <c r="FDB48" s="3"/>
      <c r="FDC48" s="3"/>
      <c r="FDD48" s="3"/>
      <c r="FDE48" s="3"/>
      <c r="FDF48" s="3"/>
      <c r="FDG48" s="3"/>
      <c r="FDH48" s="3"/>
      <c r="FDI48" s="3"/>
      <c r="FDJ48" s="3"/>
      <c r="FDK48" s="3"/>
      <c r="FDL48" s="3"/>
      <c r="FDM48" s="3"/>
      <c r="FDN48" s="3"/>
      <c r="FDO48" s="3"/>
      <c r="FDP48" s="3"/>
      <c r="FDQ48" s="3"/>
      <c r="FDR48" s="3"/>
      <c r="FDS48" s="3"/>
      <c r="FDT48" s="3"/>
      <c r="FDU48" s="3"/>
      <c r="FDV48" s="3"/>
      <c r="FDW48" s="3"/>
      <c r="FDX48" s="3"/>
      <c r="FDY48" s="3"/>
      <c r="FDZ48" s="3"/>
      <c r="FEA48" s="3"/>
      <c r="FEB48" s="3"/>
      <c r="FEC48" s="3"/>
      <c r="FED48" s="3"/>
      <c r="FEE48" s="3"/>
      <c r="FEF48" s="3"/>
      <c r="FEG48" s="3"/>
      <c r="FEH48" s="3"/>
      <c r="FEI48" s="3"/>
      <c r="FEJ48" s="3"/>
      <c r="FEK48" s="3"/>
      <c r="FEL48" s="3"/>
      <c r="FEM48" s="3"/>
      <c r="FEN48" s="3"/>
      <c r="FEO48" s="3"/>
      <c r="FEP48" s="3"/>
      <c r="FEQ48" s="3"/>
      <c r="FER48" s="3"/>
      <c r="FES48" s="3"/>
      <c r="FET48" s="3"/>
      <c r="FEU48" s="3"/>
      <c r="FEV48" s="3"/>
      <c r="FEW48" s="3"/>
      <c r="FEX48" s="3"/>
      <c r="FEY48" s="3"/>
      <c r="FEZ48" s="3"/>
      <c r="FFA48" s="3"/>
      <c r="FFB48" s="3"/>
      <c r="FFC48" s="3"/>
      <c r="FFD48" s="3"/>
      <c r="FFE48" s="3"/>
      <c r="FFF48" s="3"/>
      <c r="FFG48" s="3"/>
      <c r="FFH48" s="3"/>
      <c r="FFI48" s="3"/>
      <c r="FFJ48" s="3"/>
      <c r="FFK48" s="3"/>
      <c r="FFL48" s="3"/>
      <c r="FFM48" s="3"/>
      <c r="FFN48" s="3"/>
      <c r="FFO48" s="3"/>
      <c r="FFP48" s="3"/>
      <c r="FFQ48" s="3"/>
      <c r="FFR48" s="3"/>
      <c r="FFS48" s="3"/>
      <c r="FFT48" s="3"/>
      <c r="FFU48" s="3"/>
      <c r="FFV48" s="3"/>
      <c r="FFW48" s="3"/>
      <c r="FFX48" s="3"/>
      <c r="FFY48" s="3"/>
      <c r="FFZ48" s="3"/>
      <c r="FGA48" s="3"/>
      <c r="FGB48" s="3"/>
      <c r="FGC48" s="3"/>
      <c r="FGD48" s="3"/>
      <c r="FGE48" s="3"/>
      <c r="FGF48" s="3"/>
      <c r="FGG48" s="3"/>
      <c r="FGH48" s="3"/>
      <c r="FGI48" s="3"/>
      <c r="FGJ48" s="3"/>
      <c r="FGK48" s="3"/>
      <c r="FGL48" s="3"/>
      <c r="FGM48" s="3"/>
      <c r="FGN48" s="3"/>
      <c r="FGO48" s="3"/>
      <c r="FGP48" s="3"/>
      <c r="FGQ48" s="3"/>
      <c r="FGR48" s="3"/>
      <c r="FGS48" s="3"/>
      <c r="FGT48" s="3"/>
      <c r="FGU48" s="3"/>
      <c r="FGV48" s="3"/>
      <c r="FGW48" s="3"/>
      <c r="FGX48" s="3"/>
      <c r="FGY48" s="3"/>
      <c r="FGZ48" s="3"/>
      <c r="FHA48" s="3"/>
      <c r="FHB48" s="3"/>
      <c r="FHC48" s="3"/>
      <c r="FHD48" s="3"/>
      <c r="FHE48" s="3"/>
      <c r="FHF48" s="3"/>
      <c r="FHG48" s="3"/>
      <c r="FHH48" s="3"/>
      <c r="FHI48" s="3"/>
      <c r="FHJ48" s="3"/>
      <c r="FHK48" s="3"/>
      <c r="FHL48" s="3"/>
      <c r="FHM48" s="3"/>
      <c r="FHN48" s="3"/>
      <c r="FHO48" s="3"/>
      <c r="FHP48" s="3"/>
      <c r="FHQ48" s="3"/>
      <c r="FHR48" s="3"/>
      <c r="FHS48" s="3"/>
      <c r="FHT48" s="3"/>
      <c r="FHU48" s="3"/>
      <c r="FHV48" s="3"/>
      <c r="FHW48" s="3"/>
      <c r="FHX48" s="3"/>
      <c r="FHY48" s="3"/>
      <c r="FHZ48" s="3"/>
      <c r="FIA48" s="3"/>
      <c r="FIB48" s="3"/>
      <c r="FIC48" s="3"/>
      <c r="FID48" s="3"/>
      <c r="FIE48" s="3"/>
      <c r="FIF48" s="3"/>
      <c r="FIG48" s="3"/>
      <c r="FIH48" s="3"/>
      <c r="FII48" s="3"/>
      <c r="FIJ48" s="3"/>
      <c r="FIK48" s="3"/>
      <c r="FIL48" s="3"/>
      <c r="FIM48" s="3"/>
      <c r="FIN48" s="3"/>
      <c r="FIO48" s="3"/>
      <c r="FIP48" s="3"/>
      <c r="FIQ48" s="3"/>
      <c r="FIR48" s="3"/>
      <c r="FIS48" s="3"/>
      <c r="FIT48" s="3"/>
      <c r="FIU48" s="3"/>
      <c r="FIV48" s="3"/>
      <c r="FIW48" s="3"/>
      <c r="FIX48" s="3"/>
      <c r="FIY48" s="3"/>
      <c r="FIZ48" s="3"/>
      <c r="FJA48" s="3"/>
      <c r="FJB48" s="3"/>
      <c r="FJC48" s="3"/>
      <c r="FJD48" s="3"/>
      <c r="FJE48" s="3"/>
      <c r="FJF48" s="3"/>
      <c r="FJG48" s="3"/>
      <c r="FJH48" s="3"/>
      <c r="FJI48" s="3"/>
      <c r="FJJ48" s="3"/>
      <c r="FJK48" s="3"/>
      <c r="FJL48" s="3"/>
      <c r="FJM48" s="3"/>
      <c r="FJN48" s="3"/>
      <c r="FJO48" s="3"/>
      <c r="FJP48" s="3"/>
      <c r="FJQ48" s="3"/>
      <c r="FJR48" s="3"/>
      <c r="FJS48" s="3"/>
      <c r="FJT48" s="3"/>
      <c r="FJU48" s="3"/>
      <c r="FJV48" s="3"/>
      <c r="FJW48" s="3"/>
      <c r="FJX48" s="3"/>
      <c r="FJY48" s="3"/>
      <c r="FJZ48" s="3"/>
      <c r="FKA48" s="3"/>
      <c r="FKB48" s="3"/>
      <c r="FKC48" s="3"/>
      <c r="FKD48" s="3"/>
      <c r="FKE48" s="3"/>
      <c r="FKF48" s="3"/>
      <c r="FKG48" s="3"/>
      <c r="FKH48" s="3"/>
      <c r="FKI48" s="3"/>
      <c r="FKJ48" s="3"/>
      <c r="FKK48" s="3"/>
      <c r="FKL48" s="3"/>
      <c r="FKM48" s="3"/>
      <c r="FKN48" s="3"/>
      <c r="FKO48" s="3"/>
      <c r="FKP48" s="3"/>
      <c r="FKQ48" s="3"/>
      <c r="FKR48" s="3"/>
      <c r="FKS48" s="3"/>
      <c r="FKT48" s="3"/>
      <c r="FKU48" s="3"/>
      <c r="FKV48" s="3"/>
      <c r="FKW48" s="3"/>
      <c r="FKX48" s="3"/>
      <c r="FKY48" s="3"/>
      <c r="FKZ48" s="3"/>
      <c r="FLA48" s="3"/>
      <c r="FLB48" s="3"/>
      <c r="FLC48" s="3"/>
      <c r="FLD48" s="3"/>
      <c r="FLE48" s="3"/>
      <c r="FLF48" s="3"/>
      <c r="FLG48" s="3"/>
      <c r="FLH48" s="3"/>
      <c r="FLI48" s="3"/>
      <c r="FLJ48" s="3"/>
      <c r="FLK48" s="3"/>
      <c r="FLL48" s="3"/>
      <c r="FLM48" s="3"/>
      <c r="FLN48" s="3"/>
      <c r="FLO48" s="3"/>
      <c r="FLP48" s="3"/>
      <c r="FLQ48" s="3"/>
      <c r="FLR48" s="3"/>
      <c r="FLS48" s="3"/>
      <c r="FLT48" s="3"/>
      <c r="FLU48" s="3"/>
      <c r="FLV48" s="3"/>
      <c r="FLW48" s="3"/>
      <c r="FLX48" s="3"/>
      <c r="FLY48" s="3"/>
      <c r="FLZ48" s="3"/>
      <c r="FMA48" s="3"/>
      <c r="FMB48" s="3"/>
      <c r="FMC48" s="3"/>
      <c r="FMD48" s="3"/>
      <c r="FME48" s="3"/>
      <c r="FMF48" s="3"/>
      <c r="FMG48" s="3"/>
      <c r="FMH48" s="3"/>
      <c r="FMI48" s="3"/>
      <c r="FMJ48" s="3"/>
      <c r="FMK48" s="3"/>
      <c r="FML48" s="3"/>
      <c r="FMM48" s="3"/>
      <c r="FMN48" s="3"/>
      <c r="FMO48" s="3"/>
      <c r="FMP48" s="3"/>
      <c r="FMQ48" s="3"/>
      <c r="FMR48" s="3"/>
      <c r="FMS48" s="3"/>
      <c r="FMT48" s="3"/>
      <c r="FMU48" s="3"/>
      <c r="FMV48" s="3"/>
      <c r="FMW48" s="3"/>
      <c r="FMX48" s="3"/>
      <c r="FMY48" s="3"/>
      <c r="FMZ48" s="3"/>
      <c r="FNA48" s="3"/>
      <c r="FNB48" s="3"/>
      <c r="FNC48" s="3"/>
      <c r="FND48" s="3"/>
      <c r="FNE48" s="3"/>
      <c r="FNF48" s="3"/>
      <c r="FNG48" s="3"/>
      <c r="FNH48" s="3"/>
      <c r="FNI48" s="3"/>
      <c r="FNJ48" s="3"/>
      <c r="FNK48" s="3"/>
      <c r="FNL48" s="3"/>
      <c r="FNM48" s="3"/>
      <c r="FNN48" s="3"/>
      <c r="FNO48" s="3"/>
      <c r="FNP48" s="3"/>
      <c r="FNQ48" s="3"/>
      <c r="FNR48" s="3"/>
      <c r="FNS48" s="3"/>
      <c r="FNT48" s="3"/>
      <c r="FNU48" s="3"/>
      <c r="FNV48" s="3"/>
      <c r="FNW48" s="3"/>
      <c r="FNX48" s="3"/>
      <c r="FNY48" s="3"/>
      <c r="FNZ48" s="3"/>
      <c r="FOA48" s="3"/>
      <c r="FOB48" s="3"/>
      <c r="FOC48" s="3"/>
      <c r="FOD48" s="3"/>
      <c r="FOE48" s="3"/>
      <c r="FOF48" s="3"/>
      <c r="FOG48" s="3"/>
      <c r="FOH48" s="3"/>
      <c r="FOI48" s="3"/>
      <c r="FOJ48" s="3"/>
      <c r="FOK48" s="3"/>
      <c r="FOL48" s="3"/>
      <c r="FOM48" s="3"/>
      <c r="FON48" s="3"/>
      <c r="FOO48" s="3"/>
      <c r="FOP48" s="3"/>
      <c r="FOQ48" s="3"/>
      <c r="FOR48" s="3"/>
      <c r="FOS48" s="3"/>
      <c r="FOT48" s="3"/>
      <c r="FOU48" s="3"/>
      <c r="FOV48" s="3"/>
      <c r="FOW48" s="3"/>
      <c r="FOX48" s="3"/>
      <c r="FOY48" s="3"/>
      <c r="FOZ48" s="3"/>
      <c r="FPA48" s="3"/>
      <c r="FPB48" s="3"/>
      <c r="FPC48" s="3"/>
      <c r="FPD48" s="3"/>
      <c r="FPE48" s="3"/>
      <c r="FPF48" s="3"/>
      <c r="FPG48" s="3"/>
      <c r="FPH48" s="3"/>
      <c r="FPI48" s="3"/>
      <c r="FPJ48" s="3"/>
      <c r="FPK48" s="3"/>
      <c r="FPL48" s="3"/>
      <c r="FPM48" s="3"/>
      <c r="FPN48" s="3"/>
      <c r="FPO48" s="3"/>
      <c r="FPP48" s="3"/>
      <c r="FPQ48" s="3"/>
      <c r="FPR48" s="3"/>
      <c r="FPS48" s="3"/>
      <c r="FPT48" s="3"/>
      <c r="FPU48" s="3"/>
      <c r="FPV48" s="3"/>
      <c r="FPW48" s="3"/>
      <c r="FPX48" s="3"/>
      <c r="FPY48" s="3"/>
      <c r="FPZ48" s="3"/>
      <c r="FQA48" s="3"/>
      <c r="FQB48" s="3"/>
      <c r="FQC48" s="3"/>
      <c r="FQD48" s="3"/>
      <c r="FQE48" s="3"/>
      <c r="FQF48" s="3"/>
      <c r="FQG48" s="3"/>
      <c r="FQH48" s="3"/>
      <c r="FQI48" s="3"/>
      <c r="FQJ48" s="3"/>
      <c r="FQK48" s="3"/>
      <c r="FQL48" s="3"/>
      <c r="FQM48" s="3"/>
      <c r="FQN48" s="3"/>
      <c r="FQO48" s="3"/>
      <c r="FQP48" s="3"/>
      <c r="FQQ48" s="3"/>
      <c r="FQR48" s="3"/>
      <c r="FQS48" s="3"/>
      <c r="FQT48" s="3"/>
      <c r="FQU48" s="3"/>
      <c r="FQV48" s="3"/>
      <c r="FQW48" s="3"/>
      <c r="FQX48" s="3"/>
      <c r="FQY48" s="3"/>
      <c r="FQZ48" s="3"/>
      <c r="FRA48" s="3"/>
      <c r="FRB48" s="3"/>
      <c r="FRC48" s="3"/>
      <c r="FRD48" s="3"/>
      <c r="FRE48" s="3"/>
      <c r="FRF48" s="3"/>
      <c r="FRG48" s="3"/>
      <c r="FRH48" s="3"/>
      <c r="FRI48" s="3"/>
      <c r="FRJ48" s="3"/>
      <c r="FRK48" s="3"/>
      <c r="FRL48" s="3"/>
      <c r="FRM48" s="3"/>
      <c r="FRN48" s="3"/>
      <c r="FRO48" s="3"/>
      <c r="FRP48" s="3"/>
      <c r="FRQ48" s="3"/>
      <c r="FRR48" s="3"/>
      <c r="FRS48" s="3"/>
      <c r="FRT48" s="3"/>
      <c r="FRU48" s="3"/>
      <c r="FRV48" s="3"/>
      <c r="FRW48" s="3"/>
      <c r="FRX48" s="3"/>
      <c r="FRY48" s="3"/>
      <c r="FRZ48" s="3"/>
      <c r="FSA48" s="3"/>
      <c r="FSB48" s="3"/>
      <c r="FSC48" s="3"/>
      <c r="FSD48" s="3"/>
      <c r="FSE48" s="3"/>
      <c r="FSF48" s="3"/>
      <c r="FSG48" s="3"/>
      <c r="FSH48" s="3"/>
      <c r="FSI48" s="3"/>
      <c r="FSJ48" s="3"/>
      <c r="FSK48" s="3"/>
      <c r="FSL48" s="3"/>
      <c r="FSM48" s="3"/>
      <c r="FSN48" s="3"/>
      <c r="FSO48" s="3"/>
      <c r="FSP48" s="3"/>
      <c r="FSQ48" s="3"/>
      <c r="FSR48" s="3"/>
      <c r="FSS48" s="3"/>
      <c r="FST48" s="3"/>
      <c r="FSU48" s="3"/>
      <c r="FSV48" s="3"/>
      <c r="FSW48" s="3"/>
      <c r="FSX48" s="3"/>
      <c r="FSY48" s="3"/>
      <c r="FSZ48" s="3"/>
      <c r="FTA48" s="3"/>
      <c r="FTB48" s="3"/>
      <c r="FTC48" s="3"/>
      <c r="FTD48" s="3"/>
      <c r="FTE48" s="3"/>
      <c r="FTF48" s="3"/>
      <c r="FTG48" s="3"/>
      <c r="FTH48" s="3"/>
      <c r="FTI48" s="3"/>
      <c r="FTJ48" s="3"/>
      <c r="FTK48" s="3"/>
      <c r="FTL48" s="3"/>
      <c r="FTM48" s="3"/>
      <c r="FTN48" s="3"/>
      <c r="FTO48" s="3"/>
      <c r="FTP48" s="3"/>
      <c r="FTQ48" s="3"/>
      <c r="FTR48" s="3"/>
      <c r="FTS48" s="3"/>
      <c r="FTT48" s="3"/>
      <c r="FTU48" s="3"/>
      <c r="FTV48" s="3"/>
      <c r="FTW48" s="3"/>
      <c r="FTX48" s="3"/>
      <c r="FTY48" s="3"/>
      <c r="FTZ48" s="3"/>
      <c r="FUA48" s="3"/>
      <c r="FUB48" s="3"/>
      <c r="FUC48" s="3"/>
      <c r="FUD48" s="3"/>
      <c r="FUE48" s="3"/>
      <c r="FUF48" s="3"/>
      <c r="FUG48" s="3"/>
      <c r="FUH48" s="3"/>
      <c r="FUI48" s="3"/>
      <c r="FUJ48" s="3"/>
      <c r="FUK48" s="3"/>
      <c r="FUL48" s="3"/>
      <c r="FUM48" s="3"/>
      <c r="FUN48" s="3"/>
      <c r="FUO48" s="3"/>
      <c r="FUP48" s="3"/>
      <c r="FUQ48" s="3"/>
      <c r="FUR48" s="3"/>
      <c r="FUS48" s="3"/>
      <c r="FUT48" s="3"/>
      <c r="FUU48" s="3"/>
      <c r="FUV48" s="3"/>
      <c r="FUW48" s="3"/>
      <c r="FUX48" s="3"/>
      <c r="FUY48" s="3"/>
      <c r="FUZ48" s="3"/>
      <c r="FVA48" s="3"/>
      <c r="FVB48" s="3"/>
      <c r="FVC48" s="3"/>
      <c r="FVD48" s="3"/>
      <c r="FVE48" s="3"/>
      <c r="FVF48" s="3"/>
      <c r="FVG48" s="3"/>
      <c r="FVH48" s="3"/>
      <c r="FVI48" s="3"/>
      <c r="FVJ48" s="3"/>
      <c r="FVK48" s="3"/>
      <c r="FVL48" s="3"/>
      <c r="FVM48" s="3"/>
      <c r="FVN48" s="3"/>
      <c r="FVO48" s="3"/>
      <c r="FVP48" s="3"/>
      <c r="FVQ48" s="3"/>
      <c r="FVR48" s="3"/>
      <c r="FVS48" s="3"/>
      <c r="FVT48" s="3"/>
      <c r="FVU48" s="3"/>
      <c r="FVV48" s="3"/>
      <c r="FVW48" s="3"/>
      <c r="FVX48" s="3"/>
      <c r="FVY48" s="3"/>
      <c r="FVZ48" s="3"/>
      <c r="FWA48" s="3"/>
      <c r="FWB48" s="3"/>
      <c r="FWC48" s="3"/>
      <c r="FWD48" s="3"/>
      <c r="FWE48" s="3"/>
      <c r="FWF48" s="3"/>
      <c r="FWG48" s="3"/>
      <c r="FWH48" s="3"/>
      <c r="FWI48" s="3"/>
      <c r="FWJ48" s="3"/>
      <c r="FWK48" s="3"/>
      <c r="FWL48" s="3"/>
      <c r="FWM48" s="3"/>
      <c r="FWN48" s="3"/>
      <c r="FWO48" s="3"/>
      <c r="FWP48" s="3"/>
      <c r="FWQ48" s="3"/>
      <c r="FWR48" s="3"/>
      <c r="FWS48" s="3"/>
      <c r="FWT48" s="3"/>
      <c r="FWU48" s="3"/>
      <c r="FWV48" s="3"/>
      <c r="FWW48" s="3"/>
      <c r="FWX48" s="3"/>
      <c r="FWY48" s="3"/>
      <c r="FWZ48" s="3"/>
      <c r="FXA48" s="3"/>
      <c r="FXB48" s="3"/>
      <c r="FXC48" s="3"/>
      <c r="FXD48" s="3"/>
      <c r="FXE48" s="3"/>
      <c r="FXF48" s="3"/>
      <c r="FXG48" s="3"/>
      <c r="FXH48" s="3"/>
      <c r="FXI48" s="3"/>
      <c r="FXJ48" s="3"/>
      <c r="FXK48" s="3"/>
      <c r="FXL48" s="3"/>
      <c r="FXM48" s="3"/>
      <c r="FXN48" s="3"/>
      <c r="FXO48" s="3"/>
      <c r="FXP48" s="3"/>
      <c r="FXQ48" s="3"/>
      <c r="FXR48" s="3"/>
      <c r="FXS48" s="3"/>
      <c r="FXT48" s="3"/>
      <c r="FXU48" s="3"/>
      <c r="FXV48" s="3"/>
      <c r="FXW48" s="3"/>
      <c r="FXX48" s="3"/>
      <c r="FXY48" s="3"/>
      <c r="FXZ48" s="3"/>
      <c r="FYA48" s="3"/>
      <c r="FYB48" s="3"/>
      <c r="FYC48" s="3"/>
      <c r="FYD48" s="3"/>
      <c r="FYE48" s="3"/>
      <c r="FYF48" s="3"/>
      <c r="FYG48" s="3"/>
      <c r="FYH48" s="3"/>
      <c r="FYI48" s="3"/>
      <c r="FYJ48" s="3"/>
      <c r="FYK48" s="3"/>
      <c r="FYL48" s="3"/>
      <c r="FYM48" s="3"/>
      <c r="FYN48" s="3"/>
      <c r="FYO48" s="3"/>
      <c r="FYP48" s="3"/>
      <c r="FYQ48" s="3"/>
      <c r="FYR48" s="3"/>
      <c r="FYS48" s="3"/>
      <c r="FYT48" s="3"/>
      <c r="FYU48" s="3"/>
      <c r="FYV48" s="3"/>
      <c r="FYW48" s="3"/>
      <c r="FYX48" s="3"/>
      <c r="FYY48" s="3"/>
      <c r="FYZ48" s="3"/>
      <c r="FZA48" s="3"/>
      <c r="FZB48" s="3"/>
      <c r="FZC48" s="3"/>
      <c r="FZD48" s="3"/>
      <c r="FZE48" s="3"/>
      <c r="FZF48" s="3"/>
      <c r="FZG48" s="3"/>
      <c r="FZH48" s="3"/>
      <c r="FZI48" s="3"/>
      <c r="FZJ48" s="3"/>
      <c r="FZK48" s="3"/>
      <c r="FZL48" s="3"/>
      <c r="FZM48" s="3"/>
      <c r="FZN48" s="3"/>
      <c r="FZO48" s="3"/>
      <c r="FZP48" s="3"/>
      <c r="FZQ48" s="3"/>
      <c r="FZR48" s="3"/>
      <c r="FZS48" s="3"/>
      <c r="FZT48" s="3"/>
      <c r="FZU48" s="3"/>
      <c r="FZV48" s="3"/>
      <c r="FZW48" s="3"/>
      <c r="FZX48" s="3"/>
      <c r="FZY48" s="3"/>
      <c r="FZZ48" s="3"/>
      <c r="GAA48" s="3"/>
      <c r="GAB48" s="3"/>
      <c r="GAC48" s="3"/>
      <c r="GAD48" s="3"/>
      <c r="GAE48" s="3"/>
      <c r="GAF48" s="3"/>
      <c r="GAG48" s="3"/>
      <c r="GAH48" s="3"/>
      <c r="GAI48" s="3"/>
      <c r="GAJ48" s="3"/>
      <c r="GAK48" s="3"/>
      <c r="GAL48" s="3"/>
      <c r="GAM48" s="3"/>
      <c r="GAN48" s="3"/>
      <c r="GAO48" s="3"/>
      <c r="GAP48" s="3"/>
      <c r="GAQ48" s="3"/>
      <c r="GAR48" s="3"/>
      <c r="GAS48" s="3"/>
      <c r="GAT48" s="3"/>
      <c r="GAU48" s="3"/>
      <c r="GAV48" s="3"/>
      <c r="GAW48" s="3"/>
      <c r="GAX48" s="3"/>
      <c r="GAY48" s="3"/>
      <c r="GAZ48" s="3"/>
      <c r="GBA48" s="3"/>
      <c r="GBB48" s="3"/>
      <c r="GBC48" s="3"/>
      <c r="GBD48" s="3"/>
      <c r="GBE48" s="3"/>
      <c r="GBF48" s="3"/>
      <c r="GBG48" s="3"/>
      <c r="GBH48" s="3"/>
      <c r="GBI48" s="3"/>
      <c r="GBJ48" s="3"/>
      <c r="GBK48" s="3"/>
      <c r="GBL48" s="3"/>
      <c r="GBM48" s="3"/>
      <c r="GBN48" s="3"/>
      <c r="GBO48" s="3"/>
      <c r="GBP48" s="3"/>
      <c r="GBQ48" s="3"/>
      <c r="GBR48" s="3"/>
      <c r="GBS48" s="3"/>
      <c r="GBT48" s="3"/>
      <c r="GBU48" s="3"/>
      <c r="GBV48" s="3"/>
      <c r="GBW48" s="3"/>
      <c r="GBX48" s="3"/>
      <c r="GBY48" s="3"/>
      <c r="GBZ48" s="3"/>
      <c r="GCA48" s="3"/>
      <c r="GCB48" s="3"/>
      <c r="GCC48" s="3"/>
      <c r="GCD48" s="3"/>
      <c r="GCE48" s="3"/>
      <c r="GCF48" s="3"/>
      <c r="GCG48" s="3"/>
      <c r="GCH48" s="3"/>
      <c r="GCI48" s="3"/>
      <c r="GCJ48" s="3"/>
      <c r="GCK48" s="3"/>
      <c r="GCL48" s="3"/>
      <c r="GCM48" s="3"/>
      <c r="GCN48" s="3"/>
      <c r="GCO48" s="3"/>
      <c r="GCP48" s="3"/>
      <c r="GCQ48" s="3"/>
      <c r="GCR48" s="3"/>
      <c r="GCS48" s="3"/>
      <c r="GCT48" s="3"/>
      <c r="GCU48" s="3"/>
      <c r="GCV48" s="3"/>
      <c r="GCW48" s="3"/>
      <c r="GCX48" s="3"/>
      <c r="GCY48" s="3"/>
      <c r="GCZ48" s="3"/>
      <c r="GDA48" s="3"/>
      <c r="GDB48" s="3"/>
      <c r="GDC48" s="3"/>
      <c r="GDD48" s="3"/>
      <c r="GDE48" s="3"/>
      <c r="GDF48" s="3"/>
      <c r="GDG48" s="3"/>
      <c r="GDH48" s="3"/>
      <c r="GDI48" s="3"/>
      <c r="GDJ48" s="3"/>
      <c r="GDK48" s="3"/>
      <c r="GDL48" s="3"/>
      <c r="GDM48" s="3"/>
      <c r="GDN48" s="3"/>
      <c r="GDO48" s="3"/>
      <c r="GDP48" s="3"/>
      <c r="GDQ48" s="3"/>
      <c r="GDR48" s="3"/>
      <c r="GDS48" s="3"/>
      <c r="GDT48" s="3"/>
      <c r="GDU48" s="3"/>
      <c r="GDV48" s="3"/>
      <c r="GDW48" s="3"/>
      <c r="GDX48" s="3"/>
      <c r="GDY48" s="3"/>
      <c r="GDZ48" s="3"/>
      <c r="GEA48" s="3"/>
      <c r="GEB48" s="3"/>
      <c r="GEC48" s="3"/>
      <c r="GED48" s="3"/>
      <c r="GEE48" s="3"/>
      <c r="GEF48" s="3"/>
      <c r="GEG48" s="3"/>
      <c r="GEH48" s="3"/>
      <c r="GEI48" s="3"/>
      <c r="GEJ48" s="3"/>
      <c r="GEK48" s="3"/>
      <c r="GEL48" s="3"/>
      <c r="GEM48" s="3"/>
      <c r="GEN48" s="3"/>
      <c r="GEO48" s="3"/>
      <c r="GEP48" s="3"/>
      <c r="GEQ48" s="3"/>
      <c r="GER48" s="3"/>
      <c r="GES48" s="3"/>
      <c r="GET48" s="3"/>
      <c r="GEU48" s="3"/>
      <c r="GEV48" s="3"/>
      <c r="GEW48" s="3"/>
      <c r="GEX48" s="3"/>
      <c r="GEY48" s="3"/>
      <c r="GEZ48" s="3"/>
      <c r="GFA48" s="3"/>
      <c r="GFB48" s="3"/>
      <c r="GFC48" s="3"/>
      <c r="GFD48" s="3"/>
      <c r="GFE48" s="3"/>
      <c r="GFF48" s="3"/>
      <c r="GFG48" s="3"/>
      <c r="GFH48" s="3"/>
      <c r="GFI48" s="3"/>
      <c r="GFJ48" s="3"/>
      <c r="GFK48" s="3"/>
      <c r="GFL48" s="3"/>
      <c r="GFM48" s="3"/>
      <c r="GFN48" s="3"/>
      <c r="GFO48" s="3"/>
      <c r="GFP48" s="3"/>
      <c r="GFQ48" s="3"/>
      <c r="GFR48" s="3"/>
      <c r="GFS48" s="3"/>
      <c r="GFT48" s="3"/>
      <c r="GFU48" s="3"/>
      <c r="GFV48" s="3"/>
      <c r="GFW48" s="3"/>
      <c r="GFX48" s="3"/>
      <c r="GFY48" s="3"/>
      <c r="GFZ48" s="3"/>
      <c r="GGA48" s="3"/>
      <c r="GGB48" s="3"/>
      <c r="GGC48" s="3"/>
      <c r="GGD48" s="3"/>
      <c r="GGE48" s="3"/>
      <c r="GGF48" s="3"/>
      <c r="GGG48" s="3"/>
      <c r="GGH48" s="3"/>
      <c r="GGI48" s="3"/>
      <c r="GGJ48" s="3"/>
      <c r="GGK48" s="3"/>
      <c r="GGL48" s="3"/>
      <c r="GGM48" s="3"/>
      <c r="GGN48" s="3"/>
      <c r="GGO48" s="3"/>
      <c r="GGP48" s="3"/>
      <c r="GGQ48" s="3"/>
      <c r="GGR48" s="3"/>
      <c r="GGS48" s="3"/>
      <c r="GGT48" s="3"/>
      <c r="GGU48" s="3"/>
      <c r="GGV48" s="3"/>
      <c r="GGW48" s="3"/>
      <c r="GGX48" s="3"/>
      <c r="GGY48" s="3"/>
      <c r="GGZ48" s="3"/>
      <c r="GHA48" s="3"/>
      <c r="GHB48" s="3"/>
      <c r="GHC48" s="3"/>
      <c r="GHD48" s="3"/>
      <c r="GHE48" s="3"/>
      <c r="GHF48" s="3"/>
      <c r="GHG48" s="3"/>
      <c r="GHH48" s="3"/>
      <c r="GHI48" s="3"/>
      <c r="GHJ48" s="3"/>
      <c r="GHK48" s="3"/>
      <c r="GHL48" s="3"/>
      <c r="GHM48" s="3"/>
      <c r="GHN48" s="3"/>
      <c r="GHO48" s="3"/>
      <c r="GHP48" s="3"/>
      <c r="GHQ48" s="3"/>
      <c r="GHR48" s="3"/>
      <c r="GHS48" s="3"/>
      <c r="GHT48" s="3"/>
      <c r="GHU48" s="3"/>
      <c r="GHV48" s="3"/>
      <c r="GHW48" s="3"/>
      <c r="GHX48" s="3"/>
      <c r="GHY48" s="3"/>
      <c r="GHZ48" s="3"/>
      <c r="GIA48" s="3"/>
      <c r="GIB48" s="3"/>
      <c r="GIC48" s="3"/>
      <c r="GID48" s="3"/>
      <c r="GIE48" s="3"/>
      <c r="GIF48" s="3"/>
      <c r="GIG48" s="3"/>
      <c r="GIH48" s="3"/>
      <c r="GII48" s="3"/>
      <c r="GIJ48" s="3"/>
      <c r="GIK48" s="3"/>
      <c r="GIL48" s="3"/>
      <c r="GIM48" s="3"/>
      <c r="GIN48" s="3"/>
      <c r="GIO48" s="3"/>
      <c r="GIP48" s="3"/>
      <c r="GIQ48" s="3"/>
      <c r="GIR48" s="3"/>
      <c r="GIS48" s="3"/>
      <c r="GIT48" s="3"/>
      <c r="GIU48" s="3"/>
      <c r="GIV48" s="3"/>
      <c r="GIW48" s="3"/>
      <c r="GIX48" s="3"/>
      <c r="GIY48" s="3"/>
      <c r="GIZ48" s="3"/>
      <c r="GJA48" s="3"/>
      <c r="GJB48" s="3"/>
      <c r="GJC48" s="3"/>
      <c r="GJD48" s="3"/>
      <c r="GJE48" s="3"/>
      <c r="GJF48" s="3"/>
      <c r="GJG48" s="3"/>
      <c r="GJH48" s="3"/>
      <c r="GJI48" s="3"/>
      <c r="GJJ48" s="3"/>
      <c r="GJK48" s="3"/>
      <c r="GJL48" s="3"/>
      <c r="GJM48" s="3"/>
      <c r="GJN48" s="3"/>
      <c r="GJO48" s="3"/>
      <c r="GJP48" s="3"/>
      <c r="GJQ48" s="3"/>
      <c r="GJR48" s="3"/>
      <c r="GJS48" s="3"/>
      <c r="GJT48" s="3"/>
      <c r="GJU48" s="3"/>
      <c r="GJV48" s="3"/>
      <c r="GJW48" s="3"/>
      <c r="GJX48" s="3"/>
      <c r="GJY48" s="3"/>
      <c r="GJZ48" s="3"/>
      <c r="GKA48" s="3"/>
      <c r="GKB48" s="3"/>
      <c r="GKC48" s="3"/>
      <c r="GKD48" s="3"/>
      <c r="GKE48" s="3"/>
      <c r="GKF48" s="3"/>
      <c r="GKG48" s="3"/>
      <c r="GKH48" s="3"/>
      <c r="GKI48" s="3"/>
      <c r="GKJ48" s="3"/>
      <c r="GKK48" s="3"/>
      <c r="GKL48" s="3"/>
      <c r="GKM48" s="3"/>
      <c r="GKN48" s="3"/>
      <c r="GKO48" s="3"/>
      <c r="GKP48" s="3"/>
      <c r="GKQ48" s="3"/>
      <c r="GKR48" s="3"/>
      <c r="GKS48" s="3"/>
      <c r="GKT48" s="3"/>
      <c r="GKU48" s="3"/>
      <c r="GKV48" s="3"/>
      <c r="GKW48" s="3"/>
      <c r="GKX48" s="3"/>
      <c r="GKY48" s="3"/>
      <c r="GKZ48" s="3"/>
      <c r="GLA48" s="3"/>
      <c r="GLB48" s="3"/>
      <c r="GLC48" s="3"/>
      <c r="GLD48" s="3"/>
      <c r="GLE48" s="3"/>
      <c r="GLF48" s="3"/>
      <c r="GLG48" s="3"/>
      <c r="GLH48" s="3"/>
      <c r="GLI48" s="3"/>
      <c r="GLJ48" s="3"/>
      <c r="GLK48" s="3"/>
      <c r="GLL48" s="3"/>
      <c r="GLM48" s="3"/>
      <c r="GLN48" s="3"/>
      <c r="GLO48" s="3"/>
      <c r="GLP48" s="3"/>
      <c r="GLQ48" s="3"/>
      <c r="GLR48" s="3"/>
      <c r="GLS48" s="3"/>
      <c r="GLT48" s="3"/>
      <c r="GLU48" s="3"/>
      <c r="GLV48" s="3"/>
      <c r="GLW48" s="3"/>
      <c r="GLX48" s="3"/>
      <c r="GLY48" s="3"/>
      <c r="GLZ48" s="3"/>
      <c r="GMA48" s="3"/>
      <c r="GMB48" s="3"/>
      <c r="GMC48" s="3"/>
      <c r="GMD48" s="3"/>
      <c r="GME48" s="3"/>
      <c r="GMF48" s="3"/>
      <c r="GMG48" s="3"/>
      <c r="GMH48" s="3"/>
      <c r="GMI48" s="3"/>
      <c r="GMJ48" s="3"/>
      <c r="GMK48" s="3"/>
      <c r="GML48" s="3"/>
      <c r="GMM48" s="3"/>
      <c r="GMN48" s="3"/>
      <c r="GMO48" s="3"/>
      <c r="GMP48" s="3"/>
      <c r="GMQ48" s="3"/>
      <c r="GMR48" s="3"/>
      <c r="GMS48" s="3"/>
      <c r="GMT48" s="3"/>
      <c r="GMU48" s="3"/>
      <c r="GMV48" s="3"/>
      <c r="GMW48" s="3"/>
      <c r="GMX48" s="3"/>
      <c r="GMY48" s="3"/>
      <c r="GMZ48" s="3"/>
      <c r="GNA48" s="3"/>
      <c r="GNB48" s="3"/>
      <c r="GNC48" s="3"/>
      <c r="GND48" s="3"/>
      <c r="GNE48" s="3"/>
      <c r="GNF48" s="3"/>
      <c r="GNG48" s="3"/>
      <c r="GNH48" s="3"/>
      <c r="GNI48" s="3"/>
      <c r="GNJ48" s="3"/>
      <c r="GNK48" s="3"/>
      <c r="GNL48" s="3"/>
      <c r="GNM48" s="3"/>
      <c r="GNN48" s="3"/>
      <c r="GNO48" s="3"/>
      <c r="GNP48" s="3"/>
      <c r="GNQ48" s="3"/>
      <c r="GNR48" s="3"/>
      <c r="GNS48" s="3"/>
      <c r="GNT48" s="3"/>
      <c r="GNU48" s="3"/>
      <c r="GNV48" s="3"/>
      <c r="GNW48" s="3"/>
      <c r="GNX48" s="3"/>
      <c r="GNY48" s="3"/>
      <c r="GNZ48" s="3"/>
      <c r="GOA48" s="3"/>
      <c r="GOB48" s="3"/>
      <c r="GOC48" s="3"/>
      <c r="GOD48" s="3"/>
      <c r="GOE48" s="3"/>
      <c r="GOF48" s="3"/>
      <c r="GOG48" s="3"/>
      <c r="GOH48" s="3"/>
      <c r="GOI48" s="3"/>
      <c r="GOJ48" s="3"/>
      <c r="GOK48" s="3"/>
      <c r="GOL48" s="3"/>
      <c r="GOM48" s="3"/>
      <c r="GON48" s="3"/>
      <c r="GOO48" s="3"/>
      <c r="GOP48" s="3"/>
      <c r="GOQ48" s="3"/>
      <c r="GOR48" s="3"/>
      <c r="GOS48" s="3"/>
      <c r="GOT48" s="3"/>
      <c r="GOU48" s="3"/>
      <c r="GOV48" s="3"/>
      <c r="GOW48" s="3"/>
      <c r="GOX48" s="3"/>
      <c r="GOY48" s="3"/>
      <c r="GOZ48" s="3"/>
      <c r="GPA48" s="3"/>
      <c r="GPB48" s="3"/>
      <c r="GPC48" s="3"/>
      <c r="GPD48" s="3"/>
      <c r="GPE48" s="3"/>
      <c r="GPF48" s="3"/>
      <c r="GPG48" s="3"/>
      <c r="GPH48" s="3"/>
      <c r="GPI48" s="3"/>
      <c r="GPJ48" s="3"/>
      <c r="GPK48" s="3"/>
      <c r="GPL48" s="3"/>
      <c r="GPM48" s="3"/>
      <c r="GPN48" s="3"/>
      <c r="GPO48" s="3"/>
      <c r="GPP48" s="3"/>
      <c r="GPQ48" s="3"/>
      <c r="GPR48" s="3"/>
      <c r="GPS48" s="3"/>
      <c r="GPT48" s="3"/>
      <c r="GPU48" s="3"/>
      <c r="GPV48" s="3"/>
      <c r="GPW48" s="3"/>
      <c r="GPX48" s="3"/>
      <c r="GPY48" s="3"/>
      <c r="GPZ48" s="3"/>
      <c r="GQA48" s="3"/>
      <c r="GQB48" s="3"/>
      <c r="GQC48" s="3"/>
      <c r="GQD48" s="3"/>
      <c r="GQE48" s="3"/>
      <c r="GQF48" s="3"/>
      <c r="GQG48" s="3"/>
      <c r="GQH48" s="3"/>
      <c r="GQI48" s="3"/>
      <c r="GQJ48" s="3"/>
      <c r="GQK48" s="3"/>
      <c r="GQL48" s="3"/>
      <c r="GQM48" s="3"/>
      <c r="GQN48" s="3"/>
      <c r="GQO48" s="3"/>
      <c r="GQP48" s="3"/>
      <c r="GQQ48" s="3"/>
      <c r="GQR48" s="3"/>
      <c r="GQS48" s="3"/>
      <c r="GQT48" s="3"/>
      <c r="GQU48" s="3"/>
      <c r="GQV48" s="3"/>
      <c r="GQW48" s="3"/>
      <c r="GQX48" s="3"/>
      <c r="GQY48" s="3"/>
      <c r="GQZ48" s="3"/>
      <c r="GRA48" s="3"/>
      <c r="GRB48" s="3"/>
      <c r="GRC48" s="3"/>
      <c r="GRD48" s="3"/>
      <c r="GRE48" s="3"/>
      <c r="GRF48" s="3"/>
      <c r="GRG48" s="3"/>
      <c r="GRH48" s="3"/>
      <c r="GRI48" s="3"/>
      <c r="GRJ48" s="3"/>
      <c r="GRK48" s="3"/>
      <c r="GRL48" s="3"/>
      <c r="GRM48" s="3"/>
      <c r="GRN48" s="3"/>
      <c r="GRO48" s="3"/>
      <c r="GRP48" s="3"/>
      <c r="GRQ48" s="3"/>
      <c r="GRR48" s="3"/>
      <c r="GRS48" s="3"/>
      <c r="GRT48" s="3"/>
      <c r="GRU48" s="3"/>
      <c r="GRV48" s="3"/>
      <c r="GRW48" s="3"/>
      <c r="GRX48" s="3"/>
      <c r="GRY48" s="3"/>
      <c r="GRZ48" s="3"/>
      <c r="GSA48" s="3"/>
      <c r="GSB48" s="3"/>
      <c r="GSC48" s="3"/>
      <c r="GSD48" s="3"/>
      <c r="GSE48" s="3"/>
      <c r="GSF48" s="3"/>
      <c r="GSG48" s="3"/>
      <c r="GSH48" s="3"/>
      <c r="GSI48" s="3"/>
      <c r="GSJ48" s="3"/>
      <c r="GSK48" s="3"/>
      <c r="GSL48" s="3"/>
      <c r="GSM48" s="3"/>
      <c r="GSN48" s="3"/>
      <c r="GSO48" s="3"/>
      <c r="GSP48" s="3"/>
      <c r="GSQ48" s="3"/>
      <c r="GSR48" s="3"/>
      <c r="GSS48" s="3"/>
      <c r="GST48" s="3"/>
      <c r="GSU48" s="3"/>
      <c r="GSV48" s="3"/>
      <c r="GSW48" s="3"/>
      <c r="GSX48" s="3"/>
      <c r="GSY48" s="3"/>
      <c r="GSZ48" s="3"/>
      <c r="GTA48" s="3"/>
      <c r="GTB48" s="3"/>
      <c r="GTC48" s="3"/>
      <c r="GTD48" s="3"/>
      <c r="GTE48" s="3"/>
      <c r="GTF48" s="3"/>
      <c r="GTG48" s="3"/>
      <c r="GTH48" s="3"/>
      <c r="GTI48" s="3"/>
      <c r="GTJ48" s="3"/>
      <c r="GTK48" s="3"/>
      <c r="GTL48" s="3"/>
      <c r="GTM48" s="3"/>
      <c r="GTN48" s="3"/>
      <c r="GTO48" s="3"/>
      <c r="GTP48" s="3"/>
      <c r="GTQ48" s="3"/>
      <c r="GTR48" s="3"/>
      <c r="GTS48" s="3"/>
      <c r="GTT48" s="3"/>
      <c r="GTU48" s="3"/>
      <c r="GTV48" s="3"/>
      <c r="GTW48" s="3"/>
      <c r="GTX48" s="3"/>
      <c r="GTY48" s="3"/>
      <c r="GTZ48" s="3"/>
      <c r="GUA48" s="3"/>
      <c r="GUB48" s="3"/>
      <c r="GUC48" s="3"/>
      <c r="GUD48" s="3"/>
      <c r="GUE48" s="3"/>
      <c r="GUF48" s="3"/>
      <c r="GUG48" s="3"/>
      <c r="GUH48" s="3"/>
      <c r="GUI48" s="3"/>
      <c r="GUJ48" s="3"/>
      <c r="GUK48" s="3"/>
      <c r="GUL48" s="3"/>
      <c r="GUM48" s="3"/>
      <c r="GUN48" s="3"/>
      <c r="GUO48" s="3"/>
      <c r="GUP48" s="3"/>
      <c r="GUQ48" s="3"/>
      <c r="GUR48" s="3"/>
      <c r="GUS48" s="3"/>
      <c r="GUT48" s="3"/>
      <c r="GUU48" s="3"/>
      <c r="GUV48" s="3"/>
      <c r="GUW48" s="3"/>
      <c r="GUX48" s="3"/>
      <c r="GUY48" s="3"/>
      <c r="GUZ48" s="3"/>
      <c r="GVA48" s="3"/>
      <c r="GVB48" s="3"/>
      <c r="GVC48" s="3"/>
      <c r="GVD48" s="3"/>
      <c r="GVE48" s="3"/>
      <c r="GVF48" s="3"/>
      <c r="GVG48" s="3"/>
      <c r="GVH48" s="3"/>
      <c r="GVI48" s="3"/>
      <c r="GVJ48" s="3"/>
      <c r="GVK48" s="3"/>
      <c r="GVL48" s="3"/>
      <c r="GVM48" s="3"/>
      <c r="GVN48" s="3"/>
      <c r="GVO48" s="3"/>
      <c r="GVP48" s="3"/>
      <c r="GVQ48" s="3"/>
      <c r="GVR48" s="3"/>
      <c r="GVS48" s="3"/>
      <c r="GVT48" s="3"/>
      <c r="GVU48" s="3"/>
      <c r="GVV48" s="3"/>
      <c r="GVW48" s="3"/>
      <c r="GVX48" s="3"/>
      <c r="GVY48" s="3"/>
      <c r="GVZ48" s="3"/>
      <c r="GWA48" s="3"/>
      <c r="GWB48" s="3"/>
      <c r="GWC48" s="3"/>
      <c r="GWD48" s="3"/>
      <c r="GWE48" s="3"/>
      <c r="GWF48" s="3"/>
      <c r="GWG48" s="3"/>
      <c r="GWH48" s="3"/>
      <c r="GWI48" s="3"/>
      <c r="GWJ48" s="3"/>
      <c r="GWK48" s="3"/>
      <c r="GWL48" s="3"/>
      <c r="GWM48" s="3"/>
      <c r="GWN48" s="3"/>
      <c r="GWO48" s="3"/>
      <c r="GWP48" s="3"/>
      <c r="GWQ48" s="3"/>
      <c r="GWR48" s="3"/>
      <c r="GWS48" s="3"/>
      <c r="GWT48" s="3"/>
      <c r="GWU48" s="3"/>
      <c r="GWV48" s="3"/>
      <c r="GWW48" s="3"/>
      <c r="GWX48" s="3"/>
      <c r="GWY48" s="3"/>
      <c r="GWZ48" s="3"/>
      <c r="GXA48" s="3"/>
      <c r="GXB48" s="3"/>
      <c r="GXC48" s="3"/>
      <c r="GXD48" s="3"/>
      <c r="GXE48" s="3"/>
      <c r="GXF48" s="3"/>
      <c r="GXG48" s="3"/>
      <c r="GXH48" s="3"/>
      <c r="GXI48" s="3"/>
      <c r="GXJ48" s="3"/>
      <c r="GXK48" s="3"/>
      <c r="GXL48" s="3"/>
      <c r="GXM48" s="3"/>
      <c r="GXN48" s="3"/>
      <c r="GXO48" s="3"/>
      <c r="GXP48" s="3"/>
      <c r="GXQ48" s="3"/>
      <c r="GXR48" s="3"/>
      <c r="GXS48" s="3"/>
      <c r="GXT48" s="3"/>
      <c r="GXU48" s="3"/>
      <c r="GXV48" s="3"/>
      <c r="GXW48" s="3"/>
      <c r="GXX48" s="3"/>
      <c r="GXY48" s="3"/>
      <c r="GXZ48" s="3"/>
      <c r="GYA48" s="3"/>
      <c r="GYB48" s="3"/>
      <c r="GYC48" s="3"/>
      <c r="GYD48" s="3"/>
      <c r="GYE48" s="3"/>
      <c r="GYF48" s="3"/>
      <c r="GYG48" s="3"/>
      <c r="GYH48" s="3"/>
      <c r="GYI48" s="3"/>
      <c r="GYJ48" s="3"/>
      <c r="GYK48" s="3"/>
      <c r="GYL48" s="3"/>
      <c r="GYM48" s="3"/>
      <c r="GYN48" s="3"/>
      <c r="GYO48" s="3"/>
      <c r="GYP48" s="3"/>
      <c r="GYQ48" s="3"/>
      <c r="GYR48" s="3"/>
      <c r="GYS48" s="3"/>
      <c r="GYT48" s="3"/>
      <c r="GYU48" s="3"/>
      <c r="GYV48" s="3"/>
      <c r="GYW48" s="3"/>
      <c r="GYX48" s="3"/>
      <c r="GYY48" s="3"/>
      <c r="GYZ48" s="3"/>
      <c r="GZA48" s="3"/>
      <c r="GZB48" s="3"/>
      <c r="GZC48" s="3"/>
      <c r="GZD48" s="3"/>
      <c r="GZE48" s="3"/>
      <c r="GZF48" s="3"/>
      <c r="GZG48" s="3"/>
      <c r="GZH48" s="3"/>
      <c r="GZI48" s="3"/>
      <c r="GZJ48" s="3"/>
      <c r="GZK48" s="3"/>
      <c r="GZL48" s="3"/>
      <c r="GZM48" s="3"/>
      <c r="GZN48" s="3"/>
      <c r="GZO48" s="3"/>
      <c r="GZP48" s="3"/>
      <c r="GZQ48" s="3"/>
      <c r="GZR48" s="3"/>
      <c r="GZS48" s="3"/>
      <c r="GZT48" s="3"/>
      <c r="GZU48" s="3"/>
      <c r="GZV48" s="3"/>
      <c r="GZW48" s="3"/>
      <c r="GZX48" s="3"/>
      <c r="GZY48" s="3"/>
      <c r="GZZ48" s="3"/>
      <c r="HAA48" s="3"/>
      <c r="HAB48" s="3"/>
      <c r="HAC48" s="3"/>
      <c r="HAD48" s="3"/>
      <c r="HAE48" s="3"/>
      <c r="HAF48" s="3"/>
      <c r="HAG48" s="3"/>
      <c r="HAH48" s="3"/>
      <c r="HAI48" s="3"/>
      <c r="HAJ48" s="3"/>
      <c r="HAK48" s="3"/>
      <c r="HAL48" s="3"/>
      <c r="HAM48" s="3"/>
      <c r="HAN48" s="3"/>
      <c r="HAO48" s="3"/>
      <c r="HAP48" s="3"/>
      <c r="HAQ48" s="3"/>
      <c r="HAR48" s="3"/>
      <c r="HAS48" s="3"/>
      <c r="HAT48" s="3"/>
      <c r="HAU48" s="3"/>
      <c r="HAV48" s="3"/>
      <c r="HAW48" s="3"/>
      <c r="HAX48" s="3"/>
      <c r="HAY48" s="3"/>
      <c r="HAZ48" s="3"/>
      <c r="HBA48" s="3"/>
      <c r="HBB48" s="3"/>
      <c r="HBC48" s="3"/>
      <c r="HBD48" s="3"/>
      <c r="HBE48" s="3"/>
      <c r="HBF48" s="3"/>
      <c r="HBG48" s="3"/>
      <c r="HBH48" s="3"/>
      <c r="HBI48" s="3"/>
      <c r="HBJ48" s="3"/>
      <c r="HBK48" s="3"/>
      <c r="HBL48" s="3"/>
      <c r="HBM48" s="3"/>
      <c r="HBN48" s="3"/>
      <c r="HBO48" s="3"/>
      <c r="HBP48" s="3"/>
      <c r="HBQ48" s="3"/>
      <c r="HBR48" s="3"/>
      <c r="HBS48" s="3"/>
      <c r="HBT48" s="3"/>
      <c r="HBU48" s="3"/>
      <c r="HBV48" s="3"/>
      <c r="HBW48" s="3"/>
      <c r="HBX48" s="3"/>
      <c r="HBY48" s="3"/>
      <c r="HBZ48" s="3"/>
      <c r="HCA48" s="3"/>
      <c r="HCB48" s="3"/>
      <c r="HCC48" s="3"/>
      <c r="HCD48" s="3"/>
      <c r="HCE48" s="3"/>
      <c r="HCF48" s="3"/>
      <c r="HCG48" s="3"/>
      <c r="HCH48" s="3"/>
      <c r="HCI48" s="3"/>
      <c r="HCJ48" s="3"/>
      <c r="HCK48" s="3"/>
      <c r="HCL48" s="3"/>
      <c r="HCM48" s="3"/>
      <c r="HCN48" s="3"/>
      <c r="HCO48" s="3"/>
      <c r="HCP48" s="3"/>
      <c r="HCQ48" s="3"/>
      <c r="HCR48" s="3"/>
      <c r="HCS48" s="3"/>
      <c r="HCT48" s="3"/>
      <c r="HCU48" s="3"/>
      <c r="HCV48" s="3"/>
      <c r="HCW48" s="3"/>
      <c r="HCX48" s="3"/>
      <c r="HCY48" s="3"/>
      <c r="HCZ48" s="3"/>
      <c r="HDA48" s="3"/>
      <c r="HDB48" s="3"/>
      <c r="HDC48" s="3"/>
      <c r="HDD48" s="3"/>
      <c r="HDE48" s="3"/>
      <c r="HDF48" s="3"/>
      <c r="HDG48" s="3"/>
      <c r="HDH48" s="3"/>
      <c r="HDI48" s="3"/>
      <c r="HDJ48" s="3"/>
      <c r="HDK48" s="3"/>
      <c r="HDL48" s="3"/>
      <c r="HDM48" s="3"/>
      <c r="HDN48" s="3"/>
      <c r="HDO48" s="3"/>
      <c r="HDP48" s="3"/>
      <c r="HDQ48" s="3"/>
      <c r="HDR48" s="3"/>
      <c r="HDS48" s="3"/>
      <c r="HDT48" s="3"/>
      <c r="HDU48" s="3"/>
      <c r="HDV48" s="3"/>
      <c r="HDW48" s="3"/>
      <c r="HDX48" s="3"/>
      <c r="HDY48" s="3"/>
      <c r="HDZ48" s="3"/>
      <c r="HEA48" s="3"/>
      <c r="HEB48" s="3"/>
      <c r="HEC48" s="3"/>
      <c r="HED48" s="3"/>
      <c r="HEE48" s="3"/>
      <c r="HEF48" s="3"/>
      <c r="HEG48" s="3"/>
      <c r="HEH48" s="3"/>
      <c r="HEI48" s="3"/>
      <c r="HEJ48" s="3"/>
      <c r="HEK48" s="3"/>
      <c r="HEL48" s="3"/>
      <c r="HEM48" s="3"/>
      <c r="HEN48" s="3"/>
      <c r="HEO48" s="3"/>
      <c r="HEP48" s="3"/>
      <c r="HEQ48" s="3"/>
      <c r="HER48" s="3"/>
      <c r="HES48" s="3"/>
      <c r="HET48" s="3"/>
      <c r="HEU48" s="3"/>
      <c r="HEV48" s="3"/>
      <c r="HEW48" s="3"/>
      <c r="HEX48" s="3"/>
      <c r="HEY48" s="3"/>
      <c r="HEZ48" s="3"/>
      <c r="HFA48" s="3"/>
      <c r="HFB48" s="3"/>
      <c r="HFC48" s="3"/>
      <c r="HFD48" s="3"/>
      <c r="HFE48" s="3"/>
      <c r="HFF48" s="3"/>
      <c r="HFG48" s="3"/>
      <c r="HFH48" s="3"/>
      <c r="HFI48" s="3"/>
      <c r="HFJ48" s="3"/>
      <c r="HFK48" s="3"/>
      <c r="HFL48" s="3"/>
      <c r="HFM48" s="3"/>
      <c r="HFN48" s="3"/>
      <c r="HFO48" s="3"/>
      <c r="HFP48" s="3"/>
      <c r="HFQ48" s="3"/>
      <c r="HFR48" s="3"/>
      <c r="HFS48" s="3"/>
      <c r="HFT48" s="3"/>
      <c r="HFU48" s="3"/>
      <c r="HFV48" s="3"/>
      <c r="HFW48" s="3"/>
      <c r="HFX48" s="3"/>
      <c r="HFY48" s="3"/>
      <c r="HFZ48" s="3"/>
      <c r="HGA48" s="3"/>
      <c r="HGB48" s="3"/>
      <c r="HGC48" s="3"/>
      <c r="HGD48" s="3"/>
      <c r="HGE48" s="3"/>
      <c r="HGF48" s="3"/>
      <c r="HGG48" s="3"/>
      <c r="HGH48" s="3"/>
      <c r="HGI48" s="3"/>
      <c r="HGJ48" s="3"/>
      <c r="HGK48" s="3"/>
      <c r="HGL48" s="3"/>
      <c r="HGM48" s="3"/>
      <c r="HGN48" s="3"/>
      <c r="HGO48" s="3"/>
      <c r="HGP48" s="3"/>
      <c r="HGQ48" s="3"/>
      <c r="HGR48" s="3"/>
      <c r="HGS48" s="3"/>
      <c r="HGT48" s="3"/>
      <c r="HGU48" s="3"/>
      <c r="HGV48" s="3"/>
      <c r="HGW48" s="3"/>
      <c r="HGX48" s="3"/>
      <c r="HGY48" s="3"/>
      <c r="HGZ48" s="3"/>
      <c r="HHA48" s="3"/>
      <c r="HHB48" s="3"/>
      <c r="HHC48" s="3"/>
      <c r="HHD48" s="3"/>
      <c r="HHE48" s="3"/>
      <c r="HHF48" s="3"/>
      <c r="HHG48" s="3"/>
      <c r="HHH48" s="3"/>
      <c r="HHI48" s="3"/>
      <c r="HHJ48" s="3"/>
      <c r="HHK48" s="3"/>
      <c r="HHL48" s="3"/>
      <c r="HHM48" s="3"/>
      <c r="HHN48" s="3"/>
      <c r="HHO48" s="3"/>
      <c r="HHP48" s="3"/>
      <c r="HHQ48" s="3"/>
      <c r="HHR48" s="3"/>
      <c r="HHS48" s="3"/>
      <c r="HHT48" s="3"/>
      <c r="HHU48" s="3"/>
      <c r="HHV48" s="3"/>
      <c r="HHW48" s="3"/>
      <c r="HHX48" s="3"/>
      <c r="HHY48" s="3"/>
      <c r="HHZ48" s="3"/>
      <c r="HIA48" s="3"/>
      <c r="HIB48" s="3"/>
      <c r="HIC48" s="3"/>
      <c r="HID48" s="3"/>
      <c r="HIE48" s="3"/>
      <c r="HIF48" s="3"/>
      <c r="HIG48" s="3"/>
      <c r="HIH48" s="3"/>
      <c r="HII48" s="3"/>
      <c r="HIJ48" s="3"/>
      <c r="HIK48" s="3"/>
      <c r="HIL48" s="3"/>
      <c r="HIM48" s="3"/>
      <c r="HIN48" s="3"/>
      <c r="HIO48" s="3"/>
      <c r="HIP48" s="3"/>
      <c r="HIQ48" s="3"/>
      <c r="HIR48" s="3"/>
      <c r="HIS48" s="3"/>
      <c r="HIT48" s="3"/>
      <c r="HIU48" s="3"/>
      <c r="HIV48" s="3"/>
      <c r="HIW48" s="3"/>
      <c r="HIX48" s="3"/>
      <c r="HIY48" s="3"/>
      <c r="HIZ48" s="3"/>
      <c r="HJA48" s="3"/>
      <c r="HJB48" s="3"/>
      <c r="HJC48" s="3"/>
      <c r="HJD48" s="3"/>
      <c r="HJE48" s="3"/>
      <c r="HJF48" s="3"/>
      <c r="HJG48" s="3"/>
      <c r="HJH48" s="3"/>
      <c r="HJI48" s="3"/>
      <c r="HJJ48" s="3"/>
      <c r="HJK48" s="3"/>
      <c r="HJL48" s="3"/>
      <c r="HJM48" s="3"/>
      <c r="HJN48" s="3"/>
      <c r="HJO48" s="3"/>
      <c r="HJP48" s="3"/>
      <c r="HJQ48" s="3"/>
      <c r="HJR48" s="3"/>
      <c r="HJS48" s="3"/>
      <c r="HJT48" s="3"/>
      <c r="HJU48" s="3"/>
      <c r="HJV48" s="3"/>
      <c r="HJW48" s="3"/>
      <c r="HJX48" s="3"/>
      <c r="HJY48" s="3"/>
      <c r="HJZ48" s="3"/>
      <c r="HKA48" s="3"/>
      <c r="HKB48" s="3"/>
      <c r="HKC48" s="3"/>
      <c r="HKD48" s="3"/>
      <c r="HKE48" s="3"/>
      <c r="HKF48" s="3"/>
      <c r="HKG48" s="3"/>
      <c r="HKH48" s="3"/>
      <c r="HKI48" s="3"/>
      <c r="HKJ48" s="3"/>
      <c r="HKK48" s="3"/>
      <c r="HKL48" s="3"/>
      <c r="HKM48" s="3"/>
      <c r="HKN48" s="3"/>
      <c r="HKO48" s="3"/>
      <c r="HKP48" s="3"/>
      <c r="HKQ48" s="3"/>
      <c r="HKR48" s="3"/>
      <c r="HKS48" s="3"/>
      <c r="HKT48" s="3"/>
      <c r="HKU48" s="3"/>
      <c r="HKV48" s="3"/>
      <c r="HKW48" s="3"/>
      <c r="HKX48" s="3"/>
      <c r="HKY48" s="3"/>
      <c r="HKZ48" s="3"/>
      <c r="HLA48" s="3"/>
      <c r="HLB48" s="3"/>
      <c r="HLC48" s="3"/>
      <c r="HLD48" s="3"/>
      <c r="HLE48" s="3"/>
      <c r="HLF48" s="3"/>
      <c r="HLG48" s="3"/>
      <c r="HLH48" s="3"/>
      <c r="HLI48" s="3"/>
      <c r="HLJ48" s="3"/>
      <c r="HLK48" s="3"/>
      <c r="HLL48" s="3"/>
      <c r="HLM48" s="3"/>
      <c r="HLN48" s="3"/>
      <c r="HLO48" s="3"/>
      <c r="HLP48" s="3"/>
      <c r="HLQ48" s="3"/>
      <c r="HLR48" s="3"/>
      <c r="HLS48" s="3"/>
      <c r="HLT48" s="3"/>
      <c r="HLU48" s="3"/>
      <c r="HLV48" s="3"/>
      <c r="HLW48" s="3"/>
      <c r="HLX48" s="3"/>
      <c r="HLY48" s="3"/>
      <c r="HLZ48" s="3"/>
      <c r="HMA48" s="3"/>
      <c r="HMB48" s="3"/>
      <c r="HMC48" s="3"/>
      <c r="HMD48" s="3"/>
      <c r="HME48" s="3"/>
      <c r="HMF48" s="3"/>
      <c r="HMG48" s="3"/>
      <c r="HMH48" s="3"/>
      <c r="HMI48" s="3"/>
      <c r="HMJ48" s="3"/>
      <c r="HMK48" s="3"/>
      <c r="HML48" s="3"/>
      <c r="HMM48" s="3"/>
      <c r="HMN48" s="3"/>
      <c r="HMO48" s="3"/>
      <c r="HMP48" s="3"/>
      <c r="HMQ48" s="3"/>
      <c r="HMR48" s="3"/>
      <c r="HMS48" s="3"/>
      <c r="HMT48" s="3"/>
      <c r="HMU48" s="3"/>
      <c r="HMV48" s="3"/>
      <c r="HMW48" s="3"/>
      <c r="HMX48" s="3"/>
      <c r="HMY48" s="3"/>
      <c r="HMZ48" s="3"/>
      <c r="HNA48" s="3"/>
      <c r="HNB48" s="3"/>
      <c r="HNC48" s="3"/>
      <c r="HND48" s="3"/>
      <c r="HNE48" s="3"/>
      <c r="HNF48" s="3"/>
      <c r="HNG48" s="3"/>
      <c r="HNH48" s="3"/>
      <c r="HNI48" s="3"/>
      <c r="HNJ48" s="3"/>
      <c r="HNK48" s="3"/>
      <c r="HNL48" s="3"/>
      <c r="HNM48" s="3"/>
      <c r="HNN48" s="3"/>
      <c r="HNO48" s="3"/>
      <c r="HNP48" s="3"/>
      <c r="HNQ48" s="3"/>
      <c r="HNR48" s="3"/>
      <c r="HNS48" s="3"/>
      <c r="HNT48" s="3"/>
      <c r="HNU48" s="3"/>
      <c r="HNV48" s="3"/>
      <c r="HNW48" s="3"/>
      <c r="HNX48" s="3"/>
      <c r="HNY48" s="3"/>
      <c r="HNZ48" s="3"/>
      <c r="HOA48" s="3"/>
      <c r="HOB48" s="3"/>
      <c r="HOC48" s="3"/>
      <c r="HOD48" s="3"/>
      <c r="HOE48" s="3"/>
      <c r="HOF48" s="3"/>
      <c r="HOG48" s="3"/>
      <c r="HOH48" s="3"/>
      <c r="HOI48" s="3"/>
      <c r="HOJ48" s="3"/>
      <c r="HOK48" s="3"/>
      <c r="HOL48" s="3"/>
      <c r="HOM48" s="3"/>
      <c r="HON48" s="3"/>
      <c r="HOO48" s="3"/>
      <c r="HOP48" s="3"/>
      <c r="HOQ48" s="3"/>
      <c r="HOR48" s="3"/>
      <c r="HOS48" s="3"/>
      <c r="HOT48" s="3"/>
      <c r="HOU48" s="3"/>
      <c r="HOV48" s="3"/>
      <c r="HOW48" s="3"/>
      <c r="HOX48" s="3"/>
      <c r="HOY48" s="3"/>
      <c r="HOZ48" s="3"/>
      <c r="HPA48" s="3"/>
      <c r="HPB48" s="3"/>
      <c r="HPC48" s="3"/>
      <c r="HPD48" s="3"/>
      <c r="HPE48" s="3"/>
      <c r="HPF48" s="3"/>
      <c r="HPG48" s="3"/>
      <c r="HPH48" s="3"/>
      <c r="HPI48" s="3"/>
      <c r="HPJ48" s="3"/>
      <c r="HPK48" s="3"/>
      <c r="HPL48" s="3"/>
      <c r="HPM48" s="3"/>
      <c r="HPN48" s="3"/>
      <c r="HPO48" s="3"/>
      <c r="HPP48" s="3"/>
      <c r="HPQ48" s="3"/>
      <c r="HPR48" s="3"/>
      <c r="HPS48" s="3"/>
      <c r="HPT48" s="3"/>
      <c r="HPU48" s="3"/>
      <c r="HPV48" s="3"/>
      <c r="HPW48" s="3"/>
      <c r="HPX48" s="3"/>
      <c r="HPY48" s="3"/>
      <c r="HPZ48" s="3"/>
      <c r="HQA48" s="3"/>
      <c r="HQB48" s="3"/>
      <c r="HQC48" s="3"/>
      <c r="HQD48" s="3"/>
      <c r="HQE48" s="3"/>
      <c r="HQF48" s="3"/>
      <c r="HQG48" s="3"/>
      <c r="HQH48" s="3"/>
      <c r="HQI48" s="3"/>
      <c r="HQJ48" s="3"/>
      <c r="HQK48" s="3"/>
      <c r="HQL48" s="3"/>
      <c r="HQM48" s="3"/>
      <c r="HQN48" s="3"/>
      <c r="HQO48" s="3"/>
      <c r="HQP48" s="3"/>
      <c r="HQQ48" s="3"/>
      <c r="HQR48" s="3"/>
      <c r="HQS48" s="3"/>
      <c r="HQT48" s="3"/>
      <c r="HQU48" s="3"/>
      <c r="HQV48" s="3"/>
      <c r="HQW48" s="3"/>
      <c r="HQX48" s="3"/>
      <c r="HQY48" s="3"/>
      <c r="HQZ48" s="3"/>
      <c r="HRA48" s="3"/>
      <c r="HRB48" s="3"/>
      <c r="HRC48" s="3"/>
      <c r="HRD48" s="3"/>
      <c r="HRE48" s="3"/>
      <c r="HRF48" s="3"/>
      <c r="HRG48" s="3"/>
      <c r="HRH48" s="3"/>
      <c r="HRI48" s="3"/>
      <c r="HRJ48" s="3"/>
      <c r="HRK48" s="3"/>
      <c r="HRL48" s="3"/>
      <c r="HRM48" s="3"/>
      <c r="HRN48" s="3"/>
      <c r="HRO48" s="3"/>
      <c r="HRP48" s="3"/>
      <c r="HRQ48" s="3"/>
      <c r="HRR48" s="3"/>
      <c r="HRS48" s="3"/>
      <c r="HRT48" s="3"/>
      <c r="HRU48" s="3"/>
      <c r="HRV48" s="3"/>
      <c r="HRW48" s="3"/>
      <c r="HRX48" s="3"/>
      <c r="HRY48" s="3"/>
      <c r="HRZ48" s="3"/>
      <c r="HSA48" s="3"/>
      <c r="HSB48" s="3"/>
      <c r="HSC48" s="3"/>
      <c r="HSD48" s="3"/>
      <c r="HSE48" s="3"/>
      <c r="HSF48" s="3"/>
      <c r="HSG48" s="3"/>
      <c r="HSH48" s="3"/>
      <c r="HSI48" s="3"/>
      <c r="HSJ48" s="3"/>
      <c r="HSK48" s="3"/>
      <c r="HSL48" s="3"/>
      <c r="HSM48" s="3"/>
      <c r="HSN48" s="3"/>
      <c r="HSO48" s="3"/>
      <c r="HSP48" s="3"/>
      <c r="HSQ48" s="3"/>
      <c r="HSR48" s="3"/>
      <c r="HSS48" s="3"/>
      <c r="HST48" s="3"/>
      <c r="HSU48" s="3"/>
      <c r="HSV48" s="3"/>
      <c r="HSW48" s="3"/>
      <c r="HSX48" s="3"/>
      <c r="HSY48" s="3"/>
      <c r="HSZ48" s="3"/>
      <c r="HTA48" s="3"/>
      <c r="HTB48" s="3"/>
      <c r="HTC48" s="3"/>
      <c r="HTD48" s="3"/>
      <c r="HTE48" s="3"/>
      <c r="HTF48" s="3"/>
      <c r="HTG48" s="3"/>
      <c r="HTH48" s="3"/>
      <c r="HTI48" s="3"/>
      <c r="HTJ48" s="3"/>
      <c r="HTK48" s="3"/>
      <c r="HTL48" s="3"/>
      <c r="HTM48" s="3"/>
      <c r="HTN48" s="3"/>
      <c r="HTO48" s="3"/>
      <c r="HTP48" s="3"/>
      <c r="HTQ48" s="3"/>
      <c r="HTR48" s="3"/>
      <c r="HTS48" s="3"/>
      <c r="HTT48" s="3"/>
      <c r="HTU48" s="3"/>
      <c r="HTV48" s="3"/>
      <c r="HTW48" s="3"/>
      <c r="HTX48" s="3"/>
      <c r="HTY48" s="3"/>
      <c r="HTZ48" s="3"/>
      <c r="HUA48" s="3"/>
      <c r="HUB48" s="3"/>
      <c r="HUC48" s="3"/>
      <c r="HUD48" s="3"/>
      <c r="HUE48" s="3"/>
      <c r="HUF48" s="3"/>
      <c r="HUG48" s="3"/>
      <c r="HUH48" s="3"/>
      <c r="HUI48" s="3"/>
      <c r="HUJ48" s="3"/>
      <c r="HUK48" s="3"/>
      <c r="HUL48" s="3"/>
      <c r="HUM48" s="3"/>
      <c r="HUN48" s="3"/>
      <c r="HUO48" s="3"/>
      <c r="HUP48" s="3"/>
      <c r="HUQ48" s="3"/>
      <c r="HUR48" s="3"/>
      <c r="HUS48" s="3"/>
      <c r="HUT48" s="3"/>
      <c r="HUU48" s="3"/>
      <c r="HUV48" s="3"/>
      <c r="HUW48" s="3"/>
      <c r="HUX48" s="3"/>
      <c r="HUY48" s="3"/>
      <c r="HUZ48" s="3"/>
      <c r="HVA48" s="3"/>
      <c r="HVB48" s="3"/>
      <c r="HVC48" s="3"/>
      <c r="HVD48" s="3"/>
      <c r="HVE48" s="3"/>
      <c r="HVF48" s="3"/>
      <c r="HVG48" s="3"/>
      <c r="HVH48" s="3"/>
      <c r="HVI48" s="3"/>
      <c r="HVJ48" s="3"/>
      <c r="HVK48" s="3"/>
      <c r="HVL48" s="3"/>
      <c r="HVM48" s="3"/>
      <c r="HVN48" s="3"/>
      <c r="HVO48" s="3"/>
      <c r="HVP48" s="3"/>
      <c r="HVQ48" s="3"/>
      <c r="HVR48" s="3"/>
      <c r="HVS48" s="3"/>
      <c r="HVT48" s="3"/>
      <c r="HVU48" s="3"/>
      <c r="HVV48" s="3"/>
      <c r="HVW48" s="3"/>
      <c r="HVX48" s="3"/>
      <c r="HVY48" s="3"/>
      <c r="HVZ48" s="3"/>
      <c r="HWA48" s="3"/>
      <c r="HWB48" s="3"/>
      <c r="HWC48" s="3"/>
      <c r="HWD48" s="3"/>
      <c r="HWE48" s="3"/>
      <c r="HWF48" s="3"/>
      <c r="HWG48" s="3"/>
      <c r="HWH48" s="3"/>
      <c r="HWI48" s="3"/>
      <c r="HWJ48" s="3"/>
      <c r="HWK48" s="3"/>
      <c r="HWL48" s="3"/>
      <c r="HWM48" s="3"/>
      <c r="HWN48" s="3"/>
      <c r="HWO48" s="3"/>
      <c r="HWP48" s="3"/>
      <c r="HWQ48" s="3"/>
      <c r="HWR48" s="3"/>
      <c r="HWS48" s="3"/>
      <c r="HWT48" s="3"/>
      <c r="HWU48" s="3"/>
      <c r="HWV48" s="3"/>
      <c r="HWW48" s="3"/>
      <c r="HWX48" s="3"/>
      <c r="HWY48" s="3"/>
      <c r="HWZ48" s="3"/>
      <c r="HXA48" s="3"/>
      <c r="HXB48" s="3"/>
      <c r="HXC48" s="3"/>
      <c r="HXD48" s="3"/>
      <c r="HXE48" s="3"/>
      <c r="HXF48" s="3"/>
      <c r="HXG48" s="3"/>
      <c r="HXH48" s="3"/>
      <c r="HXI48" s="3"/>
      <c r="HXJ48" s="3"/>
      <c r="HXK48" s="3"/>
      <c r="HXL48" s="3"/>
      <c r="HXM48" s="3"/>
      <c r="HXN48" s="3"/>
      <c r="HXO48" s="3"/>
      <c r="HXP48" s="3"/>
      <c r="HXQ48" s="3"/>
      <c r="HXR48" s="3"/>
      <c r="HXS48" s="3"/>
      <c r="HXT48" s="3"/>
      <c r="HXU48" s="3"/>
      <c r="HXV48" s="3"/>
      <c r="HXW48" s="3"/>
      <c r="HXX48" s="3"/>
      <c r="HXY48" s="3"/>
      <c r="HXZ48" s="3"/>
      <c r="HYA48" s="3"/>
      <c r="HYB48" s="3"/>
      <c r="HYC48" s="3"/>
      <c r="HYD48" s="3"/>
      <c r="HYE48" s="3"/>
      <c r="HYF48" s="3"/>
      <c r="HYG48" s="3"/>
      <c r="HYH48" s="3"/>
      <c r="HYI48" s="3"/>
      <c r="HYJ48" s="3"/>
      <c r="HYK48" s="3"/>
      <c r="HYL48" s="3"/>
      <c r="HYM48" s="3"/>
      <c r="HYN48" s="3"/>
      <c r="HYO48" s="3"/>
      <c r="HYP48" s="3"/>
      <c r="HYQ48" s="3"/>
      <c r="HYR48" s="3"/>
      <c r="HYS48" s="3"/>
      <c r="HYT48" s="3"/>
      <c r="HYU48" s="3"/>
      <c r="HYV48" s="3"/>
      <c r="HYW48" s="3"/>
      <c r="HYX48" s="3"/>
      <c r="HYY48" s="3"/>
      <c r="HYZ48" s="3"/>
      <c r="HZA48" s="3"/>
      <c r="HZB48" s="3"/>
      <c r="HZC48" s="3"/>
      <c r="HZD48" s="3"/>
      <c r="HZE48" s="3"/>
      <c r="HZF48" s="3"/>
      <c r="HZG48" s="3"/>
      <c r="HZH48" s="3"/>
      <c r="HZI48" s="3"/>
      <c r="HZJ48" s="3"/>
      <c r="HZK48" s="3"/>
      <c r="HZL48" s="3"/>
      <c r="HZM48" s="3"/>
      <c r="HZN48" s="3"/>
      <c r="HZO48" s="3"/>
      <c r="HZP48" s="3"/>
      <c r="HZQ48" s="3"/>
      <c r="HZR48" s="3"/>
      <c r="HZS48" s="3"/>
      <c r="HZT48" s="3"/>
      <c r="HZU48" s="3"/>
      <c r="HZV48" s="3"/>
      <c r="HZW48" s="3"/>
      <c r="HZX48" s="3"/>
      <c r="HZY48" s="3"/>
      <c r="HZZ48" s="3"/>
      <c r="IAA48" s="3"/>
      <c r="IAB48" s="3"/>
      <c r="IAC48" s="3"/>
      <c r="IAD48" s="3"/>
      <c r="IAE48" s="3"/>
      <c r="IAF48" s="3"/>
      <c r="IAG48" s="3"/>
      <c r="IAH48" s="3"/>
      <c r="IAI48" s="3"/>
      <c r="IAJ48" s="3"/>
      <c r="IAK48" s="3"/>
      <c r="IAL48" s="3"/>
      <c r="IAM48" s="3"/>
      <c r="IAN48" s="3"/>
      <c r="IAO48" s="3"/>
      <c r="IAP48" s="3"/>
      <c r="IAQ48" s="3"/>
      <c r="IAR48" s="3"/>
      <c r="IAS48" s="3"/>
      <c r="IAT48" s="3"/>
      <c r="IAU48" s="3"/>
      <c r="IAV48" s="3"/>
      <c r="IAW48" s="3"/>
      <c r="IAX48" s="3"/>
      <c r="IAY48" s="3"/>
      <c r="IAZ48" s="3"/>
      <c r="IBA48" s="3"/>
      <c r="IBB48" s="3"/>
      <c r="IBC48" s="3"/>
      <c r="IBD48" s="3"/>
      <c r="IBE48" s="3"/>
      <c r="IBF48" s="3"/>
      <c r="IBG48" s="3"/>
      <c r="IBH48" s="3"/>
      <c r="IBI48" s="3"/>
      <c r="IBJ48" s="3"/>
      <c r="IBK48" s="3"/>
      <c r="IBL48" s="3"/>
      <c r="IBM48" s="3"/>
      <c r="IBN48" s="3"/>
      <c r="IBO48" s="3"/>
      <c r="IBP48" s="3"/>
      <c r="IBQ48" s="3"/>
      <c r="IBR48" s="3"/>
      <c r="IBS48" s="3"/>
      <c r="IBT48" s="3"/>
      <c r="IBU48" s="3"/>
      <c r="IBV48" s="3"/>
      <c r="IBW48" s="3"/>
      <c r="IBX48" s="3"/>
      <c r="IBY48" s="3"/>
      <c r="IBZ48" s="3"/>
      <c r="ICA48" s="3"/>
      <c r="ICB48" s="3"/>
      <c r="ICC48" s="3"/>
      <c r="ICD48" s="3"/>
      <c r="ICE48" s="3"/>
      <c r="ICF48" s="3"/>
      <c r="ICG48" s="3"/>
      <c r="ICH48" s="3"/>
      <c r="ICI48" s="3"/>
      <c r="ICJ48" s="3"/>
      <c r="ICK48" s="3"/>
      <c r="ICL48" s="3"/>
      <c r="ICM48" s="3"/>
      <c r="ICN48" s="3"/>
      <c r="ICO48" s="3"/>
      <c r="ICP48" s="3"/>
      <c r="ICQ48" s="3"/>
      <c r="ICR48" s="3"/>
      <c r="ICS48" s="3"/>
      <c r="ICT48" s="3"/>
      <c r="ICU48" s="3"/>
      <c r="ICV48" s="3"/>
      <c r="ICW48" s="3"/>
      <c r="ICX48" s="3"/>
      <c r="ICY48" s="3"/>
      <c r="ICZ48" s="3"/>
      <c r="IDA48" s="3"/>
      <c r="IDB48" s="3"/>
      <c r="IDC48" s="3"/>
      <c r="IDD48" s="3"/>
      <c r="IDE48" s="3"/>
      <c r="IDF48" s="3"/>
      <c r="IDG48" s="3"/>
      <c r="IDH48" s="3"/>
      <c r="IDI48" s="3"/>
      <c r="IDJ48" s="3"/>
      <c r="IDK48" s="3"/>
      <c r="IDL48" s="3"/>
      <c r="IDM48" s="3"/>
      <c r="IDN48" s="3"/>
      <c r="IDO48" s="3"/>
      <c r="IDP48" s="3"/>
      <c r="IDQ48" s="3"/>
      <c r="IDR48" s="3"/>
      <c r="IDS48" s="3"/>
      <c r="IDT48" s="3"/>
      <c r="IDU48" s="3"/>
      <c r="IDV48" s="3"/>
      <c r="IDW48" s="3"/>
      <c r="IDX48" s="3"/>
      <c r="IDY48" s="3"/>
      <c r="IDZ48" s="3"/>
      <c r="IEA48" s="3"/>
      <c r="IEB48" s="3"/>
      <c r="IEC48" s="3"/>
      <c r="IED48" s="3"/>
      <c r="IEE48" s="3"/>
      <c r="IEF48" s="3"/>
      <c r="IEG48" s="3"/>
      <c r="IEH48" s="3"/>
      <c r="IEI48" s="3"/>
      <c r="IEJ48" s="3"/>
      <c r="IEK48" s="3"/>
      <c r="IEL48" s="3"/>
      <c r="IEM48" s="3"/>
      <c r="IEN48" s="3"/>
      <c r="IEO48" s="3"/>
      <c r="IEP48" s="3"/>
      <c r="IEQ48" s="3"/>
      <c r="IER48" s="3"/>
      <c r="IES48" s="3"/>
      <c r="IET48" s="3"/>
      <c r="IEU48" s="3"/>
      <c r="IEV48" s="3"/>
      <c r="IEW48" s="3"/>
      <c r="IEX48" s="3"/>
      <c r="IEY48" s="3"/>
      <c r="IEZ48" s="3"/>
      <c r="IFA48" s="3"/>
      <c r="IFB48" s="3"/>
      <c r="IFC48" s="3"/>
      <c r="IFD48" s="3"/>
      <c r="IFE48" s="3"/>
      <c r="IFF48" s="3"/>
      <c r="IFG48" s="3"/>
      <c r="IFH48" s="3"/>
      <c r="IFI48" s="3"/>
      <c r="IFJ48" s="3"/>
      <c r="IFK48" s="3"/>
      <c r="IFL48" s="3"/>
      <c r="IFM48" s="3"/>
      <c r="IFN48" s="3"/>
      <c r="IFO48" s="3"/>
      <c r="IFP48" s="3"/>
      <c r="IFQ48" s="3"/>
      <c r="IFR48" s="3"/>
      <c r="IFS48" s="3"/>
      <c r="IFT48" s="3"/>
      <c r="IFU48" s="3"/>
      <c r="IFV48" s="3"/>
      <c r="IFW48" s="3"/>
      <c r="IFX48" s="3"/>
      <c r="IFY48" s="3"/>
      <c r="IFZ48" s="3"/>
      <c r="IGA48" s="3"/>
      <c r="IGB48" s="3"/>
      <c r="IGC48" s="3"/>
      <c r="IGD48" s="3"/>
      <c r="IGE48" s="3"/>
      <c r="IGF48" s="3"/>
      <c r="IGG48" s="3"/>
      <c r="IGH48" s="3"/>
      <c r="IGI48" s="3"/>
      <c r="IGJ48" s="3"/>
      <c r="IGK48" s="3"/>
      <c r="IGL48" s="3"/>
      <c r="IGM48" s="3"/>
      <c r="IGN48" s="3"/>
      <c r="IGO48" s="3"/>
      <c r="IGP48" s="3"/>
      <c r="IGQ48" s="3"/>
      <c r="IGR48" s="3"/>
      <c r="IGS48" s="3"/>
      <c r="IGT48" s="3"/>
      <c r="IGU48" s="3"/>
      <c r="IGV48" s="3"/>
      <c r="IGW48" s="3"/>
      <c r="IGX48" s="3"/>
      <c r="IGY48" s="3"/>
      <c r="IGZ48" s="3"/>
      <c r="IHA48" s="3"/>
      <c r="IHB48" s="3"/>
      <c r="IHC48" s="3"/>
      <c r="IHD48" s="3"/>
      <c r="IHE48" s="3"/>
      <c r="IHF48" s="3"/>
      <c r="IHG48" s="3"/>
      <c r="IHH48" s="3"/>
      <c r="IHI48" s="3"/>
      <c r="IHJ48" s="3"/>
      <c r="IHK48" s="3"/>
      <c r="IHL48" s="3"/>
      <c r="IHM48" s="3"/>
      <c r="IHN48" s="3"/>
      <c r="IHO48" s="3"/>
      <c r="IHP48" s="3"/>
      <c r="IHQ48" s="3"/>
      <c r="IHR48" s="3"/>
      <c r="IHS48" s="3"/>
      <c r="IHT48" s="3"/>
      <c r="IHU48" s="3"/>
      <c r="IHV48" s="3"/>
      <c r="IHW48" s="3"/>
      <c r="IHX48" s="3"/>
      <c r="IHY48" s="3"/>
      <c r="IHZ48" s="3"/>
      <c r="IIA48" s="3"/>
      <c r="IIB48" s="3"/>
      <c r="IIC48" s="3"/>
      <c r="IID48" s="3"/>
      <c r="IIE48" s="3"/>
      <c r="IIF48" s="3"/>
      <c r="IIG48" s="3"/>
      <c r="IIH48" s="3"/>
      <c r="III48" s="3"/>
      <c r="IIJ48" s="3"/>
      <c r="IIK48" s="3"/>
      <c r="IIL48" s="3"/>
      <c r="IIM48" s="3"/>
      <c r="IIN48" s="3"/>
      <c r="IIO48" s="3"/>
      <c r="IIP48" s="3"/>
      <c r="IIQ48" s="3"/>
      <c r="IIR48" s="3"/>
      <c r="IIS48" s="3"/>
      <c r="IIT48" s="3"/>
      <c r="IIU48" s="3"/>
      <c r="IIV48" s="3"/>
      <c r="IIW48" s="3"/>
      <c r="IIX48" s="3"/>
      <c r="IIY48" s="3"/>
      <c r="IIZ48" s="3"/>
      <c r="IJA48" s="3"/>
      <c r="IJB48" s="3"/>
      <c r="IJC48" s="3"/>
      <c r="IJD48" s="3"/>
      <c r="IJE48" s="3"/>
      <c r="IJF48" s="3"/>
      <c r="IJG48" s="3"/>
      <c r="IJH48" s="3"/>
      <c r="IJI48" s="3"/>
      <c r="IJJ48" s="3"/>
      <c r="IJK48" s="3"/>
      <c r="IJL48" s="3"/>
      <c r="IJM48" s="3"/>
      <c r="IJN48" s="3"/>
      <c r="IJO48" s="3"/>
      <c r="IJP48" s="3"/>
      <c r="IJQ48" s="3"/>
      <c r="IJR48" s="3"/>
      <c r="IJS48" s="3"/>
      <c r="IJT48" s="3"/>
      <c r="IJU48" s="3"/>
      <c r="IJV48" s="3"/>
      <c r="IJW48" s="3"/>
      <c r="IJX48" s="3"/>
      <c r="IJY48" s="3"/>
      <c r="IJZ48" s="3"/>
      <c r="IKA48" s="3"/>
      <c r="IKB48" s="3"/>
      <c r="IKC48" s="3"/>
      <c r="IKD48" s="3"/>
      <c r="IKE48" s="3"/>
      <c r="IKF48" s="3"/>
      <c r="IKG48" s="3"/>
      <c r="IKH48" s="3"/>
      <c r="IKI48" s="3"/>
      <c r="IKJ48" s="3"/>
      <c r="IKK48" s="3"/>
      <c r="IKL48" s="3"/>
      <c r="IKM48" s="3"/>
      <c r="IKN48" s="3"/>
      <c r="IKO48" s="3"/>
      <c r="IKP48" s="3"/>
      <c r="IKQ48" s="3"/>
      <c r="IKR48" s="3"/>
      <c r="IKS48" s="3"/>
      <c r="IKT48" s="3"/>
      <c r="IKU48" s="3"/>
      <c r="IKV48" s="3"/>
      <c r="IKW48" s="3"/>
      <c r="IKX48" s="3"/>
      <c r="IKY48" s="3"/>
      <c r="IKZ48" s="3"/>
      <c r="ILA48" s="3"/>
      <c r="ILB48" s="3"/>
      <c r="ILC48" s="3"/>
      <c r="ILD48" s="3"/>
      <c r="ILE48" s="3"/>
      <c r="ILF48" s="3"/>
      <c r="ILG48" s="3"/>
      <c r="ILH48" s="3"/>
      <c r="ILI48" s="3"/>
      <c r="ILJ48" s="3"/>
      <c r="ILK48" s="3"/>
      <c r="ILL48" s="3"/>
      <c r="ILM48" s="3"/>
      <c r="ILN48" s="3"/>
      <c r="ILO48" s="3"/>
      <c r="ILP48" s="3"/>
      <c r="ILQ48" s="3"/>
      <c r="ILR48" s="3"/>
      <c r="ILS48" s="3"/>
      <c r="ILT48" s="3"/>
      <c r="ILU48" s="3"/>
      <c r="ILV48" s="3"/>
      <c r="ILW48" s="3"/>
      <c r="ILX48" s="3"/>
      <c r="ILY48" s="3"/>
      <c r="ILZ48" s="3"/>
      <c r="IMA48" s="3"/>
      <c r="IMB48" s="3"/>
      <c r="IMC48" s="3"/>
      <c r="IMD48" s="3"/>
      <c r="IME48" s="3"/>
      <c r="IMF48" s="3"/>
      <c r="IMG48" s="3"/>
      <c r="IMH48" s="3"/>
      <c r="IMI48" s="3"/>
      <c r="IMJ48" s="3"/>
      <c r="IMK48" s="3"/>
      <c r="IML48" s="3"/>
      <c r="IMM48" s="3"/>
      <c r="IMN48" s="3"/>
      <c r="IMO48" s="3"/>
      <c r="IMP48" s="3"/>
      <c r="IMQ48" s="3"/>
      <c r="IMR48" s="3"/>
      <c r="IMS48" s="3"/>
      <c r="IMT48" s="3"/>
      <c r="IMU48" s="3"/>
      <c r="IMV48" s="3"/>
      <c r="IMW48" s="3"/>
      <c r="IMX48" s="3"/>
      <c r="IMY48" s="3"/>
      <c r="IMZ48" s="3"/>
      <c r="INA48" s="3"/>
      <c r="INB48" s="3"/>
      <c r="INC48" s="3"/>
      <c r="IND48" s="3"/>
      <c r="INE48" s="3"/>
      <c r="INF48" s="3"/>
      <c r="ING48" s="3"/>
      <c r="INH48" s="3"/>
      <c r="INI48" s="3"/>
      <c r="INJ48" s="3"/>
      <c r="INK48" s="3"/>
      <c r="INL48" s="3"/>
      <c r="INM48" s="3"/>
      <c r="INN48" s="3"/>
      <c r="INO48" s="3"/>
      <c r="INP48" s="3"/>
      <c r="INQ48" s="3"/>
      <c r="INR48" s="3"/>
      <c r="INS48" s="3"/>
      <c r="INT48" s="3"/>
      <c r="INU48" s="3"/>
      <c r="INV48" s="3"/>
      <c r="INW48" s="3"/>
      <c r="INX48" s="3"/>
      <c r="INY48" s="3"/>
      <c r="INZ48" s="3"/>
      <c r="IOA48" s="3"/>
      <c r="IOB48" s="3"/>
      <c r="IOC48" s="3"/>
      <c r="IOD48" s="3"/>
      <c r="IOE48" s="3"/>
      <c r="IOF48" s="3"/>
      <c r="IOG48" s="3"/>
      <c r="IOH48" s="3"/>
      <c r="IOI48" s="3"/>
      <c r="IOJ48" s="3"/>
      <c r="IOK48" s="3"/>
      <c r="IOL48" s="3"/>
      <c r="IOM48" s="3"/>
      <c r="ION48" s="3"/>
      <c r="IOO48" s="3"/>
      <c r="IOP48" s="3"/>
      <c r="IOQ48" s="3"/>
      <c r="IOR48" s="3"/>
      <c r="IOS48" s="3"/>
      <c r="IOT48" s="3"/>
      <c r="IOU48" s="3"/>
      <c r="IOV48" s="3"/>
      <c r="IOW48" s="3"/>
      <c r="IOX48" s="3"/>
      <c r="IOY48" s="3"/>
      <c r="IOZ48" s="3"/>
      <c r="IPA48" s="3"/>
      <c r="IPB48" s="3"/>
      <c r="IPC48" s="3"/>
      <c r="IPD48" s="3"/>
      <c r="IPE48" s="3"/>
      <c r="IPF48" s="3"/>
      <c r="IPG48" s="3"/>
      <c r="IPH48" s="3"/>
      <c r="IPI48" s="3"/>
      <c r="IPJ48" s="3"/>
      <c r="IPK48" s="3"/>
      <c r="IPL48" s="3"/>
      <c r="IPM48" s="3"/>
      <c r="IPN48" s="3"/>
      <c r="IPO48" s="3"/>
      <c r="IPP48" s="3"/>
      <c r="IPQ48" s="3"/>
      <c r="IPR48" s="3"/>
      <c r="IPS48" s="3"/>
      <c r="IPT48" s="3"/>
      <c r="IPU48" s="3"/>
      <c r="IPV48" s="3"/>
      <c r="IPW48" s="3"/>
      <c r="IPX48" s="3"/>
      <c r="IPY48" s="3"/>
      <c r="IPZ48" s="3"/>
      <c r="IQA48" s="3"/>
      <c r="IQB48" s="3"/>
      <c r="IQC48" s="3"/>
      <c r="IQD48" s="3"/>
      <c r="IQE48" s="3"/>
      <c r="IQF48" s="3"/>
      <c r="IQG48" s="3"/>
      <c r="IQH48" s="3"/>
      <c r="IQI48" s="3"/>
      <c r="IQJ48" s="3"/>
      <c r="IQK48" s="3"/>
      <c r="IQL48" s="3"/>
      <c r="IQM48" s="3"/>
      <c r="IQN48" s="3"/>
      <c r="IQO48" s="3"/>
      <c r="IQP48" s="3"/>
      <c r="IQQ48" s="3"/>
      <c r="IQR48" s="3"/>
      <c r="IQS48" s="3"/>
      <c r="IQT48" s="3"/>
      <c r="IQU48" s="3"/>
      <c r="IQV48" s="3"/>
      <c r="IQW48" s="3"/>
      <c r="IQX48" s="3"/>
      <c r="IQY48" s="3"/>
      <c r="IQZ48" s="3"/>
      <c r="IRA48" s="3"/>
      <c r="IRB48" s="3"/>
      <c r="IRC48" s="3"/>
      <c r="IRD48" s="3"/>
      <c r="IRE48" s="3"/>
      <c r="IRF48" s="3"/>
      <c r="IRG48" s="3"/>
      <c r="IRH48" s="3"/>
      <c r="IRI48" s="3"/>
      <c r="IRJ48" s="3"/>
      <c r="IRK48" s="3"/>
      <c r="IRL48" s="3"/>
      <c r="IRM48" s="3"/>
      <c r="IRN48" s="3"/>
      <c r="IRO48" s="3"/>
      <c r="IRP48" s="3"/>
      <c r="IRQ48" s="3"/>
      <c r="IRR48" s="3"/>
      <c r="IRS48" s="3"/>
      <c r="IRT48" s="3"/>
      <c r="IRU48" s="3"/>
      <c r="IRV48" s="3"/>
      <c r="IRW48" s="3"/>
      <c r="IRX48" s="3"/>
      <c r="IRY48" s="3"/>
      <c r="IRZ48" s="3"/>
      <c r="ISA48" s="3"/>
      <c r="ISB48" s="3"/>
      <c r="ISC48" s="3"/>
      <c r="ISD48" s="3"/>
      <c r="ISE48" s="3"/>
      <c r="ISF48" s="3"/>
      <c r="ISG48" s="3"/>
      <c r="ISH48" s="3"/>
      <c r="ISI48" s="3"/>
      <c r="ISJ48" s="3"/>
      <c r="ISK48" s="3"/>
      <c r="ISL48" s="3"/>
      <c r="ISM48" s="3"/>
      <c r="ISN48" s="3"/>
      <c r="ISO48" s="3"/>
      <c r="ISP48" s="3"/>
      <c r="ISQ48" s="3"/>
      <c r="ISR48" s="3"/>
      <c r="ISS48" s="3"/>
      <c r="IST48" s="3"/>
      <c r="ISU48" s="3"/>
      <c r="ISV48" s="3"/>
      <c r="ISW48" s="3"/>
      <c r="ISX48" s="3"/>
      <c r="ISY48" s="3"/>
      <c r="ISZ48" s="3"/>
      <c r="ITA48" s="3"/>
      <c r="ITB48" s="3"/>
      <c r="ITC48" s="3"/>
      <c r="ITD48" s="3"/>
      <c r="ITE48" s="3"/>
      <c r="ITF48" s="3"/>
      <c r="ITG48" s="3"/>
      <c r="ITH48" s="3"/>
      <c r="ITI48" s="3"/>
      <c r="ITJ48" s="3"/>
      <c r="ITK48" s="3"/>
      <c r="ITL48" s="3"/>
      <c r="ITM48" s="3"/>
      <c r="ITN48" s="3"/>
      <c r="ITO48" s="3"/>
      <c r="ITP48" s="3"/>
      <c r="ITQ48" s="3"/>
      <c r="ITR48" s="3"/>
      <c r="ITS48" s="3"/>
      <c r="ITT48" s="3"/>
      <c r="ITU48" s="3"/>
      <c r="ITV48" s="3"/>
      <c r="ITW48" s="3"/>
      <c r="ITX48" s="3"/>
      <c r="ITY48" s="3"/>
      <c r="ITZ48" s="3"/>
      <c r="IUA48" s="3"/>
      <c r="IUB48" s="3"/>
      <c r="IUC48" s="3"/>
      <c r="IUD48" s="3"/>
      <c r="IUE48" s="3"/>
      <c r="IUF48" s="3"/>
      <c r="IUG48" s="3"/>
      <c r="IUH48" s="3"/>
      <c r="IUI48" s="3"/>
      <c r="IUJ48" s="3"/>
      <c r="IUK48" s="3"/>
      <c r="IUL48" s="3"/>
      <c r="IUM48" s="3"/>
      <c r="IUN48" s="3"/>
      <c r="IUO48" s="3"/>
      <c r="IUP48" s="3"/>
      <c r="IUQ48" s="3"/>
      <c r="IUR48" s="3"/>
      <c r="IUS48" s="3"/>
      <c r="IUT48" s="3"/>
      <c r="IUU48" s="3"/>
      <c r="IUV48" s="3"/>
      <c r="IUW48" s="3"/>
      <c r="IUX48" s="3"/>
      <c r="IUY48" s="3"/>
      <c r="IUZ48" s="3"/>
      <c r="IVA48" s="3"/>
      <c r="IVB48" s="3"/>
      <c r="IVC48" s="3"/>
      <c r="IVD48" s="3"/>
      <c r="IVE48" s="3"/>
      <c r="IVF48" s="3"/>
      <c r="IVG48" s="3"/>
      <c r="IVH48" s="3"/>
      <c r="IVI48" s="3"/>
      <c r="IVJ48" s="3"/>
      <c r="IVK48" s="3"/>
      <c r="IVL48" s="3"/>
      <c r="IVM48" s="3"/>
      <c r="IVN48" s="3"/>
      <c r="IVO48" s="3"/>
      <c r="IVP48" s="3"/>
      <c r="IVQ48" s="3"/>
      <c r="IVR48" s="3"/>
      <c r="IVS48" s="3"/>
      <c r="IVT48" s="3"/>
      <c r="IVU48" s="3"/>
      <c r="IVV48" s="3"/>
      <c r="IVW48" s="3"/>
      <c r="IVX48" s="3"/>
      <c r="IVY48" s="3"/>
      <c r="IVZ48" s="3"/>
      <c r="IWA48" s="3"/>
      <c r="IWB48" s="3"/>
      <c r="IWC48" s="3"/>
      <c r="IWD48" s="3"/>
      <c r="IWE48" s="3"/>
      <c r="IWF48" s="3"/>
      <c r="IWG48" s="3"/>
      <c r="IWH48" s="3"/>
      <c r="IWI48" s="3"/>
      <c r="IWJ48" s="3"/>
      <c r="IWK48" s="3"/>
      <c r="IWL48" s="3"/>
      <c r="IWM48" s="3"/>
      <c r="IWN48" s="3"/>
      <c r="IWO48" s="3"/>
      <c r="IWP48" s="3"/>
      <c r="IWQ48" s="3"/>
      <c r="IWR48" s="3"/>
      <c r="IWS48" s="3"/>
      <c r="IWT48" s="3"/>
      <c r="IWU48" s="3"/>
      <c r="IWV48" s="3"/>
      <c r="IWW48" s="3"/>
      <c r="IWX48" s="3"/>
      <c r="IWY48" s="3"/>
      <c r="IWZ48" s="3"/>
      <c r="IXA48" s="3"/>
      <c r="IXB48" s="3"/>
      <c r="IXC48" s="3"/>
      <c r="IXD48" s="3"/>
      <c r="IXE48" s="3"/>
      <c r="IXF48" s="3"/>
      <c r="IXG48" s="3"/>
      <c r="IXH48" s="3"/>
      <c r="IXI48" s="3"/>
      <c r="IXJ48" s="3"/>
      <c r="IXK48" s="3"/>
      <c r="IXL48" s="3"/>
      <c r="IXM48" s="3"/>
      <c r="IXN48" s="3"/>
      <c r="IXO48" s="3"/>
      <c r="IXP48" s="3"/>
      <c r="IXQ48" s="3"/>
      <c r="IXR48" s="3"/>
      <c r="IXS48" s="3"/>
      <c r="IXT48" s="3"/>
      <c r="IXU48" s="3"/>
      <c r="IXV48" s="3"/>
      <c r="IXW48" s="3"/>
      <c r="IXX48" s="3"/>
      <c r="IXY48" s="3"/>
      <c r="IXZ48" s="3"/>
      <c r="IYA48" s="3"/>
      <c r="IYB48" s="3"/>
      <c r="IYC48" s="3"/>
      <c r="IYD48" s="3"/>
      <c r="IYE48" s="3"/>
      <c r="IYF48" s="3"/>
      <c r="IYG48" s="3"/>
      <c r="IYH48" s="3"/>
      <c r="IYI48" s="3"/>
      <c r="IYJ48" s="3"/>
      <c r="IYK48" s="3"/>
      <c r="IYL48" s="3"/>
      <c r="IYM48" s="3"/>
      <c r="IYN48" s="3"/>
      <c r="IYO48" s="3"/>
      <c r="IYP48" s="3"/>
      <c r="IYQ48" s="3"/>
      <c r="IYR48" s="3"/>
      <c r="IYS48" s="3"/>
      <c r="IYT48" s="3"/>
      <c r="IYU48" s="3"/>
      <c r="IYV48" s="3"/>
      <c r="IYW48" s="3"/>
      <c r="IYX48" s="3"/>
      <c r="IYY48" s="3"/>
      <c r="IYZ48" s="3"/>
      <c r="IZA48" s="3"/>
      <c r="IZB48" s="3"/>
      <c r="IZC48" s="3"/>
      <c r="IZD48" s="3"/>
      <c r="IZE48" s="3"/>
      <c r="IZF48" s="3"/>
      <c r="IZG48" s="3"/>
      <c r="IZH48" s="3"/>
      <c r="IZI48" s="3"/>
      <c r="IZJ48" s="3"/>
      <c r="IZK48" s="3"/>
      <c r="IZL48" s="3"/>
      <c r="IZM48" s="3"/>
      <c r="IZN48" s="3"/>
      <c r="IZO48" s="3"/>
      <c r="IZP48" s="3"/>
      <c r="IZQ48" s="3"/>
      <c r="IZR48" s="3"/>
      <c r="IZS48" s="3"/>
      <c r="IZT48" s="3"/>
      <c r="IZU48" s="3"/>
      <c r="IZV48" s="3"/>
      <c r="IZW48" s="3"/>
      <c r="IZX48" s="3"/>
      <c r="IZY48" s="3"/>
      <c r="IZZ48" s="3"/>
      <c r="JAA48" s="3"/>
      <c r="JAB48" s="3"/>
      <c r="JAC48" s="3"/>
      <c r="JAD48" s="3"/>
      <c r="JAE48" s="3"/>
      <c r="JAF48" s="3"/>
      <c r="JAG48" s="3"/>
      <c r="JAH48" s="3"/>
      <c r="JAI48" s="3"/>
      <c r="JAJ48" s="3"/>
      <c r="JAK48" s="3"/>
      <c r="JAL48" s="3"/>
      <c r="JAM48" s="3"/>
      <c r="JAN48" s="3"/>
      <c r="JAO48" s="3"/>
      <c r="JAP48" s="3"/>
      <c r="JAQ48" s="3"/>
      <c r="JAR48" s="3"/>
      <c r="JAS48" s="3"/>
      <c r="JAT48" s="3"/>
      <c r="JAU48" s="3"/>
      <c r="JAV48" s="3"/>
      <c r="JAW48" s="3"/>
      <c r="JAX48" s="3"/>
      <c r="JAY48" s="3"/>
      <c r="JAZ48" s="3"/>
      <c r="JBA48" s="3"/>
      <c r="JBB48" s="3"/>
      <c r="JBC48" s="3"/>
      <c r="JBD48" s="3"/>
      <c r="JBE48" s="3"/>
      <c r="JBF48" s="3"/>
      <c r="JBG48" s="3"/>
      <c r="JBH48" s="3"/>
      <c r="JBI48" s="3"/>
      <c r="JBJ48" s="3"/>
      <c r="JBK48" s="3"/>
      <c r="JBL48" s="3"/>
      <c r="JBM48" s="3"/>
      <c r="JBN48" s="3"/>
      <c r="JBO48" s="3"/>
      <c r="JBP48" s="3"/>
      <c r="JBQ48" s="3"/>
      <c r="JBR48" s="3"/>
      <c r="JBS48" s="3"/>
      <c r="JBT48" s="3"/>
      <c r="JBU48" s="3"/>
      <c r="JBV48" s="3"/>
      <c r="JBW48" s="3"/>
      <c r="JBX48" s="3"/>
      <c r="JBY48" s="3"/>
      <c r="JBZ48" s="3"/>
      <c r="JCA48" s="3"/>
      <c r="JCB48" s="3"/>
      <c r="JCC48" s="3"/>
      <c r="JCD48" s="3"/>
      <c r="JCE48" s="3"/>
      <c r="JCF48" s="3"/>
      <c r="JCG48" s="3"/>
      <c r="JCH48" s="3"/>
      <c r="JCI48" s="3"/>
      <c r="JCJ48" s="3"/>
      <c r="JCK48" s="3"/>
      <c r="JCL48" s="3"/>
      <c r="JCM48" s="3"/>
      <c r="JCN48" s="3"/>
      <c r="JCO48" s="3"/>
      <c r="JCP48" s="3"/>
      <c r="JCQ48" s="3"/>
      <c r="JCR48" s="3"/>
      <c r="JCS48" s="3"/>
      <c r="JCT48" s="3"/>
      <c r="JCU48" s="3"/>
      <c r="JCV48" s="3"/>
      <c r="JCW48" s="3"/>
      <c r="JCX48" s="3"/>
      <c r="JCY48" s="3"/>
      <c r="JCZ48" s="3"/>
      <c r="JDA48" s="3"/>
      <c r="JDB48" s="3"/>
      <c r="JDC48" s="3"/>
      <c r="JDD48" s="3"/>
      <c r="JDE48" s="3"/>
      <c r="JDF48" s="3"/>
      <c r="JDG48" s="3"/>
      <c r="JDH48" s="3"/>
      <c r="JDI48" s="3"/>
      <c r="JDJ48" s="3"/>
      <c r="JDK48" s="3"/>
      <c r="JDL48" s="3"/>
      <c r="JDM48" s="3"/>
      <c r="JDN48" s="3"/>
      <c r="JDO48" s="3"/>
      <c r="JDP48" s="3"/>
      <c r="JDQ48" s="3"/>
      <c r="JDR48" s="3"/>
      <c r="JDS48" s="3"/>
      <c r="JDT48" s="3"/>
      <c r="JDU48" s="3"/>
      <c r="JDV48" s="3"/>
      <c r="JDW48" s="3"/>
      <c r="JDX48" s="3"/>
      <c r="JDY48" s="3"/>
      <c r="JDZ48" s="3"/>
      <c r="JEA48" s="3"/>
      <c r="JEB48" s="3"/>
      <c r="JEC48" s="3"/>
      <c r="JED48" s="3"/>
      <c r="JEE48" s="3"/>
      <c r="JEF48" s="3"/>
      <c r="JEG48" s="3"/>
      <c r="JEH48" s="3"/>
      <c r="JEI48" s="3"/>
      <c r="JEJ48" s="3"/>
      <c r="JEK48" s="3"/>
      <c r="JEL48" s="3"/>
      <c r="JEM48" s="3"/>
      <c r="JEN48" s="3"/>
      <c r="JEO48" s="3"/>
      <c r="JEP48" s="3"/>
      <c r="JEQ48" s="3"/>
      <c r="JER48" s="3"/>
      <c r="JES48" s="3"/>
      <c r="JET48" s="3"/>
      <c r="JEU48" s="3"/>
      <c r="JEV48" s="3"/>
      <c r="JEW48" s="3"/>
      <c r="JEX48" s="3"/>
      <c r="JEY48" s="3"/>
      <c r="JEZ48" s="3"/>
      <c r="JFA48" s="3"/>
      <c r="JFB48" s="3"/>
      <c r="JFC48" s="3"/>
      <c r="JFD48" s="3"/>
      <c r="JFE48" s="3"/>
      <c r="JFF48" s="3"/>
      <c r="JFG48" s="3"/>
      <c r="JFH48" s="3"/>
      <c r="JFI48" s="3"/>
      <c r="JFJ48" s="3"/>
      <c r="JFK48" s="3"/>
      <c r="JFL48" s="3"/>
      <c r="JFM48" s="3"/>
      <c r="JFN48" s="3"/>
      <c r="JFO48" s="3"/>
      <c r="JFP48" s="3"/>
      <c r="JFQ48" s="3"/>
      <c r="JFR48" s="3"/>
      <c r="JFS48" s="3"/>
      <c r="JFT48" s="3"/>
      <c r="JFU48" s="3"/>
      <c r="JFV48" s="3"/>
      <c r="JFW48" s="3"/>
      <c r="JFX48" s="3"/>
      <c r="JFY48" s="3"/>
      <c r="JFZ48" s="3"/>
      <c r="JGA48" s="3"/>
      <c r="JGB48" s="3"/>
      <c r="JGC48" s="3"/>
      <c r="JGD48" s="3"/>
      <c r="JGE48" s="3"/>
      <c r="JGF48" s="3"/>
      <c r="JGG48" s="3"/>
      <c r="JGH48" s="3"/>
      <c r="JGI48" s="3"/>
      <c r="JGJ48" s="3"/>
      <c r="JGK48" s="3"/>
      <c r="JGL48" s="3"/>
      <c r="JGM48" s="3"/>
      <c r="JGN48" s="3"/>
      <c r="JGO48" s="3"/>
      <c r="JGP48" s="3"/>
      <c r="JGQ48" s="3"/>
      <c r="JGR48" s="3"/>
      <c r="JGS48" s="3"/>
      <c r="JGT48" s="3"/>
      <c r="JGU48" s="3"/>
      <c r="JGV48" s="3"/>
      <c r="JGW48" s="3"/>
      <c r="JGX48" s="3"/>
      <c r="JGY48" s="3"/>
      <c r="JGZ48" s="3"/>
      <c r="JHA48" s="3"/>
      <c r="JHB48" s="3"/>
      <c r="JHC48" s="3"/>
      <c r="JHD48" s="3"/>
      <c r="JHE48" s="3"/>
      <c r="JHF48" s="3"/>
      <c r="JHG48" s="3"/>
      <c r="JHH48" s="3"/>
      <c r="JHI48" s="3"/>
      <c r="JHJ48" s="3"/>
      <c r="JHK48" s="3"/>
      <c r="JHL48" s="3"/>
      <c r="JHM48" s="3"/>
      <c r="JHN48" s="3"/>
      <c r="JHO48" s="3"/>
      <c r="JHP48" s="3"/>
      <c r="JHQ48" s="3"/>
      <c r="JHR48" s="3"/>
      <c r="JHS48" s="3"/>
      <c r="JHT48" s="3"/>
      <c r="JHU48" s="3"/>
      <c r="JHV48" s="3"/>
      <c r="JHW48" s="3"/>
      <c r="JHX48" s="3"/>
      <c r="JHY48" s="3"/>
      <c r="JHZ48" s="3"/>
      <c r="JIA48" s="3"/>
      <c r="JIB48" s="3"/>
      <c r="JIC48" s="3"/>
      <c r="JID48" s="3"/>
      <c r="JIE48" s="3"/>
      <c r="JIF48" s="3"/>
      <c r="JIG48" s="3"/>
      <c r="JIH48" s="3"/>
      <c r="JII48" s="3"/>
      <c r="JIJ48" s="3"/>
      <c r="JIK48" s="3"/>
      <c r="JIL48" s="3"/>
      <c r="JIM48" s="3"/>
      <c r="JIN48" s="3"/>
      <c r="JIO48" s="3"/>
      <c r="JIP48" s="3"/>
      <c r="JIQ48" s="3"/>
      <c r="JIR48" s="3"/>
      <c r="JIS48" s="3"/>
      <c r="JIT48" s="3"/>
      <c r="JIU48" s="3"/>
      <c r="JIV48" s="3"/>
      <c r="JIW48" s="3"/>
      <c r="JIX48" s="3"/>
      <c r="JIY48" s="3"/>
      <c r="JIZ48" s="3"/>
      <c r="JJA48" s="3"/>
      <c r="JJB48" s="3"/>
      <c r="JJC48" s="3"/>
      <c r="JJD48" s="3"/>
      <c r="JJE48" s="3"/>
      <c r="JJF48" s="3"/>
      <c r="JJG48" s="3"/>
      <c r="JJH48" s="3"/>
      <c r="JJI48" s="3"/>
      <c r="JJJ48" s="3"/>
      <c r="JJK48" s="3"/>
      <c r="JJL48" s="3"/>
      <c r="JJM48" s="3"/>
      <c r="JJN48" s="3"/>
      <c r="JJO48" s="3"/>
      <c r="JJP48" s="3"/>
      <c r="JJQ48" s="3"/>
      <c r="JJR48" s="3"/>
      <c r="JJS48" s="3"/>
      <c r="JJT48" s="3"/>
      <c r="JJU48" s="3"/>
      <c r="JJV48" s="3"/>
      <c r="JJW48" s="3"/>
      <c r="JJX48" s="3"/>
      <c r="JJY48" s="3"/>
      <c r="JJZ48" s="3"/>
      <c r="JKA48" s="3"/>
      <c r="JKB48" s="3"/>
      <c r="JKC48" s="3"/>
      <c r="JKD48" s="3"/>
      <c r="JKE48" s="3"/>
      <c r="JKF48" s="3"/>
      <c r="JKG48" s="3"/>
      <c r="JKH48" s="3"/>
      <c r="JKI48" s="3"/>
      <c r="JKJ48" s="3"/>
      <c r="JKK48" s="3"/>
      <c r="JKL48" s="3"/>
      <c r="JKM48" s="3"/>
      <c r="JKN48" s="3"/>
      <c r="JKO48" s="3"/>
      <c r="JKP48" s="3"/>
      <c r="JKQ48" s="3"/>
      <c r="JKR48" s="3"/>
      <c r="JKS48" s="3"/>
      <c r="JKT48" s="3"/>
      <c r="JKU48" s="3"/>
      <c r="JKV48" s="3"/>
      <c r="JKW48" s="3"/>
      <c r="JKX48" s="3"/>
      <c r="JKY48" s="3"/>
      <c r="JKZ48" s="3"/>
      <c r="JLA48" s="3"/>
      <c r="JLB48" s="3"/>
      <c r="JLC48" s="3"/>
      <c r="JLD48" s="3"/>
      <c r="JLE48" s="3"/>
      <c r="JLF48" s="3"/>
      <c r="JLG48" s="3"/>
      <c r="JLH48" s="3"/>
      <c r="JLI48" s="3"/>
      <c r="JLJ48" s="3"/>
      <c r="JLK48" s="3"/>
      <c r="JLL48" s="3"/>
      <c r="JLM48" s="3"/>
      <c r="JLN48" s="3"/>
      <c r="JLO48" s="3"/>
      <c r="JLP48" s="3"/>
      <c r="JLQ48" s="3"/>
      <c r="JLR48" s="3"/>
      <c r="JLS48" s="3"/>
      <c r="JLT48" s="3"/>
      <c r="JLU48" s="3"/>
      <c r="JLV48" s="3"/>
      <c r="JLW48" s="3"/>
      <c r="JLX48" s="3"/>
      <c r="JLY48" s="3"/>
      <c r="JLZ48" s="3"/>
      <c r="JMA48" s="3"/>
      <c r="JMB48" s="3"/>
      <c r="JMC48" s="3"/>
      <c r="JMD48" s="3"/>
      <c r="JME48" s="3"/>
      <c r="JMF48" s="3"/>
      <c r="JMG48" s="3"/>
      <c r="JMH48" s="3"/>
      <c r="JMI48" s="3"/>
      <c r="JMJ48" s="3"/>
      <c r="JMK48" s="3"/>
      <c r="JML48" s="3"/>
      <c r="JMM48" s="3"/>
      <c r="JMN48" s="3"/>
      <c r="JMO48" s="3"/>
      <c r="JMP48" s="3"/>
      <c r="JMQ48" s="3"/>
      <c r="JMR48" s="3"/>
      <c r="JMS48" s="3"/>
      <c r="JMT48" s="3"/>
      <c r="JMU48" s="3"/>
      <c r="JMV48" s="3"/>
      <c r="JMW48" s="3"/>
      <c r="JMX48" s="3"/>
      <c r="JMY48" s="3"/>
      <c r="JMZ48" s="3"/>
      <c r="JNA48" s="3"/>
      <c r="JNB48" s="3"/>
      <c r="JNC48" s="3"/>
      <c r="JND48" s="3"/>
      <c r="JNE48" s="3"/>
      <c r="JNF48" s="3"/>
      <c r="JNG48" s="3"/>
      <c r="JNH48" s="3"/>
      <c r="JNI48" s="3"/>
      <c r="JNJ48" s="3"/>
      <c r="JNK48" s="3"/>
      <c r="JNL48" s="3"/>
      <c r="JNM48" s="3"/>
      <c r="JNN48" s="3"/>
      <c r="JNO48" s="3"/>
      <c r="JNP48" s="3"/>
      <c r="JNQ48" s="3"/>
      <c r="JNR48" s="3"/>
      <c r="JNS48" s="3"/>
      <c r="JNT48" s="3"/>
      <c r="JNU48" s="3"/>
      <c r="JNV48" s="3"/>
      <c r="JNW48" s="3"/>
      <c r="JNX48" s="3"/>
      <c r="JNY48" s="3"/>
      <c r="JNZ48" s="3"/>
      <c r="JOA48" s="3"/>
      <c r="JOB48" s="3"/>
      <c r="JOC48" s="3"/>
      <c r="JOD48" s="3"/>
      <c r="JOE48" s="3"/>
      <c r="JOF48" s="3"/>
      <c r="JOG48" s="3"/>
      <c r="JOH48" s="3"/>
      <c r="JOI48" s="3"/>
      <c r="JOJ48" s="3"/>
      <c r="JOK48" s="3"/>
      <c r="JOL48" s="3"/>
      <c r="JOM48" s="3"/>
      <c r="JON48" s="3"/>
      <c r="JOO48" s="3"/>
      <c r="JOP48" s="3"/>
      <c r="JOQ48" s="3"/>
      <c r="JOR48" s="3"/>
      <c r="JOS48" s="3"/>
      <c r="JOT48" s="3"/>
      <c r="JOU48" s="3"/>
      <c r="JOV48" s="3"/>
      <c r="JOW48" s="3"/>
      <c r="JOX48" s="3"/>
      <c r="JOY48" s="3"/>
      <c r="JOZ48" s="3"/>
      <c r="JPA48" s="3"/>
      <c r="JPB48" s="3"/>
      <c r="JPC48" s="3"/>
      <c r="JPD48" s="3"/>
      <c r="JPE48" s="3"/>
      <c r="JPF48" s="3"/>
      <c r="JPG48" s="3"/>
      <c r="JPH48" s="3"/>
      <c r="JPI48" s="3"/>
      <c r="JPJ48" s="3"/>
      <c r="JPK48" s="3"/>
      <c r="JPL48" s="3"/>
      <c r="JPM48" s="3"/>
      <c r="JPN48" s="3"/>
      <c r="JPO48" s="3"/>
      <c r="JPP48" s="3"/>
      <c r="JPQ48" s="3"/>
      <c r="JPR48" s="3"/>
      <c r="JPS48" s="3"/>
      <c r="JPT48" s="3"/>
      <c r="JPU48" s="3"/>
      <c r="JPV48" s="3"/>
      <c r="JPW48" s="3"/>
      <c r="JPX48" s="3"/>
      <c r="JPY48" s="3"/>
      <c r="JPZ48" s="3"/>
      <c r="JQA48" s="3"/>
      <c r="JQB48" s="3"/>
      <c r="JQC48" s="3"/>
      <c r="JQD48" s="3"/>
      <c r="JQE48" s="3"/>
      <c r="JQF48" s="3"/>
      <c r="JQG48" s="3"/>
      <c r="JQH48" s="3"/>
      <c r="JQI48" s="3"/>
      <c r="JQJ48" s="3"/>
      <c r="JQK48" s="3"/>
      <c r="JQL48" s="3"/>
      <c r="JQM48" s="3"/>
      <c r="JQN48" s="3"/>
      <c r="JQO48" s="3"/>
      <c r="JQP48" s="3"/>
      <c r="JQQ48" s="3"/>
      <c r="JQR48" s="3"/>
      <c r="JQS48" s="3"/>
      <c r="JQT48" s="3"/>
      <c r="JQU48" s="3"/>
      <c r="JQV48" s="3"/>
      <c r="JQW48" s="3"/>
      <c r="JQX48" s="3"/>
      <c r="JQY48" s="3"/>
      <c r="JQZ48" s="3"/>
      <c r="JRA48" s="3"/>
      <c r="JRB48" s="3"/>
      <c r="JRC48" s="3"/>
      <c r="JRD48" s="3"/>
      <c r="JRE48" s="3"/>
      <c r="JRF48" s="3"/>
      <c r="JRG48" s="3"/>
      <c r="JRH48" s="3"/>
      <c r="JRI48" s="3"/>
      <c r="JRJ48" s="3"/>
      <c r="JRK48" s="3"/>
      <c r="JRL48" s="3"/>
      <c r="JRM48" s="3"/>
      <c r="JRN48" s="3"/>
      <c r="JRO48" s="3"/>
      <c r="JRP48" s="3"/>
      <c r="JRQ48" s="3"/>
      <c r="JRR48" s="3"/>
      <c r="JRS48" s="3"/>
      <c r="JRT48" s="3"/>
      <c r="JRU48" s="3"/>
      <c r="JRV48" s="3"/>
      <c r="JRW48" s="3"/>
      <c r="JRX48" s="3"/>
      <c r="JRY48" s="3"/>
      <c r="JRZ48" s="3"/>
      <c r="JSA48" s="3"/>
      <c r="JSB48" s="3"/>
      <c r="JSC48" s="3"/>
      <c r="JSD48" s="3"/>
      <c r="JSE48" s="3"/>
      <c r="JSF48" s="3"/>
      <c r="JSG48" s="3"/>
      <c r="JSH48" s="3"/>
      <c r="JSI48" s="3"/>
      <c r="JSJ48" s="3"/>
      <c r="JSK48" s="3"/>
      <c r="JSL48" s="3"/>
      <c r="JSM48" s="3"/>
      <c r="JSN48" s="3"/>
      <c r="JSO48" s="3"/>
      <c r="JSP48" s="3"/>
      <c r="JSQ48" s="3"/>
      <c r="JSR48" s="3"/>
      <c r="JSS48" s="3"/>
      <c r="JST48" s="3"/>
      <c r="JSU48" s="3"/>
      <c r="JSV48" s="3"/>
      <c r="JSW48" s="3"/>
      <c r="JSX48" s="3"/>
      <c r="JSY48" s="3"/>
      <c r="JSZ48" s="3"/>
      <c r="JTA48" s="3"/>
      <c r="JTB48" s="3"/>
      <c r="JTC48" s="3"/>
      <c r="JTD48" s="3"/>
      <c r="JTE48" s="3"/>
      <c r="JTF48" s="3"/>
      <c r="JTG48" s="3"/>
      <c r="JTH48" s="3"/>
      <c r="JTI48" s="3"/>
      <c r="JTJ48" s="3"/>
      <c r="JTK48" s="3"/>
      <c r="JTL48" s="3"/>
      <c r="JTM48" s="3"/>
      <c r="JTN48" s="3"/>
      <c r="JTO48" s="3"/>
      <c r="JTP48" s="3"/>
      <c r="JTQ48" s="3"/>
      <c r="JTR48" s="3"/>
      <c r="JTS48" s="3"/>
      <c r="JTT48" s="3"/>
      <c r="JTU48" s="3"/>
      <c r="JTV48" s="3"/>
      <c r="JTW48" s="3"/>
      <c r="JTX48" s="3"/>
      <c r="JTY48" s="3"/>
      <c r="JTZ48" s="3"/>
      <c r="JUA48" s="3"/>
      <c r="JUB48" s="3"/>
      <c r="JUC48" s="3"/>
      <c r="JUD48" s="3"/>
      <c r="JUE48" s="3"/>
      <c r="JUF48" s="3"/>
      <c r="JUG48" s="3"/>
      <c r="JUH48" s="3"/>
      <c r="JUI48" s="3"/>
      <c r="JUJ48" s="3"/>
      <c r="JUK48" s="3"/>
      <c r="JUL48" s="3"/>
      <c r="JUM48" s="3"/>
      <c r="JUN48" s="3"/>
      <c r="JUO48" s="3"/>
      <c r="JUP48" s="3"/>
      <c r="JUQ48" s="3"/>
      <c r="JUR48" s="3"/>
      <c r="JUS48" s="3"/>
      <c r="JUT48" s="3"/>
      <c r="JUU48" s="3"/>
      <c r="JUV48" s="3"/>
      <c r="JUW48" s="3"/>
      <c r="JUX48" s="3"/>
      <c r="JUY48" s="3"/>
      <c r="JUZ48" s="3"/>
      <c r="JVA48" s="3"/>
      <c r="JVB48" s="3"/>
      <c r="JVC48" s="3"/>
      <c r="JVD48" s="3"/>
      <c r="JVE48" s="3"/>
      <c r="JVF48" s="3"/>
      <c r="JVG48" s="3"/>
      <c r="JVH48" s="3"/>
      <c r="JVI48" s="3"/>
      <c r="JVJ48" s="3"/>
      <c r="JVK48" s="3"/>
      <c r="JVL48" s="3"/>
      <c r="JVM48" s="3"/>
      <c r="JVN48" s="3"/>
      <c r="JVO48" s="3"/>
      <c r="JVP48" s="3"/>
      <c r="JVQ48" s="3"/>
      <c r="JVR48" s="3"/>
      <c r="JVS48" s="3"/>
      <c r="JVT48" s="3"/>
      <c r="JVU48" s="3"/>
      <c r="JVV48" s="3"/>
      <c r="JVW48" s="3"/>
      <c r="JVX48" s="3"/>
      <c r="JVY48" s="3"/>
      <c r="JVZ48" s="3"/>
      <c r="JWA48" s="3"/>
      <c r="JWB48" s="3"/>
      <c r="JWC48" s="3"/>
      <c r="JWD48" s="3"/>
      <c r="JWE48" s="3"/>
      <c r="JWF48" s="3"/>
      <c r="JWG48" s="3"/>
      <c r="JWH48" s="3"/>
      <c r="JWI48" s="3"/>
      <c r="JWJ48" s="3"/>
      <c r="JWK48" s="3"/>
      <c r="JWL48" s="3"/>
      <c r="JWM48" s="3"/>
      <c r="JWN48" s="3"/>
      <c r="JWO48" s="3"/>
      <c r="JWP48" s="3"/>
      <c r="JWQ48" s="3"/>
      <c r="JWR48" s="3"/>
      <c r="JWS48" s="3"/>
      <c r="JWT48" s="3"/>
      <c r="JWU48" s="3"/>
      <c r="JWV48" s="3"/>
      <c r="JWW48" s="3"/>
      <c r="JWX48" s="3"/>
      <c r="JWY48" s="3"/>
      <c r="JWZ48" s="3"/>
      <c r="JXA48" s="3"/>
      <c r="JXB48" s="3"/>
      <c r="JXC48" s="3"/>
      <c r="JXD48" s="3"/>
      <c r="JXE48" s="3"/>
      <c r="JXF48" s="3"/>
      <c r="JXG48" s="3"/>
      <c r="JXH48" s="3"/>
      <c r="JXI48" s="3"/>
      <c r="JXJ48" s="3"/>
      <c r="JXK48" s="3"/>
      <c r="JXL48" s="3"/>
      <c r="JXM48" s="3"/>
      <c r="JXN48" s="3"/>
      <c r="JXO48" s="3"/>
      <c r="JXP48" s="3"/>
      <c r="JXQ48" s="3"/>
      <c r="JXR48" s="3"/>
      <c r="JXS48" s="3"/>
      <c r="JXT48" s="3"/>
      <c r="JXU48" s="3"/>
      <c r="JXV48" s="3"/>
      <c r="JXW48" s="3"/>
      <c r="JXX48" s="3"/>
      <c r="JXY48" s="3"/>
      <c r="JXZ48" s="3"/>
      <c r="JYA48" s="3"/>
      <c r="JYB48" s="3"/>
      <c r="JYC48" s="3"/>
      <c r="JYD48" s="3"/>
      <c r="JYE48" s="3"/>
      <c r="JYF48" s="3"/>
      <c r="JYG48" s="3"/>
      <c r="JYH48" s="3"/>
      <c r="JYI48" s="3"/>
      <c r="JYJ48" s="3"/>
      <c r="JYK48" s="3"/>
      <c r="JYL48" s="3"/>
      <c r="JYM48" s="3"/>
      <c r="JYN48" s="3"/>
      <c r="JYO48" s="3"/>
      <c r="JYP48" s="3"/>
      <c r="JYQ48" s="3"/>
      <c r="JYR48" s="3"/>
      <c r="JYS48" s="3"/>
      <c r="JYT48" s="3"/>
      <c r="JYU48" s="3"/>
      <c r="JYV48" s="3"/>
      <c r="JYW48" s="3"/>
      <c r="JYX48" s="3"/>
      <c r="JYY48" s="3"/>
      <c r="JYZ48" s="3"/>
      <c r="JZA48" s="3"/>
      <c r="JZB48" s="3"/>
      <c r="JZC48" s="3"/>
      <c r="JZD48" s="3"/>
      <c r="JZE48" s="3"/>
      <c r="JZF48" s="3"/>
      <c r="JZG48" s="3"/>
      <c r="JZH48" s="3"/>
      <c r="JZI48" s="3"/>
      <c r="JZJ48" s="3"/>
      <c r="JZK48" s="3"/>
      <c r="JZL48" s="3"/>
      <c r="JZM48" s="3"/>
      <c r="JZN48" s="3"/>
      <c r="JZO48" s="3"/>
      <c r="JZP48" s="3"/>
      <c r="JZQ48" s="3"/>
      <c r="JZR48" s="3"/>
      <c r="JZS48" s="3"/>
      <c r="JZT48" s="3"/>
      <c r="JZU48" s="3"/>
      <c r="JZV48" s="3"/>
      <c r="JZW48" s="3"/>
      <c r="JZX48" s="3"/>
      <c r="JZY48" s="3"/>
      <c r="JZZ48" s="3"/>
      <c r="KAA48" s="3"/>
      <c r="KAB48" s="3"/>
      <c r="KAC48" s="3"/>
      <c r="KAD48" s="3"/>
      <c r="KAE48" s="3"/>
      <c r="KAF48" s="3"/>
      <c r="KAG48" s="3"/>
      <c r="KAH48" s="3"/>
      <c r="KAI48" s="3"/>
      <c r="KAJ48" s="3"/>
      <c r="KAK48" s="3"/>
      <c r="KAL48" s="3"/>
      <c r="KAM48" s="3"/>
      <c r="KAN48" s="3"/>
      <c r="KAO48" s="3"/>
      <c r="KAP48" s="3"/>
      <c r="KAQ48" s="3"/>
      <c r="KAR48" s="3"/>
      <c r="KAS48" s="3"/>
      <c r="KAT48" s="3"/>
      <c r="KAU48" s="3"/>
      <c r="KAV48" s="3"/>
      <c r="KAW48" s="3"/>
      <c r="KAX48" s="3"/>
      <c r="KAY48" s="3"/>
      <c r="KAZ48" s="3"/>
      <c r="KBA48" s="3"/>
      <c r="KBB48" s="3"/>
      <c r="KBC48" s="3"/>
      <c r="KBD48" s="3"/>
      <c r="KBE48" s="3"/>
      <c r="KBF48" s="3"/>
      <c r="KBG48" s="3"/>
      <c r="KBH48" s="3"/>
      <c r="KBI48" s="3"/>
      <c r="KBJ48" s="3"/>
      <c r="KBK48" s="3"/>
      <c r="KBL48" s="3"/>
      <c r="KBM48" s="3"/>
      <c r="KBN48" s="3"/>
      <c r="KBO48" s="3"/>
      <c r="KBP48" s="3"/>
      <c r="KBQ48" s="3"/>
      <c r="KBR48" s="3"/>
      <c r="KBS48" s="3"/>
      <c r="KBT48" s="3"/>
      <c r="KBU48" s="3"/>
      <c r="KBV48" s="3"/>
      <c r="KBW48" s="3"/>
      <c r="KBX48" s="3"/>
      <c r="KBY48" s="3"/>
      <c r="KBZ48" s="3"/>
      <c r="KCA48" s="3"/>
      <c r="KCB48" s="3"/>
      <c r="KCC48" s="3"/>
      <c r="KCD48" s="3"/>
      <c r="KCE48" s="3"/>
      <c r="KCF48" s="3"/>
      <c r="KCG48" s="3"/>
      <c r="KCH48" s="3"/>
      <c r="KCI48" s="3"/>
      <c r="KCJ48" s="3"/>
      <c r="KCK48" s="3"/>
      <c r="KCL48" s="3"/>
      <c r="KCM48" s="3"/>
      <c r="KCN48" s="3"/>
      <c r="KCO48" s="3"/>
      <c r="KCP48" s="3"/>
      <c r="KCQ48" s="3"/>
      <c r="KCR48" s="3"/>
      <c r="KCS48" s="3"/>
      <c r="KCT48" s="3"/>
      <c r="KCU48" s="3"/>
      <c r="KCV48" s="3"/>
      <c r="KCW48" s="3"/>
      <c r="KCX48" s="3"/>
      <c r="KCY48" s="3"/>
      <c r="KCZ48" s="3"/>
      <c r="KDA48" s="3"/>
      <c r="KDB48" s="3"/>
      <c r="KDC48" s="3"/>
      <c r="KDD48" s="3"/>
      <c r="KDE48" s="3"/>
      <c r="KDF48" s="3"/>
      <c r="KDG48" s="3"/>
      <c r="KDH48" s="3"/>
      <c r="KDI48" s="3"/>
      <c r="KDJ48" s="3"/>
      <c r="KDK48" s="3"/>
      <c r="KDL48" s="3"/>
      <c r="KDM48" s="3"/>
      <c r="KDN48" s="3"/>
      <c r="KDO48" s="3"/>
      <c r="KDP48" s="3"/>
      <c r="KDQ48" s="3"/>
      <c r="KDR48" s="3"/>
      <c r="KDS48" s="3"/>
      <c r="KDT48" s="3"/>
      <c r="KDU48" s="3"/>
      <c r="KDV48" s="3"/>
      <c r="KDW48" s="3"/>
      <c r="KDX48" s="3"/>
      <c r="KDY48" s="3"/>
      <c r="KDZ48" s="3"/>
      <c r="KEA48" s="3"/>
      <c r="KEB48" s="3"/>
      <c r="KEC48" s="3"/>
      <c r="KED48" s="3"/>
      <c r="KEE48" s="3"/>
      <c r="KEF48" s="3"/>
      <c r="KEG48" s="3"/>
      <c r="KEH48" s="3"/>
      <c r="KEI48" s="3"/>
      <c r="KEJ48" s="3"/>
      <c r="KEK48" s="3"/>
      <c r="KEL48" s="3"/>
      <c r="KEM48" s="3"/>
      <c r="KEN48" s="3"/>
      <c r="KEO48" s="3"/>
      <c r="KEP48" s="3"/>
      <c r="KEQ48" s="3"/>
      <c r="KER48" s="3"/>
      <c r="KES48" s="3"/>
      <c r="KET48" s="3"/>
      <c r="KEU48" s="3"/>
      <c r="KEV48" s="3"/>
      <c r="KEW48" s="3"/>
      <c r="KEX48" s="3"/>
      <c r="KEY48" s="3"/>
      <c r="KEZ48" s="3"/>
      <c r="KFA48" s="3"/>
      <c r="KFB48" s="3"/>
      <c r="KFC48" s="3"/>
      <c r="KFD48" s="3"/>
      <c r="KFE48" s="3"/>
      <c r="KFF48" s="3"/>
      <c r="KFG48" s="3"/>
      <c r="KFH48" s="3"/>
      <c r="KFI48" s="3"/>
      <c r="KFJ48" s="3"/>
      <c r="KFK48" s="3"/>
      <c r="KFL48" s="3"/>
      <c r="KFM48" s="3"/>
      <c r="KFN48" s="3"/>
      <c r="KFO48" s="3"/>
      <c r="KFP48" s="3"/>
      <c r="KFQ48" s="3"/>
      <c r="KFR48" s="3"/>
      <c r="KFS48" s="3"/>
      <c r="KFT48" s="3"/>
      <c r="KFU48" s="3"/>
      <c r="KFV48" s="3"/>
      <c r="KFW48" s="3"/>
      <c r="KFX48" s="3"/>
      <c r="KFY48" s="3"/>
      <c r="KFZ48" s="3"/>
      <c r="KGA48" s="3"/>
      <c r="KGB48" s="3"/>
      <c r="KGC48" s="3"/>
      <c r="KGD48" s="3"/>
      <c r="KGE48" s="3"/>
      <c r="KGF48" s="3"/>
      <c r="KGG48" s="3"/>
      <c r="KGH48" s="3"/>
      <c r="KGI48" s="3"/>
      <c r="KGJ48" s="3"/>
      <c r="KGK48" s="3"/>
      <c r="KGL48" s="3"/>
      <c r="KGM48" s="3"/>
      <c r="KGN48" s="3"/>
      <c r="KGO48" s="3"/>
      <c r="KGP48" s="3"/>
      <c r="KGQ48" s="3"/>
      <c r="KGR48" s="3"/>
      <c r="KGS48" s="3"/>
      <c r="KGT48" s="3"/>
      <c r="KGU48" s="3"/>
      <c r="KGV48" s="3"/>
      <c r="KGW48" s="3"/>
      <c r="KGX48" s="3"/>
      <c r="KGY48" s="3"/>
      <c r="KGZ48" s="3"/>
      <c r="KHA48" s="3"/>
      <c r="KHB48" s="3"/>
      <c r="KHC48" s="3"/>
      <c r="KHD48" s="3"/>
      <c r="KHE48" s="3"/>
      <c r="KHF48" s="3"/>
      <c r="KHG48" s="3"/>
      <c r="KHH48" s="3"/>
      <c r="KHI48" s="3"/>
      <c r="KHJ48" s="3"/>
      <c r="KHK48" s="3"/>
      <c r="KHL48" s="3"/>
      <c r="KHM48" s="3"/>
      <c r="KHN48" s="3"/>
      <c r="KHO48" s="3"/>
      <c r="KHP48" s="3"/>
      <c r="KHQ48" s="3"/>
      <c r="KHR48" s="3"/>
      <c r="KHS48" s="3"/>
      <c r="KHT48" s="3"/>
      <c r="KHU48" s="3"/>
      <c r="KHV48" s="3"/>
      <c r="KHW48" s="3"/>
      <c r="KHX48" s="3"/>
      <c r="KHY48" s="3"/>
      <c r="KHZ48" s="3"/>
      <c r="KIA48" s="3"/>
      <c r="KIB48" s="3"/>
      <c r="KIC48" s="3"/>
      <c r="KID48" s="3"/>
      <c r="KIE48" s="3"/>
      <c r="KIF48" s="3"/>
      <c r="KIG48" s="3"/>
      <c r="KIH48" s="3"/>
      <c r="KII48" s="3"/>
      <c r="KIJ48" s="3"/>
      <c r="KIK48" s="3"/>
      <c r="KIL48" s="3"/>
      <c r="KIM48" s="3"/>
      <c r="KIN48" s="3"/>
      <c r="KIO48" s="3"/>
      <c r="KIP48" s="3"/>
      <c r="KIQ48" s="3"/>
      <c r="KIR48" s="3"/>
      <c r="KIS48" s="3"/>
      <c r="KIT48" s="3"/>
      <c r="KIU48" s="3"/>
      <c r="KIV48" s="3"/>
      <c r="KIW48" s="3"/>
      <c r="KIX48" s="3"/>
      <c r="KIY48" s="3"/>
      <c r="KIZ48" s="3"/>
      <c r="KJA48" s="3"/>
      <c r="KJB48" s="3"/>
      <c r="KJC48" s="3"/>
      <c r="KJD48" s="3"/>
      <c r="KJE48" s="3"/>
      <c r="KJF48" s="3"/>
      <c r="KJG48" s="3"/>
      <c r="KJH48" s="3"/>
      <c r="KJI48" s="3"/>
      <c r="KJJ48" s="3"/>
      <c r="KJK48" s="3"/>
      <c r="KJL48" s="3"/>
      <c r="KJM48" s="3"/>
      <c r="KJN48" s="3"/>
      <c r="KJO48" s="3"/>
      <c r="KJP48" s="3"/>
      <c r="KJQ48" s="3"/>
      <c r="KJR48" s="3"/>
      <c r="KJS48" s="3"/>
      <c r="KJT48" s="3"/>
      <c r="KJU48" s="3"/>
      <c r="KJV48" s="3"/>
      <c r="KJW48" s="3"/>
      <c r="KJX48" s="3"/>
      <c r="KJY48" s="3"/>
      <c r="KJZ48" s="3"/>
      <c r="KKA48" s="3"/>
      <c r="KKB48" s="3"/>
      <c r="KKC48" s="3"/>
      <c r="KKD48" s="3"/>
      <c r="KKE48" s="3"/>
      <c r="KKF48" s="3"/>
      <c r="KKG48" s="3"/>
      <c r="KKH48" s="3"/>
      <c r="KKI48" s="3"/>
      <c r="KKJ48" s="3"/>
      <c r="KKK48" s="3"/>
      <c r="KKL48" s="3"/>
      <c r="KKM48" s="3"/>
      <c r="KKN48" s="3"/>
      <c r="KKO48" s="3"/>
      <c r="KKP48" s="3"/>
      <c r="KKQ48" s="3"/>
      <c r="KKR48" s="3"/>
      <c r="KKS48" s="3"/>
      <c r="KKT48" s="3"/>
      <c r="KKU48" s="3"/>
      <c r="KKV48" s="3"/>
      <c r="KKW48" s="3"/>
      <c r="KKX48" s="3"/>
      <c r="KKY48" s="3"/>
      <c r="KKZ48" s="3"/>
      <c r="KLA48" s="3"/>
      <c r="KLB48" s="3"/>
      <c r="KLC48" s="3"/>
      <c r="KLD48" s="3"/>
      <c r="KLE48" s="3"/>
      <c r="KLF48" s="3"/>
      <c r="KLG48" s="3"/>
      <c r="KLH48" s="3"/>
      <c r="KLI48" s="3"/>
      <c r="KLJ48" s="3"/>
      <c r="KLK48" s="3"/>
      <c r="KLL48" s="3"/>
      <c r="KLM48" s="3"/>
      <c r="KLN48" s="3"/>
      <c r="KLO48" s="3"/>
      <c r="KLP48" s="3"/>
      <c r="KLQ48" s="3"/>
      <c r="KLR48" s="3"/>
      <c r="KLS48" s="3"/>
      <c r="KLT48" s="3"/>
      <c r="KLU48" s="3"/>
      <c r="KLV48" s="3"/>
      <c r="KLW48" s="3"/>
      <c r="KLX48" s="3"/>
      <c r="KLY48" s="3"/>
      <c r="KLZ48" s="3"/>
      <c r="KMA48" s="3"/>
      <c r="KMB48" s="3"/>
      <c r="KMC48" s="3"/>
      <c r="KMD48" s="3"/>
      <c r="KME48" s="3"/>
      <c r="KMF48" s="3"/>
      <c r="KMG48" s="3"/>
      <c r="KMH48" s="3"/>
      <c r="KMI48" s="3"/>
      <c r="KMJ48" s="3"/>
      <c r="KMK48" s="3"/>
      <c r="KML48" s="3"/>
      <c r="KMM48" s="3"/>
      <c r="KMN48" s="3"/>
      <c r="KMO48" s="3"/>
      <c r="KMP48" s="3"/>
      <c r="KMQ48" s="3"/>
      <c r="KMR48" s="3"/>
      <c r="KMS48" s="3"/>
      <c r="KMT48" s="3"/>
      <c r="KMU48" s="3"/>
      <c r="KMV48" s="3"/>
      <c r="KMW48" s="3"/>
      <c r="KMX48" s="3"/>
      <c r="KMY48" s="3"/>
      <c r="KMZ48" s="3"/>
      <c r="KNA48" s="3"/>
      <c r="KNB48" s="3"/>
      <c r="KNC48" s="3"/>
      <c r="KND48" s="3"/>
      <c r="KNE48" s="3"/>
      <c r="KNF48" s="3"/>
      <c r="KNG48" s="3"/>
      <c r="KNH48" s="3"/>
      <c r="KNI48" s="3"/>
      <c r="KNJ48" s="3"/>
      <c r="KNK48" s="3"/>
      <c r="KNL48" s="3"/>
      <c r="KNM48" s="3"/>
      <c r="KNN48" s="3"/>
      <c r="KNO48" s="3"/>
      <c r="KNP48" s="3"/>
      <c r="KNQ48" s="3"/>
      <c r="KNR48" s="3"/>
      <c r="KNS48" s="3"/>
      <c r="KNT48" s="3"/>
      <c r="KNU48" s="3"/>
      <c r="KNV48" s="3"/>
      <c r="KNW48" s="3"/>
      <c r="KNX48" s="3"/>
      <c r="KNY48" s="3"/>
      <c r="KNZ48" s="3"/>
      <c r="KOA48" s="3"/>
      <c r="KOB48" s="3"/>
      <c r="KOC48" s="3"/>
      <c r="KOD48" s="3"/>
      <c r="KOE48" s="3"/>
      <c r="KOF48" s="3"/>
      <c r="KOG48" s="3"/>
      <c r="KOH48" s="3"/>
      <c r="KOI48" s="3"/>
      <c r="KOJ48" s="3"/>
      <c r="KOK48" s="3"/>
      <c r="KOL48" s="3"/>
      <c r="KOM48" s="3"/>
      <c r="KON48" s="3"/>
      <c r="KOO48" s="3"/>
      <c r="KOP48" s="3"/>
      <c r="KOQ48" s="3"/>
      <c r="KOR48" s="3"/>
      <c r="KOS48" s="3"/>
      <c r="KOT48" s="3"/>
      <c r="KOU48" s="3"/>
      <c r="KOV48" s="3"/>
      <c r="KOW48" s="3"/>
      <c r="KOX48" s="3"/>
      <c r="KOY48" s="3"/>
      <c r="KOZ48" s="3"/>
      <c r="KPA48" s="3"/>
      <c r="KPB48" s="3"/>
      <c r="KPC48" s="3"/>
      <c r="KPD48" s="3"/>
      <c r="KPE48" s="3"/>
      <c r="KPF48" s="3"/>
      <c r="KPG48" s="3"/>
      <c r="KPH48" s="3"/>
      <c r="KPI48" s="3"/>
      <c r="KPJ48" s="3"/>
      <c r="KPK48" s="3"/>
      <c r="KPL48" s="3"/>
      <c r="KPM48" s="3"/>
      <c r="KPN48" s="3"/>
      <c r="KPO48" s="3"/>
      <c r="KPP48" s="3"/>
      <c r="KPQ48" s="3"/>
      <c r="KPR48" s="3"/>
      <c r="KPS48" s="3"/>
      <c r="KPT48" s="3"/>
      <c r="KPU48" s="3"/>
      <c r="KPV48" s="3"/>
      <c r="KPW48" s="3"/>
      <c r="KPX48" s="3"/>
      <c r="KPY48" s="3"/>
      <c r="KPZ48" s="3"/>
      <c r="KQA48" s="3"/>
      <c r="KQB48" s="3"/>
      <c r="KQC48" s="3"/>
      <c r="KQD48" s="3"/>
      <c r="KQE48" s="3"/>
      <c r="KQF48" s="3"/>
      <c r="KQG48" s="3"/>
      <c r="KQH48" s="3"/>
      <c r="KQI48" s="3"/>
      <c r="KQJ48" s="3"/>
      <c r="KQK48" s="3"/>
      <c r="KQL48" s="3"/>
      <c r="KQM48" s="3"/>
      <c r="KQN48" s="3"/>
      <c r="KQO48" s="3"/>
      <c r="KQP48" s="3"/>
      <c r="KQQ48" s="3"/>
      <c r="KQR48" s="3"/>
      <c r="KQS48" s="3"/>
      <c r="KQT48" s="3"/>
      <c r="KQU48" s="3"/>
      <c r="KQV48" s="3"/>
      <c r="KQW48" s="3"/>
      <c r="KQX48" s="3"/>
      <c r="KQY48" s="3"/>
      <c r="KQZ48" s="3"/>
      <c r="KRA48" s="3"/>
      <c r="KRB48" s="3"/>
      <c r="KRC48" s="3"/>
      <c r="KRD48" s="3"/>
      <c r="KRE48" s="3"/>
      <c r="KRF48" s="3"/>
      <c r="KRG48" s="3"/>
      <c r="KRH48" s="3"/>
      <c r="KRI48" s="3"/>
      <c r="KRJ48" s="3"/>
      <c r="KRK48" s="3"/>
      <c r="KRL48" s="3"/>
      <c r="KRM48" s="3"/>
      <c r="KRN48" s="3"/>
      <c r="KRO48" s="3"/>
      <c r="KRP48" s="3"/>
      <c r="KRQ48" s="3"/>
      <c r="KRR48" s="3"/>
      <c r="KRS48" s="3"/>
      <c r="KRT48" s="3"/>
      <c r="KRU48" s="3"/>
      <c r="KRV48" s="3"/>
      <c r="KRW48" s="3"/>
      <c r="KRX48" s="3"/>
      <c r="KRY48" s="3"/>
      <c r="KRZ48" s="3"/>
      <c r="KSA48" s="3"/>
      <c r="KSB48" s="3"/>
      <c r="KSC48" s="3"/>
      <c r="KSD48" s="3"/>
      <c r="KSE48" s="3"/>
      <c r="KSF48" s="3"/>
      <c r="KSG48" s="3"/>
      <c r="KSH48" s="3"/>
      <c r="KSI48" s="3"/>
      <c r="KSJ48" s="3"/>
      <c r="KSK48" s="3"/>
      <c r="KSL48" s="3"/>
      <c r="KSM48" s="3"/>
      <c r="KSN48" s="3"/>
      <c r="KSO48" s="3"/>
      <c r="KSP48" s="3"/>
      <c r="KSQ48" s="3"/>
      <c r="KSR48" s="3"/>
      <c r="KSS48" s="3"/>
      <c r="KST48" s="3"/>
      <c r="KSU48" s="3"/>
      <c r="KSV48" s="3"/>
      <c r="KSW48" s="3"/>
      <c r="KSX48" s="3"/>
      <c r="KSY48" s="3"/>
      <c r="KSZ48" s="3"/>
      <c r="KTA48" s="3"/>
      <c r="KTB48" s="3"/>
      <c r="KTC48" s="3"/>
      <c r="KTD48" s="3"/>
      <c r="KTE48" s="3"/>
      <c r="KTF48" s="3"/>
      <c r="KTG48" s="3"/>
      <c r="KTH48" s="3"/>
      <c r="KTI48" s="3"/>
      <c r="KTJ48" s="3"/>
      <c r="KTK48" s="3"/>
      <c r="KTL48" s="3"/>
      <c r="KTM48" s="3"/>
      <c r="KTN48" s="3"/>
      <c r="KTO48" s="3"/>
      <c r="KTP48" s="3"/>
      <c r="KTQ48" s="3"/>
      <c r="KTR48" s="3"/>
      <c r="KTS48" s="3"/>
      <c r="KTT48" s="3"/>
      <c r="KTU48" s="3"/>
      <c r="KTV48" s="3"/>
      <c r="KTW48" s="3"/>
      <c r="KTX48" s="3"/>
      <c r="KTY48" s="3"/>
      <c r="KTZ48" s="3"/>
      <c r="KUA48" s="3"/>
      <c r="KUB48" s="3"/>
      <c r="KUC48" s="3"/>
      <c r="KUD48" s="3"/>
      <c r="KUE48" s="3"/>
      <c r="KUF48" s="3"/>
      <c r="KUG48" s="3"/>
      <c r="KUH48" s="3"/>
      <c r="KUI48" s="3"/>
      <c r="KUJ48" s="3"/>
      <c r="KUK48" s="3"/>
      <c r="KUL48" s="3"/>
      <c r="KUM48" s="3"/>
      <c r="KUN48" s="3"/>
      <c r="KUO48" s="3"/>
      <c r="KUP48" s="3"/>
      <c r="KUQ48" s="3"/>
      <c r="KUR48" s="3"/>
      <c r="KUS48" s="3"/>
      <c r="KUT48" s="3"/>
      <c r="KUU48" s="3"/>
      <c r="KUV48" s="3"/>
      <c r="KUW48" s="3"/>
      <c r="KUX48" s="3"/>
      <c r="KUY48" s="3"/>
      <c r="KUZ48" s="3"/>
      <c r="KVA48" s="3"/>
      <c r="KVB48" s="3"/>
      <c r="KVC48" s="3"/>
      <c r="KVD48" s="3"/>
      <c r="KVE48" s="3"/>
      <c r="KVF48" s="3"/>
      <c r="KVG48" s="3"/>
      <c r="KVH48" s="3"/>
      <c r="KVI48" s="3"/>
      <c r="KVJ48" s="3"/>
      <c r="KVK48" s="3"/>
      <c r="KVL48" s="3"/>
      <c r="KVM48" s="3"/>
      <c r="KVN48" s="3"/>
      <c r="KVO48" s="3"/>
      <c r="KVP48" s="3"/>
      <c r="KVQ48" s="3"/>
      <c r="KVR48" s="3"/>
      <c r="KVS48" s="3"/>
      <c r="KVT48" s="3"/>
      <c r="KVU48" s="3"/>
      <c r="KVV48" s="3"/>
      <c r="KVW48" s="3"/>
      <c r="KVX48" s="3"/>
      <c r="KVY48" s="3"/>
      <c r="KVZ48" s="3"/>
      <c r="KWA48" s="3"/>
      <c r="KWB48" s="3"/>
      <c r="KWC48" s="3"/>
      <c r="KWD48" s="3"/>
      <c r="KWE48" s="3"/>
      <c r="KWF48" s="3"/>
      <c r="KWG48" s="3"/>
      <c r="KWH48" s="3"/>
      <c r="KWI48" s="3"/>
      <c r="KWJ48" s="3"/>
      <c r="KWK48" s="3"/>
      <c r="KWL48" s="3"/>
      <c r="KWM48" s="3"/>
      <c r="KWN48" s="3"/>
      <c r="KWO48" s="3"/>
      <c r="KWP48" s="3"/>
      <c r="KWQ48" s="3"/>
      <c r="KWR48" s="3"/>
      <c r="KWS48" s="3"/>
      <c r="KWT48" s="3"/>
      <c r="KWU48" s="3"/>
      <c r="KWV48" s="3"/>
      <c r="KWW48" s="3"/>
      <c r="KWX48" s="3"/>
      <c r="KWY48" s="3"/>
      <c r="KWZ48" s="3"/>
      <c r="KXA48" s="3"/>
      <c r="KXB48" s="3"/>
      <c r="KXC48" s="3"/>
      <c r="KXD48" s="3"/>
      <c r="KXE48" s="3"/>
      <c r="KXF48" s="3"/>
      <c r="KXG48" s="3"/>
      <c r="KXH48" s="3"/>
      <c r="KXI48" s="3"/>
      <c r="KXJ48" s="3"/>
      <c r="KXK48" s="3"/>
      <c r="KXL48" s="3"/>
      <c r="KXM48" s="3"/>
      <c r="KXN48" s="3"/>
      <c r="KXO48" s="3"/>
      <c r="KXP48" s="3"/>
      <c r="KXQ48" s="3"/>
      <c r="KXR48" s="3"/>
      <c r="KXS48" s="3"/>
      <c r="KXT48" s="3"/>
      <c r="KXU48" s="3"/>
      <c r="KXV48" s="3"/>
      <c r="KXW48" s="3"/>
      <c r="KXX48" s="3"/>
      <c r="KXY48" s="3"/>
      <c r="KXZ48" s="3"/>
      <c r="KYA48" s="3"/>
      <c r="KYB48" s="3"/>
      <c r="KYC48" s="3"/>
      <c r="KYD48" s="3"/>
      <c r="KYE48" s="3"/>
      <c r="KYF48" s="3"/>
      <c r="KYG48" s="3"/>
      <c r="KYH48" s="3"/>
      <c r="KYI48" s="3"/>
      <c r="KYJ48" s="3"/>
      <c r="KYK48" s="3"/>
      <c r="KYL48" s="3"/>
      <c r="KYM48" s="3"/>
      <c r="KYN48" s="3"/>
      <c r="KYO48" s="3"/>
      <c r="KYP48" s="3"/>
      <c r="KYQ48" s="3"/>
      <c r="KYR48" s="3"/>
      <c r="KYS48" s="3"/>
      <c r="KYT48" s="3"/>
      <c r="KYU48" s="3"/>
      <c r="KYV48" s="3"/>
      <c r="KYW48" s="3"/>
      <c r="KYX48" s="3"/>
      <c r="KYY48" s="3"/>
      <c r="KYZ48" s="3"/>
      <c r="KZA48" s="3"/>
      <c r="KZB48" s="3"/>
      <c r="KZC48" s="3"/>
      <c r="KZD48" s="3"/>
      <c r="KZE48" s="3"/>
      <c r="KZF48" s="3"/>
      <c r="KZG48" s="3"/>
      <c r="KZH48" s="3"/>
      <c r="KZI48" s="3"/>
      <c r="KZJ48" s="3"/>
      <c r="KZK48" s="3"/>
      <c r="KZL48" s="3"/>
      <c r="KZM48" s="3"/>
      <c r="KZN48" s="3"/>
      <c r="KZO48" s="3"/>
      <c r="KZP48" s="3"/>
      <c r="KZQ48" s="3"/>
      <c r="KZR48" s="3"/>
      <c r="KZS48" s="3"/>
      <c r="KZT48" s="3"/>
      <c r="KZU48" s="3"/>
      <c r="KZV48" s="3"/>
      <c r="KZW48" s="3"/>
      <c r="KZX48" s="3"/>
      <c r="KZY48" s="3"/>
      <c r="KZZ48" s="3"/>
      <c r="LAA48" s="3"/>
      <c r="LAB48" s="3"/>
      <c r="LAC48" s="3"/>
      <c r="LAD48" s="3"/>
      <c r="LAE48" s="3"/>
      <c r="LAF48" s="3"/>
      <c r="LAG48" s="3"/>
      <c r="LAH48" s="3"/>
      <c r="LAI48" s="3"/>
      <c r="LAJ48" s="3"/>
      <c r="LAK48" s="3"/>
      <c r="LAL48" s="3"/>
      <c r="LAM48" s="3"/>
      <c r="LAN48" s="3"/>
      <c r="LAO48" s="3"/>
      <c r="LAP48" s="3"/>
      <c r="LAQ48" s="3"/>
      <c r="LAR48" s="3"/>
      <c r="LAS48" s="3"/>
      <c r="LAT48" s="3"/>
      <c r="LAU48" s="3"/>
      <c r="LAV48" s="3"/>
      <c r="LAW48" s="3"/>
      <c r="LAX48" s="3"/>
      <c r="LAY48" s="3"/>
      <c r="LAZ48" s="3"/>
      <c r="LBA48" s="3"/>
      <c r="LBB48" s="3"/>
      <c r="LBC48" s="3"/>
      <c r="LBD48" s="3"/>
      <c r="LBE48" s="3"/>
      <c r="LBF48" s="3"/>
      <c r="LBG48" s="3"/>
      <c r="LBH48" s="3"/>
      <c r="LBI48" s="3"/>
      <c r="LBJ48" s="3"/>
      <c r="LBK48" s="3"/>
      <c r="LBL48" s="3"/>
      <c r="LBM48" s="3"/>
      <c r="LBN48" s="3"/>
      <c r="LBO48" s="3"/>
      <c r="LBP48" s="3"/>
      <c r="LBQ48" s="3"/>
      <c r="LBR48" s="3"/>
      <c r="LBS48" s="3"/>
      <c r="LBT48" s="3"/>
      <c r="LBU48" s="3"/>
      <c r="LBV48" s="3"/>
      <c r="LBW48" s="3"/>
      <c r="LBX48" s="3"/>
      <c r="LBY48" s="3"/>
      <c r="LBZ48" s="3"/>
      <c r="LCA48" s="3"/>
      <c r="LCB48" s="3"/>
      <c r="LCC48" s="3"/>
      <c r="LCD48" s="3"/>
      <c r="LCE48" s="3"/>
      <c r="LCF48" s="3"/>
      <c r="LCG48" s="3"/>
      <c r="LCH48" s="3"/>
      <c r="LCI48" s="3"/>
      <c r="LCJ48" s="3"/>
      <c r="LCK48" s="3"/>
      <c r="LCL48" s="3"/>
      <c r="LCM48" s="3"/>
      <c r="LCN48" s="3"/>
      <c r="LCO48" s="3"/>
      <c r="LCP48" s="3"/>
      <c r="LCQ48" s="3"/>
      <c r="LCR48" s="3"/>
      <c r="LCS48" s="3"/>
      <c r="LCT48" s="3"/>
      <c r="LCU48" s="3"/>
      <c r="LCV48" s="3"/>
      <c r="LCW48" s="3"/>
      <c r="LCX48" s="3"/>
      <c r="LCY48" s="3"/>
      <c r="LCZ48" s="3"/>
      <c r="LDA48" s="3"/>
      <c r="LDB48" s="3"/>
      <c r="LDC48" s="3"/>
      <c r="LDD48" s="3"/>
      <c r="LDE48" s="3"/>
      <c r="LDF48" s="3"/>
      <c r="LDG48" s="3"/>
      <c r="LDH48" s="3"/>
      <c r="LDI48" s="3"/>
      <c r="LDJ48" s="3"/>
      <c r="LDK48" s="3"/>
      <c r="LDL48" s="3"/>
      <c r="LDM48" s="3"/>
      <c r="LDN48" s="3"/>
      <c r="LDO48" s="3"/>
      <c r="LDP48" s="3"/>
      <c r="LDQ48" s="3"/>
      <c r="LDR48" s="3"/>
      <c r="LDS48" s="3"/>
      <c r="LDT48" s="3"/>
      <c r="LDU48" s="3"/>
      <c r="LDV48" s="3"/>
      <c r="LDW48" s="3"/>
      <c r="LDX48" s="3"/>
      <c r="LDY48" s="3"/>
      <c r="LDZ48" s="3"/>
      <c r="LEA48" s="3"/>
      <c r="LEB48" s="3"/>
      <c r="LEC48" s="3"/>
      <c r="LED48" s="3"/>
      <c r="LEE48" s="3"/>
      <c r="LEF48" s="3"/>
      <c r="LEG48" s="3"/>
      <c r="LEH48" s="3"/>
      <c r="LEI48" s="3"/>
      <c r="LEJ48" s="3"/>
      <c r="LEK48" s="3"/>
      <c r="LEL48" s="3"/>
      <c r="LEM48" s="3"/>
      <c r="LEN48" s="3"/>
      <c r="LEO48" s="3"/>
      <c r="LEP48" s="3"/>
      <c r="LEQ48" s="3"/>
      <c r="LER48" s="3"/>
      <c r="LES48" s="3"/>
      <c r="LET48" s="3"/>
      <c r="LEU48" s="3"/>
      <c r="LEV48" s="3"/>
      <c r="LEW48" s="3"/>
      <c r="LEX48" s="3"/>
      <c r="LEY48" s="3"/>
      <c r="LEZ48" s="3"/>
      <c r="LFA48" s="3"/>
      <c r="LFB48" s="3"/>
      <c r="LFC48" s="3"/>
      <c r="LFD48" s="3"/>
      <c r="LFE48" s="3"/>
      <c r="LFF48" s="3"/>
      <c r="LFG48" s="3"/>
      <c r="LFH48" s="3"/>
      <c r="LFI48" s="3"/>
      <c r="LFJ48" s="3"/>
      <c r="LFK48" s="3"/>
      <c r="LFL48" s="3"/>
      <c r="LFM48" s="3"/>
      <c r="LFN48" s="3"/>
      <c r="LFO48" s="3"/>
      <c r="LFP48" s="3"/>
      <c r="LFQ48" s="3"/>
      <c r="LFR48" s="3"/>
      <c r="LFS48" s="3"/>
      <c r="LFT48" s="3"/>
      <c r="LFU48" s="3"/>
      <c r="LFV48" s="3"/>
      <c r="LFW48" s="3"/>
      <c r="LFX48" s="3"/>
      <c r="LFY48" s="3"/>
      <c r="LFZ48" s="3"/>
      <c r="LGA48" s="3"/>
      <c r="LGB48" s="3"/>
      <c r="LGC48" s="3"/>
      <c r="LGD48" s="3"/>
      <c r="LGE48" s="3"/>
      <c r="LGF48" s="3"/>
      <c r="LGG48" s="3"/>
      <c r="LGH48" s="3"/>
      <c r="LGI48" s="3"/>
      <c r="LGJ48" s="3"/>
      <c r="LGK48" s="3"/>
      <c r="LGL48" s="3"/>
      <c r="LGM48" s="3"/>
      <c r="LGN48" s="3"/>
      <c r="LGO48" s="3"/>
      <c r="LGP48" s="3"/>
      <c r="LGQ48" s="3"/>
      <c r="LGR48" s="3"/>
      <c r="LGS48" s="3"/>
      <c r="LGT48" s="3"/>
      <c r="LGU48" s="3"/>
      <c r="LGV48" s="3"/>
      <c r="LGW48" s="3"/>
      <c r="LGX48" s="3"/>
      <c r="LGY48" s="3"/>
      <c r="LGZ48" s="3"/>
      <c r="LHA48" s="3"/>
      <c r="LHB48" s="3"/>
      <c r="LHC48" s="3"/>
      <c r="LHD48" s="3"/>
      <c r="LHE48" s="3"/>
      <c r="LHF48" s="3"/>
      <c r="LHG48" s="3"/>
      <c r="LHH48" s="3"/>
      <c r="LHI48" s="3"/>
      <c r="LHJ48" s="3"/>
      <c r="LHK48" s="3"/>
      <c r="LHL48" s="3"/>
      <c r="LHM48" s="3"/>
      <c r="LHN48" s="3"/>
      <c r="LHO48" s="3"/>
      <c r="LHP48" s="3"/>
      <c r="LHQ48" s="3"/>
      <c r="LHR48" s="3"/>
      <c r="LHS48" s="3"/>
      <c r="LHT48" s="3"/>
      <c r="LHU48" s="3"/>
      <c r="LHV48" s="3"/>
      <c r="LHW48" s="3"/>
      <c r="LHX48" s="3"/>
      <c r="LHY48" s="3"/>
      <c r="LHZ48" s="3"/>
      <c r="LIA48" s="3"/>
      <c r="LIB48" s="3"/>
      <c r="LIC48" s="3"/>
      <c r="LID48" s="3"/>
      <c r="LIE48" s="3"/>
      <c r="LIF48" s="3"/>
      <c r="LIG48" s="3"/>
      <c r="LIH48" s="3"/>
      <c r="LII48" s="3"/>
      <c r="LIJ48" s="3"/>
      <c r="LIK48" s="3"/>
      <c r="LIL48" s="3"/>
      <c r="LIM48" s="3"/>
      <c r="LIN48" s="3"/>
      <c r="LIO48" s="3"/>
      <c r="LIP48" s="3"/>
      <c r="LIQ48" s="3"/>
      <c r="LIR48" s="3"/>
      <c r="LIS48" s="3"/>
      <c r="LIT48" s="3"/>
      <c r="LIU48" s="3"/>
      <c r="LIV48" s="3"/>
      <c r="LIW48" s="3"/>
      <c r="LIX48" s="3"/>
      <c r="LIY48" s="3"/>
      <c r="LIZ48" s="3"/>
      <c r="LJA48" s="3"/>
      <c r="LJB48" s="3"/>
      <c r="LJC48" s="3"/>
      <c r="LJD48" s="3"/>
      <c r="LJE48" s="3"/>
      <c r="LJF48" s="3"/>
      <c r="LJG48" s="3"/>
      <c r="LJH48" s="3"/>
      <c r="LJI48" s="3"/>
      <c r="LJJ48" s="3"/>
      <c r="LJK48" s="3"/>
      <c r="LJL48" s="3"/>
      <c r="LJM48" s="3"/>
      <c r="LJN48" s="3"/>
      <c r="LJO48" s="3"/>
      <c r="LJP48" s="3"/>
      <c r="LJQ48" s="3"/>
      <c r="LJR48" s="3"/>
      <c r="LJS48" s="3"/>
      <c r="LJT48" s="3"/>
      <c r="LJU48" s="3"/>
      <c r="LJV48" s="3"/>
      <c r="LJW48" s="3"/>
      <c r="LJX48" s="3"/>
      <c r="LJY48" s="3"/>
      <c r="LJZ48" s="3"/>
      <c r="LKA48" s="3"/>
      <c r="LKB48" s="3"/>
      <c r="LKC48" s="3"/>
      <c r="LKD48" s="3"/>
      <c r="LKE48" s="3"/>
      <c r="LKF48" s="3"/>
      <c r="LKG48" s="3"/>
      <c r="LKH48" s="3"/>
      <c r="LKI48" s="3"/>
      <c r="LKJ48" s="3"/>
      <c r="LKK48" s="3"/>
      <c r="LKL48" s="3"/>
      <c r="LKM48" s="3"/>
      <c r="LKN48" s="3"/>
      <c r="LKO48" s="3"/>
      <c r="LKP48" s="3"/>
      <c r="LKQ48" s="3"/>
      <c r="LKR48" s="3"/>
      <c r="LKS48" s="3"/>
      <c r="LKT48" s="3"/>
      <c r="LKU48" s="3"/>
      <c r="LKV48" s="3"/>
      <c r="LKW48" s="3"/>
      <c r="LKX48" s="3"/>
      <c r="LKY48" s="3"/>
      <c r="LKZ48" s="3"/>
      <c r="LLA48" s="3"/>
      <c r="LLB48" s="3"/>
      <c r="LLC48" s="3"/>
      <c r="LLD48" s="3"/>
      <c r="LLE48" s="3"/>
      <c r="LLF48" s="3"/>
      <c r="LLG48" s="3"/>
      <c r="LLH48" s="3"/>
      <c r="LLI48" s="3"/>
      <c r="LLJ48" s="3"/>
      <c r="LLK48" s="3"/>
      <c r="LLL48" s="3"/>
      <c r="LLM48" s="3"/>
      <c r="LLN48" s="3"/>
      <c r="LLO48" s="3"/>
      <c r="LLP48" s="3"/>
      <c r="LLQ48" s="3"/>
      <c r="LLR48" s="3"/>
      <c r="LLS48" s="3"/>
      <c r="LLT48" s="3"/>
      <c r="LLU48" s="3"/>
      <c r="LLV48" s="3"/>
      <c r="LLW48" s="3"/>
      <c r="LLX48" s="3"/>
      <c r="LLY48" s="3"/>
      <c r="LLZ48" s="3"/>
      <c r="LMA48" s="3"/>
      <c r="LMB48" s="3"/>
      <c r="LMC48" s="3"/>
      <c r="LMD48" s="3"/>
      <c r="LME48" s="3"/>
      <c r="LMF48" s="3"/>
      <c r="LMG48" s="3"/>
      <c r="LMH48" s="3"/>
      <c r="LMI48" s="3"/>
      <c r="LMJ48" s="3"/>
      <c r="LMK48" s="3"/>
      <c r="LML48" s="3"/>
      <c r="LMM48" s="3"/>
      <c r="LMN48" s="3"/>
      <c r="LMO48" s="3"/>
      <c r="LMP48" s="3"/>
      <c r="LMQ48" s="3"/>
      <c r="LMR48" s="3"/>
      <c r="LMS48" s="3"/>
      <c r="LMT48" s="3"/>
      <c r="LMU48" s="3"/>
      <c r="LMV48" s="3"/>
      <c r="LMW48" s="3"/>
      <c r="LMX48" s="3"/>
      <c r="LMY48" s="3"/>
      <c r="LMZ48" s="3"/>
      <c r="LNA48" s="3"/>
      <c r="LNB48" s="3"/>
      <c r="LNC48" s="3"/>
      <c r="LND48" s="3"/>
      <c r="LNE48" s="3"/>
      <c r="LNF48" s="3"/>
      <c r="LNG48" s="3"/>
      <c r="LNH48" s="3"/>
      <c r="LNI48" s="3"/>
      <c r="LNJ48" s="3"/>
      <c r="LNK48" s="3"/>
      <c r="LNL48" s="3"/>
      <c r="LNM48" s="3"/>
      <c r="LNN48" s="3"/>
      <c r="LNO48" s="3"/>
      <c r="LNP48" s="3"/>
      <c r="LNQ48" s="3"/>
      <c r="LNR48" s="3"/>
      <c r="LNS48" s="3"/>
      <c r="LNT48" s="3"/>
      <c r="LNU48" s="3"/>
      <c r="LNV48" s="3"/>
      <c r="LNW48" s="3"/>
      <c r="LNX48" s="3"/>
      <c r="LNY48" s="3"/>
      <c r="LNZ48" s="3"/>
      <c r="LOA48" s="3"/>
      <c r="LOB48" s="3"/>
      <c r="LOC48" s="3"/>
      <c r="LOD48" s="3"/>
      <c r="LOE48" s="3"/>
      <c r="LOF48" s="3"/>
      <c r="LOG48" s="3"/>
      <c r="LOH48" s="3"/>
      <c r="LOI48" s="3"/>
      <c r="LOJ48" s="3"/>
      <c r="LOK48" s="3"/>
      <c r="LOL48" s="3"/>
      <c r="LOM48" s="3"/>
      <c r="LON48" s="3"/>
      <c r="LOO48" s="3"/>
      <c r="LOP48" s="3"/>
      <c r="LOQ48" s="3"/>
      <c r="LOR48" s="3"/>
      <c r="LOS48" s="3"/>
      <c r="LOT48" s="3"/>
      <c r="LOU48" s="3"/>
      <c r="LOV48" s="3"/>
      <c r="LOW48" s="3"/>
      <c r="LOX48" s="3"/>
      <c r="LOY48" s="3"/>
      <c r="LOZ48" s="3"/>
      <c r="LPA48" s="3"/>
      <c r="LPB48" s="3"/>
      <c r="LPC48" s="3"/>
      <c r="LPD48" s="3"/>
      <c r="LPE48" s="3"/>
      <c r="LPF48" s="3"/>
      <c r="LPG48" s="3"/>
      <c r="LPH48" s="3"/>
      <c r="LPI48" s="3"/>
      <c r="LPJ48" s="3"/>
      <c r="LPK48" s="3"/>
      <c r="LPL48" s="3"/>
      <c r="LPM48" s="3"/>
      <c r="LPN48" s="3"/>
      <c r="LPO48" s="3"/>
      <c r="LPP48" s="3"/>
      <c r="LPQ48" s="3"/>
      <c r="LPR48" s="3"/>
      <c r="LPS48" s="3"/>
      <c r="LPT48" s="3"/>
      <c r="LPU48" s="3"/>
      <c r="LPV48" s="3"/>
      <c r="LPW48" s="3"/>
      <c r="LPX48" s="3"/>
      <c r="LPY48" s="3"/>
      <c r="LPZ48" s="3"/>
      <c r="LQA48" s="3"/>
      <c r="LQB48" s="3"/>
      <c r="LQC48" s="3"/>
      <c r="LQD48" s="3"/>
      <c r="LQE48" s="3"/>
      <c r="LQF48" s="3"/>
      <c r="LQG48" s="3"/>
      <c r="LQH48" s="3"/>
      <c r="LQI48" s="3"/>
      <c r="LQJ48" s="3"/>
      <c r="LQK48" s="3"/>
      <c r="LQL48" s="3"/>
      <c r="LQM48" s="3"/>
      <c r="LQN48" s="3"/>
      <c r="LQO48" s="3"/>
      <c r="LQP48" s="3"/>
      <c r="LQQ48" s="3"/>
      <c r="LQR48" s="3"/>
      <c r="LQS48" s="3"/>
      <c r="LQT48" s="3"/>
      <c r="LQU48" s="3"/>
      <c r="LQV48" s="3"/>
      <c r="LQW48" s="3"/>
      <c r="LQX48" s="3"/>
      <c r="LQY48" s="3"/>
      <c r="LQZ48" s="3"/>
      <c r="LRA48" s="3"/>
      <c r="LRB48" s="3"/>
      <c r="LRC48" s="3"/>
      <c r="LRD48" s="3"/>
      <c r="LRE48" s="3"/>
      <c r="LRF48" s="3"/>
      <c r="LRG48" s="3"/>
      <c r="LRH48" s="3"/>
      <c r="LRI48" s="3"/>
      <c r="LRJ48" s="3"/>
      <c r="LRK48" s="3"/>
      <c r="LRL48" s="3"/>
      <c r="LRM48" s="3"/>
      <c r="LRN48" s="3"/>
      <c r="LRO48" s="3"/>
      <c r="LRP48" s="3"/>
      <c r="LRQ48" s="3"/>
      <c r="LRR48" s="3"/>
      <c r="LRS48" s="3"/>
      <c r="LRT48" s="3"/>
      <c r="LRU48" s="3"/>
      <c r="LRV48" s="3"/>
      <c r="LRW48" s="3"/>
      <c r="LRX48" s="3"/>
      <c r="LRY48" s="3"/>
      <c r="LRZ48" s="3"/>
      <c r="LSA48" s="3"/>
      <c r="LSB48" s="3"/>
      <c r="LSC48" s="3"/>
      <c r="LSD48" s="3"/>
      <c r="LSE48" s="3"/>
      <c r="LSF48" s="3"/>
      <c r="LSG48" s="3"/>
      <c r="LSH48" s="3"/>
      <c r="LSI48" s="3"/>
      <c r="LSJ48" s="3"/>
      <c r="LSK48" s="3"/>
      <c r="LSL48" s="3"/>
      <c r="LSM48" s="3"/>
      <c r="LSN48" s="3"/>
      <c r="LSO48" s="3"/>
      <c r="LSP48" s="3"/>
      <c r="LSQ48" s="3"/>
      <c r="LSR48" s="3"/>
      <c r="LSS48" s="3"/>
      <c r="LST48" s="3"/>
      <c r="LSU48" s="3"/>
      <c r="LSV48" s="3"/>
      <c r="LSW48" s="3"/>
      <c r="LSX48" s="3"/>
      <c r="LSY48" s="3"/>
      <c r="LSZ48" s="3"/>
      <c r="LTA48" s="3"/>
      <c r="LTB48" s="3"/>
      <c r="LTC48" s="3"/>
      <c r="LTD48" s="3"/>
      <c r="LTE48" s="3"/>
      <c r="LTF48" s="3"/>
      <c r="LTG48" s="3"/>
      <c r="LTH48" s="3"/>
      <c r="LTI48" s="3"/>
      <c r="LTJ48" s="3"/>
      <c r="LTK48" s="3"/>
      <c r="LTL48" s="3"/>
      <c r="LTM48" s="3"/>
      <c r="LTN48" s="3"/>
      <c r="LTO48" s="3"/>
      <c r="LTP48" s="3"/>
      <c r="LTQ48" s="3"/>
      <c r="LTR48" s="3"/>
      <c r="LTS48" s="3"/>
      <c r="LTT48" s="3"/>
      <c r="LTU48" s="3"/>
      <c r="LTV48" s="3"/>
      <c r="LTW48" s="3"/>
      <c r="LTX48" s="3"/>
      <c r="LTY48" s="3"/>
      <c r="LTZ48" s="3"/>
      <c r="LUA48" s="3"/>
      <c r="LUB48" s="3"/>
      <c r="LUC48" s="3"/>
      <c r="LUD48" s="3"/>
      <c r="LUE48" s="3"/>
      <c r="LUF48" s="3"/>
      <c r="LUG48" s="3"/>
      <c r="LUH48" s="3"/>
      <c r="LUI48" s="3"/>
      <c r="LUJ48" s="3"/>
      <c r="LUK48" s="3"/>
      <c r="LUL48" s="3"/>
      <c r="LUM48" s="3"/>
      <c r="LUN48" s="3"/>
      <c r="LUO48" s="3"/>
      <c r="LUP48" s="3"/>
      <c r="LUQ48" s="3"/>
      <c r="LUR48" s="3"/>
      <c r="LUS48" s="3"/>
      <c r="LUT48" s="3"/>
      <c r="LUU48" s="3"/>
      <c r="LUV48" s="3"/>
      <c r="LUW48" s="3"/>
      <c r="LUX48" s="3"/>
      <c r="LUY48" s="3"/>
      <c r="LUZ48" s="3"/>
      <c r="LVA48" s="3"/>
      <c r="LVB48" s="3"/>
      <c r="LVC48" s="3"/>
      <c r="LVD48" s="3"/>
      <c r="LVE48" s="3"/>
      <c r="LVF48" s="3"/>
      <c r="LVG48" s="3"/>
      <c r="LVH48" s="3"/>
      <c r="LVI48" s="3"/>
      <c r="LVJ48" s="3"/>
      <c r="LVK48" s="3"/>
      <c r="LVL48" s="3"/>
      <c r="LVM48" s="3"/>
      <c r="LVN48" s="3"/>
      <c r="LVO48" s="3"/>
      <c r="LVP48" s="3"/>
      <c r="LVQ48" s="3"/>
      <c r="LVR48" s="3"/>
      <c r="LVS48" s="3"/>
      <c r="LVT48" s="3"/>
      <c r="LVU48" s="3"/>
      <c r="LVV48" s="3"/>
      <c r="LVW48" s="3"/>
      <c r="LVX48" s="3"/>
      <c r="LVY48" s="3"/>
      <c r="LVZ48" s="3"/>
      <c r="LWA48" s="3"/>
      <c r="LWB48" s="3"/>
      <c r="LWC48" s="3"/>
      <c r="LWD48" s="3"/>
      <c r="LWE48" s="3"/>
      <c r="LWF48" s="3"/>
      <c r="LWG48" s="3"/>
      <c r="LWH48" s="3"/>
      <c r="LWI48" s="3"/>
      <c r="LWJ48" s="3"/>
      <c r="LWK48" s="3"/>
      <c r="LWL48" s="3"/>
      <c r="LWM48" s="3"/>
      <c r="LWN48" s="3"/>
      <c r="LWO48" s="3"/>
      <c r="LWP48" s="3"/>
      <c r="LWQ48" s="3"/>
      <c r="LWR48" s="3"/>
      <c r="LWS48" s="3"/>
      <c r="LWT48" s="3"/>
      <c r="LWU48" s="3"/>
      <c r="LWV48" s="3"/>
      <c r="LWW48" s="3"/>
      <c r="LWX48" s="3"/>
      <c r="LWY48" s="3"/>
      <c r="LWZ48" s="3"/>
      <c r="LXA48" s="3"/>
      <c r="LXB48" s="3"/>
      <c r="LXC48" s="3"/>
      <c r="LXD48" s="3"/>
      <c r="LXE48" s="3"/>
      <c r="LXF48" s="3"/>
      <c r="LXG48" s="3"/>
      <c r="LXH48" s="3"/>
      <c r="LXI48" s="3"/>
      <c r="LXJ48" s="3"/>
      <c r="LXK48" s="3"/>
      <c r="LXL48" s="3"/>
      <c r="LXM48" s="3"/>
      <c r="LXN48" s="3"/>
      <c r="LXO48" s="3"/>
      <c r="LXP48" s="3"/>
      <c r="LXQ48" s="3"/>
      <c r="LXR48" s="3"/>
      <c r="LXS48" s="3"/>
      <c r="LXT48" s="3"/>
      <c r="LXU48" s="3"/>
      <c r="LXV48" s="3"/>
      <c r="LXW48" s="3"/>
      <c r="LXX48" s="3"/>
      <c r="LXY48" s="3"/>
      <c r="LXZ48" s="3"/>
      <c r="LYA48" s="3"/>
      <c r="LYB48" s="3"/>
      <c r="LYC48" s="3"/>
      <c r="LYD48" s="3"/>
      <c r="LYE48" s="3"/>
      <c r="LYF48" s="3"/>
      <c r="LYG48" s="3"/>
      <c r="LYH48" s="3"/>
      <c r="LYI48" s="3"/>
      <c r="LYJ48" s="3"/>
      <c r="LYK48" s="3"/>
      <c r="LYL48" s="3"/>
      <c r="LYM48" s="3"/>
      <c r="LYN48" s="3"/>
      <c r="LYO48" s="3"/>
      <c r="LYP48" s="3"/>
      <c r="LYQ48" s="3"/>
      <c r="LYR48" s="3"/>
      <c r="LYS48" s="3"/>
      <c r="LYT48" s="3"/>
      <c r="LYU48" s="3"/>
      <c r="LYV48" s="3"/>
      <c r="LYW48" s="3"/>
      <c r="LYX48" s="3"/>
      <c r="LYY48" s="3"/>
      <c r="LYZ48" s="3"/>
      <c r="LZA48" s="3"/>
      <c r="LZB48" s="3"/>
      <c r="LZC48" s="3"/>
      <c r="LZD48" s="3"/>
      <c r="LZE48" s="3"/>
      <c r="LZF48" s="3"/>
      <c r="LZG48" s="3"/>
      <c r="LZH48" s="3"/>
      <c r="LZI48" s="3"/>
      <c r="LZJ48" s="3"/>
      <c r="LZK48" s="3"/>
      <c r="LZL48" s="3"/>
      <c r="LZM48" s="3"/>
      <c r="LZN48" s="3"/>
      <c r="LZO48" s="3"/>
      <c r="LZP48" s="3"/>
      <c r="LZQ48" s="3"/>
      <c r="LZR48" s="3"/>
      <c r="LZS48" s="3"/>
      <c r="LZT48" s="3"/>
      <c r="LZU48" s="3"/>
      <c r="LZV48" s="3"/>
      <c r="LZW48" s="3"/>
      <c r="LZX48" s="3"/>
      <c r="LZY48" s="3"/>
      <c r="LZZ48" s="3"/>
      <c r="MAA48" s="3"/>
      <c r="MAB48" s="3"/>
      <c r="MAC48" s="3"/>
      <c r="MAD48" s="3"/>
      <c r="MAE48" s="3"/>
      <c r="MAF48" s="3"/>
      <c r="MAG48" s="3"/>
      <c r="MAH48" s="3"/>
      <c r="MAI48" s="3"/>
      <c r="MAJ48" s="3"/>
      <c r="MAK48" s="3"/>
      <c r="MAL48" s="3"/>
      <c r="MAM48" s="3"/>
      <c r="MAN48" s="3"/>
      <c r="MAO48" s="3"/>
      <c r="MAP48" s="3"/>
      <c r="MAQ48" s="3"/>
      <c r="MAR48" s="3"/>
      <c r="MAS48" s="3"/>
      <c r="MAT48" s="3"/>
      <c r="MAU48" s="3"/>
      <c r="MAV48" s="3"/>
      <c r="MAW48" s="3"/>
      <c r="MAX48" s="3"/>
      <c r="MAY48" s="3"/>
      <c r="MAZ48" s="3"/>
      <c r="MBA48" s="3"/>
      <c r="MBB48" s="3"/>
      <c r="MBC48" s="3"/>
      <c r="MBD48" s="3"/>
      <c r="MBE48" s="3"/>
      <c r="MBF48" s="3"/>
      <c r="MBG48" s="3"/>
      <c r="MBH48" s="3"/>
      <c r="MBI48" s="3"/>
      <c r="MBJ48" s="3"/>
      <c r="MBK48" s="3"/>
      <c r="MBL48" s="3"/>
      <c r="MBM48" s="3"/>
      <c r="MBN48" s="3"/>
      <c r="MBO48" s="3"/>
      <c r="MBP48" s="3"/>
      <c r="MBQ48" s="3"/>
      <c r="MBR48" s="3"/>
      <c r="MBS48" s="3"/>
      <c r="MBT48" s="3"/>
      <c r="MBU48" s="3"/>
      <c r="MBV48" s="3"/>
      <c r="MBW48" s="3"/>
      <c r="MBX48" s="3"/>
      <c r="MBY48" s="3"/>
      <c r="MBZ48" s="3"/>
      <c r="MCA48" s="3"/>
      <c r="MCB48" s="3"/>
      <c r="MCC48" s="3"/>
      <c r="MCD48" s="3"/>
      <c r="MCE48" s="3"/>
      <c r="MCF48" s="3"/>
      <c r="MCG48" s="3"/>
      <c r="MCH48" s="3"/>
      <c r="MCI48" s="3"/>
      <c r="MCJ48" s="3"/>
      <c r="MCK48" s="3"/>
      <c r="MCL48" s="3"/>
      <c r="MCM48" s="3"/>
      <c r="MCN48" s="3"/>
      <c r="MCO48" s="3"/>
      <c r="MCP48" s="3"/>
      <c r="MCQ48" s="3"/>
      <c r="MCR48" s="3"/>
      <c r="MCS48" s="3"/>
      <c r="MCT48" s="3"/>
      <c r="MCU48" s="3"/>
      <c r="MCV48" s="3"/>
      <c r="MCW48" s="3"/>
      <c r="MCX48" s="3"/>
      <c r="MCY48" s="3"/>
      <c r="MCZ48" s="3"/>
      <c r="MDA48" s="3"/>
      <c r="MDB48" s="3"/>
      <c r="MDC48" s="3"/>
      <c r="MDD48" s="3"/>
      <c r="MDE48" s="3"/>
      <c r="MDF48" s="3"/>
      <c r="MDG48" s="3"/>
      <c r="MDH48" s="3"/>
      <c r="MDI48" s="3"/>
      <c r="MDJ48" s="3"/>
      <c r="MDK48" s="3"/>
      <c r="MDL48" s="3"/>
      <c r="MDM48" s="3"/>
      <c r="MDN48" s="3"/>
      <c r="MDO48" s="3"/>
      <c r="MDP48" s="3"/>
      <c r="MDQ48" s="3"/>
      <c r="MDR48" s="3"/>
      <c r="MDS48" s="3"/>
      <c r="MDT48" s="3"/>
      <c r="MDU48" s="3"/>
      <c r="MDV48" s="3"/>
      <c r="MDW48" s="3"/>
      <c r="MDX48" s="3"/>
      <c r="MDY48" s="3"/>
      <c r="MDZ48" s="3"/>
      <c r="MEA48" s="3"/>
      <c r="MEB48" s="3"/>
      <c r="MEC48" s="3"/>
      <c r="MED48" s="3"/>
      <c r="MEE48" s="3"/>
      <c r="MEF48" s="3"/>
      <c r="MEG48" s="3"/>
      <c r="MEH48" s="3"/>
      <c r="MEI48" s="3"/>
      <c r="MEJ48" s="3"/>
      <c r="MEK48" s="3"/>
      <c r="MEL48" s="3"/>
      <c r="MEM48" s="3"/>
      <c r="MEN48" s="3"/>
      <c r="MEO48" s="3"/>
      <c r="MEP48" s="3"/>
      <c r="MEQ48" s="3"/>
      <c r="MER48" s="3"/>
      <c r="MES48" s="3"/>
      <c r="MET48" s="3"/>
      <c r="MEU48" s="3"/>
      <c r="MEV48" s="3"/>
      <c r="MEW48" s="3"/>
      <c r="MEX48" s="3"/>
      <c r="MEY48" s="3"/>
      <c r="MEZ48" s="3"/>
      <c r="MFA48" s="3"/>
      <c r="MFB48" s="3"/>
      <c r="MFC48" s="3"/>
      <c r="MFD48" s="3"/>
      <c r="MFE48" s="3"/>
      <c r="MFF48" s="3"/>
      <c r="MFG48" s="3"/>
      <c r="MFH48" s="3"/>
      <c r="MFI48" s="3"/>
      <c r="MFJ48" s="3"/>
      <c r="MFK48" s="3"/>
      <c r="MFL48" s="3"/>
      <c r="MFM48" s="3"/>
      <c r="MFN48" s="3"/>
      <c r="MFO48" s="3"/>
      <c r="MFP48" s="3"/>
      <c r="MFQ48" s="3"/>
      <c r="MFR48" s="3"/>
      <c r="MFS48" s="3"/>
      <c r="MFT48" s="3"/>
      <c r="MFU48" s="3"/>
      <c r="MFV48" s="3"/>
      <c r="MFW48" s="3"/>
      <c r="MFX48" s="3"/>
      <c r="MFY48" s="3"/>
      <c r="MFZ48" s="3"/>
      <c r="MGA48" s="3"/>
      <c r="MGB48" s="3"/>
      <c r="MGC48" s="3"/>
      <c r="MGD48" s="3"/>
      <c r="MGE48" s="3"/>
      <c r="MGF48" s="3"/>
      <c r="MGG48" s="3"/>
      <c r="MGH48" s="3"/>
      <c r="MGI48" s="3"/>
      <c r="MGJ48" s="3"/>
      <c r="MGK48" s="3"/>
      <c r="MGL48" s="3"/>
      <c r="MGM48" s="3"/>
      <c r="MGN48" s="3"/>
      <c r="MGO48" s="3"/>
      <c r="MGP48" s="3"/>
      <c r="MGQ48" s="3"/>
      <c r="MGR48" s="3"/>
      <c r="MGS48" s="3"/>
      <c r="MGT48" s="3"/>
      <c r="MGU48" s="3"/>
      <c r="MGV48" s="3"/>
      <c r="MGW48" s="3"/>
      <c r="MGX48" s="3"/>
      <c r="MGY48" s="3"/>
      <c r="MGZ48" s="3"/>
      <c r="MHA48" s="3"/>
      <c r="MHB48" s="3"/>
      <c r="MHC48" s="3"/>
      <c r="MHD48" s="3"/>
      <c r="MHE48" s="3"/>
      <c r="MHF48" s="3"/>
      <c r="MHG48" s="3"/>
      <c r="MHH48" s="3"/>
      <c r="MHI48" s="3"/>
      <c r="MHJ48" s="3"/>
      <c r="MHK48" s="3"/>
      <c r="MHL48" s="3"/>
      <c r="MHM48" s="3"/>
      <c r="MHN48" s="3"/>
      <c r="MHO48" s="3"/>
      <c r="MHP48" s="3"/>
      <c r="MHQ48" s="3"/>
      <c r="MHR48" s="3"/>
      <c r="MHS48" s="3"/>
      <c r="MHT48" s="3"/>
      <c r="MHU48" s="3"/>
      <c r="MHV48" s="3"/>
      <c r="MHW48" s="3"/>
      <c r="MHX48" s="3"/>
      <c r="MHY48" s="3"/>
      <c r="MHZ48" s="3"/>
      <c r="MIA48" s="3"/>
      <c r="MIB48" s="3"/>
      <c r="MIC48" s="3"/>
      <c r="MID48" s="3"/>
      <c r="MIE48" s="3"/>
      <c r="MIF48" s="3"/>
      <c r="MIG48" s="3"/>
      <c r="MIH48" s="3"/>
      <c r="MII48" s="3"/>
      <c r="MIJ48" s="3"/>
      <c r="MIK48" s="3"/>
      <c r="MIL48" s="3"/>
      <c r="MIM48" s="3"/>
      <c r="MIN48" s="3"/>
      <c r="MIO48" s="3"/>
      <c r="MIP48" s="3"/>
      <c r="MIQ48" s="3"/>
      <c r="MIR48" s="3"/>
      <c r="MIS48" s="3"/>
      <c r="MIT48" s="3"/>
      <c r="MIU48" s="3"/>
      <c r="MIV48" s="3"/>
      <c r="MIW48" s="3"/>
      <c r="MIX48" s="3"/>
      <c r="MIY48" s="3"/>
      <c r="MIZ48" s="3"/>
      <c r="MJA48" s="3"/>
      <c r="MJB48" s="3"/>
      <c r="MJC48" s="3"/>
      <c r="MJD48" s="3"/>
      <c r="MJE48" s="3"/>
      <c r="MJF48" s="3"/>
      <c r="MJG48" s="3"/>
      <c r="MJH48" s="3"/>
      <c r="MJI48" s="3"/>
      <c r="MJJ48" s="3"/>
      <c r="MJK48" s="3"/>
      <c r="MJL48" s="3"/>
      <c r="MJM48" s="3"/>
      <c r="MJN48" s="3"/>
      <c r="MJO48" s="3"/>
      <c r="MJP48" s="3"/>
      <c r="MJQ48" s="3"/>
      <c r="MJR48" s="3"/>
      <c r="MJS48" s="3"/>
      <c r="MJT48" s="3"/>
      <c r="MJU48" s="3"/>
      <c r="MJV48" s="3"/>
      <c r="MJW48" s="3"/>
      <c r="MJX48" s="3"/>
      <c r="MJY48" s="3"/>
      <c r="MJZ48" s="3"/>
      <c r="MKA48" s="3"/>
      <c r="MKB48" s="3"/>
      <c r="MKC48" s="3"/>
      <c r="MKD48" s="3"/>
      <c r="MKE48" s="3"/>
      <c r="MKF48" s="3"/>
      <c r="MKG48" s="3"/>
      <c r="MKH48" s="3"/>
      <c r="MKI48" s="3"/>
      <c r="MKJ48" s="3"/>
      <c r="MKK48" s="3"/>
      <c r="MKL48" s="3"/>
      <c r="MKM48" s="3"/>
      <c r="MKN48" s="3"/>
      <c r="MKO48" s="3"/>
      <c r="MKP48" s="3"/>
      <c r="MKQ48" s="3"/>
      <c r="MKR48" s="3"/>
      <c r="MKS48" s="3"/>
      <c r="MKT48" s="3"/>
      <c r="MKU48" s="3"/>
      <c r="MKV48" s="3"/>
      <c r="MKW48" s="3"/>
      <c r="MKX48" s="3"/>
      <c r="MKY48" s="3"/>
      <c r="MKZ48" s="3"/>
      <c r="MLA48" s="3"/>
      <c r="MLB48" s="3"/>
      <c r="MLC48" s="3"/>
      <c r="MLD48" s="3"/>
      <c r="MLE48" s="3"/>
      <c r="MLF48" s="3"/>
      <c r="MLG48" s="3"/>
      <c r="MLH48" s="3"/>
      <c r="MLI48" s="3"/>
      <c r="MLJ48" s="3"/>
      <c r="MLK48" s="3"/>
      <c r="MLL48" s="3"/>
      <c r="MLM48" s="3"/>
      <c r="MLN48" s="3"/>
      <c r="MLO48" s="3"/>
      <c r="MLP48" s="3"/>
      <c r="MLQ48" s="3"/>
      <c r="MLR48" s="3"/>
      <c r="MLS48" s="3"/>
      <c r="MLT48" s="3"/>
      <c r="MLU48" s="3"/>
      <c r="MLV48" s="3"/>
      <c r="MLW48" s="3"/>
      <c r="MLX48" s="3"/>
      <c r="MLY48" s="3"/>
      <c r="MLZ48" s="3"/>
      <c r="MMA48" s="3"/>
      <c r="MMB48" s="3"/>
      <c r="MMC48" s="3"/>
      <c r="MMD48" s="3"/>
      <c r="MME48" s="3"/>
      <c r="MMF48" s="3"/>
      <c r="MMG48" s="3"/>
      <c r="MMH48" s="3"/>
      <c r="MMI48" s="3"/>
      <c r="MMJ48" s="3"/>
      <c r="MMK48" s="3"/>
      <c r="MML48" s="3"/>
      <c r="MMM48" s="3"/>
      <c r="MMN48" s="3"/>
      <c r="MMO48" s="3"/>
      <c r="MMP48" s="3"/>
      <c r="MMQ48" s="3"/>
      <c r="MMR48" s="3"/>
      <c r="MMS48" s="3"/>
      <c r="MMT48" s="3"/>
      <c r="MMU48" s="3"/>
      <c r="MMV48" s="3"/>
      <c r="MMW48" s="3"/>
      <c r="MMX48" s="3"/>
      <c r="MMY48" s="3"/>
      <c r="MMZ48" s="3"/>
      <c r="MNA48" s="3"/>
      <c r="MNB48" s="3"/>
      <c r="MNC48" s="3"/>
      <c r="MND48" s="3"/>
      <c r="MNE48" s="3"/>
      <c r="MNF48" s="3"/>
      <c r="MNG48" s="3"/>
      <c r="MNH48" s="3"/>
      <c r="MNI48" s="3"/>
      <c r="MNJ48" s="3"/>
      <c r="MNK48" s="3"/>
      <c r="MNL48" s="3"/>
      <c r="MNM48" s="3"/>
      <c r="MNN48" s="3"/>
      <c r="MNO48" s="3"/>
      <c r="MNP48" s="3"/>
      <c r="MNQ48" s="3"/>
      <c r="MNR48" s="3"/>
      <c r="MNS48" s="3"/>
      <c r="MNT48" s="3"/>
      <c r="MNU48" s="3"/>
      <c r="MNV48" s="3"/>
      <c r="MNW48" s="3"/>
      <c r="MNX48" s="3"/>
      <c r="MNY48" s="3"/>
      <c r="MNZ48" s="3"/>
      <c r="MOA48" s="3"/>
      <c r="MOB48" s="3"/>
      <c r="MOC48" s="3"/>
      <c r="MOD48" s="3"/>
      <c r="MOE48" s="3"/>
      <c r="MOF48" s="3"/>
      <c r="MOG48" s="3"/>
      <c r="MOH48" s="3"/>
      <c r="MOI48" s="3"/>
      <c r="MOJ48" s="3"/>
      <c r="MOK48" s="3"/>
      <c r="MOL48" s="3"/>
      <c r="MOM48" s="3"/>
      <c r="MON48" s="3"/>
      <c r="MOO48" s="3"/>
      <c r="MOP48" s="3"/>
      <c r="MOQ48" s="3"/>
      <c r="MOR48" s="3"/>
      <c r="MOS48" s="3"/>
      <c r="MOT48" s="3"/>
      <c r="MOU48" s="3"/>
      <c r="MOV48" s="3"/>
      <c r="MOW48" s="3"/>
      <c r="MOX48" s="3"/>
      <c r="MOY48" s="3"/>
      <c r="MOZ48" s="3"/>
      <c r="MPA48" s="3"/>
      <c r="MPB48" s="3"/>
      <c r="MPC48" s="3"/>
      <c r="MPD48" s="3"/>
      <c r="MPE48" s="3"/>
      <c r="MPF48" s="3"/>
      <c r="MPG48" s="3"/>
      <c r="MPH48" s="3"/>
      <c r="MPI48" s="3"/>
      <c r="MPJ48" s="3"/>
      <c r="MPK48" s="3"/>
      <c r="MPL48" s="3"/>
      <c r="MPM48" s="3"/>
      <c r="MPN48" s="3"/>
      <c r="MPO48" s="3"/>
      <c r="MPP48" s="3"/>
      <c r="MPQ48" s="3"/>
      <c r="MPR48" s="3"/>
      <c r="MPS48" s="3"/>
      <c r="MPT48" s="3"/>
      <c r="MPU48" s="3"/>
      <c r="MPV48" s="3"/>
      <c r="MPW48" s="3"/>
      <c r="MPX48" s="3"/>
      <c r="MPY48" s="3"/>
      <c r="MPZ48" s="3"/>
      <c r="MQA48" s="3"/>
      <c r="MQB48" s="3"/>
      <c r="MQC48" s="3"/>
      <c r="MQD48" s="3"/>
      <c r="MQE48" s="3"/>
      <c r="MQF48" s="3"/>
      <c r="MQG48" s="3"/>
      <c r="MQH48" s="3"/>
      <c r="MQI48" s="3"/>
      <c r="MQJ48" s="3"/>
      <c r="MQK48" s="3"/>
      <c r="MQL48" s="3"/>
      <c r="MQM48" s="3"/>
      <c r="MQN48" s="3"/>
      <c r="MQO48" s="3"/>
      <c r="MQP48" s="3"/>
      <c r="MQQ48" s="3"/>
      <c r="MQR48" s="3"/>
      <c r="MQS48" s="3"/>
      <c r="MQT48" s="3"/>
      <c r="MQU48" s="3"/>
      <c r="MQV48" s="3"/>
      <c r="MQW48" s="3"/>
      <c r="MQX48" s="3"/>
      <c r="MQY48" s="3"/>
      <c r="MQZ48" s="3"/>
      <c r="MRA48" s="3"/>
      <c r="MRB48" s="3"/>
      <c r="MRC48" s="3"/>
      <c r="MRD48" s="3"/>
      <c r="MRE48" s="3"/>
      <c r="MRF48" s="3"/>
      <c r="MRG48" s="3"/>
      <c r="MRH48" s="3"/>
      <c r="MRI48" s="3"/>
      <c r="MRJ48" s="3"/>
      <c r="MRK48" s="3"/>
      <c r="MRL48" s="3"/>
      <c r="MRM48" s="3"/>
      <c r="MRN48" s="3"/>
      <c r="MRO48" s="3"/>
      <c r="MRP48" s="3"/>
      <c r="MRQ48" s="3"/>
      <c r="MRR48" s="3"/>
      <c r="MRS48" s="3"/>
      <c r="MRT48" s="3"/>
      <c r="MRU48" s="3"/>
      <c r="MRV48" s="3"/>
      <c r="MRW48" s="3"/>
      <c r="MRX48" s="3"/>
      <c r="MRY48" s="3"/>
      <c r="MRZ48" s="3"/>
      <c r="MSA48" s="3"/>
      <c r="MSB48" s="3"/>
      <c r="MSC48" s="3"/>
      <c r="MSD48" s="3"/>
      <c r="MSE48" s="3"/>
      <c r="MSF48" s="3"/>
      <c r="MSG48" s="3"/>
      <c r="MSH48" s="3"/>
      <c r="MSI48" s="3"/>
      <c r="MSJ48" s="3"/>
      <c r="MSK48" s="3"/>
      <c r="MSL48" s="3"/>
      <c r="MSM48" s="3"/>
      <c r="MSN48" s="3"/>
      <c r="MSO48" s="3"/>
      <c r="MSP48" s="3"/>
      <c r="MSQ48" s="3"/>
      <c r="MSR48" s="3"/>
      <c r="MSS48" s="3"/>
      <c r="MST48" s="3"/>
      <c r="MSU48" s="3"/>
      <c r="MSV48" s="3"/>
      <c r="MSW48" s="3"/>
      <c r="MSX48" s="3"/>
      <c r="MSY48" s="3"/>
      <c r="MSZ48" s="3"/>
      <c r="MTA48" s="3"/>
      <c r="MTB48" s="3"/>
      <c r="MTC48" s="3"/>
      <c r="MTD48" s="3"/>
      <c r="MTE48" s="3"/>
      <c r="MTF48" s="3"/>
      <c r="MTG48" s="3"/>
      <c r="MTH48" s="3"/>
      <c r="MTI48" s="3"/>
      <c r="MTJ48" s="3"/>
      <c r="MTK48" s="3"/>
      <c r="MTL48" s="3"/>
      <c r="MTM48" s="3"/>
      <c r="MTN48" s="3"/>
      <c r="MTO48" s="3"/>
      <c r="MTP48" s="3"/>
      <c r="MTQ48" s="3"/>
      <c r="MTR48" s="3"/>
      <c r="MTS48" s="3"/>
      <c r="MTT48" s="3"/>
      <c r="MTU48" s="3"/>
      <c r="MTV48" s="3"/>
      <c r="MTW48" s="3"/>
      <c r="MTX48" s="3"/>
      <c r="MTY48" s="3"/>
      <c r="MTZ48" s="3"/>
      <c r="MUA48" s="3"/>
      <c r="MUB48" s="3"/>
      <c r="MUC48" s="3"/>
      <c r="MUD48" s="3"/>
      <c r="MUE48" s="3"/>
      <c r="MUF48" s="3"/>
      <c r="MUG48" s="3"/>
      <c r="MUH48" s="3"/>
      <c r="MUI48" s="3"/>
      <c r="MUJ48" s="3"/>
      <c r="MUK48" s="3"/>
      <c r="MUL48" s="3"/>
      <c r="MUM48" s="3"/>
      <c r="MUN48" s="3"/>
      <c r="MUO48" s="3"/>
      <c r="MUP48" s="3"/>
      <c r="MUQ48" s="3"/>
      <c r="MUR48" s="3"/>
      <c r="MUS48" s="3"/>
      <c r="MUT48" s="3"/>
      <c r="MUU48" s="3"/>
      <c r="MUV48" s="3"/>
      <c r="MUW48" s="3"/>
      <c r="MUX48" s="3"/>
      <c r="MUY48" s="3"/>
      <c r="MUZ48" s="3"/>
      <c r="MVA48" s="3"/>
      <c r="MVB48" s="3"/>
      <c r="MVC48" s="3"/>
      <c r="MVD48" s="3"/>
      <c r="MVE48" s="3"/>
      <c r="MVF48" s="3"/>
      <c r="MVG48" s="3"/>
      <c r="MVH48" s="3"/>
      <c r="MVI48" s="3"/>
      <c r="MVJ48" s="3"/>
      <c r="MVK48" s="3"/>
      <c r="MVL48" s="3"/>
      <c r="MVM48" s="3"/>
      <c r="MVN48" s="3"/>
      <c r="MVO48" s="3"/>
      <c r="MVP48" s="3"/>
      <c r="MVQ48" s="3"/>
      <c r="MVR48" s="3"/>
      <c r="MVS48" s="3"/>
      <c r="MVT48" s="3"/>
      <c r="MVU48" s="3"/>
      <c r="MVV48" s="3"/>
      <c r="MVW48" s="3"/>
      <c r="MVX48" s="3"/>
      <c r="MVY48" s="3"/>
      <c r="MVZ48" s="3"/>
      <c r="MWA48" s="3"/>
      <c r="MWB48" s="3"/>
      <c r="MWC48" s="3"/>
      <c r="MWD48" s="3"/>
      <c r="MWE48" s="3"/>
      <c r="MWF48" s="3"/>
      <c r="MWG48" s="3"/>
      <c r="MWH48" s="3"/>
      <c r="MWI48" s="3"/>
      <c r="MWJ48" s="3"/>
      <c r="MWK48" s="3"/>
      <c r="MWL48" s="3"/>
      <c r="MWM48" s="3"/>
      <c r="MWN48" s="3"/>
      <c r="MWO48" s="3"/>
      <c r="MWP48" s="3"/>
      <c r="MWQ48" s="3"/>
      <c r="MWR48" s="3"/>
      <c r="MWS48" s="3"/>
      <c r="MWT48" s="3"/>
      <c r="MWU48" s="3"/>
      <c r="MWV48" s="3"/>
      <c r="MWW48" s="3"/>
      <c r="MWX48" s="3"/>
      <c r="MWY48" s="3"/>
      <c r="MWZ48" s="3"/>
      <c r="MXA48" s="3"/>
      <c r="MXB48" s="3"/>
      <c r="MXC48" s="3"/>
      <c r="MXD48" s="3"/>
      <c r="MXE48" s="3"/>
      <c r="MXF48" s="3"/>
      <c r="MXG48" s="3"/>
      <c r="MXH48" s="3"/>
      <c r="MXI48" s="3"/>
      <c r="MXJ48" s="3"/>
      <c r="MXK48" s="3"/>
      <c r="MXL48" s="3"/>
      <c r="MXM48" s="3"/>
      <c r="MXN48" s="3"/>
      <c r="MXO48" s="3"/>
      <c r="MXP48" s="3"/>
      <c r="MXQ48" s="3"/>
      <c r="MXR48" s="3"/>
      <c r="MXS48" s="3"/>
      <c r="MXT48" s="3"/>
      <c r="MXU48" s="3"/>
      <c r="MXV48" s="3"/>
      <c r="MXW48" s="3"/>
      <c r="MXX48" s="3"/>
      <c r="MXY48" s="3"/>
      <c r="MXZ48" s="3"/>
      <c r="MYA48" s="3"/>
      <c r="MYB48" s="3"/>
      <c r="MYC48" s="3"/>
      <c r="MYD48" s="3"/>
      <c r="MYE48" s="3"/>
      <c r="MYF48" s="3"/>
      <c r="MYG48" s="3"/>
      <c r="MYH48" s="3"/>
      <c r="MYI48" s="3"/>
      <c r="MYJ48" s="3"/>
      <c r="MYK48" s="3"/>
      <c r="MYL48" s="3"/>
      <c r="MYM48" s="3"/>
      <c r="MYN48" s="3"/>
      <c r="MYO48" s="3"/>
      <c r="MYP48" s="3"/>
      <c r="MYQ48" s="3"/>
      <c r="MYR48" s="3"/>
      <c r="MYS48" s="3"/>
      <c r="MYT48" s="3"/>
      <c r="MYU48" s="3"/>
      <c r="MYV48" s="3"/>
      <c r="MYW48" s="3"/>
      <c r="MYX48" s="3"/>
      <c r="MYY48" s="3"/>
      <c r="MYZ48" s="3"/>
      <c r="MZA48" s="3"/>
      <c r="MZB48" s="3"/>
      <c r="MZC48" s="3"/>
      <c r="MZD48" s="3"/>
      <c r="MZE48" s="3"/>
      <c r="MZF48" s="3"/>
      <c r="MZG48" s="3"/>
      <c r="MZH48" s="3"/>
      <c r="MZI48" s="3"/>
      <c r="MZJ48" s="3"/>
      <c r="MZK48" s="3"/>
      <c r="MZL48" s="3"/>
      <c r="MZM48" s="3"/>
      <c r="MZN48" s="3"/>
      <c r="MZO48" s="3"/>
      <c r="MZP48" s="3"/>
      <c r="MZQ48" s="3"/>
      <c r="MZR48" s="3"/>
      <c r="MZS48" s="3"/>
      <c r="MZT48" s="3"/>
      <c r="MZU48" s="3"/>
      <c r="MZV48" s="3"/>
      <c r="MZW48" s="3"/>
      <c r="MZX48" s="3"/>
      <c r="MZY48" s="3"/>
      <c r="MZZ48" s="3"/>
      <c r="NAA48" s="3"/>
      <c r="NAB48" s="3"/>
      <c r="NAC48" s="3"/>
      <c r="NAD48" s="3"/>
      <c r="NAE48" s="3"/>
      <c r="NAF48" s="3"/>
      <c r="NAG48" s="3"/>
      <c r="NAH48" s="3"/>
      <c r="NAI48" s="3"/>
      <c r="NAJ48" s="3"/>
      <c r="NAK48" s="3"/>
      <c r="NAL48" s="3"/>
      <c r="NAM48" s="3"/>
      <c r="NAN48" s="3"/>
      <c r="NAO48" s="3"/>
      <c r="NAP48" s="3"/>
      <c r="NAQ48" s="3"/>
      <c r="NAR48" s="3"/>
      <c r="NAS48" s="3"/>
      <c r="NAT48" s="3"/>
      <c r="NAU48" s="3"/>
      <c r="NAV48" s="3"/>
      <c r="NAW48" s="3"/>
      <c r="NAX48" s="3"/>
      <c r="NAY48" s="3"/>
      <c r="NAZ48" s="3"/>
      <c r="NBA48" s="3"/>
      <c r="NBB48" s="3"/>
      <c r="NBC48" s="3"/>
      <c r="NBD48" s="3"/>
      <c r="NBE48" s="3"/>
      <c r="NBF48" s="3"/>
      <c r="NBG48" s="3"/>
      <c r="NBH48" s="3"/>
      <c r="NBI48" s="3"/>
      <c r="NBJ48" s="3"/>
      <c r="NBK48" s="3"/>
      <c r="NBL48" s="3"/>
      <c r="NBM48" s="3"/>
      <c r="NBN48" s="3"/>
      <c r="NBO48" s="3"/>
      <c r="NBP48" s="3"/>
      <c r="NBQ48" s="3"/>
      <c r="NBR48" s="3"/>
      <c r="NBS48" s="3"/>
      <c r="NBT48" s="3"/>
      <c r="NBU48" s="3"/>
      <c r="NBV48" s="3"/>
      <c r="NBW48" s="3"/>
      <c r="NBX48" s="3"/>
      <c r="NBY48" s="3"/>
      <c r="NBZ48" s="3"/>
      <c r="NCA48" s="3"/>
      <c r="NCB48" s="3"/>
      <c r="NCC48" s="3"/>
      <c r="NCD48" s="3"/>
      <c r="NCE48" s="3"/>
      <c r="NCF48" s="3"/>
      <c r="NCG48" s="3"/>
      <c r="NCH48" s="3"/>
      <c r="NCI48" s="3"/>
      <c r="NCJ48" s="3"/>
      <c r="NCK48" s="3"/>
      <c r="NCL48" s="3"/>
      <c r="NCM48" s="3"/>
      <c r="NCN48" s="3"/>
      <c r="NCO48" s="3"/>
      <c r="NCP48" s="3"/>
      <c r="NCQ48" s="3"/>
      <c r="NCR48" s="3"/>
      <c r="NCS48" s="3"/>
      <c r="NCT48" s="3"/>
      <c r="NCU48" s="3"/>
      <c r="NCV48" s="3"/>
      <c r="NCW48" s="3"/>
      <c r="NCX48" s="3"/>
      <c r="NCY48" s="3"/>
      <c r="NCZ48" s="3"/>
      <c r="NDA48" s="3"/>
      <c r="NDB48" s="3"/>
      <c r="NDC48" s="3"/>
      <c r="NDD48" s="3"/>
      <c r="NDE48" s="3"/>
      <c r="NDF48" s="3"/>
      <c r="NDG48" s="3"/>
      <c r="NDH48" s="3"/>
      <c r="NDI48" s="3"/>
      <c r="NDJ48" s="3"/>
      <c r="NDK48" s="3"/>
      <c r="NDL48" s="3"/>
      <c r="NDM48" s="3"/>
      <c r="NDN48" s="3"/>
      <c r="NDO48" s="3"/>
      <c r="NDP48" s="3"/>
      <c r="NDQ48" s="3"/>
      <c r="NDR48" s="3"/>
      <c r="NDS48" s="3"/>
      <c r="NDT48" s="3"/>
      <c r="NDU48" s="3"/>
      <c r="NDV48" s="3"/>
      <c r="NDW48" s="3"/>
      <c r="NDX48" s="3"/>
      <c r="NDY48" s="3"/>
      <c r="NDZ48" s="3"/>
      <c r="NEA48" s="3"/>
      <c r="NEB48" s="3"/>
      <c r="NEC48" s="3"/>
      <c r="NED48" s="3"/>
      <c r="NEE48" s="3"/>
      <c r="NEF48" s="3"/>
      <c r="NEG48" s="3"/>
      <c r="NEH48" s="3"/>
      <c r="NEI48" s="3"/>
      <c r="NEJ48" s="3"/>
      <c r="NEK48" s="3"/>
      <c r="NEL48" s="3"/>
      <c r="NEM48" s="3"/>
      <c r="NEN48" s="3"/>
      <c r="NEO48" s="3"/>
      <c r="NEP48" s="3"/>
      <c r="NEQ48" s="3"/>
      <c r="NER48" s="3"/>
      <c r="NES48" s="3"/>
      <c r="NET48" s="3"/>
      <c r="NEU48" s="3"/>
      <c r="NEV48" s="3"/>
      <c r="NEW48" s="3"/>
      <c r="NEX48" s="3"/>
      <c r="NEY48" s="3"/>
      <c r="NEZ48" s="3"/>
      <c r="NFA48" s="3"/>
      <c r="NFB48" s="3"/>
      <c r="NFC48" s="3"/>
      <c r="NFD48" s="3"/>
      <c r="NFE48" s="3"/>
      <c r="NFF48" s="3"/>
      <c r="NFG48" s="3"/>
      <c r="NFH48" s="3"/>
      <c r="NFI48" s="3"/>
      <c r="NFJ48" s="3"/>
      <c r="NFK48" s="3"/>
      <c r="NFL48" s="3"/>
      <c r="NFM48" s="3"/>
      <c r="NFN48" s="3"/>
      <c r="NFO48" s="3"/>
      <c r="NFP48" s="3"/>
      <c r="NFQ48" s="3"/>
      <c r="NFR48" s="3"/>
      <c r="NFS48" s="3"/>
      <c r="NFT48" s="3"/>
      <c r="NFU48" s="3"/>
      <c r="NFV48" s="3"/>
      <c r="NFW48" s="3"/>
      <c r="NFX48" s="3"/>
      <c r="NFY48" s="3"/>
      <c r="NFZ48" s="3"/>
      <c r="NGA48" s="3"/>
      <c r="NGB48" s="3"/>
      <c r="NGC48" s="3"/>
      <c r="NGD48" s="3"/>
      <c r="NGE48" s="3"/>
      <c r="NGF48" s="3"/>
      <c r="NGG48" s="3"/>
      <c r="NGH48" s="3"/>
      <c r="NGI48" s="3"/>
      <c r="NGJ48" s="3"/>
      <c r="NGK48" s="3"/>
      <c r="NGL48" s="3"/>
      <c r="NGM48" s="3"/>
      <c r="NGN48" s="3"/>
      <c r="NGO48" s="3"/>
      <c r="NGP48" s="3"/>
      <c r="NGQ48" s="3"/>
      <c r="NGR48" s="3"/>
      <c r="NGS48" s="3"/>
      <c r="NGT48" s="3"/>
      <c r="NGU48" s="3"/>
      <c r="NGV48" s="3"/>
      <c r="NGW48" s="3"/>
      <c r="NGX48" s="3"/>
      <c r="NGY48" s="3"/>
      <c r="NGZ48" s="3"/>
      <c r="NHA48" s="3"/>
      <c r="NHB48" s="3"/>
      <c r="NHC48" s="3"/>
      <c r="NHD48" s="3"/>
      <c r="NHE48" s="3"/>
      <c r="NHF48" s="3"/>
      <c r="NHG48" s="3"/>
      <c r="NHH48" s="3"/>
      <c r="NHI48" s="3"/>
      <c r="NHJ48" s="3"/>
      <c r="NHK48" s="3"/>
      <c r="NHL48" s="3"/>
      <c r="NHM48" s="3"/>
      <c r="NHN48" s="3"/>
      <c r="NHO48" s="3"/>
      <c r="NHP48" s="3"/>
      <c r="NHQ48" s="3"/>
      <c r="NHR48" s="3"/>
      <c r="NHS48" s="3"/>
      <c r="NHT48" s="3"/>
      <c r="NHU48" s="3"/>
      <c r="NHV48" s="3"/>
      <c r="NHW48" s="3"/>
      <c r="NHX48" s="3"/>
      <c r="NHY48" s="3"/>
      <c r="NHZ48" s="3"/>
      <c r="NIA48" s="3"/>
      <c r="NIB48" s="3"/>
      <c r="NIC48" s="3"/>
      <c r="NID48" s="3"/>
      <c r="NIE48" s="3"/>
      <c r="NIF48" s="3"/>
      <c r="NIG48" s="3"/>
      <c r="NIH48" s="3"/>
      <c r="NII48" s="3"/>
      <c r="NIJ48" s="3"/>
      <c r="NIK48" s="3"/>
      <c r="NIL48" s="3"/>
      <c r="NIM48" s="3"/>
      <c r="NIN48" s="3"/>
      <c r="NIO48" s="3"/>
      <c r="NIP48" s="3"/>
      <c r="NIQ48" s="3"/>
      <c r="NIR48" s="3"/>
      <c r="NIS48" s="3"/>
      <c r="NIT48" s="3"/>
      <c r="NIU48" s="3"/>
      <c r="NIV48" s="3"/>
      <c r="NIW48" s="3"/>
      <c r="NIX48" s="3"/>
      <c r="NIY48" s="3"/>
      <c r="NIZ48" s="3"/>
      <c r="NJA48" s="3"/>
      <c r="NJB48" s="3"/>
      <c r="NJC48" s="3"/>
      <c r="NJD48" s="3"/>
      <c r="NJE48" s="3"/>
      <c r="NJF48" s="3"/>
      <c r="NJG48" s="3"/>
      <c r="NJH48" s="3"/>
      <c r="NJI48" s="3"/>
      <c r="NJJ48" s="3"/>
      <c r="NJK48" s="3"/>
      <c r="NJL48" s="3"/>
      <c r="NJM48" s="3"/>
      <c r="NJN48" s="3"/>
      <c r="NJO48" s="3"/>
      <c r="NJP48" s="3"/>
      <c r="NJQ48" s="3"/>
      <c r="NJR48" s="3"/>
      <c r="NJS48" s="3"/>
      <c r="NJT48" s="3"/>
      <c r="NJU48" s="3"/>
      <c r="NJV48" s="3"/>
      <c r="NJW48" s="3"/>
      <c r="NJX48" s="3"/>
      <c r="NJY48" s="3"/>
      <c r="NJZ48" s="3"/>
      <c r="NKA48" s="3"/>
      <c r="NKB48" s="3"/>
      <c r="NKC48" s="3"/>
      <c r="NKD48" s="3"/>
      <c r="NKE48" s="3"/>
      <c r="NKF48" s="3"/>
      <c r="NKG48" s="3"/>
      <c r="NKH48" s="3"/>
      <c r="NKI48" s="3"/>
      <c r="NKJ48" s="3"/>
      <c r="NKK48" s="3"/>
      <c r="NKL48" s="3"/>
      <c r="NKM48" s="3"/>
      <c r="NKN48" s="3"/>
      <c r="NKO48" s="3"/>
      <c r="NKP48" s="3"/>
      <c r="NKQ48" s="3"/>
      <c r="NKR48" s="3"/>
      <c r="NKS48" s="3"/>
      <c r="NKT48" s="3"/>
      <c r="NKU48" s="3"/>
      <c r="NKV48" s="3"/>
      <c r="NKW48" s="3"/>
      <c r="NKX48" s="3"/>
      <c r="NKY48" s="3"/>
      <c r="NKZ48" s="3"/>
      <c r="NLA48" s="3"/>
      <c r="NLB48" s="3"/>
      <c r="NLC48" s="3"/>
      <c r="NLD48" s="3"/>
      <c r="NLE48" s="3"/>
      <c r="NLF48" s="3"/>
      <c r="NLG48" s="3"/>
      <c r="NLH48" s="3"/>
      <c r="NLI48" s="3"/>
      <c r="NLJ48" s="3"/>
      <c r="NLK48" s="3"/>
      <c r="NLL48" s="3"/>
      <c r="NLM48" s="3"/>
      <c r="NLN48" s="3"/>
      <c r="NLO48" s="3"/>
      <c r="NLP48" s="3"/>
      <c r="NLQ48" s="3"/>
      <c r="NLR48" s="3"/>
      <c r="NLS48" s="3"/>
      <c r="NLT48" s="3"/>
      <c r="NLU48" s="3"/>
      <c r="NLV48" s="3"/>
      <c r="NLW48" s="3"/>
      <c r="NLX48" s="3"/>
      <c r="NLY48" s="3"/>
      <c r="NLZ48" s="3"/>
      <c r="NMA48" s="3"/>
      <c r="NMB48" s="3"/>
      <c r="NMC48" s="3"/>
      <c r="NMD48" s="3"/>
      <c r="NME48" s="3"/>
      <c r="NMF48" s="3"/>
      <c r="NMG48" s="3"/>
      <c r="NMH48" s="3"/>
      <c r="NMI48" s="3"/>
      <c r="NMJ48" s="3"/>
      <c r="NMK48" s="3"/>
      <c r="NML48" s="3"/>
      <c r="NMM48" s="3"/>
      <c r="NMN48" s="3"/>
      <c r="NMO48" s="3"/>
      <c r="NMP48" s="3"/>
      <c r="NMQ48" s="3"/>
      <c r="NMR48" s="3"/>
      <c r="NMS48" s="3"/>
      <c r="NMT48" s="3"/>
      <c r="NMU48" s="3"/>
      <c r="NMV48" s="3"/>
      <c r="NMW48" s="3"/>
      <c r="NMX48" s="3"/>
      <c r="NMY48" s="3"/>
      <c r="NMZ48" s="3"/>
      <c r="NNA48" s="3"/>
      <c r="NNB48" s="3"/>
      <c r="NNC48" s="3"/>
      <c r="NND48" s="3"/>
      <c r="NNE48" s="3"/>
      <c r="NNF48" s="3"/>
      <c r="NNG48" s="3"/>
      <c r="NNH48" s="3"/>
      <c r="NNI48" s="3"/>
      <c r="NNJ48" s="3"/>
      <c r="NNK48" s="3"/>
      <c r="NNL48" s="3"/>
      <c r="NNM48" s="3"/>
      <c r="NNN48" s="3"/>
      <c r="NNO48" s="3"/>
      <c r="NNP48" s="3"/>
      <c r="NNQ48" s="3"/>
      <c r="NNR48" s="3"/>
      <c r="NNS48" s="3"/>
      <c r="NNT48" s="3"/>
      <c r="NNU48" s="3"/>
      <c r="NNV48" s="3"/>
      <c r="NNW48" s="3"/>
      <c r="NNX48" s="3"/>
      <c r="NNY48" s="3"/>
      <c r="NNZ48" s="3"/>
      <c r="NOA48" s="3"/>
      <c r="NOB48" s="3"/>
      <c r="NOC48" s="3"/>
      <c r="NOD48" s="3"/>
      <c r="NOE48" s="3"/>
      <c r="NOF48" s="3"/>
      <c r="NOG48" s="3"/>
      <c r="NOH48" s="3"/>
      <c r="NOI48" s="3"/>
      <c r="NOJ48" s="3"/>
      <c r="NOK48" s="3"/>
      <c r="NOL48" s="3"/>
      <c r="NOM48" s="3"/>
      <c r="NON48" s="3"/>
      <c r="NOO48" s="3"/>
      <c r="NOP48" s="3"/>
      <c r="NOQ48" s="3"/>
      <c r="NOR48" s="3"/>
      <c r="NOS48" s="3"/>
      <c r="NOT48" s="3"/>
      <c r="NOU48" s="3"/>
      <c r="NOV48" s="3"/>
      <c r="NOW48" s="3"/>
      <c r="NOX48" s="3"/>
      <c r="NOY48" s="3"/>
      <c r="NOZ48" s="3"/>
      <c r="NPA48" s="3"/>
      <c r="NPB48" s="3"/>
      <c r="NPC48" s="3"/>
      <c r="NPD48" s="3"/>
      <c r="NPE48" s="3"/>
      <c r="NPF48" s="3"/>
      <c r="NPG48" s="3"/>
      <c r="NPH48" s="3"/>
      <c r="NPI48" s="3"/>
      <c r="NPJ48" s="3"/>
      <c r="NPK48" s="3"/>
      <c r="NPL48" s="3"/>
      <c r="NPM48" s="3"/>
      <c r="NPN48" s="3"/>
      <c r="NPO48" s="3"/>
      <c r="NPP48" s="3"/>
      <c r="NPQ48" s="3"/>
      <c r="NPR48" s="3"/>
      <c r="NPS48" s="3"/>
      <c r="NPT48" s="3"/>
      <c r="NPU48" s="3"/>
      <c r="NPV48" s="3"/>
      <c r="NPW48" s="3"/>
      <c r="NPX48" s="3"/>
      <c r="NPY48" s="3"/>
      <c r="NPZ48" s="3"/>
      <c r="NQA48" s="3"/>
      <c r="NQB48" s="3"/>
      <c r="NQC48" s="3"/>
      <c r="NQD48" s="3"/>
      <c r="NQE48" s="3"/>
      <c r="NQF48" s="3"/>
      <c r="NQG48" s="3"/>
      <c r="NQH48" s="3"/>
      <c r="NQI48" s="3"/>
      <c r="NQJ48" s="3"/>
      <c r="NQK48" s="3"/>
      <c r="NQL48" s="3"/>
      <c r="NQM48" s="3"/>
      <c r="NQN48" s="3"/>
      <c r="NQO48" s="3"/>
      <c r="NQP48" s="3"/>
      <c r="NQQ48" s="3"/>
      <c r="NQR48" s="3"/>
      <c r="NQS48" s="3"/>
      <c r="NQT48" s="3"/>
      <c r="NQU48" s="3"/>
      <c r="NQV48" s="3"/>
      <c r="NQW48" s="3"/>
      <c r="NQX48" s="3"/>
      <c r="NQY48" s="3"/>
      <c r="NQZ48" s="3"/>
      <c r="NRA48" s="3"/>
      <c r="NRB48" s="3"/>
      <c r="NRC48" s="3"/>
      <c r="NRD48" s="3"/>
      <c r="NRE48" s="3"/>
      <c r="NRF48" s="3"/>
      <c r="NRG48" s="3"/>
      <c r="NRH48" s="3"/>
      <c r="NRI48" s="3"/>
      <c r="NRJ48" s="3"/>
      <c r="NRK48" s="3"/>
      <c r="NRL48" s="3"/>
      <c r="NRM48" s="3"/>
      <c r="NRN48" s="3"/>
      <c r="NRO48" s="3"/>
      <c r="NRP48" s="3"/>
      <c r="NRQ48" s="3"/>
      <c r="NRR48" s="3"/>
      <c r="NRS48" s="3"/>
      <c r="NRT48" s="3"/>
      <c r="NRU48" s="3"/>
      <c r="NRV48" s="3"/>
      <c r="NRW48" s="3"/>
      <c r="NRX48" s="3"/>
      <c r="NRY48" s="3"/>
      <c r="NRZ48" s="3"/>
      <c r="NSA48" s="3"/>
      <c r="NSB48" s="3"/>
      <c r="NSC48" s="3"/>
      <c r="NSD48" s="3"/>
      <c r="NSE48" s="3"/>
      <c r="NSF48" s="3"/>
      <c r="NSG48" s="3"/>
      <c r="NSH48" s="3"/>
      <c r="NSI48" s="3"/>
      <c r="NSJ48" s="3"/>
      <c r="NSK48" s="3"/>
      <c r="NSL48" s="3"/>
      <c r="NSM48" s="3"/>
      <c r="NSN48" s="3"/>
      <c r="NSO48" s="3"/>
      <c r="NSP48" s="3"/>
      <c r="NSQ48" s="3"/>
      <c r="NSR48" s="3"/>
      <c r="NSS48" s="3"/>
      <c r="NST48" s="3"/>
      <c r="NSU48" s="3"/>
      <c r="NSV48" s="3"/>
      <c r="NSW48" s="3"/>
      <c r="NSX48" s="3"/>
      <c r="NSY48" s="3"/>
      <c r="NSZ48" s="3"/>
      <c r="NTA48" s="3"/>
      <c r="NTB48" s="3"/>
      <c r="NTC48" s="3"/>
      <c r="NTD48" s="3"/>
      <c r="NTE48" s="3"/>
      <c r="NTF48" s="3"/>
      <c r="NTG48" s="3"/>
      <c r="NTH48" s="3"/>
      <c r="NTI48" s="3"/>
      <c r="NTJ48" s="3"/>
      <c r="NTK48" s="3"/>
      <c r="NTL48" s="3"/>
      <c r="NTM48" s="3"/>
      <c r="NTN48" s="3"/>
      <c r="NTO48" s="3"/>
      <c r="NTP48" s="3"/>
      <c r="NTQ48" s="3"/>
      <c r="NTR48" s="3"/>
      <c r="NTS48" s="3"/>
      <c r="NTT48" s="3"/>
      <c r="NTU48" s="3"/>
      <c r="NTV48" s="3"/>
      <c r="NTW48" s="3"/>
      <c r="NTX48" s="3"/>
      <c r="NTY48" s="3"/>
      <c r="NTZ48" s="3"/>
      <c r="NUA48" s="3"/>
      <c r="NUB48" s="3"/>
      <c r="NUC48" s="3"/>
      <c r="NUD48" s="3"/>
      <c r="NUE48" s="3"/>
      <c r="NUF48" s="3"/>
      <c r="NUG48" s="3"/>
      <c r="NUH48" s="3"/>
      <c r="NUI48" s="3"/>
      <c r="NUJ48" s="3"/>
      <c r="NUK48" s="3"/>
      <c r="NUL48" s="3"/>
      <c r="NUM48" s="3"/>
      <c r="NUN48" s="3"/>
      <c r="NUO48" s="3"/>
      <c r="NUP48" s="3"/>
      <c r="NUQ48" s="3"/>
      <c r="NUR48" s="3"/>
      <c r="NUS48" s="3"/>
      <c r="NUT48" s="3"/>
      <c r="NUU48" s="3"/>
      <c r="NUV48" s="3"/>
      <c r="NUW48" s="3"/>
      <c r="NUX48" s="3"/>
      <c r="NUY48" s="3"/>
      <c r="NUZ48" s="3"/>
      <c r="NVA48" s="3"/>
      <c r="NVB48" s="3"/>
      <c r="NVC48" s="3"/>
      <c r="NVD48" s="3"/>
      <c r="NVE48" s="3"/>
      <c r="NVF48" s="3"/>
      <c r="NVG48" s="3"/>
      <c r="NVH48" s="3"/>
      <c r="NVI48" s="3"/>
      <c r="NVJ48" s="3"/>
      <c r="NVK48" s="3"/>
      <c r="NVL48" s="3"/>
      <c r="NVM48" s="3"/>
      <c r="NVN48" s="3"/>
      <c r="NVO48" s="3"/>
      <c r="NVP48" s="3"/>
      <c r="NVQ48" s="3"/>
      <c r="NVR48" s="3"/>
      <c r="NVS48" s="3"/>
      <c r="NVT48" s="3"/>
      <c r="NVU48" s="3"/>
      <c r="NVV48" s="3"/>
      <c r="NVW48" s="3"/>
      <c r="NVX48" s="3"/>
      <c r="NVY48" s="3"/>
      <c r="NVZ48" s="3"/>
      <c r="NWA48" s="3"/>
      <c r="NWB48" s="3"/>
      <c r="NWC48" s="3"/>
      <c r="NWD48" s="3"/>
      <c r="NWE48" s="3"/>
      <c r="NWF48" s="3"/>
      <c r="NWG48" s="3"/>
      <c r="NWH48" s="3"/>
      <c r="NWI48" s="3"/>
      <c r="NWJ48" s="3"/>
      <c r="NWK48" s="3"/>
      <c r="NWL48" s="3"/>
      <c r="NWM48" s="3"/>
      <c r="NWN48" s="3"/>
      <c r="NWO48" s="3"/>
      <c r="NWP48" s="3"/>
      <c r="NWQ48" s="3"/>
      <c r="NWR48" s="3"/>
      <c r="NWS48" s="3"/>
      <c r="NWT48" s="3"/>
      <c r="NWU48" s="3"/>
      <c r="NWV48" s="3"/>
      <c r="NWW48" s="3"/>
      <c r="NWX48" s="3"/>
      <c r="NWY48" s="3"/>
      <c r="NWZ48" s="3"/>
      <c r="NXA48" s="3"/>
      <c r="NXB48" s="3"/>
      <c r="NXC48" s="3"/>
      <c r="NXD48" s="3"/>
      <c r="NXE48" s="3"/>
      <c r="NXF48" s="3"/>
      <c r="NXG48" s="3"/>
      <c r="NXH48" s="3"/>
      <c r="NXI48" s="3"/>
      <c r="NXJ48" s="3"/>
      <c r="NXK48" s="3"/>
      <c r="NXL48" s="3"/>
      <c r="NXM48" s="3"/>
      <c r="NXN48" s="3"/>
      <c r="NXO48" s="3"/>
      <c r="NXP48" s="3"/>
      <c r="NXQ48" s="3"/>
      <c r="NXR48" s="3"/>
      <c r="NXS48" s="3"/>
      <c r="NXT48" s="3"/>
      <c r="NXU48" s="3"/>
      <c r="NXV48" s="3"/>
      <c r="NXW48" s="3"/>
      <c r="NXX48" s="3"/>
      <c r="NXY48" s="3"/>
      <c r="NXZ48" s="3"/>
      <c r="NYA48" s="3"/>
      <c r="NYB48" s="3"/>
      <c r="NYC48" s="3"/>
      <c r="NYD48" s="3"/>
      <c r="NYE48" s="3"/>
      <c r="NYF48" s="3"/>
      <c r="NYG48" s="3"/>
      <c r="NYH48" s="3"/>
      <c r="NYI48" s="3"/>
      <c r="NYJ48" s="3"/>
      <c r="NYK48" s="3"/>
      <c r="NYL48" s="3"/>
      <c r="NYM48" s="3"/>
      <c r="NYN48" s="3"/>
      <c r="NYO48" s="3"/>
      <c r="NYP48" s="3"/>
      <c r="NYQ48" s="3"/>
      <c r="NYR48" s="3"/>
      <c r="NYS48" s="3"/>
      <c r="NYT48" s="3"/>
      <c r="NYU48" s="3"/>
      <c r="NYV48" s="3"/>
      <c r="NYW48" s="3"/>
      <c r="NYX48" s="3"/>
      <c r="NYY48" s="3"/>
      <c r="NYZ48" s="3"/>
      <c r="NZA48" s="3"/>
      <c r="NZB48" s="3"/>
      <c r="NZC48" s="3"/>
      <c r="NZD48" s="3"/>
      <c r="NZE48" s="3"/>
      <c r="NZF48" s="3"/>
      <c r="NZG48" s="3"/>
      <c r="NZH48" s="3"/>
      <c r="NZI48" s="3"/>
      <c r="NZJ48" s="3"/>
      <c r="NZK48" s="3"/>
      <c r="NZL48" s="3"/>
      <c r="NZM48" s="3"/>
      <c r="NZN48" s="3"/>
      <c r="NZO48" s="3"/>
      <c r="NZP48" s="3"/>
      <c r="NZQ48" s="3"/>
      <c r="NZR48" s="3"/>
      <c r="NZS48" s="3"/>
      <c r="NZT48" s="3"/>
      <c r="NZU48" s="3"/>
      <c r="NZV48" s="3"/>
      <c r="NZW48" s="3"/>
      <c r="NZX48" s="3"/>
      <c r="NZY48" s="3"/>
      <c r="NZZ48" s="3"/>
      <c r="OAA48" s="3"/>
      <c r="OAB48" s="3"/>
      <c r="OAC48" s="3"/>
      <c r="OAD48" s="3"/>
      <c r="OAE48" s="3"/>
      <c r="OAF48" s="3"/>
      <c r="OAG48" s="3"/>
      <c r="OAH48" s="3"/>
      <c r="OAI48" s="3"/>
      <c r="OAJ48" s="3"/>
      <c r="OAK48" s="3"/>
      <c r="OAL48" s="3"/>
      <c r="OAM48" s="3"/>
      <c r="OAN48" s="3"/>
      <c r="OAO48" s="3"/>
      <c r="OAP48" s="3"/>
      <c r="OAQ48" s="3"/>
      <c r="OAR48" s="3"/>
      <c r="OAS48" s="3"/>
      <c r="OAT48" s="3"/>
      <c r="OAU48" s="3"/>
      <c r="OAV48" s="3"/>
      <c r="OAW48" s="3"/>
      <c r="OAX48" s="3"/>
      <c r="OAY48" s="3"/>
      <c r="OAZ48" s="3"/>
      <c r="OBA48" s="3"/>
      <c r="OBB48" s="3"/>
      <c r="OBC48" s="3"/>
      <c r="OBD48" s="3"/>
      <c r="OBE48" s="3"/>
      <c r="OBF48" s="3"/>
      <c r="OBG48" s="3"/>
      <c r="OBH48" s="3"/>
      <c r="OBI48" s="3"/>
      <c r="OBJ48" s="3"/>
      <c r="OBK48" s="3"/>
      <c r="OBL48" s="3"/>
      <c r="OBM48" s="3"/>
      <c r="OBN48" s="3"/>
      <c r="OBO48" s="3"/>
      <c r="OBP48" s="3"/>
      <c r="OBQ48" s="3"/>
      <c r="OBR48" s="3"/>
      <c r="OBS48" s="3"/>
      <c r="OBT48" s="3"/>
      <c r="OBU48" s="3"/>
      <c r="OBV48" s="3"/>
      <c r="OBW48" s="3"/>
      <c r="OBX48" s="3"/>
      <c r="OBY48" s="3"/>
      <c r="OBZ48" s="3"/>
      <c r="OCA48" s="3"/>
      <c r="OCB48" s="3"/>
      <c r="OCC48" s="3"/>
      <c r="OCD48" s="3"/>
      <c r="OCE48" s="3"/>
      <c r="OCF48" s="3"/>
      <c r="OCG48" s="3"/>
      <c r="OCH48" s="3"/>
      <c r="OCI48" s="3"/>
      <c r="OCJ48" s="3"/>
      <c r="OCK48" s="3"/>
      <c r="OCL48" s="3"/>
      <c r="OCM48" s="3"/>
      <c r="OCN48" s="3"/>
      <c r="OCO48" s="3"/>
      <c r="OCP48" s="3"/>
      <c r="OCQ48" s="3"/>
      <c r="OCR48" s="3"/>
      <c r="OCS48" s="3"/>
      <c r="OCT48" s="3"/>
      <c r="OCU48" s="3"/>
      <c r="OCV48" s="3"/>
      <c r="OCW48" s="3"/>
      <c r="OCX48" s="3"/>
      <c r="OCY48" s="3"/>
      <c r="OCZ48" s="3"/>
      <c r="ODA48" s="3"/>
      <c r="ODB48" s="3"/>
      <c r="ODC48" s="3"/>
      <c r="ODD48" s="3"/>
      <c r="ODE48" s="3"/>
      <c r="ODF48" s="3"/>
      <c r="ODG48" s="3"/>
      <c r="ODH48" s="3"/>
      <c r="ODI48" s="3"/>
      <c r="ODJ48" s="3"/>
      <c r="ODK48" s="3"/>
      <c r="ODL48" s="3"/>
      <c r="ODM48" s="3"/>
      <c r="ODN48" s="3"/>
      <c r="ODO48" s="3"/>
      <c r="ODP48" s="3"/>
      <c r="ODQ48" s="3"/>
      <c r="ODR48" s="3"/>
      <c r="ODS48" s="3"/>
      <c r="ODT48" s="3"/>
      <c r="ODU48" s="3"/>
      <c r="ODV48" s="3"/>
      <c r="ODW48" s="3"/>
      <c r="ODX48" s="3"/>
      <c r="ODY48" s="3"/>
      <c r="ODZ48" s="3"/>
      <c r="OEA48" s="3"/>
      <c r="OEB48" s="3"/>
      <c r="OEC48" s="3"/>
      <c r="OED48" s="3"/>
      <c r="OEE48" s="3"/>
      <c r="OEF48" s="3"/>
      <c r="OEG48" s="3"/>
      <c r="OEH48" s="3"/>
      <c r="OEI48" s="3"/>
      <c r="OEJ48" s="3"/>
      <c r="OEK48" s="3"/>
      <c r="OEL48" s="3"/>
      <c r="OEM48" s="3"/>
      <c r="OEN48" s="3"/>
      <c r="OEO48" s="3"/>
      <c r="OEP48" s="3"/>
      <c r="OEQ48" s="3"/>
      <c r="OER48" s="3"/>
      <c r="OES48" s="3"/>
      <c r="OET48" s="3"/>
      <c r="OEU48" s="3"/>
      <c r="OEV48" s="3"/>
      <c r="OEW48" s="3"/>
      <c r="OEX48" s="3"/>
      <c r="OEY48" s="3"/>
      <c r="OEZ48" s="3"/>
      <c r="OFA48" s="3"/>
      <c r="OFB48" s="3"/>
      <c r="OFC48" s="3"/>
      <c r="OFD48" s="3"/>
      <c r="OFE48" s="3"/>
      <c r="OFF48" s="3"/>
      <c r="OFG48" s="3"/>
      <c r="OFH48" s="3"/>
      <c r="OFI48" s="3"/>
      <c r="OFJ48" s="3"/>
      <c r="OFK48" s="3"/>
      <c r="OFL48" s="3"/>
      <c r="OFM48" s="3"/>
      <c r="OFN48" s="3"/>
      <c r="OFO48" s="3"/>
      <c r="OFP48" s="3"/>
      <c r="OFQ48" s="3"/>
      <c r="OFR48" s="3"/>
      <c r="OFS48" s="3"/>
      <c r="OFT48" s="3"/>
      <c r="OFU48" s="3"/>
      <c r="OFV48" s="3"/>
      <c r="OFW48" s="3"/>
      <c r="OFX48" s="3"/>
      <c r="OFY48" s="3"/>
      <c r="OFZ48" s="3"/>
      <c r="OGA48" s="3"/>
      <c r="OGB48" s="3"/>
      <c r="OGC48" s="3"/>
      <c r="OGD48" s="3"/>
      <c r="OGE48" s="3"/>
      <c r="OGF48" s="3"/>
      <c r="OGG48" s="3"/>
      <c r="OGH48" s="3"/>
      <c r="OGI48" s="3"/>
      <c r="OGJ48" s="3"/>
      <c r="OGK48" s="3"/>
      <c r="OGL48" s="3"/>
      <c r="OGM48" s="3"/>
      <c r="OGN48" s="3"/>
      <c r="OGO48" s="3"/>
      <c r="OGP48" s="3"/>
      <c r="OGQ48" s="3"/>
      <c r="OGR48" s="3"/>
      <c r="OGS48" s="3"/>
      <c r="OGT48" s="3"/>
      <c r="OGU48" s="3"/>
      <c r="OGV48" s="3"/>
      <c r="OGW48" s="3"/>
      <c r="OGX48" s="3"/>
      <c r="OGY48" s="3"/>
      <c r="OGZ48" s="3"/>
      <c r="OHA48" s="3"/>
      <c r="OHB48" s="3"/>
      <c r="OHC48" s="3"/>
      <c r="OHD48" s="3"/>
      <c r="OHE48" s="3"/>
      <c r="OHF48" s="3"/>
      <c r="OHG48" s="3"/>
      <c r="OHH48" s="3"/>
      <c r="OHI48" s="3"/>
      <c r="OHJ48" s="3"/>
      <c r="OHK48" s="3"/>
      <c r="OHL48" s="3"/>
      <c r="OHM48" s="3"/>
      <c r="OHN48" s="3"/>
      <c r="OHO48" s="3"/>
      <c r="OHP48" s="3"/>
      <c r="OHQ48" s="3"/>
      <c r="OHR48" s="3"/>
      <c r="OHS48" s="3"/>
      <c r="OHT48" s="3"/>
      <c r="OHU48" s="3"/>
      <c r="OHV48" s="3"/>
      <c r="OHW48" s="3"/>
      <c r="OHX48" s="3"/>
      <c r="OHY48" s="3"/>
      <c r="OHZ48" s="3"/>
      <c r="OIA48" s="3"/>
      <c r="OIB48" s="3"/>
      <c r="OIC48" s="3"/>
      <c r="OID48" s="3"/>
      <c r="OIE48" s="3"/>
      <c r="OIF48" s="3"/>
      <c r="OIG48" s="3"/>
      <c r="OIH48" s="3"/>
      <c r="OII48" s="3"/>
      <c r="OIJ48" s="3"/>
      <c r="OIK48" s="3"/>
      <c r="OIL48" s="3"/>
      <c r="OIM48" s="3"/>
      <c r="OIN48" s="3"/>
      <c r="OIO48" s="3"/>
      <c r="OIP48" s="3"/>
      <c r="OIQ48" s="3"/>
      <c r="OIR48" s="3"/>
      <c r="OIS48" s="3"/>
      <c r="OIT48" s="3"/>
      <c r="OIU48" s="3"/>
      <c r="OIV48" s="3"/>
      <c r="OIW48" s="3"/>
      <c r="OIX48" s="3"/>
      <c r="OIY48" s="3"/>
      <c r="OIZ48" s="3"/>
      <c r="OJA48" s="3"/>
      <c r="OJB48" s="3"/>
      <c r="OJC48" s="3"/>
      <c r="OJD48" s="3"/>
      <c r="OJE48" s="3"/>
      <c r="OJF48" s="3"/>
      <c r="OJG48" s="3"/>
      <c r="OJH48" s="3"/>
      <c r="OJI48" s="3"/>
      <c r="OJJ48" s="3"/>
      <c r="OJK48" s="3"/>
      <c r="OJL48" s="3"/>
      <c r="OJM48" s="3"/>
      <c r="OJN48" s="3"/>
      <c r="OJO48" s="3"/>
      <c r="OJP48" s="3"/>
      <c r="OJQ48" s="3"/>
      <c r="OJR48" s="3"/>
      <c r="OJS48" s="3"/>
      <c r="OJT48" s="3"/>
      <c r="OJU48" s="3"/>
      <c r="OJV48" s="3"/>
      <c r="OJW48" s="3"/>
      <c r="OJX48" s="3"/>
      <c r="OJY48" s="3"/>
      <c r="OJZ48" s="3"/>
      <c r="OKA48" s="3"/>
      <c r="OKB48" s="3"/>
      <c r="OKC48" s="3"/>
      <c r="OKD48" s="3"/>
      <c r="OKE48" s="3"/>
      <c r="OKF48" s="3"/>
      <c r="OKG48" s="3"/>
      <c r="OKH48" s="3"/>
      <c r="OKI48" s="3"/>
      <c r="OKJ48" s="3"/>
      <c r="OKK48" s="3"/>
      <c r="OKL48" s="3"/>
      <c r="OKM48" s="3"/>
      <c r="OKN48" s="3"/>
      <c r="OKO48" s="3"/>
      <c r="OKP48" s="3"/>
      <c r="OKQ48" s="3"/>
      <c r="OKR48" s="3"/>
      <c r="OKS48" s="3"/>
      <c r="OKT48" s="3"/>
      <c r="OKU48" s="3"/>
      <c r="OKV48" s="3"/>
      <c r="OKW48" s="3"/>
      <c r="OKX48" s="3"/>
      <c r="OKY48" s="3"/>
      <c r="OKZ48" s="3"/>
      <c r="OLA48" s="3"/>
      <c r="OLB48" s="3"/>
      <c r="OLC48" s="3"/>
      <c r="OLD48" s="3"/>
      <c r="OLE48" s="3"/>
      <c r="OLF48" s="3"/>
      <c r="OLG48" s="3"/>
      <c r="OLH48" s="3"/>
      <c r="OLI48" s="3"/>
      <c r="OLJ48" s="3"/>
      <c r="OLK48" s="3"/>
      <c r="OLL48" s="3"/>
      <c r="OLM48" s="3"/>
      <c r="OLN48" s="3"/>
      <c r="OLO48" s="3"/>
      <c r="OLP48" s="3"/>
      <c r="OLQ48" s="3"/>
      <c r="OLR48" s="3"/>
      <c r="OLS48" s="3"/>
      <c r="OLT48" s="3"/>
      <c r="OLU48" s="3"/>
      <c r="OLV48" s="3"/>
      <c r="OLW48" s="3"/>
      <c r="OLX48" s="3"/>
      <c r="OLY48" s="3"/>
      <c r="OLZ48" s="3"/>
      <c r="OMA48" s="3"/>
      <c r="OMB48" s="3"/>
      <c r="OMC48" s="3"/>
      <c r="OMD48" s="3"/>
      <c r="OME48" s="3"/>
      <c r="OMF48" s="3"/>
      <c r="OMG48" s="3"/>
      <c r="OMH48" s="3"/>
      <c r="OMI48" s="3"/>
      <c r="OMJ48" s="3"/>
      <c r="OMK48" s="3"/>
      <c r="OML48" s="3"/>
      <c r="OMM48" s="3"/>
      <c r="OMN48" s="3"/>
      <c r="OMO48" s="3"/>
      <c r="OMP48" s="3"/>
      <c r="OMQ48" s="3"/>
      <c r="OMR48" s="3"/>
      <c r="OMS48" s="3"/>
      <c r="OMT48" s="3"/>
      <c r="OMU48" s="3"/>
      <c r="OMV48" s="3"/>
      <c r="OMW48" s="3"/>
      <c r="OMX48" s="3"/>
      <c r="OMY48" s="3"/>
      <c r="OMZ48" s="3"/>
      <c r="ONA48" s="3"/>
      <c r="ONB48" s="3"/>
      <c r="ONC48" s="3"/>
      <c r="OND48" s="3"/>
      <c r="ONE48" s="3"/>
      <c r="ONF48" s="3"/>
      <c r="ONG48" s="3"/>
      <c r="ONH48" s="3"/>
      <c r="ONI48" s="3"/>
      <c r="ONJ48" s="3"/>
      <c r="ONK48" s="3"/>
      <c r="ONL48" s="3"/>
      <c r="ONM48" s="3"/>
      <c r="ONN48" s="3"/>
      <c r="ONO48" s="3"/>
      <c r="ONP48" s="3"/>
      <c r="ONQ48" s="3"/>
      <c r="ONR48" s="3"/>
      <c r="ONS48" s="3"/>
      <c r="ONT48" s="3"/>
      <c r="ONU48" s="3"/>
      <c r="ONV48" s="3"/>
      <c r="ONW48" s="3"/>
      <c r="ONX48" s="3"/>
      <c r="ONY48" s="3"/>
      <c r="ONZ48" s="3"/>
      <c r="OOA48" s="3"/>
      <c r="OOB48" s="3"/>
      <c r="OOC48" s="3"/>
      <c r="OOD48" s="3"/>
      <c r="OOE48" s="3"/>
      <c r="OOF48" s="3"/>
      <c r="OOG48" s="3"/>
      <c r="OOH48" s="3"/>
      <c r="OOI48" s="3"/>
      <c r="OOJ48" s="3"/>
      <c r="OOK48" s="3"/>
      <c r="OOL48" s="3"/>
      <c r="OOM48" s="3"/>
      <c r="OON48" s="3"/>
      <c r="OOO48" s="3"/>
      <c r="OOP48" s="3"/>
      <c r="OOQ48" s="3"/>
      <c r="OOR48" s="3"/>
      <c r="OOS48" s="3"/>
      <c r="OOT48" s="3"/>
      <c r="OOU48" s="3"/>
      <c r="OOV48" s="3"/>
      <c r="OOW48" s="3"/>
      <c r="OOX48" s="3"/>
      <c r="OOY48" s="3"/>
      <c r="OOZ48" s="3"/>
      <c r="OPA48" s="3"/>
      <c r="OPB48" s="3"/>
      <c r="OPC48" s="3"/>
      <c r="OPD48" s="3"/>
      <c r="OPE48" s="3"/>
      <c r="OPF48" s="3"/>
      <c r="OPG48" s="3"/>
      <c r="OPH48" s="3"/>
      <c r="OPI48" s="3"/>
      <c r="OPJ48" s="3"/>
      <c r="OPK48" s="3"/>
      <c r="OPL48" s="3"/>
      <c r="OPM48" s="3"/>
      <c r="OPN48" s="3"/>
      <c r="OPO48" s="3"/>
      <c r="OPP48" s="3"/>
      <c r="OPQ48" s="3"/>
      <c r="OPR48" s="3"/>
      <c r="OPS48" s="3"/>
      <c r="OPT48" s="3"/>
      <c r="OPU48" s="3"/>
      <c r="OPV48" s="3"/>
      <c r="OPW48" s="3"/>
      <c r="OPX48" s="3"/>
      <c r="OPY48" s="3"/>
      <c r="OPZ48" s="3"/>
      <c r="OQA48" s="3"/>
      <c r="OQB48" s="3"/>
      <c r="OQC48" s="3"/>
      <c r="OQD48" s="3"/>
      <c r="OQE48" s="3"/>
      <c r="OQF48" s="3"/>
      <c r="OQG48" s="3"/>
      <c r="OQH48" s="3"/>
      <c r="OQI48" s="3"/>
      <c r="OQJ48" s="3"/>
      <c r="OQK48" s="3"/>
      <c r="OQL48" s="3"/>
      <c r="OQM48" s="3"/>
      <c r="OQN48" s="3"/>
      <c r="OQO48" s="3"/>
      <c r="OQP48" s="3"/>
      <c r="OQQ48" s="3"/>
      <c r="OQR48" s="3"/>
      <c r="OQS48" s="3"/>
      <c r="OQT48" s="3"/>
      <c r="OQU48" s="3"/>
      <c r="OQV48" s="3"/>
      <c r="OQW48" s="3"/>
      <c r="OQX48" s="3"/>
      <c r="OQY48" s="3"/>
      <c r="OQZ48" s="3"/>
      <c r="ORA48" s="3"/>
      <c r="ORB48" s="3"/>
      <c r="ORC48" s="3"/>
      <c r="ORD48" s="3"/>
      <c r="ORE48" s="3"/>
      <c r="ORF48" s="3"/>
      <c r="ORG48" s="3"/>
      <c r="ORH48" s="3"/>
      <c r="ORI48" s="3"/>
      <c r="ORJ48" s="3"/>
      <c r="ORK48" s="3"/>
      <c r="ORL48" s="3"/>
      <c r="ORM48" s="3"/>
      <c r="ORN48" s="3"/>
      <c r="ORO48" s="3"/>
      <c r="ORP48" s="3"/>
      <c r="ORQ48" s="3"/>
      <c r="ORR48" s="3"/>
      <c r="ORS48" s="3"/>
      <c r="ORT48" s="3"/>
      <c r="ORU48" s="3"/>
      <c r="ORV48" s="3"/>
      <c r="ORW48" s="3"/>
      <c r="ORX48" s="3"/>
      <c r="ORY48" s="3"/>
      <c r="ORZ48" s="3"/>
      <c r="OSA48" s="3"/>
      <c r="OSB48" s="3"/>
      <c r="OSC48" s="3"/>
      <c r="OSD48" s="3"/>
      <c r="OSE48" s="3"/>
      <c r="OSF48" s="3"/>
      <c r="OSG48" s="3"/>
      <c r="OSH48" s="3"/>
      <c r="OSI48" s="3"/>
      <c r="OSJ48" s="3"/>
      <c r="OSK48" s="3"/>
      <c r="OSL48" s="3"/>
      <c r="OSM48" s="3"/>
      <c r="OSN48" s="3"/>
      <c r="OSO48" s="3"/>
      <c r="OSP48" s="3"/>
      <c r="OSQ48" s="3"/>
      <c r="OSR48" s="3"/>
      <c r="OSS48" s="3"/>
      <c r="OST48" s="3"/>
      <c r="OSU48" s="3"/>
      <c r="OSV48" s="3"/>
      <c r="OSW48" s="3"/>
      <c r="OSX48" s="3"/>
      <c r="OSY48" s="3"/>
      <c r="OSZ48" s="3"/>
      <c r="OTA48" s="3"/>
      <c r="OTB48" s="3"/>
      <c r="OTC48" s="3"/>
      <c r="OTD48" s="3"/>
      <c r="OTE48" s="3"/>
      <c r="OTF48" s="3"/>
      <c r="OTG48" s="3"/>
      <c r="OTH48" s="3"/>
      <c r="OTI48" s="3"/>
      <c r="OTJ48" s="3"/>
      <c r="OTK48" s="3"/>
      <c r="OTL48" s="3"/>
      <c r="OTM48" s="3"/>
      <c r="OTN48" s="3"/>
      <c r="OTO48" s="3"/>
      <c r="OTP48" s="3"/>
      <c r="OTQ48" s="3"/>
      <c r="OTR48" s="3"/>
      <c r="OTS48" s="3"/>
      <c r="OTT48" s="3"/>
      <c r="OTU48" s="3"/>
      <c r="OTV48" s="3"/>
      <c r="OTW48" s="3"/>
      <c r="OTX48" s="3"/>
      <c r="OTY48" s="3"/>
      <c r="OTZ48" s="3"/>
      <c r="OUA48" s="3"/>
      <c r="OUB48" s="3"/>
      <c r="OUC48" s="3"/>
      <c r="OUD48" s="3"/>
      <c r="OUE48" s="3"/>
      <c r="OUF48" s="3"/>
      <c r="OUG48" s="3"/>
      <c r="OUH48" s="3"/>
      <c r="OUI48" s="3"/>
      <c r="OUJ48" s="3"/>
      <c r="OUK48" s="3"/>
      <c r="OUL48" s="3"/>
      <c r="OUM48" s="3"/>
      <c r="OUN48" s="3"/>
      <c r="OUO48" s="3"/>
      <c r="OUP48" s="3"/>
      <c r="OUQ48" s="3"/>
      <c r="OUR48" s="3"/>
      <c r="OUS48" s="3"/>
      <c r="OUT48" s="3"/>
      <c r="OUU48" s="3"/>
      <c r="OUV48" s="3"/>
      <c r="OUW48" s="3"/>
      <c r="OUX48" s="3"/>
      <c r="OUY48" s="3"/>
      <c r="OUZ48" s="3"/>
      <c r="OVA48" s="3"/>
      <c r="OVB48" s="3"/>
      <c r="OVC48" s="3"/>
      <c r="OVD48" s="3"/>
      <c r="OVE48" s="3"/>
      <c r="OVF48" s="3"/>
      <c r="OVG48" s="3"/>
      <c r="OVH48" s="3"/>
      <c r="OVI48" s="3"/>
      <c r="OVJ48" s="3"/>
      <c r="OVK48" s="3"/>
      <c r="OVL48" s="3"/>
      <c r="OVM48" s="3"/>
      <c r="OVN48" s="3"/>
      <c r="OVO48" s="3"/>
      <c r="OVP48" s="3"/>
      <c r="OVQ48" s="3"/>
      <c r="OVR48" s="3"/>
      <c r="OVS48" s="3"/>
      <c r="OVT48" s="3"/>
      <c r="OVU48" s="3"/>
      <c r="OVV48" s="3"/>
      <c r="OVW48" s="3"/>
      <c r="OVX48" s="3"/>
      <c r="OVY48" s="3"/>
      <c r="OVZ48" s="3"/>
      <c r="OWA48" s="3"/>
      <c r="OWB48" s="3"/>
      <c r="OWC48" s="3"/>
      <c r="OWD48" s="3"/>
      <c r="OWE48" s="3"/>
      <c r="OWF48" s="3"/>
      <c r="OWG48" s="3"/>
      <c r="OWH48" s="3"/>
      <c r="OWI48" s="3"/>
      <c r="OWJ48" s="3"/>
      <c r="OWK48" s="3"/>
      <c r="OWL48" s="3"/>
      <c r="OWM48" s="3"/>
      <c r="OWN48" s="3"/>
      <c r="OWO48" s="3"/>
      <c r="OWP48" s="3"/>
      <c r="OWQ48" s="3"/>
      <c r="OWR48" s="3"/>
      <c r="OWS48" s="3"/>
      <c r="OWT48" s="3"/>
      <c r="OWU48" s="3"/>
      <c r="OWV48" s="3"/>
      <c r="OWW48" s="3"/>
      <c r="OWX48" s="3"/>
      <c r="OWY48" s="3"/>
      <c r="OWZ48" s="3"/>
      <c r="OXA48" s="3"/>
      <c r="OXB48" s="3"/>
      <c r="OXC48" s="3"/>
      <c r="OXD48" s="3"/>
      <c r="OXE48" s="3"/>
      <c r="OXF48" s="3"/>
      <c r="OXG48" s="3"/>
      <c r="OXH48" s="3"/>
      <c r="OXI48" s="3"/>
      <c r="OXJ48" s="3"/>
      <c r="OXK48" s="3"/>
      <c r="OXL48" s="3"/>
      <c r="OXM48" s="3"/>
      <c r="OXN48" s="3"/>
      <c r="OXO48" s="3"/>
      <c r="OXP48" s="3"/>
      <c r="OXQ48" s="3"/>
      <c r="OXR48" s="3"/>
      <c r="OXS48" s="3"/>
      <c r="OXT48" s="3"/>
      <c r="OXU48" s="3"/>
      <c r="OXV48" s="3"/>
      <c r="OXW48" s="3"/>
      <c r="OXX48" s="3"/>
      <c r="OXY48" s="3"/>
      <c r="OXZ48" s="3"/>
      <c r="OYA48" s="3"/>
      <c r="OYB48" s="3"/>
      <c r="OYC48" s="3"/>
      <c r="OYD48" s="3"/>
      <c r="OYE48" s="3"/>
      <c r="OYF48" s="3"/>
      <c r="OYG48" s="3"/>
      <c r="OYH48" s="3"/>
      <c r="OYI48" s="3"/>
      <c r="OYJ48" s="3"/>
      <c r="OYK48" s="3"/>
      <c r="OYL48" s="3"/>
      <c r="OYM48" s="3"/>
      <c r="OYN48" s="3"/>
      <c r="OYO48" s="3"/>
      <c r="OYP48" s="3"/>
      <c r="OYQ48" s="3"/>
      <c r="OYR48" s="3"/>
      <c r="OYS48" s="3"/>
      <c r="OYT48" s="3"/>
      <c r="OYU48" s="3"/>
      <c r="OYV48" s="3"/>
      <c r="OYW48" s="3"/>
      <c r="OYX48" s="3"/>
      <c r="OYY48" s="3"/>
      <c r="OYZ48" s="3"/>
      <c r="OZA48" s="3"/>
      <c r="OZB48" s="3"/>
      <c r="OZC48" s="3"/>
      <c r="OZD48" s="3"/>
      <c r="OZE48" s="3"/>
      <c r="OZF48" s="3"/>
      <c r="OZG48" s="3"/>
      <c r="OZH48" s="3"/>
      <c r="OZI48" s="3"/>
      <c r="OZJ48" s="3"/>
      <c r="OZK48" s="3"/>
      <c r="OZL48" s="3"/>
      <c r="OZM48" s="3"/>
      <c r="OZN48" s="3"/>
      <c r="OZO48" s="3"/>
      <c r="OZP48" s="3"/>
      <c r="OZQ48" s="3"/>
      <c r="OZR48" s="3"/>
      <c r="OZS48" s="3"/>
      <c r="OZT48" s="3"/>
      <c r="OZU48" s="3"/>
      <c r="OZV48" s="3"/>
      <c r="OZW48" s="3"/>
      <c r="OZX48" s="3"/>
      <c r="OZY48" s="3"/>
      <c r="OZZ48" s="3"/>
      <c r="PAA48" s="3"/>
      <c r="PAB48" s="3"/>
      <c r="PAC48" s="3"/>
      <c r="PAD48" s="3"/>
      <c r="PAE48" s="3"/>
      <c r="PAF48" s="3"/>
      <c r="PAG48" s="3"/>
      <c r="PAH48" s="3"/>
      <c r="PAI48" s="3"/>
      <c r="PAJ48" s="3"/>
      <c r="PAK48" s="3"/>
      <c r="PAL48" s="3"/>
      <c r="PAM48" s="3"/>
      <c r="PAN48" s="3"/>
      <c r="PAO48" s="3"/>
      <c r="PAP48" s="3"/>
      <c r="PAQ48" s="3"/>
      <c r="PAR48" s="3"/>
      <c r="PAS48" s="3"/>
      <c r="PAT48" s="3"/>
      <c r="PAU48" s="3"/>
      <c r="PAV48" s="3"/>
      <c r="PAW48" s="3"/>
      <c r="PAX48" s="3"/>
      <c r="PAY48" s="3"/>
      <c r="PAZ48" s="3"/>
      <c r="PBA48" s="3"/>
      <c r="PBB48" s="3"/>
      <c r="PBC48" s="3"/>
      <c r="PBD48" s="3"/>
      <c r="PBE48" s="3"/>
      <c r="PBF48" s="3"/>
      <c r="PBG48" s="3"/>
      <c r="PBH48" s="3"/>
      <c r="PBI48" s="3"/>
      <c r="PBJ48" s="3"/>
      <c r="PBK48" s="3"/>
      <c r="PBL48" s="3"/>
      <c r="PBM48" s="3"/>
      <c r="PBN48" s="3"/>
      <c r="PBO48" s="3"/>
      <c r="PBP48" s="3"/>
      <c r="PBQ48" s="3"/>
      <c r="PBR48" s="3"/>
      <c r="PBS48" s="3"/>
      <c r="PBT48" s="3"/>
      <c r="PBU48" s="3"/>
      <c r="PBV48" s="3"/>
      <c r="PBW48" s="3"/>
      <c r="PBX48" s="3"/>
      <c r="PBY48" s="3"/>
      <c r="PBZ48" s="3"/>
      <c r="PCA48" s="3"/>
      <c r="PCB48" s="3"/>
      <c r="PCC48" s="3"/>
      <c r="PCD48" s="3"/>
      <c r="PCE48" s="3"/>
      <c r="PCF48" s="3"/>
      <c r="PCG48" s="3"/>
      <c r="PCH48" s="3"/>
      <c r="PCI48" s="3"/>
      <c r="PCJ48" s="3"/>
      <c r="PCK48" s="3"/>
      <c r="PCL48" s="3"/>
      <c r="PCM48" s="3"/>
      <c r="PCN48" s="3"/>
      <c r="PCO48" s="3"/>
      <c r="PCP48" s="3"/>
      <c r="PCQ48" s="3"/>
      <c r="PCR48" s="3"/>
      <c r="PCS48" s="3"/>
      <c r="PCT48" s="3"/>
      <c r="PCU48" s="3"/>
      <c r="PCV48" s="3"/>
      <c r="PCW48" s="3"/>
      <c r="PCX48" s="3"/>
      <c r="PCY48" s="3"/>
      <c r="PCZ48" s="3"/>
      <c r="PDA48" s="3"/>
      <c r="PDB48" s="3"/>
      <c r="PDC48" s="3"/>
      <c r="PDD48" s="3"/>
      <c r="PDE48" s="3"/>
      <c r="PDF48" s="3"/>
      <c r="PDG48" s="3"/>
      <c r="PDH48" s="3"/>
      <c r="PDI48" s="3"/>
      <c r="PDJ48" s="3"/>
      <c r="PDK48" s="3"/>
      <c r="PDL48" s="3"/>
      <c r="PDM48" s="3"/>
      <c r="PDN48" s="3"/>
      <c r="PDO48" s="3"/>
      <c r="PDP48" s="3"/>
      <c r="PDQ48" s="3"/>
      <c r="PDR48" s="3"/>
      <c r="PDS48" s="3"/>
      <c r="PDT48" s="3"/>
      <c r="PDU48" s="3"/>
      <c r="PDV48" s="3"/>
      <c r="PDW48" s="3"/>
      <c r="PDX48" s="3"/>
      <c r="PDY48" s="3"/>
      <c r="PDZ48" s="3"/>
      <c r="PEA48" s="3"/>
      <c r="PEB48" s="3"/>
      <c r="PEC48" s="3"/>
      <c r="PED48" s="3"/>
      <c r="PEE48" s="3"/>
      <c r="PEF48" s="3"/>
      <c r="PEG48" s="3"/>
      <c r="PEH48" s="3"/>
      <c r="PEI48" s="3"/>
      <c r="PEJ48" s="3"/>
      <c r="PEK48" s="3"/>
      <c r="PEL48" s="3"/>
      <c r="PEM48" s="3"/>
      <c r="PEN48" s="3"/>
      <c r="PEO48" s="3"/>
      <c r="PEP48" s="3"/>
      <c r="PEQ48" s="3"/>
      <c r="PER48" s="3"/>
      <c r="PES48" s="3"/>
      <c r="PET48" s="3"/>
      <c r="PEU48" s="3"/>
      <c r="PEV48" s="3"/>
      <c r="PEW48" s="3"/>
      <c r="PEX48" s="3"/>
      <c r="PEY48" s="3"/>
      <c r="PEZ48" s="3"/>
      <c r="PFA48" s="3"/>
      <c r="PFB48" s="3"/>
      <c r="PFC48" s="3"/>
      <c r="PFD48" s="3"/>
      <c r="PFE48" s="3"/>
      <c r="PFF48" s="3"/>
      <c r="PFG48" s="3"/>
      <c r="PFH48" s="3"/>
      <c r="PFI48" s="3"/>
      <c r="PFJ48" s="3"/>
      <c r="PFK48" s="3"/>
      <c r="PFL48" s="3"/>
      <c r="PFM48" s="3"/>
      <c r="PFN48" s="3"/>
      <c r="PFO48" s="3"/>
      <c r="PFP48" s="3"/>
      <c r="PFQ48" s="3"/>
      <c r="PFR48" s="3"/>
      <c r="PFS48" s="3"/>
      <c r="PFT48" s="3"/>
      <c r="PFU48" s="3"/>
      <c r="PFV48" s="3"/>
      <c r="PFW48" s="3"/>
      <c r="PFX48" s="3"/>
      <c r="PFY48" s="3"/>
      <c r="PFZ48" s="3"/>
      <c r="PGA48" s="3"/>
      <c r="PGB48" s="3"/>
      <c r="PGC48" s="3"/>
      <c r="PGD48" s="3"/>
      <c r="PGE48" s="3"/>
      <c r="PGF48" s="3"/>
      <c r="PGG48" s="3"/>
      <c r="PGH48" s="3"/>
      <c r="PGI48" s="3"/>
      <c r="PGJ48" s="3"/>
      <c r="PGK48" s="3"/>
      <c r="PGL48" s="3"/>
      <c r="PGM48" s="3"/>
      <c r="PGN48" s="3"/>
      <c r="PGO48" s="3"/>
      <c r="PGP48" s="3"/>
      <c r="PGQ48" s="3"/>
      <c r="PGR48" s="3"/>
      <c r="PGS48" s="3"/>
      <c r="PGT48" s="3"/>
      <c r="PGU48" s="3"/>
      <c r="PGV48" s="3"/>
      <c r="PGW48" s="3"/>
      <c r="PGX48" s="3"/>
      <c r="PGY48" s="3"/>
      <c r="PGZ48" s="3"/>
      <c r="PHA48" s="3"/>
      <c r="PHB48" s="3"/>
      <c r="PHC48" s="3"/>
      <c r="PHD48" s="3"/>
      <c r="PHE48" s="3"/>
      <c r="PHF48" s="3"/>
      <c r="PHG48" s="3"/>
      <c r="PHH48" s="3"/>
      <c r="PHI48" s="3"/>
      <c r="PHJ48" s="3"/>
      <c r="PHK48" s="3"/>
      <c r="PHL48" s="3"/>
      <c r="PHM48" s="3"/>
      <c r="PHN48" s="3"/>
      <c r="PHO48" s="3"/>
      <c r="PHP48" s="3"/>
      <c r="PHQ48" s="3"/>
      <c r="PHR48" s="3"/>
      <c r="PHS48" s="3"/>
      <c r="PHT48" s="3"/>
      <c r="PHU48" s="3"/>
      <c r="PHV48" s="3"/>
      <c r="PHW48" s="3"/>
      <c r="PHX48" s="3"/>
      <c r="PHY48" s="3"/>
      <c r="PHZ48" s="3"/>
      <c r="PIA48" s="3"/>
      <c r="PIB48" s="3"/>
      <c r="PIC48" s="3"/>
      <c r="PID48" s="3"/>
      <c r="PIE48" s="3"/>
      <c r="PIF48" s="3"/>
      <c r="PIG48" s="3"/>
      <c r="PIH48" s="3"/>
      <c r="PII48" s="3"/>
      <c r="PIJ48" s="3"/>
      <c r="PIK48" s="3"/>
      <c r="PIL48" s="3"/>
      <c r="PIM48" s="3"/>
      <c r="PIN48" s="3"/>
      <c r="PIO48" s="3"/>
      <c r="PIP48" s="3"/>
      <c r="PIQ48" s="3"/>
      <c r="PIR48" s="3"/>
      <c r="PIS48" s="3"/>
      <c r="PIT48" s="3"/>
      <c r="PIU48" s="3"/>
      <c r="PIV48" s="3"/>
      <c r="PIW48" s="3"/>
      <c r="PIX48" s="3"/>
      <c r="PIY48" s="3"/>
      <c r="PIZ48" s="3"/>
      <c r="PJA48" s="3"/>
      <c r="PJB48" s="3"/>
      <c r="PJC48" s="3"/>
      <c r="PJD48" s="3"/>
      <c r="PJE48" s="3"/>
      <c r="PJF48" s="3"/>
      <c r="PJG48" s="3"/>
      <c r="PJH48" s="3"/>
      <c r="PJI48" s="3"/>
      <c r="PJJ48" s="3"/>
      <c r="PJK48" s="3"/>
      <c r="PJL48" s="3"/>
      <c r="PJM48" s="3"/>
      <c r="PJN48" s="3"/>
      <c r="PJO48" s="3"/>
      <c r="PJP48" s="3"/>
      <c r="PJQ48" s="3"/>
      <c r="PJR48" s="3"/>
      <c r="PJS48" s="3"/>
      <c r="PJT48" s="3"/>
      <c r="PJU48" s="3"/>
      <c r="PJV48" s="3"/>
      <c r="PJW48" s="3"/>
      <c r="PJX48" s="3"/>
      <c r="PJY48" s="3"/>
      <c r="PJZ48" s="3"/>
      <c r="PKA48" s="3"/>
      <c r="PKB48" s="3"/>
      <c r="PKC48" s="3"/>
      <c r="PKD48" s="3"/>
      <c r="PKE48" s="3"/>
      <c r="PKF48" s="3"/>
      <c r="PKG48" s="3"/>
      <c r="PKH48" s="3"/>
      <c r="PKI48" s="3"/>
      <c r="PKJ48" s="3"/>
      <c r="PKK48" s="3"/>
      <c r="PKL48" s="3"/>
      <c r="PKM48" s="3"/>
      <c r="PKN48" s="3"/>
      <c r="PKO48" s="3"/>
      <c r="PKP48" s="3"/>
      <c r="PKQ48" s="3"/>
      <c r="PKR48" s="3"/>
      <c r="PKS48" s="3"/>
      <c r="PKT48" s="3"/>
      <c r="PKU48" s="3"/>
      <c r="PKV48" s="3"/>
      <c r="PKW48" s="3"/>
      <c r="PKX48" s="3"/>
      <c r="PKY48" s="3"/>
      <c r="PKZ48" s="3"/>
      <c r="PLA48" s="3"/>
      <c r="PLB48" s="3"/>
      <c r="PLC48" s="3"/>
      <c r="PLD48" s="3"/>
      <c r="PLE48" s="3"/>
      <c r="PLF48" s="3"/>
      <c r="PLG48" s="3"/>
      <c r="PLH48" s="3"/>
      <c r="PLI48" s="3"/>
      <c r="PLJ48" s="3"/>
      <c r="PLK48" s="3"/>
      <c r="PLL48" s="3"/>
      <c r="PLM48" s="3"/>
      <c r="PLN48" s="3"/>
      <c r="PLO48" s="3"/>
      <c r="PLP48" s="3"/>
      <c r="PLQ48" s="3"/>
      <c r="PLR48" s="3"/>
      <c r="PLS48" s="3"/>
      <c r="PLT48" s="3"/>
      <c r="PLU48" s="3"/>
      <c r="PLV48" s="3"/>
      <c r="PLW48" s="3"/>
      <c r="PLX48" s="3"/>
      <c r="PLY48" s="3"/>
      <c r="PLZ48" s="3"/>
      <c r="PMA48" s="3"/>
      <c r="PMB48" s="3"/>
      <c r="PMC48" s="3"/>
      <c r="PMD48" s="3"/>
      <c r="PME48" s="3"/>
      <c r="PMF48" s="3"/>
      <c r="PMG48" s="3"/>
      <c r="PMH48" s="3"/>
      <c r="PMI48" s="3"/>
      <c r="PMJ48" s="3"/>
      <c r="PMK48" s="3"/>
      <c r="PML48" s="3"/>
      <c r="PMM48" s="3"/>
      <c r="PMN48" s="3"/>
      <c r="PMO48" s="3"/>
      <c r="PMP48" s="3"/>
      <c r="PMQ48" s="3"/>
      <c r="PMR48" s="3"/>
      <c r="PMS48" s="3"/>
      <c r="PMT48" s="3"/>
      <c r="PMU48" s="3"/>
      <c r="PMV48" s="3"/>
      <c r="PMW48" s="3"/>
      <c r="PMX48" s="3"/>
      <c r="PMY48" s="3"/>
      <c r="PMZ48" s="3"/>
      <c r="PNA48" s="3"/>
      <c r="PNB48" s="3"/>
      <c r="PNC48" s="3"/>
      <c r="PND48" s="3"/>
      <c r="PNE48" s="3"/>
      <c r="PNF48" s="3"/>
      <c r="PNG48" s="3"/>
      <c r="PNH48" s="3"/>
      <c r="PNI48" s="3"/>
      <c r="PNJ48" s="3"/>
      <c r="PNK48" s="3"/>
      <c r="PNL48" s="3"/>
      <c r="PNM48" s="3"/>
      <c r="PNN48" s="3"/>
      <c r="PNO48" s="3"/>
      <c r="PNP48" s="3"/>
      <c r="PNQ48" s="3"/>
      <c r="PNR48" s="3"/>
      <c r="PNS48" s="3"/>
      <c r="PNT48" s="3"/>
      <c r="PNU48" s="3"/>
      <c r="PNV48" s="3"/>
      <c r="PNW48" s="3"/>
      <c r="PNX48" s="3"/>
      <c r="PNY48" s="3"/>
      <c r="PNZ48" s="3"/>
      <c r="POA48" s="3"/>
      <c r="POB48" s="3"/>
      <c r="POC48" s="3"/>
      <c r="POD48" s="3"/>
      <c r="POE48" s="3"/>
      <c r="POF48" s="3"/>
      <c r="POG48" s="3"/>
      <c r="POH48" s="3"/>
      <c r="POI48" s="3"/>
      <c r="POJ48" s="3"/>
      <c r="POK48" s="3"/>
      <c r="POL48" s="3"/>
      <c r="POM48" s="3"/>
      <c r="PON48" s="3"/>
      <c r="POO48" s="3"/>
      <c r="POP48" s="3"/>
      <c r="POQ48" s="3"/>
      <c r="POR48" s="3"/>
      <c r="POS48" s="3"/>
      <c r="POT48" s="3"/>
      <c r="POU48" s="3"/>
      <c r="POV48" s="3"/>
      <c r="POW48" s="3"/>
      <c r="POX48" s="3"/>
      <c r="POY48" s="3"/>
      <c r="POZ48" s="3"/>
      <c r="PPA48" s="3"/>
      <c r="PPB48" s="3"/>
      <c r="PPC48" s="3"/>
      <c r="PPD48" s="3"/>
      <c r="PPE48" s="3"/>
      <c r="PPF48" s="3"/>
      <c r="PPG48" s="3"/>
      <c r="PPH48" s="3"/>
      <c r="PPI48" s="3"/>
      <c r="PPJ48" s="3"/>
      <c r="PPK48" s="3"/>
      <c r="PPL48" s="3"/>
      <c r="PPM48" s="3"/>
      <c r="PPN48" s="3"/>
      <c r="PPO48" s="3"/>
      <c r="PPP48" s="3"/>
      <c r="PPQ48" s="3"/>
      <c r="PPR48" s="3"/>
      <c r="PPS48" s="3"/>
      <c r="PPT48" s="3"/>
      <c r="PPU48" s="3"/>
      <c r="PPV48" s="3"/>
      <c r="PPW48" s="3"/>
      <c r="PPX48" s="3"/>
      <c r="PPY48" s="3"/>
      <c r="PPZ48" s="3"/>
      <c r="PQA48" s="3"/>
      <c r="PQB48" s="3"/>
      <c r="PQC48" s="3"/>
      <c r="PQD48" s="3"/>
      <c r="PQE48" s="3"/>
      <c r="PQF48" s="3"/>
      <c r="PQG48" s="3"/>
      <c r="PQH48" s="3"/>
      <c r="PQI48" s="3"/>
      <c r="PQJ48" s="3"/>
      <c r="PQK48" s="3"/>
      <c r="PQL48" s="3"/>
      <c r="PQM48" s="3"/>
      <c r="PQN48" s="3"/>
      <c r="PQO48" s="3"/>
      <c r="PQP48" s="3"/>
      <c r="PQQ48" s="3"/>
      <c r="PQR48" s="3"/>
      <c r="PQS48" s="3"/>
      <c r="PQT48" s="3"/>
      <c r="PQU48" s="3"/>
      <c r="PQV48" s="3"/>
      <c r="PQW48" s="3"/>
      <c r="PQX48" s="3"/>
      <c r="PQY48" s="3"/>
      <c r="PQZ48" s="3"/>
      <c r="PRA48" s="3"/>
      <c r="PRB48" s="3"/>
      <c r="PRC48" s="3"/>
      <c r="PRD48" s="3"/>
      <c r="PRE48" s="3"/>
      <c r="PRF48" s="3"/>
      <c r="PRG48" s="3"/>
      <c r="PRH48" s="3"/>
      <c r="PRI48" s="3"/>
      <c r="PRJ48" s="3"/>
      <c r="PRK48" s="3"/>
      <c r="PRL48" s="3"/>
      <c r="PRM48" s="3"/>
      <c r="PRN48" s="3"/>
      <c r="PRO48" s="3"/>
      <c r="PRP48" s="3"/>
      <c r="PRQ48" s="3"/>
      <c r="PRR48" s="3"/>
      <c r="PRS48" s="3"/>
      <c r="PRT48" s="3"/>
      <c r="PRU48" s="3"/>
      <c r="PRV48" s="3"/>
      <c r="PRW48" s="3"/>
      <c r="PRX48" s="3"/>
      <c r="PRY48" s="3"/>
      <c r="PRZ48" s="3"/>
      <c r="PSA48" s="3"/>
      <c r="PSB48" s="3"/>
      <c r="PSC48" s="3"/>
      <c r="PSD48" s="3"/>
      <c r="PSE48" s="3"/>
      <c r="PSF48" s="3"/>
      <c r="PSG48" s="3"/>
      <c r="PSH48" s="3"/>
      <c r="PSI48" s="3"/>
      <c r="PSJ48" s="3"/>
      <c r="PSK48" s="3"/>
      <c r="PSL48" s="3"/>
      <c r="PSM48" s="3"/>
      <c r="PSN48" s="3"/>
      <c r="PSO48" s="3"/>
      <c r="PSP48" s="3"/>
      <c r="PSQ48" s="3"/>
      <c r="PSR48" s="3"/>
      <c r="PSS48" s="3"/>
      <c r="PST48" s="3"/>
      <c r="PSU48" s="3"/>
      <c r="PSV48" s="3"/>
      <c r="PSW48" s="3"/>
      <c r="PSX48" s="3"/>
      <c r="PSY48" s="3"/>
      <c r="PSZ48" s="3"/>
      <c r="PTA48" s="3"/>
      <c r="PTB48" s="3"/>
      <c r="PTC48" s="3"/>
      <c r="PTD48" s="3"/>
      <c r="PTE48" s="3"/>
      <c r="PTF48" s="3"/>
      <c r="PTG48" s="3"/>
      <c r="PTH48" s="3"/>
      <c r="PTI48" s="3"/>
      <c r="PTJ48" s="3"/>
      <c r="PTK48" s="3"/>
      <c r="PTL48" s="3"/>
      <c r="PTM48" s="3"/>
      <c r="PTN48" s="3"/>
      <c r="PTO48" s="3"/>
      <c r="PTP48" s="3"/>
      <c r="PTQ48" s="3"/>
      <c r="PTR48" s="3"/>
      <c r="PTS48" s="3"/>
      <c r="PTT48" s="3"/>
      <c r="PTU48" s="3"/>
      <c r="PTV48" s="3"/>
      <c r="PTW48" s="3"/>
      <c r="PTX48" s="3"/>
      <c r="PTY48" s="3"/>
      <c r="PTZ48" s="3"/>
      <c r="PUA48" s="3"/>
      <c r="PUB48" s="3"/>
      <c r="PUC48" s="3"/>
      <c r="PUD48" s="3"/>
      <c r="PUE48" s="3"/>
      <c r="PUF48" s="3"/>
      <c r="PUG48" s="3"/>
      <c r="PUH48" s="3"/>
      <c r="PUI48" s="3"/>
      <c r="PUJ48" s="3"/>
      <c r="PUK48" s="3"/>
      <c r="PUL48" s="3"/>
      <c r="PUM48" s="3"/>
      <c r="PUN48" s="3"/>
      <c r="PUO48" s="3"/>
      <c r="PUP48" s="3"/>
      <c r="PUQ48" s="3"/>
      <c r="PUR48" s="3"/>
      <c r="PUS48" s="3"/>
      <c r="PUT48" s="3"/>
      <c r="PUU48" s="3"/>
      <c r="PUV48" s="3"/>
      <c r="PUW48" s="3"/>
      <c r="PUX48" s="3"/>
      <c r="PUY48" s="3"/>
      <c r="PUZ48" s="3"/>
      <c r="PVA48" s="3"/>
      <c r="PVB48" s="3"/>
      <c r="PVC48" s="3"/>
      <c r="PVD48" s="3"/>
      <c r="PVE48" s="3"/>
      <c r="PVF48" s="3"/>
      <c r="PVG48" s="3"/>
      <c r="PVH48" s="3"/>
      <c r="PVI48" s="3"/>
      <c r="PVJ48" s="3"/>
      <c r="PVK48" s="3"/>
      <c r="PVL48" s="3"/>
      <c r="PVM48" s="3"/>
      <c r="PVN48" s="3"/>
      <c r="PVO48" s="3"/>
      <c r="PVP48" s="3"/>
      <c r="PVQ48" s="3"/>
      <c r="PVR48" s="3"/>
      <c r="PVS48" s="3"/>
      <c r="PVT48" s="3"/>
      <c r="PVU48" s="3"/>
      <c r="PVV48" s="3"/>
      <c r="PVW48" s="3"/>
      <c r="PVX48" s="3"/>
      <c r="PVY48" s="3"/>
      <c r="PVZ48" s="3"/>
      <c r="PWA48" s="3"/>
      <c r="PWB48" s="3"/>
      <c r="PWC48" s="3"/>
      <c r="PWD48" s="3"/>
      <c r="PWE48" s="3"/>
      <c r="PWF48" s="3"/>
      <c r="PWG48" s="3"/>
      <c r="PWH48" s="3"/>
      <c r="PWI48" s="3"/>
      <c r="PWJ48" s="3"/>
      <c r="PWK48" s="3"/>
      <c r="PWL48" s="3"/>
      <c r="PWM48" s="3"/>
      <c r="PWN48" s="3"/>
      <c r="PWO48" s="3"/>
      <c r="PWP48" s="3"/>
      <c r="PWQ48" s="3"/>
      <c r="PWR48" s="3"/>
      <c r="PWS48" s="3"/>
      <c r="PWT48" s="3"/>
      <c r="PWU48" s="3"/>
      <c r="PWV48" s="3"/>
      <c r="PWW48" s="3"/>
      <c r="PWX48" s="3"/>
      <c r="PWY48" s="3"/>
      <c r="PWZ48" s="3"/>
      <c r="PXA48" s="3"/>
      <c r="PXB48" s="3"/>
      <c r="PXC48" s="3"/>
      <c r="PXD48" s="3"/>
      <c r="PXE48" s="3"/>
      <c r="PXF48" s="3"/>
      <c r="PXG48" s="3"/>
      <c r="PXH48" s="3"/>
      <c r="PXI48" s="3"/>
      <c r="PXJ48" s="3"/>
      <c r="PXK48" s="3"/>
      <c r="PXL48" s="3"/>
      <c r="PXM48" s="3"/>
      <c r="PXN48" s="3"/>
      <c r="PXO48" s="3"/>
      <c r="PXP48" s="3"/>
      <c r="PXQ48" s="3"/>
      <c r="PXR48" s="3"/>
      <c r="PXS48" s="3"/>
      <c r="PXT48" s="3"/>
      <c r="PXU48" s="3"/>
      <c r="PXV48" s="3"/>
      <c r="PXW48" s="3"/>
      <c r="PXX48" s="3"/>
      <c r="PXY48" s="3"/>
      <c r="PXZ48" s="3"/>
      <c r="PYA48" s="3"/>
      <c r="PYB48" s="3"/>
      <c r="PYC48" s="3"/>
      <c r="PYD48" s="3"/>
      <c r="PYE48" s="3"/>
      <c r="PYF48" s="3"/>
      <c r="PYG48" s="3"/>
      <c r="PYH48" s="3"/>
      <c r="PYI48" s="3"/>
      <c r="PYJ48" s="3"/>
      <c r="PYK48" s="3"/>
      <c r="PYL48" s="3"/>
      <c r="PYM48" s="3"/>
      <c r="PYN48" s="3"/>
      <c r="PYO48" s="3"/>
      <c r="PYP48" s="3"/>
      <c r="PYQ48" s="3"/>
      <c r="PYR48" s="3"/>
      <c r="PYS48" s="3"/>
      <c r="PYT48" s="3"/>
      <c r="PYU48" s="3"/>
      <c r="PYV48" s="3"/>
      <c r="PYW48" s="3"/>
      <c r="PYX48" s="3"/>
      <c r="PYY48" s="3"/>
      <c r="PYZ48" s="3"/>
      <c r="PZA48" s="3"/>
      <c r="PZB48" s="3"/>
      <c r="PZC48" s="3"/>
      <c r="PZD48" s="3"/>
      <c r="PZE48" s="3"/>
      <c r="PZF48" s="3"/>
      <c r="PZG48" s="3"/>
      <c r="PZH48" s="3"/>
      <c r="PZI48" s="3"/>
      <c r="PZJ48" s="3"/>
      <c r="PZK48" s="3"/>
      <c r="PZL48" s="3"/>
      <c r="PZM48" s="3"/>
      <c r="PZN48" s="3"/>
      <c r="PZO48" s="3"/>
      <c r="PZP48" s="3"/>
      <c r="PZQ48" s="3"/>
      <c r="PZR48" s="3"/>
      <c r="PZS48" s="3"/>
      <c r="PZT48" s="3"/>
      <c r="PZU48" s="3"/>
      <c r="PZV48" s="3"/>
      <c r="PZW48" s="3"/>
      <c r="PZX48" s="3"/>
      <c r="PZY48" s="3"/>
      <c r="PZZ48" s="3"/>
      <c r="QAA48" s="3"/>
      <c r="QAB48" s="3"/>
      <c r="QAC48" s="3"/>
      <c r="QAD48" s="3"/>
      <c r="QAE48" s="3"/>
      <c r="QAF48" s="3"/>
      <c r="QAG48" s="3"/>
      <c r="QAH48" s="3"/>
      <c r="QAI48" s="3"/>
      <c r="QAJ48" s="3"/>
      <c r="QAK48" s="3"/>
      <c r="QAL48" s="3"/>
      <c r="QAM48" s="3"/>
      <c r="QAN48" s="3"/>
      <c r="QAO48" s="3"/>
      <c r="QAP48" s="3"/>
      <c r="QAQ48" s="3"/>
      <c r="QAR48" s="3"/>
      <c r="QAS48" s="3"/>
      <c r="QAT48" s="3"/>
      <c r="QAU48" s="3"/>
      <c r="QAV48" s="3"/>
      <c r="QAW48" s="3"/>
      <c r="QAX48" s="3"/>
      <c r="QAY48" s="3"/>
      <c r="QAZ48" s="3"/>
      <c r="QBA48" s="3"/>
      <c r="QBB48" s="3"/>
      <c r="QBC48" s="3"/>
      <c r="QBD48" s="3"/>
      <c r="QBE48" s="3"/>
      <c r="QBF48" s="3"/>
      <c r="QBG48" s="3"/>
      <c r="QBH48" s="3"/>
      <c r="QBI48" s="3"/>
      <c r="QBJ48" s="3"/>
      <c r="QBK48" s="3"/>
      <c r="QBL48" s="3"/>
      <c r="QBM48" s="3"/>
      <c r="QBN48" s="3"/>
      <c r="QBO48" s="3"/>
      <c r="QBP48" s="3"/>
      <c r="QBQ48" s="3"/>
      <c r="QBR48" s="3"/>
      <c r="QBS48" s="3"/>
      <c r="QBT48" s="3"/>
      <c r="QBU48" s="3"/>
      <c r="QBV48" s="3"/>
      <c r="QBW48" s="3"/>
      <c r="QBX48" s="3"/>
      <c r="QBY48" s="3"/>
      <c r="QBZ48" s="3"/>
      <c r="QCA48" s="3"/>
      <c r="QCB48" s="3"/>
      <c r="QCC48" s="3"/>
      <c r="QCD48" s="3"/>
      <c r="QCE48" s="3"/>
      <c r="QCF48" s="3"/>
      <c r="QCG48" s="3"/>
      <c r="QCH48" s="3"/>
      <c r="QCI48" s="3"/>
      <c r="QCJ48" s="3"/>
      <c r="QCK48" s="3"/>
      <c r="QCL48" s="3"/>
      <c r="QCM48" s="3"/>
      <c r="QCN48" s="3"/>
      <c r="QCO48" s="3"/>
      <c r="QCP48" s="3"/>
      <c r="QCQ48" s="3"/>
      <c r="QCR48" s="3"/>
      <c r="QCS48" s="3"/>
      <c r="QCT48" s="3"/>
      <c r="QCU48" s="3"/>
      <c r="QCV48" s="3"/>
      <c r="QCW48" s="3"/>
      <c r="QCX48" s="3"/>
      <c r="QCY48" s="3"/>
      <c r="QCZ48" s="3"/>
      <c r="QDA48" s="3"/>
      <c r="QDB48" s="3"/>
      <c r="QDC48" s="3"/>
      <c r="QDD48" s="3"/>
      <c r="QDE48" s="3"/>
      <c r="QDF48" s="3"/>
      <c r="QDG48" s="3"/>
      <c r="QDH48" s="3"/>
      <c r="QDI48" s="3"/>
      <c r="QDJ48" s="3"/>
      <c r="QDK48" s="3"/>
      <c r="QDL48" s="3"/>
      <c r="QDM48" s="3"/>
      <c r="QDN48" s="3"/>
      <c r="QDO48" s="3"/>
      <c r="QDP48" s="3"/>
      <c r="QDQ48" s="3"/>
      <c r="QDR48" s="3"/>
      <c r="QDS48" s="3"/>
      <c r="QDT48" s="3"/>
      <c r="QDU48" s="3"/>
      <c r="QDV48" s="3"/>
      <c r="QDW48" s="3"/>
      <c r="QDX48" s="3"/>
      <c r="QDY48" s="3"/>
      <c r="QDZ48" s="3"/>
      <c r="QEA48" s="3"/>
      <c r="QEB48" s="3"/>
      <c r="QEC48" s="3"/>
      <c r="QED48" s="3"/>
      <c r="QEE48" s="3"/>
      <c r="QEF48" s="3"/>
      <c r="QEG48" s="3"/>
      <c r="QEH48" s="3"/>
      <c r="QEI48" s="3"/>
      <c r="QEJ48" s="3"/>
      <c r="QEK48" s="3"/>
      <c r="QEL48" s="3"/>
      <c r="QEM48" s="3"/>
      <c r="QEN48" s="3"/>
      <c r="QEO48" s="3"/>
      <c r="QEP48" s="3"/>
      <c r="QEQ48" s="3"/>
      <c r="QER48" s="3"/>
      <c r="QES48" s="3"/>
      <c r="QET48" s="3"/>
      <c r="QEU48" s="3"/>
      <c r="QEV48" s="3"/>
      <c r="QEW48" s="3"/>
      <c r="QEX48" s="3"/>
      <c r="QEY48" s="3"/>
      <c r="QEZ48" s="3"/>
      <c r="QFA48" s="3"/>
      <c r="QFB48" s="3"/>
      <c r="QFC48" s="3"/>
      <c r="QFD48" s="3"/>
      <c r="QFE48" s="3"/>
      <c r="QFF48" s="3"/>
      <c r="QFG48" s="3"/>
      <c r="QFH48" s="3"/>
      <c r="QFI48" s="3"/>
      <c r="QFJ48" s="3"/>
      <c r="QFK48" s="3"/>
      <c r="QFL48" s="3"/>
      <c r="QFM48" s="3"/>
      <c r="QFN48" s="3"/>
      <c r="QFO48" s="3"/>
      <c r="QFP48" s="3"/>
      <c r="QFQ48" s="3"/>
      <c r="QFR48" s="3"/>
      <c r="QFS48" s="3"/>
      <c r="QFT48" s="3"/>
      <c r="QFU48" s="3"/>
      <c r="QFV48" s="3"/>
      <c r="QFW48" s="3"/>
      <c r="QFX48" s="3"/>
      <c r="QFY48" s="3"/>
      <c r="QFZ48" s="3"/>
      <c r="QGA48" s="3"/>
      <c r="QGB48" s="3"/>
      <c r="QGC48" s="3"/>
      <c r="QGD48" s="3"/>
      <c r="QGE48" s="3"/>
      <c r="QGF48" s="3"/>
      <c r="QGG48" s="3"/>
      <c r="QGH48" s="3"/>
      <c r="QGI48" s="3"/>
      <c r="QGJ48" s="3"/>
      <c r="QGK48" s="3"/>
      <c r="QGL48" s="3"/>
      <c r="QGM48" s="3"/>
      <c r="QGN48" s="3"/>
      <c r="QGO48" s="3"/>
      <c r="QGP48" s="3"/>
      <c r="QGQ48" s="3"/>
      <c r="QGR48" s="3"/>
      <c r="QGS48" s="3"/>
      <c r="QGT48" s="3"/>
      <c r="QGU48" s="3"/>
      <c r="QGV48" s="3"/>
      <c r="QGW48" s="3"/>
      <c r="QGX48" s="3"/>
      <c r="QGY48" s="3"/>
      <c r="QGZ48" s="3"/>
      <c r="QHA48" s="3"/>
      <c r="QHB48" s="3"/>
      <c r="QHC48" s="3"/>
      <c r="QHD48" s="3"/>
      <c r="QHE48" s="3"/>
      <c r="QHF48" s="3"/>
      <c r="QHG48" s="3"/>
      <c r="QHH48" s="3"/>
      <c r="QHI48" s="3"/>
      <c r="QHJ48" s="3"/>
      <c r="QHK48" s="3"/>
      <c r="QHL48" s="3"/>
      <c r="QHM48" s="3"/>
      <c r="QHN48" s="3"/>
      <c r="QHO48" s="3"/>
      <c r="QHP48" s="3"/>
      <c r="QHQ48" s="3"/>
      <c r="QHR48" s="3"/>
      <c r="QHS48" s="3"/>
      <c r="QHT48" s="3"/>
      <c r="QHU48" s="3"/>
      <c r="QHV48" s="3"/>
      <c r="QHW48" s="3"/>
      <c r="QHX48" s="3"/>
      <c r="QHY48" s="3"/>
      <c r="QHZ48" s="3"/>
      <c r="QIA48" s="3"/>
      <c r="QIB48" s="3"/>
      <c r="QIC48" s="3"/>
      <c r="QID48" s="3"/>
      <c r="QIE48" s="3"/>
      <c r="QIF48" s="3"/>
      <c r="QIG48" s="3"/>
      <c r="QIH48" s="3"/>
      <c r="QII48" s="3"/>
      <c r="QIJ48" s="3"/>
      <c r="QIK48" s="3"/>
      <c r="QIL48" s="3"/>
      <c r="QIM48" s="3"/>
      <c r="QIN48" s="3"/>
      <c r="QIO48" s="3"/>
      <c r="QIP48" s="3"/>
      <c r="QIQ48" s="3"/>
      <c r="QIR48" s="3"/>
      <c r="QIS48" s="3"/>
      <c r="QIT48" s="3"/>
      <c r="QIU48" s="3"/>
      <c r="QIV48" s="3"/>
      <c r="QIW48" s="3"/>
      <c r="QIX48" s="3"/>
      <c r="QIY48" s="3"/>
      <c r="QIZ48" s="3"/>
      <c r="QJA48" s="3"/>
      <c r="QJB48" s="3"/>
      <c r="QJC48" s="3"/>
      <c r="QJD48" s="3"/>
      <c r="QJE48" s="3"/>
      <c r="QJF48" s="3"/>
      <c r="QJG48" s="3"/>
      <c r="QJH48" s="3"/>
      <c r="QJI48" s="3"/>
      <c r="QJJ48" s="3"/>
      <c r="QJK48" s="3"/>
      <c r="QJL48" s="3"/>
      <c r="QJM48" s="3"/>
      <c r="QJN48" s="3"/>
      <c r="QJO48" s="3"/>
      <c r="QJP48" s="3"/>
      <c r="QJQ48" s="3"/>
      <c r="QJR48" s="3"/>
      <c r="QJS48" s="3"/>
      <c r="QJT48" s="3"/>
      <c r="QJU48" s="3"/>
      <c r="QJV48" s="3"/>
      <c r="QJW48" s="3"/>
      <c r="QJX48" s="3"/>
      <c r="QJY48" s="3"/>
      <c r="QJZ48" s="3"/>
      <c r="QKA48" s="3"/>
      <c r="QKB48" s="3"/>
      <c r="QKC48" s="3"/>
      <c r="QKD48" s="3"/>
      <c r="QKE48" s="3"/>
      <c r="QKF48" s="3"/>
      <c r="QKG48" s="3"/>
      <c r="QKH48" s="3"/>
      <c r="QKI48" s="3"/>
      <c r="QKJ48" s="3"/>
      <c r="QKK48" s="3"/>
      <c r="QKL48" s="3"/>
      <c r="QKM48" s="3"/>
      <c r="QKN48" s="3"/>
      <c r="QKO48" s="3"/>
      <c r="QKP48" s="3"/>
      <c r="QKQ48" s="3"/>
      <c r="QKR48" s="3"/>
      <c r="QKS48" s="3"/>
      <c r="QKT48" s="3"/>
      <c r="QKU48" s="3"/>
      <c r="QKV48" s="3"/>
      <c r="QKW48" s="3"/>
      <c r="QKX48" s="3"/>
      <c r="QKY48" s="3"/>
      <c r="QKZ48" s="3"/>
      <c r="QLA48" s="3"/>
      <c r="QLB48" s="3"/>
      <c r="QLC48" s="3"/>
      <c r="QLD48" s="3"/>
      <c r="QLE48" s="3"/>
      <c r="QLF48" s="3"/>
      <c r="QLG48" s="3"/>
      <c r="QLH48" s="3"/>
      <c r="QLI48" s="3"/>
      <c r="QLJ48" s="3"/>
      <c r="QLK48" s="3"/>
      <c r="QLL48" s="3"/>
      <c r="QLM48" s="3"/>
      <c r="QLN48" s="3"/>
      <c r="QLO48" s="3"/>
      <c r="QLP48" s="3"/>
      <c r="QLQ48" s="3"/>
      <c r="QLR48" s="3"/>
      <c r="QLS48" s="3"/>
      <c r="QLT48" s="3"/>
      <c r="QLU48" s="3"/>
      <c r="QLV48" s="3"/>
      <c r="QLW48" s="3"/>
      <c r="QLX48" s="3"/>
      <c r="QLY48" s="3"/>
      <c r="QLZ48" s="3"/>
      <c r="QMA48" s="3"/>
      <c r="QMB48" s="3"/>
      <c r="QMC48" s="3"/>
      <c r="QMD48" s="3"/>
      <c r="QME48" s="3"/>
      <c r="QMF48" s="3"/>
      <c r="QMG48" s="3"/>
      <c r="QMH48" s="3"/>
      <c r="QMI48" s="3"/>
      <c r="QMJ48" s="3"/>
      <c r="QMK48" s="3"/>
      <c r="QML48" s="3"/>
      <c r="QMM48" s="3"/>
      <c r="QMN48" s="3"/>
      <c r="QMO48" s="3"/>
      <c r="QMP48" s="3"/>
      <c r="QMQ48" s="3"/>
      <c r="QMR48" s="3"/>
      <c r="QMS48" s="3"/>
      <c r="QMT48" s="3"/>
      <c r="QMU48" s="3"/>
      <c r="QMV48" s="3"/>
      <c r="QMW48" s="3"/>
      <c r="QMX48" s="3"/>
      <c r="QMY48" s="3"/>
      <c r="QMZ48" s="3"/>
      <c r="QNA48" s="3"/>
      <c r="QNB48" s="3"/>
      <c r="QNC48" s="3"/>
      <c r="QND48" s="3"/>
      <c r="QNE48" s="3"/>
      <c r="QNF48" s="3"/>
      <c r="QNG48" s="3"/>
      <c r="QNH48" s="3"/>
      <c r="QNI48" s="3"/>
      <c r="QNJ48" s="3"/>
      <c r="QNK48" s="3"/>
      <c r="QNL48" s="3"/>
      <c r="QNM48" s="3"/>
      <c r="QNN48" s="3"/>
      <c r="QNO48" s="3"/>
      <c r="QNP48" s="3"/>
      <c r="QNQ48" s="3"/>
      <c r="QNR48" s="3"/>
      <c r="QNS48" s="3"/>
      <c r="QNT48" s="3"/>
      <c r="QNU48" s="3"/>
      <c r="QNV48" s="3"/>
      <c r="QNW48" s="3"/>
      <c r="QNX48" s="3"/>
      <c r="QNY48" s="3"/>
      <c r="QNZ48" s="3"/>
      <c r="QOA48" s="3"/>
      <c r="QOB48" s="3"/>
      <c r="QOC48" s="3"/>
      <c r="QOD48" s="3"/>
      <c r="QOE48" s="3"/>
      <c r="QOF48" s="3"/>
      <c r="QOG48" s="3"/>
      <c r="QOH48" s="3"/>
      <c r="QOI48" s="3"/>
      <c r="QOJ48" s="3"/>
      <c r="QOK48" s="3"/>
      <c r="QOL48" s="3"/>
      <c r="QOM48" s="3"/>
      <c r="QON48" s="3"/>
      <c r="QOO48" s="3"/>
      <c r="QOP48" s="3"/>
      <c r="QOQ48" s="3"/>
      <c r="QOR48" s="3"/>
      <c r="QOS48" s="3"/>
      <c r="QOT48" s="3"/>
      <c r="QOU48" s="3"/>
      <c r="QOV48" s="3"/>
      <c r="QOW48" s="3"/>
      <c r="QOX48" s="3"/>
      <c r="QOY48" s="3"/>
      <c r="QOZ48" s="3"/>
      <c r="QPA48" s="3"/>
      <c r="QPB48" s="3"/>
      <c r="QPC48" s="3"/>
      <c r="QPD48" s="3"/>
      <c r="QPE48" s="3"/>
      <c r="QPF48" s="3"/>
      <c r="QPG48" s="3"/>
      <c r="QPH48" s="3"/>
      <c r="QPI48" s="3"/>
      <c r="QPJ48" s="3"/>
      <c r="QPK48" s="3"/>
      <c r="QPL48" s="3"/>
      <c r="QPM48" s="3"/>
      <c r="QPN48" s="3"/>
      <c r="QPO48" s="3"/>
      <c r="QPP48" s="3"/>
      <c r="QPQ48" s="3"/>
      <c r="QPR48" s="3"/>
      <c r="QPS48" s="3"/>
      <c r="QPT48" s="3"/>
      <c r="QPU48" s="3"/>
      <c r="QPV48" s="3"/>
      <c r="QPW48" s="3"/>
      <c r="QPX48" s="3"/>
      <c r="QPY48" s="3"/>
      <c r="QPZ48" s="3"/>
      <c r="QQA48" s="3"/>
      <c r="QQB48" s="3"/>
      <c r="QQC48" s="3"/>
      <c r="QQD48" s="3"/>
      <c r="QQE48" s="3"/>
      <c r="QQF48" s="3"/>
      <c r="QQG48" s="3"/>
      <c r="QQH48" s="3"/>
      <c r="QQI48" s="3"/>
      <c r="QQJ48" s="3"/>
      <c r="QQK48" s="3"/>
      <c r="QQL48" s="3"/>
      <c r="QQM48" s="3"/>
      <c r="QQN48" s="3"/>
      <c r="QQO48" s="3"/>
      <c r="QQP48" s="3"/>
      <c r="QQQ48" s="3"/>
      <c r="QQR48" s="3"/>
      <c r="QQS48" s="3"/>
      <c r="QQT48" s="3"/>
      <c r="QQU48" s="3"/>
      <c r="QQV48" s="3"/>
      <c r="QQW48" s="3"/>
      <c r="QQX48" s="3"/>
      <c r="QQY48" s="3"/>
      <c r="QQZ48" s="3"/>
      <c r="QRA48" s="3"/>
      <c r="QRB48" s="3"/>
      <c r="QRC48" s="3"/>
      <c r="QRD48" s="3"/>
      <c r="QRE48" s="3"/>
      <c r="QRF48" s="3"/>
      <c r="QRG48" s="3"/>
      <c r="QRH48" s="3"/>
      <c r="QRI48" s="3"/>
      <c r="QRJ48" s="3"/>
      <c r="QRK48" s="3"/>
      <c r="QRL48" s="3"/>
      <c r="QRM48" s="3"/>
      <c r="QRN48" s="3"/>
      <c r="QRO48" s="3"/>
      <c r="QRP48" s="3"/>
      <c r="QRQ48" s="3"/>
      <c r="QRR48" s="3"/>
      <c r="QRS48" s="3"/>
      <c r="QRT48" s="3"/>
      <c r="QRU48" s="3"/>
      <c r="QRV48" s="3"/>
      <c r="QRW48" s="3"/>
      <c r="QRX48" s="3"/>
      <c r="QRY48" s="3"/>
      <c r="QRZ48" s="3"/>
      <c r="QSA48" s="3"/>
      <c r="QSB48" s="3"/>
      <c r="QSC48" s="3"/>
      <c r="QSD48" s="3"/>
      <c r="QSE48" s="3"/>
      <c r="QSF48" s="3"/>
      <c r="QSG48" s="3"/>
      <c r="QSH48" s="3"/>
      <c r="QSI48" s="3"/>
      <c r="QSJ48" s="3"/>
      <c r="QSK48" s="3"/>
      <c r="QSL48" s="3"/>
      <c r="QSM48" s="3"/>
      <c r="QSN48" s="3"/>
      <c r="QSO48" s="3"/>
      <c r="QSP48" s="3"/>
      <c r="QSQ48" s="3"/>
      <c r="QSR48" s="3"/>
      <c r="QSS48" s="3"/>
      <c r="QST48" s="3"/>
      <c r="QSU48" s="3"/>
      <c r="QSV48" s="3"/>
      <c r="QSW48" s="3"/>
      <c r="QSX48" s="3"/>
      <c r="QSY48" s="3"/>
      <c r="QSZ48" s="3"/>
      <c r="QTA48" s="3"/>
      <c r="QTB48" s="3"/>
      <c r="QTC48" s="3"/>
      <c r="QTD48" s="3"/>
      <c r="QTE48" s="3"/>
      <c r="QTF48" s="3"/>
      <c r="QTG48" s="3"/>
      <c r="QTH48" s="3"/>
      <c r="QTI48" s="3"/>
      <c r="QTJ48" s="3"/>
      <c r="QTK48" s="3"/>
      <c r="QTL48" s="3"/>
      <c r="QTM48" s="3"/>
      <c r="QTN48" s="3"/>
      <c r="QTO48" s="3"/>
      <c r="QTP48" s="3"/>
      <c r="QTQ48" s="3"/>
      <c r="QTR48" s="3"/>
      <c r="QTS48" s="3"/>
      <c r="QTT48" s="3"/>
      <c r="QTU48" s="3"/>
      <c r="QTV48" s="3"/>
      <c r="QTW48" s="3"/>
      <c r="QTX48" s="3"/>
      <c r="QTY48" s="3"/>
      <c r="QTZ48" s="3"/>
      <c r="QUA48" s="3"/>
      <c r="QUB48" s="3"/>
      <c r="QUC48" s="3"/>
      <c r="QUD48" s="3"/>
      <c r="QUE48" s="3"/>
      <c r="QUF48" s="3"/>
      <c r="QUG48" s="3"/>
      <c r="QUH48" s="3"/>
      <c r="QUI48" s="3"/>
      <c r="QUJ48" s="3"/>
      <c r="QUK48" s="3"/>
      <c r="QUL48" s="3"/>
      <c r="QUM48" s="3"/>
      <c r="QUN48" s="3"/>
      <c r="QUO48" s="3"/>
      <c r="QUP48" s="3"/>
      <c r="QUQ48" s="3"/>
      <c r="QUR48" s="3"/>
      <c r="QUS48" s="3"/>
      <c r="QUT48" s="3"/>
      <c r="QUU48" s="3"/>
      <c r="QUV48" s="3"/>
      <c r="QUW48" s="3"/>
      <c r="QUX48" s="3"/>
      <c r="QUY48" s="3"/>
      <c r="QUZ48" s="3"/>
      <c r="QVA48" s="3"/>
      <c r="QVB48" s="3"/>
      <c r="QVC48" s="3"/>
      <c r="QVD48" s="3"/>
      <c r="QVE48" s="3"/>
      <c r="QVF48" s="3"/>
      <c r="QVG48" s="3"/>
      <c r="QVH48" s="3"/>
      <c r="QVI48" s="3"/>
      <c r="QVJ48" s="3"/>
      <c r="QVK48" s="3"/>
      <c r="QVL48" s="3"/>
      <c r="QVM48" s="3"/>
      <c r="QVN48" s="3"/>
      <c r="QVO48" s="3"/>
      <c r="QVP48" s="3"/>
      <c r="QVQ48" s="3"/>
      <c r="QVR48" s="3"/>
      <c r="QVS48" s="3"/>
      <c r="QVT48" s="3"/>
      <c r="QVU48" s="3"/>
      <c r="QVV48" s="3"/>
      <c r="QVW48" s="3"/>
      <c r="QVX48" s="3"/>
      <c r="QVY48" s="3"/>
      <c r="QVZ48" s="3"/>
      <c r="QWA48" s="3"/>
      <c r="QWB48" s="3"/>
      <c r="QWC48" s="3"/>
      <c r="QWD48" s="3"/>
      <c r="QWE48" s="3"/>
      <c r="QWF48" s="3"/>
      <c r="QWG48" s="3"/>
      <c r="QWH48" s="3"/>
      <c r="QWI48" s="3"/>
      <c r="QWJ48" s="3"/>
      <c r="QWK48" s="3"/>
      <c r="QWL48" s="3"/>
      <c r="QWM48" s="3"/>
      <c r="QWN48" s="3"/>
      <c r="QWO48" s="3"/>
      <c r="QWP48" s="3"/>
      <c r="QWQ48" s="3"/>
      <c r="QWR48" s="3"/>
      <c r="QWS48" s="3"/>
      <c r="QWT48" s="3"/>
      <c r="QWU48" s="3"/>
      <c r="QWV48" s="3"/>
      <c r="QWW48" s="3"/>
      <c r="QWX48" s="3"/>
      <c r="QWY48" s="3"/>
      <c r="QWZ48" s="3"/>
      <c r="QXA48" s="3"/>
      <c r="QXB48" s="3"/>
      <c r="QXC48" s="3"/>
      <c r="QXD48" s="3"/>
      <c r="QXE48" s="3"/>
      <c r="QXF48" s="3"/>
      <c r="QXG48" s="3"/>
      <c r="QXH48" s="3"/>
      <c r="QXI48" s="3"/>
      <c r="QXJ48" s="3"/>
      <c r="QXK48" s="3"/>
      <c r="QXL48" s="3"/>
      <c r="QXM48" s="3"/>
      <c r="QXN48" s="3"/>
      <c r="QXO48" s="3"/>
      <c r="QXP48" s="3"/>
      <c r="QXQ48" s="3"/>
      <c r="QXR48" s="3"/>
      <c r="QXS48" s="3"/>
      <c r="QXT48" s="3"/>
      <c r="QXU48" s="3"/>
      <c r="QXV48" s="3"/>
      <c r="QXW48" s="3"/>
      <c r="QXX48" s="3"/>
      <c r="QXY48" s="3"/>
      <c r="QXZ48" s="3"/>
      <c r="QYA48" s="3"/>
      <c r="QYB48" s="3"/>
      <c r="QYC48" s="3"/>
      <c r="QYD48" s="3"/>
      <c r="QYE48" s="3"/>
      <c r="QYF48" s="3"/>
      <c r="QYG48" s="3"/>
      <c r="QYH48" s="3"/>
      <c r="QYI48" s="3"/>
      <c r="QYJ48" s="3"/>
      <c r="QYK48" s="3"/>
      <c r="QYL48" s="3"/>
      <c r="QYM48" s="3"/>
      <c r="QYN48" s="3"/>
      <c r="QYO48" s="3"/>
      <c r="QYP48" s="3"/>
      <c r="QYQ48" s="3"/>
      <c r="QYR48" s="3"/>
      <c r="QYS48" s="3"/>
      <c r="QYT48" s="3"/>
      <c r="QYU48" s="3"/>
      <c r="QYV48" s="3"/>
      <c r="QYW48" s="3"/>
      <c r="QYX48" s="3"/>
      <c r="QYY48" s="3"/>
      <c r="QYZ48" s="3"/>
      <c r="QZA48" s="3"/>
      <c r="QZB48" s="3"/>
      <c r="QZC48" s="3"/>
      <c r="QZD48" s="3"/>
      <c r="QZE48" s="3"/>
      <c r="QZF48" s="3"/>
      <c r="QZG48" s="3"/>
      <c r="QZH48" s="3"/>
      <c r="QZI48" s="3"/>
      <c r="QZJ48" s="3"/>
      <c r="QZK48" s="3"/>
      <c r="QZL48" s="3"/>
      <c r="QZM48" s="3"/>
      <c r="QZN48" s="3"/>
      <c r="QZO48" s="3"/>
      <c r="QZP48" s="3"/>
      <c r="QZQ48" s="3"/>
      <c r="QZR48" s="3"/>
      <c r="QZS48" s="3"/>
      <c r="QZT48" s="3"/>
      <c r="QZU48" s="3"/>
      <c r="QZV48" s="3"/>
      <c r="QZW48" s="3"/>
      <c r="QZX48" s="3"/>
      <c r="QZY48" s="3"/>
      <c r="QZZ48" s="3"/>
      <c r="RAA48" s="3"/>
      <c r="RAB48" s="3"/>
      <c r="RAC48" s="3"/>
      <c r="RAD48" s="3"/>
      <c r="RAE48" s="3"/>
      <c r="RAF48" s="3"/>
      <c r="RAG48" s="3"/>
      <c r="RAH48" s="3"/>
      <c r="RAI48" s="3"/>
      <c r="RAJ48" s="3"/>
      <c r="RAK48" s="3"/>
      <c r="RAL48" s="3"/>
      <c r="RAM48" s="3"/>
      <c r="RAN48" s="3"/>
      <c r="RAO48" s="3"/>
      <c r="RAP48" s="3"/>
      <c r="RAQ48" s="3"/>
      <c r="RAR48" s="3"/>
      <c r="RAS48" s="3"/>
      <c r="RAT48" s="3"/>
      <c r="RAU48" s="3"/>
      <c r="RAV48" s="3"/>
      <c r="RAW48" s="3"/>
      <c r="RAX48" s="3"/>
      <c r="RAY48" s="3"/>
      <c r="RAZ48" s="3"/>
      <c r="RBA48" s="3"/>
      <c r="RBB48" s="3"/>
      <c r="RBC48" s="3"/>
      <c r="RBD48" s="3"/>
      <c r="RBE48" s="3"/>
      <c r="RBF48" s="3"/>
      <c r="RBG48" s="3"/>
      <c r="RBH48" s="3"/>
      <c r="RBI48" s="3"/>
      <c r="RBJ48" s="3"/>
      <c r="RBK48" s="3"/>
      <c r="RBL48" s="3"/>
      <c r="RBM48" s="3"/>
      <c r="RBN48" s="3"/>
      <c r="RBO48" s="3"/>
      <c r="RBP48" s="3"/>
      <c r="RBQ48" s="3"/>
      <c r="RBR48" s="3"/>
      <c r="RBS48" s="3"/>
      <c r="RBT48" s="3"/>
      <c r="RBU48" s="3"/>
      <c r="RBV48" s="3"/>
      <c r="RBW48" s="3"/>
      <c r="RBX48" s="3"/>
      <c r="RBY48" s="3"/>
      <c r="RBZ48" s="3"/>
      <c r="RCA48" s="3"/>
      <c r="RCB48" s="3"/>
      <c r="RCC48" s="3"/>
      <c r="RCD48" s="3"/>
      <c r="RCE48" s="3"/>
      <c r="RCF48" s="3"/>
      <c r="RCG48" s="3"/>
      <c r="RCH48" s="3"/>
      <c r="RCI48" s="3"/>
      <c r="RCJ48" s="3"/>
      <c r="RCK48" s="3"/>
      <c r="RCL48" s="3"/>
      <c r="RCM48" s="3"/>
      <c r="RCN48" s="3"/>
      <c r="RCO48" s="3"/>
      <c r="RCP48" s="3"/>
      <c r="RCQ48" s="3"/>
      <c r="RCR48" s="3"/>
      <c r="RCS48" s="3"/>
      <c r="RCT48" s="3"/>
      <c r="RCU48" s="3"/>
      <c r="RCV48" s="3"/>
      <c r="RCW48" s="3"/>
      <c r="RCX48" s="3"/>
      <c r="RCY48" s="3"/>
      <c r="RCZ48" s="3"/>
      <c r="RDA48" s="3"/>
      <c r="RDB48" s="3"/>
      <c r="RDC48" s="3"/>
      <c r="RDD48" s="3"/>
      <c r="RDE48" s="3"/>
      <c r="RDF48" s="3"/>
      <c r="RDG48" s="3"/>
      <c r="RDH48" s="3"/>
      <c r="RDI48" s="3"/>
      <c r="RDJ48" s="3"/>
      <c r="RDK48" s="3"/>
      <c r="RDL48" s="3"/>
      <c r="RDM48" s="3"/>
      <c r="RDN48" s="3"/>
      <c r="RDO48" s="3"/>
      <c r="RDP48" s="3"/>
      <c r="RDQ48" s="3"/>
      <c r="RDR48" s="3"/>
      <c r="RDS48" s="3"/>
      <c r="RDT48" s="3"/>
      <c r="RDU48" s="3"/>
      <c r="RDV48" s="3"/>
      <c r="RDW48" s="3"/>
      <c r="RDX48" s="3"/>
      <c r="RDY48" s="3"/>
      <c r="RDZ48" s="3"/>
      <c r="REA48" s="3"/>
      <c r="REB48" s="3"/>
      <c r="REC48" s="3"/>
      <c r="RED48" s="3"/>
      <c r="REE48" s="3"/>
      <c r="REF48" s="3"/>
      <c r="REG48" s="3"/>
      <c r="REH48" s="3"/>
      <c r="REI48" s="3"/>
      <c r="REJ48" s="3"/>
      <c r="REK48" s="3"/>
      <c r="REL48" s="3"/>
      <c r="REM48" s="3"/>
      <c r="REN48" s="3"/>
      <c r="REO48" s="3"/>
      <c r="REP48" s="3"/>
      <c r="REQ48" s="3"/>
      <c r="RER48" s="3"/>
      <c r="RES48" s="3"/>
      <c r="RET48" s="3"/>
      <c r="REU48" s="3"/>
      <c r="REV48" s="3"/>
      <c r="REW48" s="3"/>
      <c r="REX48" s="3"/>
      <c r="REY48" s="3"/>
      <c r="REZ48" s="3"/>
      <c r="RFA48" s="3"/>
      <c r="RFB48" s="3"/>
      <c r="RFC48" s="3"/>
      <c r="RFD48" s="3"/>
      <c r="RFE48" s="3"/>
      <c r="RFF48" s="3"/>
      <c r="RFG48" s="3"/>
      <c r="RFH48" s="3"/>
      <c r="RFI48" s="3"/>
      <c r="RFJ48" s="3"/>
      <c r="RFK48" s="3"/>
      <c r="RFL48" s="3"/>
      <c r="RFM48" s="3"/>
      <c r="RFN48" s="3"/>
      <c r="RFO48" s="3"/>
      <c r="RFP48" s="3"/>
      <c r="RFQ48" s="3"/>
      <c r="RFR48" s="3"/>
      <c r="RFS48" s="3"/>
      <c r="RFT48" s="3"/>
      <c r="RFU48" s="3"/>
      <c r="RFV48" s="3"/>
      <c r="RFW48" s="3"/>
      <c r="RFX48" s="3"/>
      <c r="RFY48" s="3"/>
      <c r="RFZ48" s="3"/>
      <c r="RGA48" s="3"/>
      <c r="RGB48" s="3"/>
      <c r="RGC48" s="3"/>
      <c r="RGD48" s="3"/>
      <c r="RGE48" s="3"/>
      <c r="RGF48" s="3"/>
      <c r="RGG48" s="3"/>
      <c r="RGH48" s="3"/>
      <c r="RGI48" s="3"/>
      <c r="RGJ48" s="3"/>
      <c r="RGK48" s="3"/>
      <c r="RGL48" s="3"/>
      <c r="RGM48" s="3"/>
      <c r="RGN48" s="3"/>
      <c r="RGO48" s="3"/>
      <c r="RGP48" s="3"/>
      <c r="RGQ48" s="3"/>
      <c r="RGR48" s="3"/>
      <c r="RGS48" s="3"/>
      <c r="RGT48" s="3"/>
      <c r="RGU48" s="3"/>
      <c r="RGV48" s="3"/>
      <c r="RGW48" s="3"/>
      <c r="RGX48" s="3"/>
      <c r="RGY48" s="3"/>
      <c r="RGZ48" s="3"/>
      <c r="RHA48" s="3"/>
      <c r="RHB48" s="3"/>
      <c r="RHC48" s="3"/>
      <c r="RHD48" s="3"/>
      <c r="RHE48" s="3"/>
      <c r="RHF48" s="3"/>
      <c r="RHG48" s="3"/>
      <c r="RHH48" s="3"/>
      <c r="RHI48" s="3"/>
      <c r="RHJ48" s="3"/>
      <c r="RHK48" s="3"/>
      <c r="RHL48" s="3"/>
      <c r="RHM48" s="3"/>
      <c r="RHN48" s="3"/>
      <c r="RHO48" s="3"/>
      <c r="RHP48" s="3"/>
      <c r="RHQ48" s="3"/>
      <c r="RHR48" s="3"/>
      <c r="RHS48" s="3"/>
      <c r="RHT48" s="3"/>
      <c r="RHU48" s="3"/>
      <c r="RHV48" s="3"/>
      <c r="RHW48" s="3"/>
      <c r="RHX48" s="3"/>
      <c r="RHY48" s="3"/>
      <c r="RHZ48" s="3"/>
      <c r="RIA48" s="3"/>
      <c r="RIB48" s="3"/>
      <c r="RIC48" s="3"/>
      <c r="RID48" s="3"/>
      <c r="RIE48" s="3"/>
      <c r="RIF48" s="3"/>
      <c r="RIG48" s="3"/>
      <c r="RIH48" s="3"/>
      <c r="RII48" s="3"/>
      <c r="RIJ48" s="3"/>
      <c r="RIK48" s="3"/>
      <c r="RIL48" s="3"/>
      <c r="RIM48" s="3"/>
      <c r="RIN48" s="3"/>
      <c r="RIO48" s="3"/>
      <c r="RIP48" s="3"/>
      <c r="RIQ48" s="3"/>
      <c r="RIR48" s="3"/>
      <c r="RIS48" s="3"/>
      <c r="RIT48" s="3"/>
      <c r="RIU48" s="3"/>
      <c r="RIV48" s="3"/>
      <c r="RIW48" s="3"/>
      <c r="RIX48" s="3"/>
      <c r="RIY48" s="3"/>
      <c r="RIZ48" s="3"/>
      <c r="RJA48" s="3"/>
      <c r="RJB48" s="3"/>
      <c r="RJC48" s="3"/>
      <c r="RJD48" s="3"/>
      <c r="RJE48" s="3"/>
      <c r="RJF48" s="3"/>
      <c r="RJG48" s="3"/>
      <c r="RJH48" s="3"/>
      <c r="RJI48" s="3"/>
      <c r="RJJ48" s="3"/>
      <c r="RJK48" s="3"/>
      <c r="RJL48" s="3"/>
      <c r="RJM48" s="3"/>
      <c r="RJN48" s="3"/>
      <c r="RJO48" s="3"/>
      <c r="RJP48" s="3"/>
      <c r="RJQ48" s="3"/>
      <c r="RJR48" s="3"/>
      <c r="RJS48" s="3"/>
      <c r="RJT48" s="3"/>
      <c r="RJU48" s="3"/>
      <c r="RJV48" s="3"/>
      <c r="RJW48" s="3"/>
      <c r="RJX48" s="3"/>
      <c r="RJY48" s="3"/>
      <c r="RJZ48" s="3"/>
      <c r="RKA48" s="3"/>
      <c r="RKB48" s="3"/>
      <c r="RKC48" s="3"/>
      <c r="RKD48" s="3"/>
      <c r="RKE48" s="3"/>
      <c r="RKF48" s="3"/>
      <c r="RKG48" s="3"/>
      <c r="RKH48" s="3"/>
      <c r="RKI48" s="3"/>
      <c r="RKJ48" s="3"/>
      <c r="RKK48" s="3"/>
      <c r="RKL48" s="3"/>
      <c r="RKM48" s="3"/>
      <c r="RKN48" s="3"/>
      <c r="RKO48" s="3"/>
      <c r="RKP48" s="3"/>
      <c r="RKQ48" s="3"/>
      <c r="RKR48" s="3"/>
      <c r="RKS48" s="3"/>
      <c r="RKT48" s="3"/>
      <c r="RKU48" s="3"/>
      <c r="RKV48" s="3"/>
      <c r="RKW48" s="3"/>
      <c r="RKX48" s="3"/>
      <c r="RKY48" s="3"/>
      <c r="RKZ48" s="3"/>
      <c r="RLA48" s="3"/>
      <c r="RLB48" s="3"/>
      <c r="RLC48" s="3"/>
      <c r="RLD48" s="3"/>
      <c r="RLE48" s="3"/>
      <c r="RLF48" s="3"/>
      <c r="RLG48" s="3"/>
      <c r="RLH48" s="3"/>
      <c r="RLI48" s="3"/>
      <c r="RLJ48" s="3"/>
      <c r="RLK48" s="3"/>
      <c r="RLL48" s="3"/>
      <c r="RLM48" s="3"/>
      <c r="RLN48" s="3"/>
      <c r="RLO48" s="3"/>
      <c r="RLP48" s="3"/>
      <c r="RLQ48" s="3"/>
      <c r="RLR48" s="3"/>
      <c r="RLS48" s="3"/>
      <c r="RLT48" s="3"/>
      <c r="RLU48" s="3"/>
      <c r="RLV48" s="3"/>
      <c r="RLW48" s="3"/>
      <c r="RLX48" s="3"/>
      <c r="RLY48" s="3"/>
      <c r="RLZ48" s="3"/>
      <c r="RMA48" s="3"/>
      <c r="RMB48" s="3"/>
      <c r="RMC48" s="3"/>
      <c r="RMD48" s="3"/>
      <c r="RME48" s="3"/>
      <c r="RMF48" s="3"/>
      <c r="RMG48" s="3"/>
      <c r="RMH48" s="3"/>
      <c r="RMI48" s="3"/>
      <c r="RMJ48" s="3"/>
      <c r="RMK48" s="3"/>
      <c r="RML48" s="3"/>
      <c r="RMM48" s="3"/>
      <c r="RMN48" s="3"/>
      <c r="RMO48" s="3"/>
      <c r="RMP48" s="3"/>
      <c r="RMQ48" s="3"/>
      <c r="RMR48" s="3"/>
      <c r="RMS48" s="3"/>
      <c r="RMT48" s="3"/>
      <c r="RMU48" s="3"/>
      <c r="RMV48" s="3"/>
      <c r="RMW48" s="3"/>
      <c r="RMX48" s="3"/>
      <c r="RMY48" s="3"/>
      <c r="RMZ48" s="3"/>
      <c r="RNA48" s="3"/>
      <c r="RNB48" s="3"/>
      <c r="RNC48" s="3"/>
      <c r="RND48" s="3"/>
      <c r="RNE48" s="3"/>
      <c r="RNF48" s="3"/>
      <c r="RNG48" s="3"/>
      <c r="RNH48" s="3"/>
      <c r="RNI48" s="3"/>
      <c r="RNJ48" s="3"/>
      <c r="RNK48" s="3"/>
      <c r="RNL48" s="3"/>
      <c r="RNM48" s="3"/>
      <c r="RNN48" s="3"/>
      <c r="RNO48" s="3"/>
      <c r="RNP48" s="3"/>
      <c r="RNQ48" s="3"/>
      <c r="RNR48" s="3"/>
      <c r="RNS48" s="3"/>
      <c r="RNT48" s="3"/>
      <c r="RNU48" s="3"/>
      <c r="RNV48" s="3"/>
      <c r="RNW48" s="3"/>
      <c r="RNX48" s="3"/>
      <c r="RNY48" s="3"/>
      <c r="RNZ48" s="3"/>
      <c r="ROA48" s="3"/>
      <c r="ROB48" s="3"/>
      <c r="ROC48" s="3"/>
      <c r="ROD48" s="3"/>
      <c r="ROE48" s="3"/>
      <c r="ROF48" s="3"/>
      <c r="ROG48" s="3"/>
      <c r="ROH48" s="3"/>
      <c r="ROI48" s="3"/>
      <c r="ROJ48" s="3"/>
      <c r="ROK48" s="3"/>
      <c r="ROL48" s="3"/>
      <c r="ROM48" s="3"/>
      <c r="RON48" s="3"/>
      <c r="ROO48" s="3"/>
      <c r="ROP48" s="3"/>
      <c r="ROQ48" s="3"/>
      <c r="ROR48" s="3"/>
      <c r="ROS48" s="3"/>
      <c r="ROT48" s="3"/>
      <c r="ROU48" s="3"/>
      <c r="ROV48" s="3"/>
      <c r="ROW48" s="3"/>
      <c r="ROX48" s="3"/>
      <c r="ROY48" s="3"/>
      <c r="ROZ48" s="3"/>
      <c r="RPA48" s="3"/>
      <c r="RPB48" s="3"/>
      <c r="RPC48" s="3"/>
      <c r="RPD48" s="3"/>
      <c r="RPE48" s="3"/>
      <c r="RPF48" s="3"/>
      <c r="RPG48" s="3"/>
      <c r="RPH48" s="3"/>
      <c r="RPI48" s="3"/>
      <c r="RPJ48" s="3"/>
      <c r="RPK48" s="3"/>
      <c r="RPL48" s="3"/>
      <c r="RPM48" s="3"/>
      <c r="RPN48" s="3"/>
      <c r="RPO48" s="3"/>
      <c r="RPP48" s="3"/>
      <c r="RPQ48" s="3"/>
      <c r="RPR48" s="3"/>
      <c r="RPS48" s="3"/>
      <c r="RPT48" s="3"/>
      <c r="RPU48" s="3"/>
      <c r="RPV48" s="3"/>
      <c r="RPW48" s="3"/>
      <c r="RPX48" s="3"/>
      <c r="RPY48" s="3"/>
      <c r="RPZ48" s="3"/>
      <c r="RQA48" s="3"/>
      <c r="RQB48" s="3"/>
      <c r="RQC48" s="3"/>
      <c r="RQD48" s="3"/>
      <c r="RQE48" s="3"/>
      <c r="RQF48" s="3"/>
      <c r="RQG48" s="3"/>
      <c r="RQH48" s="3"/>
      <c r="RQI48" s="3"/>
      <c r="RQJ48" s="3"/>
      <c r="RQK48" s="3"/>
      <c r="RQL48" s="3"/>
      <c r="RQM48" s="3"/>
      <c r="RQN48" s="3"/>
      <c r="RQO48" s="3"/>
      <c r="RQP48" s="3"/>
      <c r="RQQ48" s="3"/>
      <c r="RQR48" s="3"/>
      <c r="RQS48" s="3"/>
      <c r="RQT48" s="3"/>
      <c r="RQU48" s="3"/>
      <c r="RQV48" s="3"/>
      <c r="RQW48" s="3"/>
      <c r="RQX48" s="3"/>
      <c r="RQY48" s="3"/>
      <c r="RQZ48" s="3"/>
      <c r="RRA48" s="3"/>
      <c r="RRB48" s="3"/>
      <c r="RRC48" s="3"/>
      <c r="RRD48" s="3"/>
      <c r="RRE48" s="3"/>
      <c r="RRF48" s="3"/>
      <c r="RRG48" s="3"/>
      <c r="RRH48" s="3"/>
      <c r="RRI48" s="3"/>
      <c r="RRJ48" s="3"/>
      <c r="RRK48" s="3"/>
      <c r="RRL48" s="3"/>
      <c r="RRM48" s="3"/>
      <c r="RRN48" s="3"/>
      <c r="RRO48" s="3"/>
      <c r="RRP48" s="3"/>
      <c r="RRQ48" s="3"/>
      <c r="RRR48" s="3"/>
      <c r="RRS48" s="3"/>
      <c r="RRT48" s="3"/>
      <c r="RRU48" s="3"/>
      <c r="RRV48" s="3"/>
      <c r="RRW48" s="3"/>
      <c r="RRX48" s="3"/>
      <c r="RRY48" s="3"/>
      <c r="RRZ48" s="3"/>
      <c r="RSA48" s="3"/>
      <c r="RSB48" s="3"/>
      <c r="RSC48" s="3"/>
      <c r="RSD48" s="3"/>
      <c r="RSE48" s="3"/>
      <c r="RSF48" s="3"/>
      <c r="RSG48" s="3"/>
      <c r="RSH48" s="3"/>
      <c r="RSI48" s="3"/>
      <c r="RSJ48" s="3"/>
      <c r="RSK48" s="3"/>
      <c r="RSL48" s="3"/>
      <c r="RSM48" s="3"/>
      <c r="RSN48" s="3"/>
      <c r="RSO48" s="3"/>
      <c r="RSP48" s="3"/>
      <c r="RSQ48" s="3"/>
      <c r="RSR48" s="3"/>
      <c r="RSS48" s="3"/>
      <c r="RST48" s="3"/>
      <c r="RSU48" s="3"/>
      <c r="RSV48" s="3"/>
      <c r="RSW48" s="3"/>
      <c r="RSX48" s="3"/>
      <c r="RSY48" s="3"/>
      <c r="RSZ48" s="3"/>
      <c r="RTA48" s="3"/>
      <c r="RTB48" s="3"/>
      <c r="RTC48" s="3"/>
      <c r="RTD48" s="3"/>
      <c r="RTE48" s="3"/>
      <c r="RTF48" s="3"/>
      <c r="RTG48" s="3"/>
      <c r="RTH48" s="3"/>
      <c r="RTI48" s="3"/>
      <c r="RTJ48" s="3"/>
      <c r="RTK48" s="3"/>
      <c r="RTL48" s="3"/>
      <c r="RTM48" s="3"/>
      <c r="RTN48" s="3"/>
      <c r="RTO48" s="3"/>
      <c r="RTP48" s="3"/>
      <c r="RTQ48" s="3"/>
      <c r="RTR48" s="3"/>
      <c r="RTS48" s="3"/>
      <c r="RTT48" s="3"/>
      <c r="RTU48" s="3"/>
      <c r="RTV48" s="3"/>
      <c r="RTW48" s="3"/>
      <c r="RTX48" s="3"/>
      <c r="RTY48" s="3"/>
      <c r="RTZ48" s="3"/>
      <c r="RUA48" s="3"/>
      <c r="RUB48" s="3"/>
      <c r="RUC48" s="3"/>
      <c r="RUD48" s="3"/>
      <c r="RUE48" s="3"/>
      <c r="RUF48" s="3"/>
      <c r="RUG48" s="3"/>
      <c r="RUH48" s="3"/>
      <c r="RUI48" s="3"/>
      <c r="RUJ48" s="3"/>
      <c r="RUK48" s="3"/>
      <c r="RUL48" s="3"/>
      <c r="RUM48" s="3"/>
      <c r="RUN48" s="3"/>
      <c r="RUO48" s="3"/>
      <c r="RUP48" s="3"/>
      <c r="RUQ48" s="3"/>
      <c r="RUR48" s="3"/>
      <c r="RUS48" s="3"/>
      <c r="RUT48" s="3"/>
      <c r="RUU48" s="3"/>
      <c r="RUV48" s="3"/>
      <c r="RUW48" s="3"/>
      <c r="RUX48" s="3"/>
      <c r="RUY48" s="3"/>
      <c r="RUZ48" s="3"/>
      <c r="RVA48" s="3"/>
      <c r="RVB48" s="3"/>
      <c r="RVC48" s="3"/>
      <c r="RVD48" s="3"/>
      <c r="RVE48" s="3"/>
      <c r="RVF48" s="3"/>
      <c r="RVG48" s="3"/>
      <c r="RVH48" s="3"/>
      <c r="RVI48" s="3"/>
      <c r="RVJ48" s="3"/>
      <c r="RVK48" s="3"/>
      <c r="RVL48" s="3"/>
      <c r="RVM48" s="3"/>
      <c r="RVN48" s="3"/>
      <c r="RVO48" s="3"/>
      <c r="RVP48" s="3"/>
      <c r="RVQ48" s="3"/>
      <c r="RVR48" s="3"/>
      <c r="RVS48" s="3"/>
      <c r="RVT48" s="3"/>
      <c r="RVU48" s="3"/>
      <c r="RVV48" s="3"/>
      <c r="RVW48" s="3"/>
      <c r="RVX48" s="3"/>
      <c r="RVY48" s="3"/>
      <c r="RVZ48" s="3"/>
      <c r="RWA48" s="3"/>
      <c r="RWB48" s="3"/>
      <c r="RWC48" s="3"/>
      <c r="RWD48" s="3"/>
      <c r="RWE48" s="3"/>
      <c r="RWF48" s="3"/>
      <c r="RWG48" s="3"/>
      <c r="RWH48" s="3"/>
      <c r="RWI48" s="3"/>
      <c r="RWJ48" s="3"/>
      <c r="RWK48" s="3"/>
      <c r="RWL48" s="3"/>
      <c r="RWM48" s="3"/>
      <c r="RWN48" s="3"/>
      <c r="RWO48" s="3"/>
      <c r="RWP48" s="3"/>
      <c r="RWQ48" s="3"/>
      <c r="RWR48" s="3"/>
      <c r="RWS48" s="3"/>
      <c r="RWT48" s="3"/>
      <c r="RWU48" s="3"/>
      <c r="RWV48" s="3"/>
      <c r="RWW48" s="3"/>
      <c r="RWX48" s="3"/>
      <c r="RWY48" s="3"/>
      <c r="RWZ48" s="3"/>
      <c r="RXA48" s="3"/>
      <c r="RXB48" s="3"/>
      <c r="RXC48" s="3"/>
      <c r="RXD48" s="3"/>
      <c r="RXE48" s="3"/>
      <c r="RXF48" s="3"/>
      <c r="RXG48" s="3"/>
      <c r="RXH48" s="3"/>
      <c r="RXI48" s="3"/>
      <c r="RXJ48" s="3"/>
      <c r="RXK48" s="3"/>
      <c r="RXL48" s="3"/>
      <c r="RXM48" s="3"/>
      <c r="RXN48" s="3"/>
      <c r="RXO48" s="3"/>
      <c r="RXP48" s="3"/>
      <c r="RXQ48" s="3"/>
      <c r="RXR48" s="3"/>
      <c r="RXS48" s="3"/>
      <c r="RXT48" s="3"/>
      <c r="RXU48" s="3"/>
      <c r="RXV48" s="3"/>
      <c r="RXW48" s="3"/>
      <c r="RXX48" s="3"/>
      <c r="RXY48" s="3"/>
      <c r="RXZ48" s="3"/>
      <c r="RYA48" s="3"/>
      <c r="RYB48" s="3"/>
      <c r="RYC48" s="3"/>
      <c r="RYD48" s="3"/>
      <c r="RYE48" s="3"/>
      <c r="RYF48" s="3"/>
      <c r="RYG48" s="3"/>
      <c r="RYH48" s="3"/>
      <c r="RYI48" s="3"/>
      <c r="RYJ48" s="3"/>
      <c r="RYK48" s="3"/>
      <c r="RYL48" s="3"/>
      <c r="RYM48" s="3"/>
      <c r="RYN48" s="3"/>
      <c r="RYO48" s="3"/>
      <c r="RYP48" s="3"/>
      <c r="RYQ48" s="3"/>
      <c r="RYR48" s="3"/>
      <c r="RYS48" s="3"/>
      <c r="RYT48" s="3"/>
      <c r="RYU48" s="3"/>
      <c r="RYV48" s="3"/>
      <c r="RYW48" s="3"/>
      <c r="RYX48" s="3"/>
      <c r="RYY48" s="3"/>
      <c r="RYZ48" s="3"/>
      <c r="RZA48" s="3"/>
      <c r="RZB48" s="3"/>
      <c r="RZC48" s="3"/>
      <c r="RZD48" s="3"/>
      <c r="RZE48" s="3"/>
      <c r="RZF48" s="3"/>
      <c r="RZG48" s="3"/>
      <c r="RZH48" s="3"/>
      <c r="RZI48" s="3"/>
      <c r="RZJ48" s="3"/>
      <c r="RZK48" s="3"/>
      <c r="RZL48" s="3"/>
      <c r="RZM48" s="3"/>
      <c r="RZN48" s="3"/>
      <c r="RZO48" s="3"/>
      <c r="RZP48" s="3"/>
      <c r="RZQ48" s="3"/>
      <c r="RZR48" s="3"/>
      <c r="RZS48" s="3"/>
      <c r="RZT48" s="3"/>
      <c r="RZU48" s="3"/>
      <c r="RZV48" s="3"/>
      <c r="RZW48" s="3"/>
      <c r="RZX48" s="3"/>
      <c r="RZY48" s="3"/>
      <c r="RZZ48" s="3"/>
      <c r="SAA48" s="3"/>
      <c r="SAB48" s="3"/>
      <c r="SAC48" s="3"/>
      <c r="SAD48" s="3"/>
      <c r="SAE48" s="3"/>
      <c r="SAF48" s="3"/>
      <c r="SAG48" s="3"/>
      <c r="SAH48" s="3"/>
      <c r="SAI48" s="3"/>
      <c r="SAJ48" s="3"/>
      <c r="SAK48" s="3"/>
      <c r="SAL48" s="3"/>
      <c r="SAM48" s="3"/>
      <c r="SAN48" s="3"/>
      <c r="SAO48" s="3"/>
      <c r="SAP48" s="3"/>
      <c r="SAQ48" s="3"/>
      <c r="SAR48" s="3"/>
      <c r="SAS48" s="3"/>
      <c r="SAT48" s="3"/>
      <c r="SAU48" s="3"/>
      <c r="SAV48" s="3"/>
      <c r="SAW48" s="3"/>
      <c r="SAX48" s="3"/>
      <c r="SAY48" s="3"/>
      <c r="SAZ48" s="3"/>
      <c r="SBA48" s="3"/>
      <c r="SBB48" s="3"/>
      <c r="SBC48" s="3"/>
      <c r="SBD48" s="3"/>
      <c r="SBE48" s="3"/>
      <c r="SBF48" s="3"/>
      <c r="SBG48" s="3"/>
      <c r="SBH48" s="3"/>
      <c r="SBI48" s="3"/>
      <c r="SBJ48" s="3"/>
      <c r="SBK48" s="3"/>
      <c r="SBL48" s="3"/>
      <c r="SBM48" s="3"/>
      <c r="SBN48" s="3"/>
      <c r="SBO48" s="3"/>
      <c r="SBP48" s="3"/>
      <c r="SBQ48" s="3"/>
      <c r="SBR48" s="3"/>
      <c r="SBS48" s="3"/>
      <c r="SBT48" s="3"/>
      <c r="SBU48" s="3"/>
      <c r="SBV48" s="3"/>
      <c r="SBW48" s="3"/>
      <c r="SBX48" s="3"/>
      <c r="SBY48" s="3"/>
      <c r="SBZ48" s="3"/>
      <c r="SCA48" s="3"/>
      <c r="SCB48" s="3"/>
      <c r="SCC48" s="3"/>
      <c r="SCD48" s="3"/>
      <c r="SCE48" s="3"/>
      <c r="SCF48" s="3"/>
      <c r="SCG48" s="3"/>
      <c r="SCH48" s="3"/>
      <c r="SCI48" s="3"/>
      <c r="SCJ48" s="3"/>
      <c r="SCK48" s="3"/>
      <c r="SCL48" s="3"/>
      <c r="SCM48" s="3"/>
      <c r="SCN48" s="3"/>
      <c r="SCO48" s="3"/>
      <c r="SCP48" s="3"/>
      <c r="SCQ48" s="3"/>
      <c r="SCR48" s="3"/>
      <c r="SCS48" s="3"/>
      <c r="SCT48" s="3"/>
      <c r="SCU48" s="3"/>
      <c r="SCV48" s="3"/>
      <c r="SCW48" s="3"/>
      <c r="SCX48" s="3"/>
      <c r="SCY48" s="3"/>
      <c r="SCZ48" s="3"/>
      <c r="SDA48" s="3"/>
      <c r="SDB48" s="3"/>
      <c r="SDC48" s="3"/>
      <c r="SDD48" s="3"/>
      <c r="SDE48" s="3"/>
      <c r="SDF48" s="3"/>
      <c r="SDG48" s="3"/>
      <c r="SDH48" s="3"/>
      <c r="SDI48" s="3"/>
      <c r="SDJ48" s="3"/>
      <c r="SDK48" s="3"/>
      <c r="SDL48" s="3"/>
      <c r="SDM48" s="3"/>
      <c r="SDN48" s="3"/>
      <c r="SDO48" s="3"/>
      <c r="SDP48" s="3"/>
      <c r="SDQ48" s="3"/>
      <c r="SDR48" s="3"/>
      <c r="SDS48" s="3"/>
      <c r="SDT48" s="3"/>
      <c r="SDU48" s="3"/>
      <c r="SDV48" s="3"/>
      <c r="SDW48" s="3"/>
      <c r="SDX48" s="3"/>
      <c r="SDY48" s="3"/>
      <c r="SDZ48" s="3"/>
      <c r="SEA48" s="3"/>
      <c r="SEB48" s="3"/>
      <c r="SEC48" s="3"/>
      <c r="SED48" s="3"/>
      <c r="SEE48" s="3"/>
      <c r="SEF48" s="3"/>
      <c r="SEG48" s="3"/>
      <c r="SEH48" s="3"/>
      <c r="SEI48" s="3"/>
      <c r="SEJ48" s="3"/>
      <c r="SEK48" s="3"/>
      <c r="SEL48" s="3"/>
      <c r="SEM48" s="3"/>
      <c r="SEN48" s="3"/>
      <c r="SEO48" s="3"/>
      <c r="SEP48" s="3"/>
      <c r="SEQ48" s="3"/>
      <c r="SER48" s="3"/>
      <c r="SES48" s="3"/>
      <c r="SET48" s="3"/>
      <c r="SEU48" s="3"/>
      <c r="SEV48" s="3"/>
      <c r="SEW48" s="3"/>
      <c r="SEX48" s="3"/>
      <c r="SEY48" s="3"/>
      <c r="SEZ48" s="3"/>
      <c r="SFA48" s="3"/>
      <c r="SFB48" s="3"/>
      <c r="SFC48" s="3"/>
      <c r="SFD48" s="3"/>
      <c r="SFE48" s="3"/>
      <c r="SFF48" s="3"/>
      <c r="SFG48" s="3"/>
      <c r="SFH48" s="3"/>
      <c r="SFI48" s="3"/>
      <c r="SFJ48" s="3"/>
      <c r="SFK48" s="3"/>
      <c r="SFL48" s="3"/>
      <c r="SFM48" s="3"/>
      <c r="SFN48" s="3"/>
      <c r="SFO48" s="3"/>
      <c r="SFP48" s="3"/>
      <c r="SFQ48" s="3"/>
      <c r="SFR48" s="3"/>
      <c r="SFS48" s="3"/>
      <c r="SFT48" s="3"/>
      <c r="SFU48" s="3"/>
      <c r="SFV48" s="3"/>
      <c r="SFW48" s="3"/>
      <c r="SFX48" s="3"/>
      <c r="SFY48" s="3"/>
      <c r="SFZ48" s="3"/>
      <c r="SGA48" s="3"/>
      <c r="SGB48" s="3"/>
      <c r="SGC48" s="3"/>
      <c r="SGD48" s="3"/>
      <c r="SGE48" s="3"/>
      <c r="SGF48" s="3"/>
      <c r="SGG48" s="3"/>
      <c r="SGH48" s="3"/>
      <c r="SGI48" s="3"/>
      <c r="SGJ48" s="3"/>
      <c r="SGK48" s="3"/>
      <c r="SGL48" s="3"/>
      <c r="SGM48" s="3"/>
      <c r="SGN48" s="3"/>
      <c r="SGO48" s="3"/>
      <c r="SGP48" s="3"/>
      <c r="SGQ48" s="3"/>
      <c r="SGR48" s="3"/>
      <c r="SGS48" s="3"/>
      <c r="SGT48" s="3"/>
      <c r="SGU48" s="3"/>
      <c r="SGV48" s="3"/>
      <c r="SGW48" s="3"/>
      <c r="SGX48" s="3"/>
      <c r="SGY48" s="3"/>
      <c r="SGZ48" s="3"/>
      <c r="SHA48" s="3"/>
      <c r="SHB48" s="3"/>
      <c r="SHC48" s="3"/>
      <c r="SHD48" s="3"/>
      <c r="SHE48" s="3"/>
      <c r="SHF48" s="3"/>
      <c r="SHG48" s="3"/>
      <c r="SHH48" s="3"/>
      <c r="SHI48" s="3"/>
      <c r="SHJ48" s="3"/>
      <c r="SHK48" s="3"/>
      <c r="SHL48" s="3"/>
      <c r="SHM48" s="3"/>
      <c r="SHN48" s="3"/>
      <c r="SHO48" s="3"/>
      <c r="SHP48" s="3"/>
      <c r="SHQ48" s="3"/>
      <c r="SHR48" s="3"/>
      <c r="SHS48" s="3"/>
      <c r="SHT48" s="3"/>
      <c r="SHU48" s="3"/>
      <c r="SHV48" s="3"/>
      <c r="SHW48" s="3"/>
      <c r="SHX48" s="3"/>
      <c r="SHY48" s="3"/>
      <c r="SHZ48" s="3"/>
      <c r="SIA48" s="3"/>
      <c r="SIB48" s="3"/>
      <c r="SIC48" s="3"/>
      <c r="SID48" s="3"/>
      <c r="SIE48" s="3"/>
      <c r="SIF48" s="3"/>
      <c r="SIG48" s="3"/>
      <c r="SIH48" s="3"/>
      <c r="SII48" s="3"/>
      <c r="SIJ48" s="3"/>
      <c r="SIK48" s="3"/>
      <c r="SIL48" s="3"/>
      <c r="SIM48" s="3"/>
      <c r="SIN48" s="3"/>
      <c r="SIO48" s="3"/>
      <c r="SIP48" s="3"/>
      <c r="SIQ48" s="3"/>
      <c r="SIR48" s="3"/>
      <c r="SIS48" s="3"/>
      <c r="SIT48" s="3"/>
      <c r="SIU48" s="3"/>
      <c r="SIV48" s="3"/>
      <c r="SIW48" s="3"/>
      <c r="SIX48" s="3"/>
      <c r="SIY48" s="3"/>
      <c r="SIZ48" s="3"/>
      <c r="SJA48" s="3"/>
      <c r="SJB48" s="3"/>
      <c r="SJC48" s="3"/>
      <c r="SJD48" s="3"/>
      <c r="SJE48" s="3"/>
      <c r="SJF48" s="3"/>
      <c r="SJG48" s="3"/>
      <c r="SJH48" s="3"/>
      <c r="SJI48" s="3"/>
      <c r="SJJ48" s="3"/>
      <c r="SJK48" s="3"/>
      <c r="SJL48" s="3"/>
      <c r="SJM48" s="3"/>
      <c r="SJN48" s="3"/>
      <c r="SJO48" s="3"/>
      <c r="SJP48" s="3"/>
      <c r="SJQ48" s="3"/>
      <c r="SJR48" s="3"/>
      <c r="SJS48" s="3"/>
      <c r="SJT48" s="3"/>
      <c r="SJU48" s="3"/>
      <c r="SJV48" s="3"/>
      <c r="SJW48" s="3"/>
      <c r="SJX48" s="3"/>
      <c r="SJY48" s="3"/>
      <c r="SJZ48" s="3"/>
      <c r="SKA48" s="3"/>
      <c r="SKB48" s="3"/>
      <c r="SKC48" s="3"/>
      <c r="SKD48" s="3"/>
      <c r="SKE48" s="3"/>
      <c r="SKF48" s="3"/>
      <c r="SKG48" s="3"/>
      <c r="SKH48" s="3"/>
      <c r="SKI48" s="3"/>
      <c r="SKJ48" s="3"/>
      <c r="SKK48" s="3"/>
      <c r="SKL48" s="3"/>
      <c r="SKM48" s="3"/>
      <c r="SKN48" s="3"/>
      <c r="SKO48" s="3"/>
      <c r="SKP48" s="3"/>
      <c r="SKQ48" s="3"/>
      <c r="SKR48" s="3"/>
      <c r="SKS48" s="3"/>
      <c r="SKT48" s="3"/>
      <c r="SKU48" s="3"/>
      <c r="SKV48" s="3"/>
      <c r="SKW48" s="3"/>
      <c r="SKX48" s="3"/>
      <c r="SKY48" s="3"/>
      <c r="SKZ48" s="3"/>
      <c r="SLA48" s="3"/>
      <c r="SLB48" s="3"/>
      <c r="SLC48" s="3"/>
      <c r="SLD48" s="3"/>
      <c r="SLE48" s="3"/>
      <c r="SLF48" s="3"/>
      <c r="SLG48" s="3"/>
      <c r="SLH48" s="3"/>
      <c r="SLI48" s="3"/>
      <c r="SLJ48" s="3"/>
      <c r="SLK48" s="3"/>
      <c r="SLL48" s="3"/>
      <c r="SLM48" s="3"/>
      <c r="SLN48" s="3"/>
      <c r="SLO48" s="3"/>
      <c r="SLP48" s="3"/>
      <c r="SLQ48" s="3"/>
      <c r="SLR48" s="3"/>
      <c r="SLS48" s="3"/>
      <c r="SLT48" s="3"/>
      <c r="SLU48" s="3"/>
      <c r="SLV48" s="3"/>
      <c r="SLW48" s="3"/>
      <c r="SLX48" s="3"/>
      <c r="SLY48" s="3"/>
      <c r="SLZ48" s="3"/>
      <c r="SMA48" s="3"/>
      <c r="SMB48" s="3"/>
      <c r="SMC48" s="3"/>
      <c r="SMD48" s="3"/>
      <c r="SME48" s="3"/>
      <c r="SMF48" s="3"/>
      <c r="SMG48" s="3"/>
      <c r="SMH48" s="3"/>
      <c r="SMI48" s="3"/>
      <c r="SMJ48" s="3"/>
      <c r="SMK48" s="3"/>
      <c r="SML48" s="3"/>
      <c r="SMM48" s="3"/>
      <c r="SMN48" s="3"/>
      <c r="SMO48" s="3"/>
      <c r="SMP48" s="3"/>
      <c r="SMQ48" s="3"/>
      <c r="SMR48" s="3"/>
      <c r="SMS48" s="3"/>
      <c r="SMT48" s="3"/>
      <c r="SMU48" s="3"/>
      <c r="SMV48" s="3"/>
      <c r="SMW48" s="3"/>
      <c r="SMX48" s="3"/>
      <c r="SMY48" s="3"/>
      <c r="SMZ48" s="3"/>
      <c r="SNA48" s="3"/>
      <c r="SNB48" s="3"/>
      <c r="SNC48" s="3"/>
      <c r="SND48" s="3"/>
      <c r="SNE48" s="3"/>
      <c r="SNF48" s="3"/>
      <c r="SNG48" s="3"/>
      <c r="SNH48" s="3"/>
      <c r="SNI48" s="3"/>
      <c r="SNJ48" s="3"/>
      <c r="SNK48" s="3"/>
      <c r="SNL48" s="3"/>
      <c r="SNM48" s="3"/>
      <c r="SNN48" s="3"/>
      <c r="SNO48" s="3"/>
      <c r="SNP48" s="3"/>
      <c r="SNQ48" s="3"/>
      <c r="SNR48" s="3"/>
      <c r="SNS48" s="3"/>
      <c r="SNT48" s="3"/>
      <c r="SNU48" s="3"/>
      <c r="SNV48" s="3"/>
      <c r="SNW48" s="3"/>
      <c r="SNX48" s="3"/>
      <c r="SNY48" s="3"/>
      <c r="SNZ48" s="3"/>
      <c r="SOA48" s="3"/>
      <c r="SOB48" s="3"/>
      <c r="SOC48" s="3"/>
      <c r="SOD48" s="3"/>
      <c r="SOE48" s="3"/>
      <c r="SOF48" s="3"/>
      <c r="SOG48" s="3"/>
      <c r="SOH48" s="3"/>
      <c r="SOI48" s="3"/>
      <c r="SOJ48" s="3"/>
      <c r="SOK48" s="3"/>
      <c r="SOL48" s="3"/>
      <c r="SOM48" s="3"/>
      <c r="SON48" s="3"/>
      <c r="SOO48" s="3"/>
      <c r="SOP48" s="3"/>
      <c r="SOQ48" s="3"/>
      <c r="SOR48" s="3"/>
      <c r="SOS48" s="3"/>
      <c r="SOT48" s="3"/>
      <c r="SOU48" s="3"/>
      <c r="SOV48" s="3"/>
      <c r="SOW48" s="3"/>
      <c r="SOX48" s="3"/>
      <c r="SOY48" s="3"/>
      <c r="SOZ48" s="3"/>
      <c r="SPA48" s="3"/>
      <c r="SPB48" s="3"/>
      <c r="SPC48" s="3"/>
      <c r="SPD48" s="3"/>
      <c r="SPE48" s="3"/>
      <c r="SPF48" s="3"/>
      <c r="SPG48" s="3"/>
      <c r="SPH48" s="3"/>
      <c r="SPI48" s="3"/>
      <c r="SPJ48" s="3"/>
      <c r="SPK48" s="3"/>
      <c r="SPL48" s="3"/>
      <c r="SPM48" s="3"/>
      <c r="SPN48" s="3"/>
      <c r="SPO48" s="3"/>
      <c r="SPP48" s="3"/>
      <c r="SPQ48" s="3"/>
      <c r="SPR48" s="3"/>
      <c r="SPS48" s="3"/>
      <c r="SPT48" s="3"/>
      <c r="SPU48" s="3"/>
      <c r="SPV48" s="3"/>
      <c r="SPW48" s="3"/>
      <c r="SPX48" s="3"/>
      <c r="SPY48" s="3"/>
      <c r="SPZ48" s="3"/>
      <c r="SQA48" s="3"/>
      <c r="SQB48" s="3"/>
      <c r="SQC48" s="3"/>
      <c r="SQD48" s="3"/>
      <c r="SQE48" s="3"/>
      <c r="SQF48" s="3"/>
      <c r="SQG48" s="3"/>
      <c r="SQH48" s="3"/>
      <c r="SQI48" s="3"/>
      <c r="SQJ48" s="3"/>
      <c r="SQK48" s="3"/>
      <c r="SQL48" s="3"/>
      <c r="SQM48" s="3"/>
      <c r="SQN48" s="3"/>
      <c r="SQO48" s="3"/>
      <c r="SQP48" s="3"/>
      <c r="SQQ48" s="3"/>
      <c r="SQR48" s="3"/>
      <c r="SQS48" s="3"/>
      <c r="SQT48" s="3"/>
      <c r="SQU48" s="3"/>
      <c r="SQV48" s="3"/>
      <c r="SQW48" s="3"/>
      <c r="SQX48" s="3"/>
      <c r="SQY48" s="3"/>
      <c r="SQZ48" s="3"/>
      <c r="SRA48" s="3"/>
      <c r="SRB48" s="3"/>
      <c r="SRC48" s="3"/>
      <c r="SRD48" s="3"/>
      <c r="SRE48" s="3"/>
      <c r="SRF48" s="3"/>
      <c r="SRG48" s="3"/>
      <c r="SRH48" s="3"/>
      <c r="SRI48" s="3"/>
      <c r="SRJ48" s="3"/>
      <c r="SRK48" s="3"/>
      <c r="SRL48" s="3"/>
      <c r="SRM48" s="3"/>
      <c r="SRN48" s="3"/>
      <c r="SRO48" s="3"/>
      <c r="SRP48" s="3"/>
      <c r="SRQ48" s="3"/>
      <c r="SRR48" s="3"/>
      <c r="SRS48" s="3"/>
      <c r="SRT48" s="3"/>
      <c r="SRU48" s="3"/>
      <c r="SRV48" s="3"/>
      <c r="SRW48" s="3"/>
      <c r="SRX48" s="3"/>
      <c r="SRY48" s="3"/>
      <c r="SRZ48" s="3"/>
      <c r="SSA48" s="3"/>
      <c r="SSB48" s="3"/>
      <c r="SSC48" s="3"/>
      <c r="SSD48" s="3"/>
      <c r="SSE48" s="3"/>
      <c r="SSF48" s="3"/>
      <c r="SSG48" s="3"/>
      <c r="SSH48" s="3"/>
      <c r="SSI48" s="3"/>
      <c r="SSJ48" s="3"/>
      <c r="SSK48" s="3"/>
      <c r="SSL48" s="3"/>
      <c r="SSM48" s="3"/>
      <c r="SSN48" s="3"/>
      <c r="SSO48" s="3"/>
      <c r="SSP48" s="3"/>
      <c r="SSQ48" s="3"/>
      <c r="SSR48" s="3"/>
      <c r="SSS48" s="3"/>
      <c r="SST48" s="3"/>
      <c r="SSU48" s="3"/>
      <c r="SSV48" s="3"/>
      <c r="SSW48" s="3"/>
      <c r="SSX48" s="3"/>
      <c r="SSY48" s="3"/>
      <c r="SSZ48" s="3"/>
      <c r="STA48" s="3"/>
      <c r="STB48" s="3"/>
      <c r="STC48" s="3"/>
      <c r="STD48" s="3"/>
      <c r="STE48" s="3"/>
      <c r="STF48" s="3"/>
      <c r="STG48" s="3"/>
      <c r="STH48" s="3"/>
      <c r="STI48" s="3"/>
      <c r="STJ48" s="3"/>
      <c r="STK48" s="3"/>
      <c r="STL48" s="3"/>
      <c r="STM48" s="3"/>
      <c r="STN48" s="3"/>
      <c r="STO48" s="3"/>
      <c r="STP48" s="3"/>
      <c r="STQ48" s="3"/>
      <c r="STR48" s="3"/>
      <c r="STS48" s="3"/>
      <c r="STT48" s="3"/>
      <c r="STU48" s="3"/>
      <c r="STV48" s="3"/>
      <c r="STW48" s="3"/>
      <c r="STX48" s="3"/>
      <c r="STY48" s="3"/>
      <c r="STZ48" s="3"/>
      <c r="SUA48" s="3"/>
      <c r="SUB48" s="3"/>
      <c r="SUC48" s="3"/>
      <c r="SUD48" s="3"/>
      <c r="SUE48" s="3"/>
      <c r="SUF48" s="3"/>
      <c r="SUG48" s="3"/>
      <c r="SUH48" s="3"/>
      <c r="SUI48" s="3"/>
      <c r="SUJ48" s="3"/>
      <c r="SUK48" s="3"/>
      <c r="SUL48" s="3"/>
      <c r="SUM48" s="3"/>
      <c r="SUN48" s="3"/>
      <c r="SUO48" s="3"/>
      <c r="SUP48" s="3"/>
      <c r="SUQ48" s="3"/>
      <c r="SUR48" s="3"/>
      <c r="SUS48" s="3"/>
      <c r="SUT48" s="3"/>
      <c r="SUU48" s="3"/>
      <c r="SUV48" s="3"/>
      <c r="SUW48" s="3"/>
      <c r="SUX48" s="3"/>
      <c r="SUY48" s="3"/>
      <c r="SUZ48" s="3"/>
      <c r="SVA48" s="3"/>
      <c r="SVB48" s="3"/>
      <c r="SVC48" s="3"/>
      <c r="SVD48" s="3"/>
      <c r="SVE48" s="3"/>
      <c r="SVF48" s="3"/>
      <c r="SVG48" s="3"/>
      <c r="SVH48" s="3"/>
      <c r="SVI48" s="3"/>
      <c r="SVJ48" s="3"/>
      <c r="SVK48" s="3"/>
      <c r="SVL48" s="3"/>
      <c r="SVM48" s="3"/>
      <c r="SVN48" s="3"/>
      <c r="SVO48" s="3"/>
      <c r="SVP48" s="3"/>
      <c r="SVQ48" s="3"/>
      <c r="SVR48" s="3"/>
      <c r="SVS48" s="3"/>
      <c r="SVT48" s="3"/>
      <c r="SVU48" s="3"/>
      <c r="SVV48" s="3"/>
      <c r="SVW48" s="3"/>
      <c r="SVX48" s="3"/>
      <c r="SVY48" s="3"/>
      <c r="SVZ48" s="3"/>
      <c r="SWA48" s="3"/>
      <c r="SWB48" s="3"/>
      <c r="SWC48" s="3"/>
      <c r="SWD48" s="3"/>
      <c r="SWE48" s="3"/>
      <c r="SWF48" s="3"/>
      <c r="SWG48" s="3"/>
      <c r="SWH48" s="3"/>
      <c r="SWI48" s="3"/>
      <c r="SWJ48" s="3"/>
      <c r="SWK48" s="3"/>
      <c r="SWL48" s="3"/>
      <c r="SWM48" s="3"/>
      <c r="SWN48" s="3"/>
      <c r="SWO48" s="3"/>
      <c r="SWP48" s="3"/>
      <c r="SWQ48" s="3"/>
      <c r="SWR48" s="3"/>
      <c r="SWS48" s="3"/>
      <c r="SWT48" s="3"/>
      <c r="SWU48" s="3"/>
      <c r="SWV48" s="3"/>
      <c r="SWW48" s="3"/>
      <c r="SWX48" s="3"/>
      <c r="SWY48" s="3"/>
      <c r="SWZ48" s="3"/>
      <c r="SXA48" s="3"/>
      <c r="SXB48" s="3"/>
      <c r="SXC48" s="3"/>
      <c r="SXD48" s="3"/>
      <c r="SXE48" s="3"/>
      <c r="SXF48" s="3"/>
      <c r="SXG48" s="3"/>
      <c r="SXH48" s="3"/>
      <c r="SXI48" s="3"/>
      <c r="SXJ48" s="3"/>
      <c r="SXK48" s="3"/>
      <c r="SXL48" s="3"/>
      <c r="SXM48" s="3"/>
      <c r="SXN48" s="3"/>
      <c r="SXO48" s="3"/>
      <c r="SXP48" s="3"/>
      <c r="SXQ48" s="3"/>
      <c r="SXR48" s="3"/>
      <c r="SXS48" s="3"/>
      <c r="SXT48" s="3"/>
      <c r="SXU48" s="3"/>
      <c r="SXV48" s="3"/>
      <c r="SXW48" s="3"/>
      <c r="SXX48" s="3"/>
      <c r="SXY48" s="3"/>
      <c r="SXZ48" s="3"/>
      <c r="SYA48" s="3"/>
      <c r="SYB48" s="3"/>
      <c r="SYC48" s="3"/>
      <c r="SYD48" s="3"/>
      <c r="SYE48" s="3"/>
      <c r="SYF48" s="3"/>
      <c r="SYG48" s="3"/>
      <c r="SYH48" s="3"/>
      <c r="SYI48" s="3"/>
      <c r="SYJ48" s="3"/>
      <c r="SYK48" s="3"/>
      <c r="SYL48" s="3"/>
      <c r="SYM48" s="3"/>
      <c r="SYN48" s="3"/>
      <c r="SYO48" s="3"/>
      <c r="SYP48" s="3"/>
      <c r="SYQ48" s="3"/>
      <c r="SYR48" s="3"/>
      <c r="SYS48" s="3"/>
      <c r="SYT48" s="3"/>
      <c r="SYU48" s="3"/>
      <c r="SYV48" s="3"/>
      <c r="SYW48" s="3"/>
      <c r="SYX48" s="3"/>
      <c r="SYY48" s="3"/>
      <c r="SYZ48" s="3"/>
      <c r="SZA48" s="3"/>
      <c r="SZB48" s="3"/>
      <c r="SZC48" s="3"/>
      <c r="SZD48" s="3"/>
      <c r="SZE48" s="3"/>
      <c r="SZF48" s="3"/>
      <c r="SZG48" s="3"/>
      <c r="SZH48" s="3"/>
      <c r="SZI48" s="3"/>
      <c r="SZJ48" s="3"/>
      <c r="SZK48" s="3"/>
      <c r="SZL48" s="3"/>
      <c r="SZM48" s="3"/>
      <c r="SZN48" s="3"/>
      <c r="SZO48" s="3"/>
      <c r="SZP48" s="3"/>
      <c r="SZQ48" s="3"/>
      <c r="SZR48" s="3"/>
      <c r="SZS48" s="3"/>
      <c r="SZT48" s="3"/>
      <c r="SZU48" s="3"/>
      <c r="SZV48" s="3"/>
      <c r="SZW48" s="3"/>
      <c r="SZX48" s="3"/>
      <c r="SZY48" s="3"/>
      <c r="SZZ48" s="3"/>
      <c r="TAA48" s="3"/>
      <c r="TAB48" s="3"/>
      <c r="TAC48" s="3"/>
      <c r="TAD48" s="3"/>
      <c r="TAE48" s="3"/>
      <c r="TAF48" s="3"/>
      <c r="TAG48" s="3"/>
      <c r="TAH48" s="3"/>
      <c r="TAI48" s="3"/>
      <c r="TAJ48" s="3"/>
      <c r="TAK48" s="3"/>
      <c r="TAL48" s="3"/>
      <c r="TAM48" s="3"/>
      <c r="TAN48" s="3"/>
      <c r="TAO48" s="3"/>
      <c r="TAP48" s="3"/>
      <c r="TAQ48" s="3"/>
      <c r="TAR48" s="3"/>
      <c r="TAS48" s="3"/>
      <c r="TAT48" s="3"/>
      <c r="TAU48" s="3"/>
      <c r="TAV48" s="3"/>
      <c r="TAW48" s="3"/>
      <c r="TAX48" s="3"/>
      <c r="TAY48" s="3"/>
      <c r="TAZ48" s="3"/>
      <c r="TBA48" s="3"/>
      <c r="TBB48" s="3"/>
      <c r="TBC48" s="3"/>
      <c r="TBD48" s="3"/>
      <c r="TBE48" s="3"/>
      <c r="TBF48" s="3"/>
      <c r="TBG48" s="3"/>
      <c r="TBH48" s="3"/>
      <c r="TBI48" s="3"/>
      <c r="TBJ48" s="3"/>
      <c r="TBK48" s="3"/>
      <c r="TBL48" s="3"/>
      <c r="TBM48" s="3"/>
      <c r="TBN48" s="3"/>
      <c r="TBO48" s="3"/>
      <c r="TBP48" s="3"/>
      <c r="TBQ48" s="3"/>
      <c r="TBR48" s="3"/>
      <c r="TBS48" s="3"/>
      <c r="TBT48" s="3"/>
      <c r="TBU48" s="3"/>
      <c r="TBV48" s="3"/>
      <c r="TBW48" s="3"/>
      <c r="TBX48" s="3"/>
      <c r="TBY48" s="3"/>
      <c r="TBZ48" s="3"/>
      <c r="TCA48" s="3"/>
      <c r="TCB48" s="3"/>
      <c r="TCC48" s="3"/>
      <c r="TCD48" s="3"/>
      <c r="TCE48" s="3"/>
      <c r="TCF48" s="3"/>
      <c r="TCG48" s="3"/>
      <c r="TCH48" s="3"/>
      <c r="TCI48" s="3"/>
      <c r="TCJ48" s="3"/>
      <c r="TCK48" s="3"/>
      <c r="TCL48" s="3"/>
      <c r="TCM48" s="3"/>
      <c r="TCN48" s="3"/>
      <c r="TCO48" s="3"/>
      <c r="TCP48" s="3"/>
      <c r="TCQ48" s="3"/>
      <c r="TCR48" s="3"/>
      <c r="TCS48" s="3"/>
      <c r="TCT48" s="3"/>
      <c r="TCU48" s="3"/>
      <c r="TCV48" s="3"/>
      <c r="TCW48" s="3"/>
      <c r="TCX48" s="3"/>
      <c r="TCY48" s="3"/>
      <c r="TCZ48" s="3"/>
      <c r="TDA48" s="3"/>
      <c r="TDB48" s="3"/>
      <c r="TDC48" s="3"/>
      <c r="TDD48" s="3"/>
      <c r="TDE48" s="3"/>
      <c r="TDF48" s="3"/>
      <c r="TDG48" s="3"/>
      <c r="TDH48" s="3"/>
      <c r="TDI48" s="3"/>
      <c r="TDJ48" s="3"/>
      <c r="TDK48" s="3"/>
      <c r="TDL48" s="3"/>
      <c r="TDM48" s="3"/>
      <c r="TDN48" s="3"/>
      <c r="TDO48" s="3"/>
      <c r="TDP48" s="3"/>
      <c r="TDQ48" s="3"/>
      <c r="TDR48" s="3"/>
      <c r="TDS48" s="3"/>
      <c r="TDT48" s="3"/>
      <c r="TDU48" s="3"/>
      <c r="TDV48" s="3"/>
      <c r="TDW48" s="3"/>
      <c r="TDX48" s="3"/>
      <c r="TDY48" s="3"/>
      <c r="TDZ48" s="3"/>
      <c r="TEA48" s="3"/>
      <c r="TEB48" s="3"/>
      <c r="TEC48" s="3"/>
      <c r="TED48" s="3"/>
      <c r="TEE48" s="3"/>
      <c r="TEF48" s="3"/>
      <c r="TEG48" s="3"/>
      <c r="TEH48" s="3"/>
      <c r="TEI48" s="3"/>
      <c r="TEJ48" s="3"/>
      <c r="TEK48" s="3"/>
      <c r="TEL48" s="3"/>
      <c r="TEM48" s="3"/>
      <c r="TEN48" s="3"/>
      <c r="TEO48" s="3"/>
      <c r="TEP48" s="3"/>
      <c r="TEQ48" s="3"/>
      <c r="TER48" s="3"/>
      <c r="TES48" s="3"/>
      <c r="TET48" s="3"/>
      <c r="TEU48" s="3"/>
      <c r="TEV48" s="3"/>
      <c r="TEW48" s="3"/>
      <c r="TEX48" s="3"/>
      <c r="TEY48" s="3"/>
      <c r="TEZ48" s="3"/>
      <c r="TFA48" s="3"/>
      <c r="TFB48" s="3"/>
      <c r="TFC48" s="3"/>
      <c r="TFD48" s="3"/>
      <c r="TFE48" s="3"/>
      <c r="TFF48" s="3"/>
      <c r="TFG48" s="3"/>
      <c r="TFH48" s="3"/>
      <c r="TFI48" s="3"/>
      <c r="TFJ48" s="3"/>
      <c r="TFK48" s="3"/>
      <c r="TFL48" s="3"/>
      <c r="TFM48" s="3"/>
      <c r="TFN48" s="3"/>
      <c r="TFO48" s="3"/>
      <c r="TFP48" s="3"/>
      <c r="TFQ48" s="3"/>
      <c r="TFR48" s="3"/>
      <c r="TFS48" s="3"/>
      <c r="TFT48" s="3"/>
      <c r="TFU48" s="3"/>
      <c r="TFV48" s="3"/>
      <c r="TFW48" s="3"/>
      <c r="TFX48" s="3"/>
      <c r="TFY48" s="3"/>
      <c r="TFZ48" s="3"/>
      <c r="TGA48" s="3"/>
      <c r="TGB48" s="3"/>
      <c r="TGC48" s="3"/>
      <c r="TGD48" s="3"/>
      <c r="TGE48" s="3"/>
      <c r="TGF48" s="3"/>
      <c r="TGG48" s="3"/>
      <c r="TGH48" s="3"/>
      <c r="TGI48" s="3"/>
      <c r="TGJ48" s="3"/>
      <c r="TGK48" s="3"/>
      <c r="TGL48" s="3"/>
      <c r="TGM48" s="3"/>
      <c r="TGN48" s="3"/>
      <c r="TGO48" s="3"/>
      <c r="TGP48" s="3"/>
      <c r="TGQ48" s="3"/>
      <c r="TGR48" s="3"/>
      <c r="TGS48" s="3"/>
      <c r="TGT48" s="3"/>
      <c r="TGU48" s="3"/>
      <c r="TGV48" s="3"/>
      <c r="TGW48" s="3"/>
      <c r="TGX48" s="3"/>
      <c r="TGY48" s="3"/>
      <c r="TGZ48" s="3"/>
      <c r="THA48" s="3"/>
      <c r="THB48" s="3"/>
      <c r="THC48" s="3"/>
      <c r="THD48" s="3"/>
      <c r="THE48" s="3"/>
      <c r="THF48" s="3"/>
      <c r="THG48" s="3"/>
      <c r="THH48" s="3"/>
      <c r="THI48" s="3"/>
      <c r="THJ48" s="3"/>
      <c r="THK48" s="3"/>
      <c r="THL48" s="3"/>
      <c r="THM48" s="3"/>
      <c r="THN48" s="3"/>
      <c r="THO48" s="3"/>
      <c r="THP48" s="3"/>
      <c r="THQ48" s="3"/>
      <c r="THR48" s="3"/>
      <c r="THS48" s="3"/>
      <c r="THT48" s="3"/>
      <c r="THU48" s="3"/>
      <c r="THV48" s="3"/>
      <c r="THW48" s="3"/>
      <c r="THX48" s="3"/>
      <c r="THY48" s="3"/>
      <c r="THZ48" s="3"/>
      <c r="TIA48" s="3"/>
      <c r="TIB48" s="3"/>
      <c r="TIC48" s="3"/>
      <c r="TID48" s="3"/>
      <c r="TIE48" s="3"/>
      <c r="TIF48" s="3"/>
      <c r="TIG48" s="3"/>
      <c r="TIH48" s="3"/>
      <c r="TII48" s="3"/>
      <c r="TIJ48" s="3"/>
      <c r="TIK48" s="3"/>
      <c r="TIL48" s="3"/>
      <c r="TIM48" s="3"/>
      <c r="TIN48" s="3"/>
      <c r="TIO48" s="3"/>
      <c r="TIP48" s="3"/>
      <c r="TIQ48" s="3"/>
      <c r="TIR48" s="3"/>
      <c r="TIS48" s="3"/>
      <c r="TIT48" s="3"/>
      <c r="TIU48" s="3"/>
      <c r="TIV48" s="3"/>
      <c r="TIW48" s="3"/>
      <c r="TIX48" s="3"/>
      <c r="TIY48" s="3"/>
      <c r="TIZ48" s="3"/>
      <c r="TJA48" s="3"/>
      <c r="TJB48" s="3"/>
      <c r="TJC48" s="3"/>
      <c r="TJD48" s="3"/>
      <c r="TJE48" s="3"/>
      <c r="TJF48" s="3"/>
      <c r="TJG48" s="3"/>
      <c r="TJH48" s="3"/>
      <c r="TJI48" s="3"/>
      <c r="TJJ48" s="3"/>
      <c r="TJK48" s="3"/>
      <c r="TJL48" s="3"/>
      <c r="TJM48" s="3"/>
      <c r="TJN48" s="3"/>
      <c r="TJO48" s="3"/>
      <c r="TJP48" s="3"/>
      <c r="TJQ48" s="3"/>
      <c r="TJR48" s="3"/>
      <c r="TJS48" s="3"/>
      <c r="TJT48" s="3"/>
      <c r="TJU48" s="3"/>
      <c r="TJV48" s="3"/>
      <c r="TJW48" s="3"/>
      <c r="TJX48" s="3"/>
      <c r="TJY48" s="3"/>
      <c r="TJZ48" s="3"/>
      <c r="TKA48" s="3"/>
      <c r="TKB48" s="3"/>
      <c r="TKC48" s="3"/>
      <c r="TKD48" s="3"/>
      <c r="TKE48" s="3"/>
      <c r="TKF48" s="3"/>
      <c r="TKG48" s="3"/>
      <c r="TKH48" s="3"/>
      <c r="TKI48" s="3"/>
      <c r="TKJ48" s="3"/>
      <c r="TKK48" s="3"/>
      <c r="TKL48" s="3"/>
      <c r="TKM48" s="3"/>
      <c r="TKN48" s="3"/>
      <c r="TKO48" s="3"/>
      <c r="TKP48" s="3"/>
      <c r="TKQ48" s="3"/>
      <c r="TKR48" s="3"/>
      <c r="TKS48" s="3"/>
      <c r="TKT48" s="3"/>
      <c r="TKU48" s="3"/>
      <c r="TKV48" s="3"/>
      <c r="TKW48" s="3"/>
      <c r="TKX48" s="3"/>
      <c r="TKY48" s="3"/>
      <c r="TKZ48" s="3"/>
      <c r="TLA48" s="3"/>
      <c r="TLB48" s="3"/>
      <c r="TLC48" s="3"/>
      <c r="TLD48" s="3"/>
      <c r="TLE48" s="3"/>
      <c r="TLF48" s="3"/>
      <c r="TLG48" s="3"/>
      <c r="TLH48" s="3"/>
      <c r="TLI48" s="3"/>
      <c r="TLJ48" s="3"/>
      <c r="TLK48" s="3"/>
      <c r="TLL48" s="3"/>
      <c r="TLM48" s="3"/>
      <c r="TLN48" s="3"/>
      <c r="TLO48" s="3"/>
      <c r="TLP48" s="3"/>
      <c r="TLQ48" s="3"/>
      <c r="TLR48" s="3"/>
      <c r="TLS48" s="3"/>
      <c r="TLT48" s="3"/>
      <c r="TLU48" s="3"/>
      <c r="TLV48" s="3"/>
      <c r="TLW48" s="3"/>
      <c r="TLX48" s="3"/>
      <c r="TLY48" s="3"/>
      <c r="TLZ48" s="3"/>
      <c r="TMA48" s="3"/>
      <c r="TMB48" s="3"/>
      <c r="TMC48" s="3"/>
      <c r="TMD48" s="3"/>
      <c r="TME48" s="3"/>
      <c r="TMF48" s="3"/>
      <c r="TMG48" s="3"/>
      <c r="TMH48" s="3"/>
      <c r="TMI48" s="3"/>
      <c r="TMJ48" s="3"/>
      <c r="TMK48" s="3"/>
      <c r="TML48" s="3"/>
      <c r="TMM48" s="3"/>
      <c r="TMN48" s="3"/>
      <c r="TMO48" s="3"/>
      <c r="TMP48" s="3"/>
      <c r="TMQ48" s="3"/>
      <c r="TMR48" s="3"/>
      <c r="TMS48" s="3"/>
      <c r="TMT48" s="3"/>
      <c r="TMU48" s="3"/>
      <c r="TMV48" s="3"/>
      <c r="TMW48" s="3"/>
      <c r="TMX48" s="3"/>
      <c r="TMY48" s="3"/>
      <c r="TMZ48" s="3"/>
      <c r="TNA48" s="3"/>
      <c r="TNB48" s="3"/>
      <c r="TNC48" s="3"/>
      <c r="TND48" s="3"/>
      <c r="TNE48" s="3"/>
      <c r="TNF48" s="3"/>
      <c r="TNG48" s="3"/>
      <c r="TNH48" s="3"/>
      <c r="TNI48" s="3"/>
      <c r="TNJ48" s="3"/>
      <c r="TNK48" s="3"/>
      <c r="TNL48" s="3"/>
      <c r="TNM48" s="3"/>
      <c r="TNN48" s="3"/>
      <c r="TNO48" s="3"/>
      <c r="TNP48" s="3"/>
      <c r="TNQ48" s="3"/>
      <c r="TNR48" s="3"/>
      <c r="TNS48" s="3"/>
      <c r="TNT48" s="3"/>
      <c r="TNU48" s="3"/>
      <c r="TNV48" s="3"/>
      <c r="TNW48" s="3"/>
      <c r="TNX48" s="3"/>
      <c r="TNY48" s="3"/>
      <c r="TNZ48" s="3"/>
      <c r="TOA48" s="3"/>
      <c r="TOB48" s="3"/>
      <c r="TOC48" s="3"/>
      <c r="TOD48" s="3"/>
      <c r="TOE48" s="3"/>
      <c r="TOF48" s="3"/>
      <c r="TOG48" s="3"/>
      <c r="TOH48" s="3"/>
      <c r="TOI48" s="3"/>
      <c r="TOJ48" s="3"/>
      <c r="TOK48" s="3"/>
      <c r="TOL48" s="3"/>
      <c r="TOM48" s="3"/>
      <c r="TON48" s="3"/>
      <c r="TOO48" s="3"/>
      <c r="TOP48" s="3"/>
      <c r="TOQ48" s="3"/>
      <c r="TOR48" s="3"/>
      <c r="TOS48" s="3"/>
      <c r="TOT48" s="3"/>
      <c r="TOU48" s="3"/>
      <c r="TOV48" s="3"/>
      <c r="TOW48" s="3"/>
      <c r="TOX48" s="3"/>
      <c r="TOY48" s="3"/>
      <c r="TOZ48" s="3"/>
      <c r="TPA48" s="3"/>
      <c r="TPB48" s="3"/>
      <c r="TPC48" s="3"/>
      <c r="TPD48" s="3"/>
      <c r="TPE48" s="3"/>
      <c r="TPF48" s="3"/>
      <c r="TPG48" s="3"/>
      <c r="TPH48" s="3"/>
      <c r="TPI48" s="3"/>
      <c r="TPJ48" s="3"/>
      <c r="TPK48" s="3"/>
      <c r="TPL48" s="3"/>
      <c r="TPM48" s="3"/>
      <c r="TPN48" s="3"/>
      <c r="TPO48" s="3"/>
      <c r="TPP48" s="3"/>
      <c r="TPQ48" s="3"/>
      <c r="TPR48" s="3"/>
      <c r="TPS48" s="3"/>
      <c r="TPT48" s="3"/>
      <c r="TPU48" s="3"/>
      <c r="TPV48" s="3"/>
      <c r="TPW48" s="3"/>
      <c r="TPX48" s="3"/>
      <c r="TPY48" s="3"/>
      <c r="TPZ48" s="3"/>
      <c r="TQA48" s="3"/>
      <c r="TQB48" s="3"/>
      <c r="TQC48" s="3"/>
      <c r="TQD48" s="3"/>
      <c r="TQE48" s="3"/>
      <c r="TQF48" s="3"/>
      <c r="TQG48" s="3"/>
      <c r="TQH48" s="3"/>
      <c r="TQI48" s="3"/>
      <c r="TQJ48" s="3"/>
      <c r="TQK48" s="3"/>
      <c r="TQL48" s="3"/>
      <c r="TQM48" s="3"/>
      <c r="TQN48" s="3"/>
      <c r="TQO48" s="3"/>
      <c r="TQP48" s="3"/>
      <c r="TQQ48" s="3"/>
      <c r="TQR48" s="3"/>
      <c r="TQS48" s="3"/>
      <c r="TQT48" s="3"/>
      <c r="TQU48" s="3"/>
      <c r="TQV48" s="3"/>
      <c r="TQW48" s="3"/>
      <c r="TQX48" s="3"/>
      <c r="TQY48" s="3"/>
      <c r="TQZ48" s="3"/>
      <c r="TRA48" s="3"/>
      <c r="TRB48" s="3"/>
      <c r="TRC48" s="3"/>
      <c r="TRD48" s="3"/>
      <c r="TRE48" s="3"/>
      <c r="TRF48" s="3"/>
      <c r="TRG48" s="3"/>
      <c r="TRH48" s="3"/>
      <c r="TRI48" s="3"/>
      <c r="TRJ48" s="3"/>
      <c r="TRK48" s="3"/>
      <c r="TRL48" s="3"/>
      <c r="TRM48" s="3"/>
      <c r="TRN48" s="3"/>
      <c r="TRO48" s="3"/>
      <c r="TRP48" s="3"/>
      <c r="TRQ48" s="3"/>
      <c r="TRR48" s="3"/>
      <c r="TRS48" s="3"/>
      <c r="TRT48" s="3"/>
      <c r="TRU48" s="3"/>
      <c r="TRV48" s="3"/>
      <c r="TRW48" s="3"/>
      <c r="TRX48" s="3"/>
      <c r="TRY48" s="3"/>
      <c r="TRZ48" s="3"/>
      <c r="TSA48" s="3"/>
      <c r="TSB48" s="3"/>
      <c r="TSC48" s="3"/>
      <c r="TSD48" s="3"/>
      <c r="TSE48" s="3"/>
      <c r="TSF48" s="3"/>
      <c r="TSG48" s="3"/>
      <c r="TSH48" s="3"/>
      <c r="TSI48" s="3"/>
      <c r="TSJ48" s="3"/>
      <c r="TSK48" s="3"/>
      <c r="TSL48" s="3"/>
      <c r="TSM48" s="3"/>
      <c r="TSN48" s="3"/>
      <c r="TSO48" s="3"/>
      <c r="TSP48" s="3"/>
      <c r="TSQ48" s="3"/>
      <c r="TSR48" s="3"/>
      <c r="TSS48" s="3"/>
      <c r="TST48" s="3"/>
      <c r="TSU48" s="3"/>
      <c r="TSV48" s="3"/>
      <c r="TSW48" s="3"/>
      <c r="TSX48" s="3"/>
      <c r="TSY48" s="3"/>
      <c r="TSZ48" s="3"/>
      <c r="TTA48" s="3"/>
      <c r="TTB48" s="3"/>
      <c r="TTC48" s="3"/>
      <c r="TTD48" s="3"/>
      <c r="TTE48" s="3"/>
      <c r="TTF48" s="3"/>
      <c r="TTG48" s="3"/>
      <c r="TTH48" s="3"/>
      <c r="TTI48" s="3"/>
      <c r="TTJ48" s="3"/>
      <c r="TTK48" s="3"/>
      <c r="TTL48" s="3"/>
      <c r="TTM48" s="3"/>
      <c r="TTN48" s="3"/>
      <c r="TTO48" s="3"/>
      <c r="TTP48" s="3"/>
      <c r="TTQ48" s="3"/>
      <c r="TTR48" s="3"/>
      <c r="TTS48" s="3"/>
      <c r="TTT48" s="3"/>
      <c r="TTU48" s="3"/>
      <c r="TTV48" s="3"/>
      <c r="TTW48" s="3"/>
      <c r="TTX48" s="3"/>
      <c r="TTY48" s="3"/>
      <c r="TTZ48" s="3"/>
      <c r="TUA48" s="3"/>
      <c r="TUB48" s="3"/>
      <c r="TUC48" s="3"/>
      <c r="TUD48" s="3"/>
      <c r="TUE48" s="3"/>
      <c r="TUF48" s="3"/>
      <c r="TUG48" s="3"/>
      <c r="TUH48" s="3"/>
      <c r="TUI48" s="3"/>
      <c r="TUJ48" s="3"/>
      <c r="TUK48" s="3"/>
      <c r="TUL48" s="3"/>
      <c r="TUM48" s="3"/>
      <c r="TUN48" s="3"/>
      <c r="TUO48" s="3"/>
      <c r="TUP48" s="3"/>
      <c r="TUQ48" s="3"/>
      <c r="TUR48" s="3"/>
      <c r="TUS48" s="3"/>
      <c r="TUT48" s="3"/>
      <c r="TUU48" s="3"/>
      <c r="TUV48" s="3"/>
      <c r="TUW48" s="3"/>
      <c r="TUX48" s="3"/>
      <c r="TUY48" s="3"/>
      <c r="TUZ48" s="3"/>
      <c r="TVA48" s="3"/>
      <c r="TVB48" s="3"/>
      <c r="TVC48" s="3"/>
      <c r="TVD48" s="3"/>
      <c r="TVE48" s="3"/>
      <c r="TVF48" s="3"/>
      <c r="TVG48" s="3"/>
      <c r="TVH48" s="3"/>
      <c r="TVI48" s="3"/>
      <c r="TVJ48" s="3"/>
      <c r="TVK48" s="3"/>
      <c r="TVL48" s="3"/>
      <c r="TVM48" s="3"/>
      <c r="TVN48" s="3"/>
      <c r="TVO48" s="3"/>
      <c r="TVP48" s="3"/>
      <c r="TVQ48" s="3"/>
      <c r="TVR48" s="3"/>
      <c r="TVS48" s="3"/>
      <c r="TVT48" s="3"/>
      <c r="TVU48" s="3"/>
      <c r="TVV48" s="3"/>
      <c r="TVW48" s="3"/>
      <c r="TVX48" s="3"/>
      <c r="TVY48" s="3"/>
      <c r="TVZ48" s="3"/>
      <c r="TWA48" s="3"/>
      <c r="TWB48" s="3"/>
      <c r="TWC48" s="3"/>
      <c r="TWD48" s="3"/>
      <c r="TWE48" s="3"/>
      <c r="TWF48" s="3"/>
      <c r="TWG48" s="3"/>
      <c r="TWH48" s="3"/>
      <c r="TWI48" s="3"/>
      <c r="TWJ48" s="3"/>
      <c r="TWK48" s="3"/>
      <c r="TWL48" s="3"/>
      <c r="TWM48" s="3"/>
      <c r="TWN48" s="3"/>
      <c r="TWO48" s="3"/>
      <c r="TWP48" s="3"/>
      <c r="TWQ48" s="3"/>
      <c r="TWR48" s="3"/>
      <c r="TWS48" s="3"/>
      <c r="TWT48" s="3"/>
      <c r="TWU48" s="3"/>
      <c r="TWV48" s="3"/>
      <c r="TWW48" s="3"/>
      <c r="TWX48" s="3"/>
      <c r="TWY48" s="3"/>
      <c r="TWZ48" s="3"/>
      <c r="TXA48" s="3"/>
      <c r="TXB48" s="3"/>
      <c r="TXC48" s="3"/>
      <c r="TXD48" s="3"/>
      <c r="TXE48" s="3"/>
      <c r="TXF48" s="3"/>
      <c r="TXG48" s="3"/>
      <c r="TXH48" s="3"/>
      <c r="TXI48" s="3"/>
      <c r="TXJ48" s="3"/>
      <c r="TXK48" s="3"/>
      <c r="TXL48" s="3"/>
      <c r="TXM48" s="3"/>
      <c r="TXN48" s="3"/>
      <c r="TXO48" s="3"/>
      <c r="TXP48" s="3"/>
      <c r="TXQ48" s="3"/>
      <c r="TXR48" s="3"/>
      <c r="TXS48" s="3"/>
      <c r="TXT48" s="3"/>
      <c r="TXU48" s="3"/>
      <c r="TXV48" s="3"/>
      <c r="TXW48" s="3"/>
      <c r="TXX48" s="3"/>
      <c r="TXY48" s="3"/>
      <c r="TXZ48" s="3"/>
      <c r="TYA48" s="3"/>
      <c r="TYB48" s="3"/>
      <c r="TYC48" s="3"/>
      <c r="TYD48" s="3"/>
      <c r="TYE48" s="3"/>
      <c r="TYF48" s="3"/>
      <c r="TYG48" s="3"/>
      <c r="TYH48" s="3"/>
      <c r="TYI48" s="3"/>
      <c r="TYJ48" s="3"/>
      <c r="TYK48" s="3"/>
      <c r="TYL48" s="3"/>
      <c r="TYM48" s="3"/>
      <c r="TYN48" s="3"/>
      <c r="TYO48" s="3"/>
      <c r="TYP48" s="3"/>
      <c r="TYQ48" s="3"/>
      <c r="TYR48" s="3"/>
      <c r="TYS48" s="3"/>
      <c r="TYT48" s="3"/>
      <c r="TYU48" s="3"/>
      <c r="TYV48" s="3"/>
      <c r="TYW48" s="3"/>
      <c r="TYX48" s="3"/>
      <c r="TYY48" s="3"/>
      <c r="TYZ48" s="3"/>
      <c r="TZA48" s="3"/>
      <c r="TZB48" s="3"/>
      <c r="TZC48" s="3"/>
      <c r="TZD48" s="3"/>
      <c r="TZE48" s="3"/>
      <c r="TZF48" s="3"/>
      <c r="TZG48" s="3"/>
      <c r="TZH48" s="3"/>
      <c r="TZI48" s="3"/>
      <c r="TZJ48" s="3"/>
      <c r="TZK48" s="3"/>
      <c r="TZL48" s="3"/>
      <c r="TZM48" s="3"/>
      <c r="TZN48" s="3"/>
      <c r="TZO48" s="3"/>
      <c r="TZP48" s="3"/>
      <c r="TZQ48" s="3"/>
      <c r="TZR48" s="3"/>
      <c r="TZS48" s="3"/>
      <c r="TZT48" s="3"/>
      <c r="TZU48" s="3"/>
      <c r="TZV48" s="3"/>
      <c r="TZW48" s="3"/>
      <c r="TZX48" s="3"/>
      <c r="TZY48" s="3"/>
      <c r="TZZ48" s="3"/>
      <c r="UAA48" s="3"/>
      <c r="UAB48" s="3"/>
      <c r="UAC48" s="3"/>
      <c r="UAD48" s="3"/>
      <c r="UAE48" s="3"/>
      <c r="UAF48" s="3"/>
      <c r="UAG48" s="3"/>
      <c r="UAH48" s="3"/>
      <c r="UAI48" s="3"/>
      <c r="UAJ48" s="3"/>
      <c r="UAK48" s="3"/>
      <c r="UAL48" s="3"/>
      <c r="UAM48" s="3"/>
      <c r="UAN48" s="3"/>
      <c r="UAO48" s="3"/>
      <c r="UAP48" s="3"/>
      <c r="UAQ48" s="3"/>
      <c r="UAR48" s="3"/>
      <c r="UAS48" s="3"/>
      <c r="UAT48" s="3"/>
      <c r="UAU48" s="3"/>
      <c r="UAV48" s="3"/>
      <c r="UAW48" s="3"/>
      <c r="UAX48" s="3"/>
      <c r="UAY48" s="3"/>
      <c r="UAZ48" s="3"/>
      <c r="UBA48" s="3"/>
      <c r="UBB48" s="3"/>
      <c r="UBC48" s="3"/>
      <c r="UBD48" s="3"/>
      <c r="UBE48" s="3"/>
      <c r="UBF48" s="3"/>
      <c r="UBG48" s="3"/>
      <c r="UBH48" s="3"/>
      <c r="UBI48" s="3"/>
      <c r="UBJ48" s="3"/>
      <c r="UBK48" s="3"/>
      <c r="UBL48" s="3"/>
      <c r="UBM48" s="3"/>
      <c r="UBN48" s="3"/>
      <c r="UBO48" s="3"/>
      <c r="UBP48" s="3"/>
      <c r="UBQ48" s="3"/>
      <c r="UBR48" s="3"/>
      <c r="UBS48" s="3"/>
      <c r="UBT48" s="3"/>
      <c r="UBU48" s="3"/>
      <c r="UBV48" s="3"/>
      <c r="UBW48" s="3"/>
      <c r="UBX48" s="3"/>
      <c r="UBY48" s="3"/>
      <c r="UBZ48" s="3"/>
      <c r="UCA48" s="3"/>
      <c r="UCB48" s="3"/>
      <c r="UCC48" s="3"/>
      <c r="UCD48" s="3"/>
      <c r="UCE48" s="3"/>
      <c r="UCF48" s="3"/>
      <c r="UCG48" s="3"/>
      <c r="UCH48" s="3"/>
      <c r="UCI48" s="3"/>
      <c r="UCJ48" s="3"/>
      <c r="UCK48" s="3"/>
      <c r="UCL48" s="3"/>
      <c r="UCM48" s="3"/>
      <c r="UCN48" s="3"/>
      <c r="UCO48" s="3"/>
      <c r="UCP48" s="3"/>
      <c r="UCQ48" s="3"/>
      <c r="UCR48" s="3"/>
      <c r="UCS48" s="3"/>
      <c r="UCT48" s="3"/>
      <c r="UCU48" s="3"/>
      <c r="UCV48" s="3"/>
      <c r="UCW48" s="3"/>
      <c r="UCX48" s="3"/>
      <c r="UCY48" s="3"/>
      <c r="UCZ48" s="3"/>
      <c r="UDA48" s="3"/>
      <c r="UDB48" s="3"/>
      <c r="UDC48" s="3"/>
      <c r="UDD48" s="3"/>
      <c r="UDE48" s="3"/>
      <c r="UDF48" s="3"/>
      <c r="UDG48" s="3"/>
      <c r="UDH48" s="3"/>
      <c r="UDI48" s="3"/>
      <c r="UDJ48" s="3"/>
      <c r="UDK48" s="3"/>
      <c r="UDL48" s="3"/>
      <c r="UDM48" s="3"/>
      <c r="UDN48" s="3"/>
      <c r="UDO48" s="3"/>
      <c r="UDP48" s="3"/>
      <c r="UDQ48" s="3"/>
      <c r="UDR48" s="3"/>
      <c r="UDS48" s="3"/>
      <c r="UDT48" s="3"/>
      <c r="UDU48" s="3"/>
      <c r="UDV48" s="3"/>
      <c r="UDW48" s="3"/>
      <c r="UDX48" s="3"/>
      <c r="UDY48" s="3"/>
      <c r="UDZ48" s="3"/>
      <c r="UEA48" s="3"/>
      <c r="UEB48" s="3"/>
      <c r="UEC48" s="3"/>
      <c r="UED48" s="3"/>
      <c r="UEE48" s="3"/>
      <c r="UEF48" s="3"/>
      <c r="UEG48" s="3"/>
      <c r="UEH48" s="3"/>
      <c r="UEI48" s="3"/>
      <c r="UEJ48" s="3"/>
      <c r="UEK48" s="3"/>
      <c r="UEL48" s="3"/>
      <c r="UEM48" s="3"/>
      <c r="UEN48" s="3"/>
      <c r="UEO48" s="3"/>
      <c r="UEP48" s="3"/>
      <c r="UEQ48" s="3"/>
      <c r="UER48" s="3"/>
      <c r="UES48" s="3"/>
      <c r="UET48" s="3"/>
      <c r="UEU48" s="3"/>
      <c r="UEV48" s="3"/>
      <c r="UEW48" s="3"/>
      <c r="UEX48" s="3"/>
      <c r="UEY48" s="3"/>
      <c r="UEZ48" s="3"/>
      <c r="UFA48" s="3"/>
      <c r="UFB48" s="3"/>
      <c r="UFC48" s="3"/>
      <c r="UFD48" s="3"/>
      <c r="UFE48" s="3"/>
      <c r="UFF48" s="3"/>
      <c r="UFG48" s="3"/>
      <c r="UFH48" s="3"/>
      <c r="UFI48" s="3"/>
      <c r="UFJ48" s="3"/>
      <c r="UFK48" s="3"/>
      <c r="UFL48" s="3"/>
      <c r="UFM48" s="3"/>
      <c r="UFN48" s="3"/>
      <c r="UFO48" s="3"/>
      <c r="UFP48" s="3"/>
      <c r="UFQ48" s="3"/>
      <c r="UFR48" s="3"/>
      <c r="UFS48" s="3"/>
      <c r="UFT48" s="3"/>
      <c r="UFU48" s="3"/>
      <c r="UFV48" s="3"/>
      <c r="UFW48" s="3"/>
      <c r="UFX48" s="3"/>
      <c r="UFY48" s="3"/>
      <c r="UFZ48" s="3"/>
      <c r="UGA48" s="3"/>
      <c r="UGB48" s="3"/>
      <c r="UGC48" s="3"/>
      <c r="UGD48" s="3"/>
      <c r="UGE48" s="3"/>
      <c r="UGF48" s="3"/>
      <c r="UGG48" s="3"/>
      <c r="UGH48" s="3"/>
      <c r="UGI48" s="3"/>
      <c r="UGJ48" s="3"/>
      <c r="UGK48" s="3"/>
      <c r="UGL48" s="3"/>
      <c r="UGM48" s="3"/>
      <c r="UGN48" s="3"/>
      <c r="UGO48" s="3"/>
      <c r="UGP48" s="3"/>
      <c r="UGQ48" s="3"/>
      <c r="UGR48" s="3"/>
      <c r="UGS48" s="3"/>
      <c r="UGT48" s="3"/>
      <c r="UGU48" s="3"/>
      <c r="UGV48" s="3"/>
      <c r="UGW48" s="3"/>
      <c r="UGX48" s="3"/>
      <c r="UGY48" s="3"/>
      <c r="UGZ48" s="3"/>
      <c r="UHA48" s="3"/>
      <c r="UHB48" s="3"/>
      <c r="UHC48" s="3"/>
      <c r="UHD48" s="3"/>
      <c r="UHE48" s="3"/>
      <c r="UHF48" s="3"/>
      <c r="UHG48" s="3"/>
      <c r="UHH48" s="3"/>
      <c r="UHI48" s="3"/>
      <c r="UHJ48" s="3"/>
      <c r="UHK48" s="3"/>
      <c r="UHL48" s="3"/>
      <c r="UHM48" s="3"/>
      <c r="UHN48" s="3"/>
      <c r="UHO48" s="3"/>
      <c r="UHP48" s="3"/>
      <c r="UHQ48" s="3"/>
      <c r="UHR48" s="3"/>
      <c r="UHS48" s="3"/>
      <c r="UHT48" s="3"/>
      <c r="UHU48" s="3"/>
      <c r="UHV48" s="3"/>
      <c r="UHW48" s="3"/>
      <c r="UHX48" s="3"/>
      <c r="UHY48" s="3"/>
      <c r="UHZ48" s="3"/>
      <c r="UIA48" s="3"/>
      <c r="UIB48" s="3"/>
      <c r="UIC48" s="3"/>
      <c r="UID48" s="3"/>
      <c r="UIE48" s="3"/>
      <c r="UIF48" s="3"/>
      <c r="UIG48" s="3"/>
      <c r="UIH48" s="3"/>
      <c r="UII48" s="3"/>
      <c r="UIJ48" s="3"/>
      <c r="UIK48" s="3"/>
      <c r="UIL48" s="3"/>
      <c r="UIM48" s="3"/>
      <c r="UIN48" s="3"/>
      <c r="UIO48" s="3"/>
      <c r="UIP48" s="3"/>
      <c r="UIQ48" s="3"/>
      <c r="UIR48" s="3"/>
      <c r="UIS48" s="3"/>
      <c r="UIT48" s="3"/>
      <c r="UIU48" s="3"/>
      <c r="UIV48" s="3"/>
      <c r="UIW48" s="3"/>
      <c r="UIX48" s="3"/>
      <c r="UIY48" s="3"/>
      <c r="UIZ48" s="3"/>
      <c r="UJA48" s="3"/>
      <c r="UJB48" s="3"/>
      <c r="UJC48" s="3"/>
      <c r="UJD48" s="3"/>
      <c r="UJE48" s="3"/>
      <c r="UJF48" s="3"/>
      <c r="UJG48" s="3"/>
      <c r="UJH48" s="3"/>
      <c r="UJI48" s="3"/>
      <c r="UJJ48" s="3"/>
      <c r="UJK48" s="3"/>
      <c r="UJL48" s="3"/>
      <c r="UJM48" s="3"/>
      <c r="UJN48" s="3"/>
      <c r="UJO48" s="3"/>
      <c r="UJP48" s="3"/>
      <c r="UJQ48" s="3"/>
      <c r="UJR48" s="3"/>
      <c r="UJS48" s="3"/>
      <c r="UJT48" s="3"/>
      <c r="UJU48" s="3"/>
      <c r="UJV48" s="3"/>
      <c r="UJW48" s="3"/>
      <c r="UJX48" s="3"/>
      <c r="UJY48" s="3"/>
      <c r="UJZ48" s="3"/>
      <c r="UKA48" s="3"/>
      <c r="UKB48" s="3"/>
      <c r="UKC48" s="3"/>
      <c r="UKD48" s="3"/>
      <c r="UKE48" s="3"/>
      <c r="UKF48" s="3"/>
      <c r="UKG48" s="3"/>
      <c r="UKH48" s="3"/>
      <c r="UKI48" s="3"/>
      <c r="UKJ48" s="3"/>
      <c r="UKK48" s="3"/>
      <c r="UKL48" s="3"/>
      <c r="UKM48" s="3"/>
      <c r="UKN48" s="3"/>
      <c r="UKO48" s="3"/>
      <c r="UKP48" s="3"/>
      <c r="UKQ48" s="3"/>
      <c r="UKR48" s="3"/>
      <c r="UKS48" s="3"/>
      <c r="UKT48" s="3"/>
      <c r="UKU48" s="3"/>
      <c r="UKV48" s="3"/>
      <c r="UKW48" s="3"/>
      <c r="UKX48" s="3"/>
      <c r="UKY48" s="3"/>
      <c r="UKZ48" s="3"/>
      <c r="ULA48" s="3"/>
      <c r="ULB48" s="3"/>
      <c r="ULC48" s="3"/>
      <c r="ULD48" s="3"/>
      <c r="ULE48" s="3"/>
      <c r="ULF48" s="3"/>
      <c r="ULG48" s="3"/>
      <c r="ULH48" s="3"/>
      <c r="ULI48" s="3"/>
      <c r="ULJ48" s="3"/>
      <c r="ULK48" s="3"/>
      <c r="ULL48" s="3"/>
      <c r="ULM48" s="3"/>
      <c r="ULN48" s="3"/>
      <c r="ULO48" s="3"/>
      <c r="ULP48" s="3"/>
      <c r="ULQ48" s="3"/>
      <c r="ULR48" s="3"/>
      <c r="ULS48" s="3"/>
      <c r="ULT48" s="3"/>
      <c r="ULU48" s="3"/>
      <c r="ULV48" s="3"/>
      <c r="ULW48" s="3"/>
      <c r="ULX48" s="3"/>
      <c r="ULY48" s="3"/>
      <c r="ULZ48" s="3"/>
      <c r="UMA48" s="3"/>
      <c r="UMB48" s="3"/>
      <c r="UMC48" s="3"/>
      <c r="UMD48" s="3"/>
      <c r="UME48" s="3"/>
      <c r="UMF48" s="3"/>
      <c r="UMG48" s="3"/>
      <c r="UMH48" s="3"/>
      <c r="UMI48" s="3"/>
      <c r="UMJ48" s="3"/>
      <c r="UMK48" s="3"/>
      <c r="UML48" s="3"/>
      <c r="UMM48" s="3"/>
      <c r="UMN48" s="3"/>
      <c r="UMO48" s="3"/>
      <c r="UMP48" s="3"/>
      <c r="UMQ48" s="3"/>
      <c r="UMR48" s="3"/>
      <c r="UMS48" s="3"/>
      <c r="UMT48" s="3"/>
      <c r="UMU48" s="3"/>
      <c r="UMV48" s="3"/>
      <c r="UMW48" s="3"/>
      <c r="UMX48" s="3"/>
      <c r="UMY48" s="3"/>
      <c r="UMZ48" s="3"/>
      <c r="UNA48" s="3"/>
      <c r="UNB48" s="3"/>
      <c r="UNC48" s="3"/>
      <c r="UND48" s="3"/>
      <c r="UNE48" s="3"/>
      <c r="UNF48" s="3"/>
      <c r="UNG48" s="3"/>
      <c r="UNH48" s="3"/>
      <c r="UNI48" s="3"/>
      <c r="UNJ48" s="3"/>
      <c r="UNK48" s="3"/>
      <c r="UNL48" s="3"/>
      <c r="UNM48" s="3"/>
      <c r="UNN48" s="3"/>
      <c r="UNO48" s="3"/>
      <c r="UNP48" s="3"/>
      <c r="UNQ48" s="3"/>
      <c r="UNR48" s="3"/>
      <c r="UNS48" s="3"/>
      <c r="UNT48" s="3"/>
      <c r="UNU48" s="3"/>
      <c r="UNV48" s="3"/>
      <c r="UNW48" s="3"/>
      <c r="UNX48" s="3"/>
      <c r="UNY48" s="3"/>
      <c r="UNZ48" s="3"/>
      <c r="UOA48" s="3"/>
      <c r="UOB48" s="3"/>
      <c r="UOC48" s="3"/>
      <c r="UOD48" s="3"/>
      <c r="UOE48" s="3"/>
      <c r="UOF48" s="3"/>
      <c r="UOG48" s="3"/>
      <c r="UOH48" s="3"/>
      <c r="UOI48" s="3"/>
      <c r="UOJ48" s="3"/>
      <c r="UOK48" s="3"/>
      <c r="UOL48" s="3"/>
      <c r="UOM48" s="3"/>
      <c r="UON48" s="3"/>
      <c r="UOO48" s="3"/>
      <c r="UOP48" s="3"/>
      <c r="UOQ48" s="3"/>
      <c r="UOR48" s="3"/>
      <c r="UOS48" s="3"/>
      <c r="UOT48" s="3"/>
      <c r="UOU48" s="3"/>
      <c r="UOV48" s="3"/>
      <c r="UOW48" s="3"/>
      <c r="UOX48" s="3"/>
      <c r="UOY48" s="3"/>
      <c r="UOZ48" s="3"/>
      <c r="UPA48" s="3"/>
      <c r="UPB48" s="3"/>
      <c r="UPC48" s="3"/>
      <c r="UPD48" s="3"/>
      <c r="UPE48" s="3"/>
      <c r="UPF48" s="3"/>
      <c r="UPG48" s="3"/>
      <c r="UPH48" s="3"/>
      <c r="UPI48" s="3"/>
      <c r="UPJ48" s="3"/>
      <c r="UPK48" s="3"/>
      <c r="UPL48" s="3"/>
      <c r="UPM48" s="3"/>
      <c r="UPN48" s="3"/>
      <c r="UPO48" s="3"/>
      <c r="UPP48" s="3"/>
      <c r="UPQ48" s="3"/>
      <c r="UPR48" s="3"/>
      <c r="UPS48" s="3"/>
      <c r="UPT48" s="3"/>
      <c r="UPU48" s="3"/>
      <c r="UPV48" s="3"/>
      <c r="UPW48" s="3"/>
      <c r="UPX48" s="3"/>
      <c r="UPY48" s="3"/>
      <c r="UPZ48" s="3"/>
      <c r="UQA48" s="3"/>
      <c r="UQB48" s="3"/>
      <c r="UQC48" s="3"/>
      <c r="UQD48" s="3"/>
      <c r="UQE48" s="3"/>
      <c r="UQF48" s="3"/>
      <c r="UQG48" s="3"/>
      <c r="UQH48" s="3"/>
      <c r="UQI48" s="3"/>
      <c r="UQJ48" s="3"/>
      <c r="UQK48" s="3"/>
      <c r="UQL48" s="3"/>
      <c r="UQM48" s="3"/>
      <c r="UQN48" s="3"/>
      <c r="UQO48" s="3"/>
      <c r="UQP48" s="3"/>
      <c r="UQQ48" s="3"/>
      <c r="UQR48" s="3"/>
      <c r="UQS48" s="3"/>
      <c r="UQT48" s="3"/>
      <c r="UQU48" s="3"/>
      <c r="UQV48" s="3"/>
      <c r="UQW48" s="3"/>
      <c r="UQX48" s="3"/>
      <c r="UQY48" s="3"/>
      <c r="UQZ48" s="3"/>
      <c r="URA48" s="3"/>
      <c r="URB48" s="3"/>
      <c r="URC48" s="3"/>
      <c r="URD48" s="3"/>
      <c r="URE48" s="3"/>
      <c r="URF48" s="3"/>
      <c r="URG48" s="3"/>
      <c r="URH48" s="3"/>
      <c r="URI48" s="3"/>
      <c r="URJ48" s="3"/>
      <c r="URK48" s="3"/>
      <c r="URL48" s="3"/>
      <c r="URM48" s="3"/>
      <c r="URN48" s="3"/>
      <c r="URO48" s="3"/>
      <c r="URP48" s="3"/>
      <c r="URQ48" s="3"/>
      <c r="URR48" s="3"/>
      <c r="URS48" s="3"/>
      <c r="URT48" s="3"/>
      <c r="URU48" s="3"/>
      <c r="URV48" s="3"/>
      <c r="URW48" s="3"/>
      <c r="URX48" s="3"/>
      <c r="URY48" s="3"/>
      <c r="URZ48" s="3"/>
      <c r="USA48" s="3"/>
      <c r="USB48" s="3"/>
      <c r="USC48" s="3"/>
      <c r="USD48" s="3"/>
      <c r="USE48" s="3"/>
      <c r="USF48" s="3"/>
      <c r="USG48" s="3"/>
      <c r="USH48" s="3"/>
      <c r="USI48" s="3"/>
      <c r="USJ48" s="3"/>
      <c r="USK48" s="3"/>
      <c r="USL48" s="3"/>
      <c r="USM48" s="3"/>
      <c r="USN48" s="3"/>
      <c r="USO48" s="3"/>
      <c r="USP48" s="3"/>
      <c r="USQ48" s="3"/>
      <c r="USR48" s="3"/>
      <c r="USS48" s="3"/>
      <c r="UST48" s="3"/>
      <c r="USU48" s="3"/>
      <c r="USV48" s="3"/>
      <c r="USW48" s="3"/>
      <c r="USX48" s="3"/>
      <c r="USY48" s="3"/>
      <c r="USZ48" s="3"/>
      <c r="UTA48" s="3"/>
      <c r="UTB48" s="3"/>
      <c r="UTC48" s="3"/>
      <c r="UTD48" s="3"/>
      <c r="UTE48" s="3"/>
      <c r="UTF48" s="3"/>
      <c r="UTG48" s="3"/>
      <c r="UTH48" s="3"/>
      <c r="UTI48" s="3"/>
      <c r="UTJ48" s="3"/>
      <c r="UTK48" s="3"/>
      <c r="UTL48" s="3"/>
      <c r="UTM48" s="3"/>
      <c r="UTN48" s="3"/>
      <c r="UTO48" s="3"/>
      <c r="UTP48" s="3"/>
      <c r="UTQ48" s="3"/>
      <c r="UTR48" s="3"/>
      <c r="UTS48" s="3"/>
      <c r="UTT48" s="3"/>
      <c r="UTU48" s="3"/>
      <c r="UTV48" s="3"/>
      <c r="UTW48" s="3"/>
      <c r="UTX48" s="3"/>
      <c r="UTY48" s="3"/>
      <c r="UTZ48" s="3"/>
      <c r="UUA48" s="3"/>
      <c r="UUB48" s="3"/>
      <c r="UUC48" s="3"/>
      <c r="UUD48" s="3"/>
      <c r="UUE48" s="3"/>
      <c r="UUF48" s="3"/>
      <c r="UUG48" s="3"/>
      <c r="UUH48" s="3"/>
      <c r="UUI48" s="3"/>
      <c r="UUJ48" s="3"/>
      <c r="UUK48" s="3"/>
      <c r="UUL48" s="3"/>
      <c r="UUM48" s="3"/>
      <c r="UUN48" s="3"/>
      <c r="UUO48" s="3"/>
      <c r="UUP48" s="3"/>
      <c r="UUQ48" s="3"/>
      <c r="UUR48" s="3"/>
      <c r="UUS48" s="3"/>
      <c r="UUT48" s="3"/>
      <c r="UUU48" s="3"/>
      <c r="UUV48" s="3"/>
      <c r="UUW48" s="3"/>
      <c r="UUX48" s="3"/>
      <c r="UUY48" s="3"/>
      <c r="UUZ48" s="3"/>
      <c r="UVA48" s="3"/>
      <c r="UVB48" s="3"/>
      <c r="UVC48" s="3"/>
      <c r="UVD48" s="3"/>
      <c r="UVE48" s="3"/>
      <c r="UVF48" s="3"/>
      <c r="UVG48" s="3"/>
      <c r="UVH48" s="3"/>
      <c r="UVI48" s="3"/>
      <c r="UVJ48" s="3"/>
      <c r="UVK48" s="3"/>
      <c r="UVL48" s="3"/>
      <c r="UVM48" s="3"/>
      <c r="UVN48" s="3"/>
      <c r="UVO48" s="3"/>
      <c r="UVP48" s="3"/>
      <c r="UVQ48" s="3"/>
      <c r="UVR48" s="3"/>
      <c r="UVS48" s="3"/>
      <c r="UVT48" s="3"/>
      <c r="UVU48" s="3"/>
      <c r="UVV48" s="3"/>
      <c r="UVW48" s="3"/>
      <c r="UVX48" s="3"/>
      <c r="UVY48" s="3"/>
      <c r="UVZ48" s="3"/>
      <c r="UWA48" s="3"/>
      <c r="UWB48" s="3"/>
      <c r="UWC48" s="3"/>
      <c r="UWD48" s="3"/>
      <c r="UWE48" s="3"/>
      <c r="UWF48" s="3"/>
      <c r="UWG48" s="3"/>
      <c r="UWH48" s="3"/>
      <c r="UWI48" s="3"/>
      <c r="UWJ48" s="3"/>
      <c r="UWK48" s="3"/>
      <c r="UWL48" s="3"/>
      <c r="UWM48" s="3"/>
      <c r="UWN48" s="3"/>
      <c r="UWO48" s="3"/>
      <c r="UWP48" s="3"/>
      <c r="UWQ48" s="3"/>
      <c r="UWR48" s="3"/>
      <c r="UWS48" s="3"/>
      <c r="UWT48" s="3"/>
      <c r="UWU48" s="3"/>
      <c r="UWV48" s="3"/>
      <c r="UWW48" s="3"/>
      <c r="UWX48" s="3"/>
      <c r="UWY48" s="3"/>
      <c r="UWZ48" s="3"/>
      <c r="UXA48" s="3"/>
      <c r="UXB48" s="3"/>
      <c r="UXC48" s="3"/>
      <c r="UXD48" s="3"/>
      <c r="UXE48" s="3"/>
      <c r="UXF48" s="3"/>
      <c r="UXG48" s="3"/>
      <c r="UXH48" s="3"/>
      <c r="UXI48" s="3"/>
      <c r="UXJ48" s="3"/>
      <c r="UXK48" s="3"/>
      <c r="UXL48" s="3"/>
      <c r="UXM48" s="3"/>
      <c r="UXN48" s="3"/>
      <c r="UXO48" s="3"/>
      <c r="UXP48" s="3"/>
      <c r="UXQ48" s="3"/>
      <c r="UXR48" s="3"/>
      <c r="UXS48" s="3"/>
      <c r="UXT48" s="3"/>
      <c r="UXU48" s="3"/>
      <c r="UXV48" s="3"/>
      <c r="UXW48" s="3"/>
      <c r="UXX48" s="3"/>
      <c r="UXY48" s="3"/>
      <c r="UXZ48" s="3"/>
      <c r="UYA48" s="3"/>
      <c r="UYB48" s="3"/>
      <c r="UYC48" s="3"/>
      <c r="UYD48" s="3"/>
      <c r="UYE48" s="3"/>
      <c r="UYF48" s="3"/>
      <c r="UYG48" s="3"/>
      <c r="UYH48" s="3"/>
      <c r="UYI48" s="3"/>
      <c r="UYJ48" s="3"/>
      <c r="UYK48" s="3"/>
      <c r="UYL48" s="3"/>
      <c r="UYM48" s="3"/>
      <c r="UYN48" s="3"/>
      <c r="UYO48" s="3"/>
      <c r="UYP48" s="3"/>
      <c r="UYQ48" s="3"/>
      <c r="UYR48" s="3"/>
      <c r="UYS48" s="3"/>
      <c r="UYT48" s="3"/>
      <c r="UYU48" s="3"/>
      <c r="UYV48" s="3"/>
      <c r="UYW48" s="3"/>
      <c r="UYX48" s="3"/>
      <c r="UYY48" s="3"/>
      <c r="UYZ48" s="3"/>
      <c r="UZA48" s="3"/>
      <c r="UZB48" s="3"/>
      <c r="UZC48" s="3"/>
      <c r="UZD48" s="3"/>
      <c r="UZE48" s="3"/>
      <c r="UZF48" s="3"/>
      <c r="UZG48" s="3"/>
      <c r="UZH48" s="3"/>
      <c r="UZI48" s="3"/>
      <c r="UZJ48" s="3"/>
      <c r="UZK48" s="3"/>
      <c r="UZL48" s="3"/>
      <c r="UZM48" s="3"/>
      <c r="UZN48" s="3"/>
      <c r="UZO48" s="3"/>
      <c r="UZP48" s="3"/>
      <c r="UZQ48" s="3"/>
      <c r="UZR48" s="3"/>
      <c r="UZS48" s="3"/>
      <c r="UZT48" s="3"/>
      <c r="UZU48" s="3"/>
      <c r="UZV48" s="3"/>
      <c r="UZW48" s="3"/>
      <c r="UZX48" s="3"/>
      <c r="UZY48" s="3"/>
      <c r="UZZ48" s="3"/>
      <c r="VAA48" s="3"/>
      <c r="VAB48" s="3"/>
      <c r="VAC48" s="3"/>
      <c r="VAD48" s="3"/>
      <c r="VAE48" s="3"/>
      <c r="VAF48" s="3"/>
      <c r="VAG48" s="3"/>
      <c r="VAH48" s="3"/>
      <c r="VAI48" s="3"/>
      <c r="VAJ48" s="3"/>
      <c r="VAK48" s="3"/>
      <c r="VAL48" s="3"/>
      <c r="VAM48" s="3"/>
      <c r="VAN48" s="3"/>
      <c r="VAO48" s="3"/>
      <c r="VAP48" s="3"/>
      <c r="VAQ48" s="3"/>
      <c r="VAR48" s="3"/>
      <c r="VAS48" s="3"/>
      <c r="VAT48" s="3"/>
      <c r="VAU48" s="3"/>
      <c r="VAV48" s="3"/>
      <c r="VAW48" s="3"/>
      <c r="VAX48" s="3"/>
      <c r="VAY48" s="3"/>
      <c r="VAZ48" s="3"/>
      <c r="VBA48" s="3"/>
      <c r="VBB48" s="3"/>
      <c r="VBC48" s="3"/>
      <c r="VBD48" s="3"/>
      <c r="VBE48" s="3"/>
      <c r="VBF48" s="3"/>
      <c r="VBG48" s="3"/>
      <c r="VBH48" s="3"/>
      <c r="VBI48" s="3"/>
      <c r="VBJ48" s="3"/>
      <c r="VBK48" s="3"/>
      <c r="VBL48" s="3"/>
      <c r="VBM48" s="3"/>
      <c r="VBN48" s="3"/>
      <c r="VBO48" s="3"/>
      <c r="VBP48" s="3"/>
      <c r="VBQ48" s="3"/>
      <c r="VBR48" s="3"/>
      <c r="VBS48" s="3"/>
      <c r="VBT48" s="3"/>
      <c r="VBU48" s="3"/>
      <c r="VBV48" s="3"/>
      <c r="VBW48" s="3"/>
      <c r="VBX48" s="3"/>
      <c r="VBY48" s="3"/>
      <c r="VBZ48" s="3"/>
      <c r="VCA48" s="3"/>
      <c r="VCB48" s="3"/>
      <c r="VCC48" s="3"/>
      <c r="VCD48" s="3"/>
      <c r="VCE48" s="3"/>
      <c r="VCF48" s="3"/>
      <c r="VCG48" s="3"/>
      <c r="VCH48" s="3"/>
      <c r="VCI48" s="3"/>
      <c r="VCJ48" s="3"/>
      <c r="VCK48" s="3"/>
      <c r="VCL48" s="3"/>
      <c r="VCM48" s="3"/>
      <c r="VCN48" s="3"/>
      <c r="VCO48" s="3"/>
      <c r="VCP48" s="3"/>
      <c r="VCQ48" s="3"/>
      <c r="VCR48" s="3"/>
      <c r="VCS48" s="3"/>
      <c r="VCT48" s="3"/>
      <c r="VCU48" s="3"/>
      <c r="VCV48" s="3"/>
      <c r="VCW48" s="3"/>
      <c r="VCX48" s="3"/>
      <c r="VCY48" s="3"/>
      <c r="VCZ48" s="3"/>
      <c r="VDA48" s="3"/>
      <c r="VDB48" s="3"/>
      <c r="VDC48" s="3"/>
      <c r="VDD48" s="3"/>
      <c r="VDE48" s="3"/>
      <c r="VDF48" s="3"/>
      <c r="VDG48" s="3"/>
      <c r="VDH48" s="3"/>
      <c r="VDI48" s="3"/>
      <c r="VDJ48" s="3"/>
      <c r="VDK48" s="3"/>
      <c r="VDL48" s="3"/>
      <c r="VDM48" s="3"/>
      <c r="VDN48" s="3"/>
      <c r="VDO48" s="3"/>
      <c r="VDP48" s="3"/>
      <c r="VDQ48" s="3"/>
      <c r="VDR48" s="3"/>
      <c r="VDS48" s="3"/>
      <c r="VDT48" s="3"/>
      <c r="VDU48" s="3"/>
      <c r="VDV48" s="3"/>
      <c r="VDW48" s="3"/>
      <c r="VDX48" s="3"/>
      <c r="VDY48" s="3"/>
      <c r="VDZ48" s="3"/>
      <c r="VEA48" s="3"/>
      <c r="VEB48" s="3"/>
      <c r="VEC48" s="3"/>
      <c r="VED48" s="3"/>
      <c r="VEE48" s="3"/>
      <c r="VEF48" s="3"/>
      <c r="VEG48" s="3"/>
      <c r="VEH48" s="3"/>
      <c r="VEI48" s="3"/>
      <c r="VEJ48" s="3"/>
      <c r="VEK48" s="3"/>
      <c r="VEL48" s="3"/>
      <c r="VEM48" s="3"/>
      <c r="VEN48" s="3"/>
      <c r="VEO48" s="3"/>
      <c r="VEP48" s="3"/>
      <c r="VEQ48" s="3"/>
      <c r="VER48" s="3"/>
      <c r="VES48" s="3"/>
      <c r="VET48" s="3"/>
      <c r="VEU48" s="3"/>
      <c r="VEV48" s="3"/>
      <c r="VEW48" s="3"/>
      <c r="VEX48" s="3"/>
      <c r="VEY48" s="3"/>
      <c r="VEZ48" s="3"/>
      <c r="VFA48" s="3"/>
      <c r="VFB48" s="3"/>
      <c r="VFC48" s="3"/>
      <c r="VFD48" s="3"/>
      <c r="VFE48" s="3"/>
      <c r="VFF48" s="3"/>
      <c r="VFG48" s="3"/>
      <c r="VFH48" s="3"/>
      <c r="VFI48" s="3"/>
      <c r="VFJ48" s="3"/>
      <c r="VFK48" s="3"/>
      <c r="VFL48" s="3"/>
      <c r="VFM48" s="3"/>
      <c r="VFN48" s="3"/>
      <c r="VFO48" s="3"/>
      <c r="VFP48" s="3"/>
      <c r="VFQ48" s="3"/>
      <c r="VFR48" s="3"/>
      <c r="VFS48" s="3"/>
      <c r="VFT48" s="3"/>
      <c r="VFU48" s="3"/>
      <c r="VFV48" s="3"/>
      <c r="VFW48" s="3"/>
      <c r="VFX48" s="3"/>
      <c r="VFY48" s="3"/>
      <c r="VFZ48" s="3"/>
      <c r="VGA48" s="3"/>
      <c r="VGB48" s="3"/>
      <c r="VGC48" s="3"/>
      <c r="VGD48" s="3"/>
      <c r="VGE48" s="3"/>
      <c r="VGF48" s="3"/>
      <c r="VGG48" s="3"/>
      <c r="VGH48" s="3"/>
      <c r="VGI48" s="3"/>
      <c r="VGJ48" s="3"/>
      <c r="VGK48" s="3"/>
      <c r="VGL48" s="3"/>
      <c r="VGM48" s="3"/>
      <c r="VGN48" s="3"/>
      <c r="VGO48" s="3"/>
      <c r="VGP48" s="3"/>
      <c r="VGQ48" s="3"/>
      <c r="VGR48" s="3"/>
      <c r="VGS48" s="3"/>
      <c r="VGT48" s="3"/>
      <c r="VGU48" s="3"/>
      <c r="VGV48" s="3"/>
      <c r="VGW48" s="3"/>
      <c r="VGX48" s="3"/>
      <c r="VGY48" s="3"/>
      <c r="VGZ48" s="3"/>
      <c r="VHA48" s="3"/>
      <c r="VHB48" s="3"/>
      <c r="VHC48" s="3"/>
      <c r="VHD48" s="3"/>
      <c r="VHE48" s="3"/>
      <c r="VHF48" s="3"/>
      <c r="VHG48" s="3"/>
      <c r="VHH48" s="3"/>
      <c r="VHI48" s="3"/>
      <c r="VHJ48" s="3"/>
      <c r="VHK48" s="3"/>
      <c r="VHL48" s="3"/>
      <c r="VHM48" s="3"/>
      <c r="VHN48" s="3"/>
      <c r="VHO48" s="3"/>
      <c r="VHP48" s="3"/>
      <c r="VHQ48" s="3"/>
      <c r="VHR48" s="3"/>
      <c r="VHS48" s="3"/>
      <c r="VHT48" s="3"/>
      <c r="VHU48" s="3"/>
      <c r="VHV48" s="3"/>
      <c r="VHW48" s="3"/>
      <c r="VHX48" s="3"/>
      <c r="VHY48" s="3"/>
      <c r="VHZ48" s="3"/>
      <c r="VIA48" s="3"/>
      <c r="VIB48" s="3"/>
      <c r="VIC48" s="3"/>
      <c r="VID48" s="3"/>
      <c r="VIE48" s="3"/>
      <c r="VIF48" s="3"/>
      <c r="VIG48" s="3"/>
      <c r="VIH48" s="3"/>
      <c r="VII48" s="3"/>
      <c r="VIJ48" s="3"/>
      <c r="VIK48" s="3"/>
      <c r="VIL48" s="3"/>
      <c r="VIM48" s="3"/>
      <c r="VIN48" s="3"/>
      <c r="VIO48" s="3"/>
      <c r="VIP48" s="3"/>
      <c r="VIQ48" s="3"/>
      <c r="VIR48" s="3"/>
      <c r="VIS48" s="3"/>
      <c r="VIT48" s="3"/>
      <c r="VIU48" s="3"/>
      <c r="VIV48" s="3"/>
      <c r="VIW48" s="3"/>
      <c r="VIX48" s="3"/>
      <c r="VIY48" s="3"/>
      <c r="VIZ48" s="3"/>
      <c r="VJA48" s="3"/>
      <c r="VJB48" s="3"/>
      <c r="VJC48" s="3"/>
      <c r="VJD48" s="3"/>
      <c r="VJE48" s="3"/>
      <c r="VJF48" s="3"/>
      <c r="VJG48" s="3"/>
      <c r="VJH48" s="3"/>
      <c r="VJI48" s="3"/>
      <c r="VJJ48" s="3"/>
      <c r="VJK48" s="3"/>
      <c r="VJL48" s="3"/>
      <c r="VJM48" s="3"/>
      <c r="VJN48" s="3"/>
      <c r="VJO48" s="3"/>
      <c r="VJP48" s="3"/>
      <c r="VJQ48" s="3"/>
      <c r="VJR48" s="3"/>
      <c r="VJS48" s="3"/>
      <c r="VJT48" s="3"/>
      <c r="VJU48" s="3"/>
      <c r="VJV48" s="3"/>
      <c r="VJW48" s="3"/>
      <c r="VJX48" s="3"/>
      <c r="VJY48" s="3"/>
      <c r="VJZ48" s="3"/>
      <c r="VKA48" s="3"/>
      <c r="VKB48" s="3"/>
      <c r="VKC48" s="3"/>
      <c r="VKD48" s="3"/>
      <c r="VKE48" s="3"/>
      <c r="VKF48" s="3"/>
      <c r="VKG48" s="3"/>
      <c r="VKH48" s="3"/>
      <c r="VKI48" s="3"/>
      <c r="VKJ48" s="3"/>
      <c r="VKK48" s="3"/>
      <c r="VKL48" s="3"/>
      <c r="VKM48" s="3"/>
      <c r="VKN48" s="3"/>
      <c r="VKO48" s="3"/>
      <c r="VKP48" s="3"/>
      <c r="VKQ48" s="3"/>
      <c r="VKR48" s="3"/>
      <c r="VKS48" s="3"/>
      <c r="VKT48" s="3"/>
      <c r="VKU48" s="3"/>
      <c r="VKV48" s="3"/>
      <c r="VKW48" s="3"/>
      <c r="VKX48" s="3"/>
      <c r="VKY48" s="3"/>
      <c r="VKZ48" s="3"/>
      <c r="VLA48" s="3"/>
      <c r="VLB48" s="3"/>
      <c r="VLC48" s="3"/>
      <c r="VLD48" s="3"/>
      <c r="VLE48" s="3"/>
      <c r="VLF48" s="3"/>
      <c r="VLG48" s="3"/>
      <c r="VLH48" s="3"/>
      <c r="VLI48" s="3"/>
      <c r="VLJ48" s="3"/>
      <c r="VLK48" s="3"/>
      <c r="VLL48" s="3"/>
      <c r="VLM48" s="3"/>
      <c r="VLN48" s="3"/>
      <c r="VLO48" s="3"/>
      <c r="VLP48" s="3"/>
      <c r="VLQ48" s="3"/>
      <c r="VLR48" s="3"/>
      <c r="VLS48" s="3"/>
      <c r="VLT48" s="3"/>
      <c r="VLU48" s="3"/>
      <c r="VLV48" s="3"/>
      <c r="VLW48" s="3"/>
      <c r="VLX48" s="3"/>
      <c r="VLY48" s="3"/>
      <c r="VLZ48" s="3"/>
      <c r="VMA48" s="3"/>
      <c r="VMB48" s="3"/>
      <c r="VMC48" s="3"/>
      <c r="VMD48" s="3"/>
      <c r="VME48" s="3"/>
      <c r="VMF48" s="3"/>
      <c r="VMG48" s="3"/>
      <c r="VMH48" s="3"/>
      <c r="VMI48" s="3"/>
      <c r="VMJ48" s="3"/>
      <c r="VMK48" s="3"/>
      <c r="VML48" s="3"/>
      <c r="VMM48" s="3"/>
      <c r="VMN48" s="3"/>
      <c r="VMO48" s="3"/>
      <c r="VMP48" s="3"/>
      <c r="VMQ48" s="3"/>
      <c r="VMR48" s="3"/>
      <c r="VMS48" s="3"/>
      <c r="VMT48" s="3"/>
      <c r="VMU48" s="3"/>
      <c r="VMV48" s="3"/>
      <c r="VMW48" s="3"/>
      <c r="VMX48" s="3"/>
      <c r="VMY48" s="3"/>
      <c r="VMZ48" s="3"/>
      <c r="VNA48" s="3"/>
      <c r="VNB48" s="3"/>
      <c r="VNC48" s="3"/>
      <c r="VND48" s="3"/>
      <c r="VNE48" s="3"/>
      <c r="VNF48" s="3"/>
      <c r="VNG48" s="3"/>
      <c r="VNH48" s="3"/>
      <c r="VNI48" s="3"/>
      <c r="VNJ48" s="3"/>
      <c r="VNK48" s="3"/>
      <c r="VNL48" s="3"/>
      <c r="VNM48" s="3"/>
      <c r="VNN48" s="3"/>
      <c r="VNO48" s="3"/>
      <c r="VNP48" s="3"/>
      <c r="VNQ48" s="3"/>
      <c r="VNR48" s="3"/>
      <c r="VNS48" s="3"/>
      <c r="VNT48" s="3"/>
      <c r="VNU48" s="3"/>
      <c r="VNV48" s="3"/>
      <c r="VNW48" s="3"/>
      <c r="VNX48" s="3"/>
      <c r="VNY48" s="3"/>
      <c r="VNZ48" s="3"/>
      <c r="VOA48" s="3"/>
      <c r="VOB48" s="3"/>
      <c r="VOC48" s="3"/>
      <c r="VOD48" s="3"/>
      <c r="VOE48" s="3"/>
      <c r="VOF48" s="3"/>
      <c r="VOG48" s="3"/>
      <c r="VOH48" s="3"/>
      <c r="VOI48" s="3"/>
      <c r="VOJ48" s="3"/>
      <c r="VOK48" s="3"/>
      <c r="VOL48" s="3"/>
      <c r="VOM48" s="3"/>
      <c r="VON48" s="3"/>
      <c r="VOO48" s="3"/>
      <c r="VOP48" s="3"/>
      <c r="VOQ48" s="3"/>
      <c r="VOR48" s="3"/>
      <c r="VOS48" s="3"/>
      <c r="VOT48" s="3"/>
      <c r="VOU48" s="3"/>
      <c r="VOV48" s="3"/>
      <c r="VOW48" s="3"/>
      <c r="VOX48" s="3"/>
      <c r="VOY48" s="3"/>
      <c r="VOZ48" s="3"/>
      <c r="VPA48" s="3"/>
      <c r="VPB48" s="3"/>
      <c r="VPC48" s="3"/>
      <c r="VPD48" s="3"/>
      <c r="VPE48" s="3"/>
      <c r="VPF48" s="3"/>
      <c r="VPG48" s="3"/>
      <c r="VPH48" s="3"/>
      <c r="VPI48" s="3"/>
      <c r="VPJ48" s="3"/>
      <c r="VPK48" s="3"/>
      <c r="VPL48" s="3"/>
      <c r="VPM48" s="3"/>
      <c r="VPN48" s="3"/>
      <c r="VPO48" s="3"/>
      <c r="VPP48" s="3"/>
      <c r="VPQ48" s="3"/>
      <c r="VPR48" s="3"/>
      <c r="VPS48" s="3"/>
      <c r="VPT48" s="3"/>
      <c r="VPU48" s="3"/>
      <c r="VPV48" s="3"/>
      <c r="VPW48" s="3"/>
      <c r="VPX48" s="3"/>
      <c r="VPY48" s="3"/>
      <c r="VPZ48" s="3"/>
      <c r="VQA48" s="3"/>
      <c r="VQB48" s="3"/>
      <c r="VQC48" s="3"/>
      <c r="VQD48" s="3"/>
      <c r="VQE48" s="3"/>
      <c r="VQF48" s="3"/>
      <c r="VQG48" s="3"/>
      <c r="VQH48" s="3"/>
      <c r="VQI48" s="3"/>
      <c r="VQJ48" s="3"/>
      <c r="VQK48" s="3"/>
      <c r="VQL48" s="3"/>
      <c r="VQM48" s="3"/>
      <c r="VQN48" s="3"/>
      <c r="VQO48" s="3"/>
      <c r="VQP48" s="3"/>
      <c r="VQQ48" s="3"/>
      <c r="VQR48" s="3"/>
      <c r="VQS48" s="3"/>
      <c r="VQT48" s="3"/>
      <c r="VQU48" s="3"/>
      <c r="VQV48" s="3"/>
      <c r="VQW48" s="3"/>
      <c r="VQX48" s="3"/>
      <c r="VQY48" s="3"/>
      <c r="VQZ48" s="3"/>
      <c r="VRA48" s="3"/>
      <c r="VRB48" s="3"/>
      <c r="VRC48" s="3"/>
      <c r="VRD48" s="3"/>
      <c r="VRE48" s="3"/>
      <c r="VRF48" s="3"/>
      <c r="VRG48" s="3"/>
      <c r="VRH48" s="3"/>
      <c r="VRI48" s="3"/>
      <c r="VRJ48" s="3"/>
      <c r="VRK48" s="3"/>
      <c r="VRL48" s="3"/>
      <c r="VRM48" s="3"/>
      <c r="VRN48" s="3"/>
      <c r="VRO48" s="3"/>
      <c r="VRP48" s="3"/>
      <c r="VRQ48" s="3"/>
      <c r="VRR48" s="3"/>
      <c r="VRS48" s="3"/>
      <c r="VRT48" s="3"/>
      <c r="VRU48" s="3"/>
      <c r="VRV48" s="3"/>
      <c r="VRW48" s="3"/>
      <c r="VRX48" s="3"/>
      <c r="VRY48" s="3"/>
      <c r="VRZ48" s="3"/>
      <c r="VSA48" s="3"/>
      <c r="VSB48" s="3"/>
      <c r="VSC48" s="3"/>
      <c r="VSD48" s="3"/>
      <c r="VSE48" s="3"/>
      <c r="VSF48" s="3"/>
      <c r="VSG48" s="3"/>
      <c r="VSH48" s="3"/>
      <c r="VSI48" s="3"/>
      <c r="VSJ48" s="3"/>
      <c r="VSK48" s="3"/>
      <c r="VSL48" s="3"/>
      <c r="VSM48" s="3"/>
      <c r="VSN48" s="3"/>
      <c r="VSO48" s="3"/>
      <c r="VSP48" s="3"/>
      <c r="VSQ48" s="3"/>
      <c r="VSR48" s="3"/>
      <c r="VSS48" s="3"/>
      <c r="VST48" s="3"/>
      <c r="VSU48" s="3"/>
      <c r="VSV48" s="3"/>
      <c r="VSW48" s="3"/>
      <c r="VSX48" s="3"/>
      <c r="VSY48" s="3"/>
      <c r="VSZ48" s="3"/>
      <c r="VTA48" s="3"/>
      <c r="VTB48" s="3"/>
      <c r="VTC48" s="3"/>
      <c r="VTD48" s="3"/>
      <c r="VTE48" s="3"/>
      <c r="VTF48" s="3"/>
      <c r="VTG48" s="3"/>
      <c r="VTH48" s="3"/>
      <c r="VTI48" s="3"/>
      <c r="VTJ48" s="3"/>
      <c r="VTK48" s="3"/>
      <c r="VTL48" s="3"/>
      <c r="VTM48" s="3"/>
      <c r="VTN48" s="3"/>
      <c r="VTO48" s="3"/>
      <c r="VTP48" s="3"/>
      <c r="VTQ48" s="3"/>
      <c r="VTR48" s="3"/>
      <c r="VTS48" s="3"/>
      <c r="VTT48" s="3"/>
      <c r="VTU48" s="3"/>
      <c r="VTV48" s="3"/>
      <c r="VTW48" s="3"/>
      <c r="VTX48" s="3"/>
      <c r="VTY48" s="3"/>
      <c r="VTZ48" s="3"/>
      <c r="VUA48" s="3"/>
      <c r="VUB48" s="3"/>
      <c r="VUC48" s="3"/>
      <c r="VUD48" s="3"/>
      <c r="VUE48" s="3"/>
      <c r="VUF48" s="3"/>
      <c r="VUG48" s="3"/>
      <c r="VUH48" s="3"/>
      <c r="VUI48" s="3"/>
      <c r="VUJ48" s="3"/>
      <c r="VUK48" s="3"/>
      <c r="VUL48" s="3"/>
      <c r="VUM48" s="3"/>
      <c r="VUN48" s="3"/>
      <c r="VUO48" s="3"/>
      <c r="VUP48" s="3"/>
      <c r="VUQ48" s="3"/>
      <c r="VUR48" s="3"/>
      <c r="VUS48" s="3"/>
      <c r="VUT48" s="3"/>
      <c r="VUU48" s="3"/>
      <c r="VUV48" s="3"/>
      <c r="VUW48" s="3"/>
      <c r="VUX48" s="3"/>
      <c r="VUY48" s="3"/>
      <c r="VUZ48" s="3"/>
      <c r="VVA48" s="3"/>
      <c r="VVB48" s="3"/>
      <c r="VVC48" s="3"/>
      <c r="VVD48" s="3"/>
      <c r="VVE48" s="3"/>
      <c r="VVF48" s="3"/>
      <c r="VVG48" s="3"/>
      <c r="VVH48" s="3"/>
      <c r="VVI48" s="3"/>
      <c r="VVJ48" s="3"/>
      <c r="VVK48" s="3"/>
      <c r="VVL48" s="3"/>
      <c r="VVM48" s="3"/>
      <c r="VVN48" s="3"/>
      <c r="VVO48" s="3"/>
      <c r="VVP48" s="3"/>
      <c r="VVQ48" s="3"/>
      <c r="VVR48" s="3"/>
      <c r="VVS48" s="3"/>
      <c r="VVT48" s="3"/>
      <c r="VVU48" s="3"/>
      <c r="VVV48" s="3"/>
      <c r="VVW48" s="3"/>
      <c r="VVX48" s="3"/>
      <c r="VVY48" s="3"/>
      <c r="VVZ48" s="3"/>
      <c r="VWA48" s="3"/>
      <c r="VWB48" s="3"/>
      <c r="VWC48" s="3"/>
      <c r="VWD48" s="3"/>
      <c r="VWE48" s="3"/>
      <c r="VWF48" s="3"/>
      <c r="VWG48" s="3"/>
      <c r="VWH48" s="3"/>
      <c r="VWI48" s="3"/>
      <c r="VWJ48" s="3"/>
      <c r="VWK48" s="3"/>
      <c r="VWL48" s="3"/>
      <c r="VWM48" s="3"/>
      <c r="VWN48" s="3"/>
      <c r="VWO48" s="3"/>
      <c r="VWP48" s="3"/>
      <c r="VWQ48" s="3"/>
      <c r="VWR48" s="3"/>
      <c r="VWS48" s="3"/>
      <c r="VWT48" s="3"/>
      <c r="VWU48" s="3"/>
      <c r="VWV48" s="3"/>
      <c r="VWW48" s="3"/>
      <c r="VWX48" s="3"/>
      <c r="VWY48" s="3"/>
      <c r="VWZ48" s="3"/>
      <c r="VXA48" s="3"/>
      <c r="VXB48" s="3"/>
      <c r="VXC48" s="3"/>
      <c r="VXD48" s="3"/>
      <c r="VXE48" s="3"/>
      <c r="VXF48" s="3"/>
      <c r="VXG48" s="3"/>
      <c r="VXH48" s="3"/>
      <c r="VXI48" s="3"/>
      <c r="VXJ48" s="3"/>
      <c r="VXK48" s="3"/>
      <c r="VXL48" s="3"/>
      <c r="VXM48" s="3"/>
      <c r="VXN48" s="3"/>
      <c r="VXO48" s="3"/>
      <c r="VXP48" s="3"/>
      <c r="VXQ48" s="3"/>
      <c r="VXR48" s="3"/>
      <c r="VXS48" s="3"/>
      <c r="VXT48" s="3"/>
      <c r="VXU48" s="3"/>
      <c r="VXV48" s="3"/>
      <c r="VXW48" s="3"/>
      <c r="VXX48" s="3"/>
      <c r="VXY48" s="3"/>
      <c r="VXZ48" s="3"/>
      <c r="VYA48" s="3"/>
      <c r="VYB48" s="3"/>
      <c r="VYC48" s="3"/>
      <c r="VYD48" s="3"/>
      <c r="VYE48" s="3"/>
      <c r="VYF48" s="3"/>
      <c r="VYG48" s="3"/>
      <c r="VYH48" s="3"/>
      <c r="VYI48" s="3"/>
      <c r="VYJ48" s="3"/>
      <c r="VYK48" s="3"/>
      <c r="VYL48" s="3"/>
      <c r="VYM48" s="3"/>
      <c r="VYN48" s="3"/>
      <c r="VYO48" s="3"/>
      <c r="VYP48" s="3"/>
      <c r="VYQ48" s="3"/>
      <c r="VYR48" s="3"/>
      <c r="VYS48" s="3"/>
      <c r="VYT48" s="3"/>
      <c r="VYU48" s="3"/>
      <c r="VYV48" s="3"/>
      <c r="VYW48" s="3"/>
      <c r="VYX48" s="3"/>
      <c r="VYY48" s="3"/>
      <c r="VYZ48" s="3"/>
      <c r="VZA48" s="3"/>
      <c r="VZB48" s="3"/>
      <c r="VZC48" s="3"/>
      <c r="VZD48" s="3"/>
      <c r="VZE48" s="3"/>
      <c r="VZF48" s="3"/>
      <c r="VZG48" s="3"/>
      <c r="VZH48" s="3"/>
      <c r="VZI48" s="3"/>
      <c r="VZJ48" s="3"/>
      <c r="VZK48" s="3"/>
      <c r="VZL48" s="3"/>
      <c r="VZM48" s="3"/>
      <c r="VZN48" s="3"/>
      <c r="VZO48" s="3"/>
      <c r="VZP48" s="3"/>
      <c r="VZQ48" s="3"/>
      <c r="VZR48" s="3"/>
      <c r="VZS48" s="3"/>
      <c r="VZT48" s="3"/>
      <c r="VZU48" s="3"/>
      <c r="VZV48" s="3"/>
      <c r="VZW48" s="3"/>
      <c r="VZX48" s="3"/>
      <c r="VZY48" s="3"/>
      <c r="VZZ48" s="3"/>
      <c r="WAA48" s="3"/>
      <c r="WAB48" s="3"/>
      <c r="WAC48" s="3"/>
      <c r="WAD48" s="3"/>
      <c r="WAE48" s="3"/>
      <c r="WAF48" s="3"/>
      <c r="WAG48" s="3"/>
      <c r="WAH48" s="3"/>
      <c r="WAI48" s="3"/>
      <c r="WAJ48" s="3"/>
      <c r="WAK48" s="3"/>
      <c r="WAL48" s="3"/>
      <c r="WAM48" s="3"/>
      <c r="WAN48" s="3"/>
      <c r="WAO48" s="3"/>
      <c r="WAP48" s="3"/>
      <c r="WAQ48" s="3"/>
      <c r="WAR48" s="3"/>
      <c r="WAS48" s="3"/>
      <c r="WAT48" s="3"/>
      <c r="WAU48" s="3"/>
      <c r="WAV48" s="3"/>
      <c r="WAW48" s="3"/>
      <c r="WAX48" s="3"/>
      <c r="WAY48" s="3"/>
      <c r="WAZ48" s="3"/>
      <c r="WBA48" s="3"/>
      <c r="WBB48" s="3"/>
      <c r="WBC48" s="3"/>
      <c r="WBD48" s="3"/>
      <c r="WBE48" s="3"/>
      <c r="WBF48" s="3"/>
      <c r="WBG48" s="3"/>
      <c r="WBH48" s="3"/>
      <c r="WBI48" s="3"/>
      <c r="WBJ48" s="3"/>
      <c r="WBK48" s="3"/>
      <c r="WBL48" s="3"/>
      <c r="WBM48" s="3"/>
      <c r="WBN48" s="3"/>
      <c r="WBO48" s="3"/>
      <c r="WBP48" s="3"/>
      <c r="WBQ48" s="3"/>
      <c r="WBR48" s="3"/>
      <c r="WBS48" s="3"/>
      <c r="WBT48" s="3"/>
      <c r="WBU48" s="3"/>
      <c r="WBV48" s="3"/>
      <c r="WBW48" s="3"/>
      <c r="WBX48" s="3"/>
      <c r="WBY48" s="3"/>
      <c r="WBZ48" s="3"/>
      <c r="WCA48" s="3"/>
      <c r="WCB48" s="3"/>
      <c r="WCC48" s="3"/>
      <c r="WCD48" s="3"/>
      <c r="WCE48" s="3"/>
      <c r="WCF48" s="3"/>
      <c r="WCG48" s="3"/>
      <c r="WCH48" s="3"/>
      <c r="WCI48" s="3"/>
      <c r="WCJ48" s="3"/>
      <c r="WCK48" s="3"/>
      <c r="WCL48" s="3"/>
      <c r="WCM48" s="3"/>
      <c r="WCN48" s="3"/>
      <c r="WCO48" s="3"/>
      <c r="WCP48" s="3"/>
      <c r="WCQ48" s="3"/>
      <c r="WCR48" s="3"/>
      <c r="WCS48" s="3"/>
      <c r="WCT48" s="3"/>
      <c r="WCU48" s="3"/>
      <c r="WCV48" s="3"/>
      <c r="WCW48" s="3"/>
      <c r="WCX48" s="3"/>
      <c r="WCY48" s="3"/>
      <c r="WCZ48" s="3"/>
      <c r="WDA48" s="3"/>
      <c r="WDB48" s="3"/>
      <c r="WDC48" s="3"/>
      <c r="WDD48" s="3"/>
      <c r="WDE48" s="3"/>
      <c r="WDF48" s="3"/>
      <c r="WDG48" s="3"/>
      <c r="WDH48" s="3"/>
      <c r="WDI48" s="3"/>
      <c r="WDJ48" s="3"/>
      <c r="WDK48" s="3"/>
      <c r="WDL48" s="3"/>
      <c r="WDM48" s="3"/>
      <c r="WDN48" s="3"/>
      <c r="WDO48" s="3"/>
      <c r="WDP48" s="3"/>
      <c r="WDQ48" s="3"/>
      <c r="WDR48" s="3"/>
      <c r="WDS48" s="3"/>
      <c r="WDT48" s="3"/>
      <c r="WDU48" s="3"/>
      <c r="WDV48" s="3"/>
      <c r="WDW48" s="3"/>
      <c r="WDX48" s="3"/>
      <c r="WDY48" s="3"/>
      <c r="WDZ48" s="3"/>
      <c r="WEA48" s="3"/>
      <c r="WEB48" s="3"/>
      <c r="WEC48" s="3"/>
      <c r="WED48" s="3"/>
      <c r="WEE48" s="3"/>
      <c r="WEF48" s="3"/>
      <c r="WEG48" s="3"/>
      <c r="WEH48" s="3"/>
      <c r="WEI48" s="3"/>
      <c r="WEJ48" s="3"/>
      <c r="WEK48" s="3"/>
      <c r="WEL48" s="3"/>
      <c r="WEM48" s="3"/>
      <c r="WEN48" s="3"/>
      <c r="WEO48" s="3"/>
      <c r="WEP48" s="3"/>
      <c r="WEQ48" s="3"/>
      <c r="WER48" s="3"/>
      <c r="WES48" s="3"/>
      <c r="WET48" s="3"/>
      <c r="WEU48" s="3"/>
      <c r="WEV48" s="3"/>
      <c r="WEW48" s="3"/>
      <c r="WEX48" s="3"/>
      <c r="WEY48" s="3"/>
      <c r="WEZ48" s="3"/>
      <c r="WFA48" s="3"/>
      <c r="WFB48" s="3"/>
      <c r="WFC48" s="3"/>
      <c r="WFD48" s="3"/>
      <c r="WFE48" s="3"/>
      <c r="WFF48" s="3"/>
      <c r="WFG48" s="3"/>
      <c r="WFH48" s="3"/>
      <c r="WFI48" s="3"/>
      <c r="WFJ48" s="3"/>
      <c r="WFK48" s="3"/>
      <c r="WFL48" s="3"/>
      <c r="WFM48" s="3"/>
      <c r="WFN48" s="3"/>
      <c r="WFO48" s="3"/>
      <c r="WFP48" s="3"/>
      <c r="WFQ48" s="3"/>
      <c r="WFR48" s="3"/>
      <c r="WFS48" s="3"/>
      <c r="WFT48" s="3"/>
      <c r="WFU48" s="3"/>
      <c r="WFV48" s="3"/>
      <c r="WFW48" s="3"/>
      <c r="WFX48" s="3"/>
      <c r="WFY48" s="3"/>
      <c r="WFZ48" s="3"/>
      <c r="WGA48" s="3"/>
      <c r="WGB48" s="3"/>
      <c r="WGC48" s="3"/>
      <c r="WGD48" s="3"/>
      <c r="WGE48" s="3"/>
      <c r="WGF48" s="3"/>
      <c r="WGG48" s="3"/>
      <c r="WGH48" s="3"/>
      <c r="WGI48" s="3"/>
      <c r="WGJ48" s="3"/>
      <c r="WGK48" s="3"/>
      <c r="WGL48" s="3"/>
      <c r="WGM48" s="3"/>
      <c r="WGN48" s="3"/>
      <c r="WGO48" s="3"/>
      <c r="WGP48" s="3"/>
      <c r="WGQ48" s="3"/>
      <c r="WGR48" s="3"/>
      <c r="WGS48" s="3"/>
      <c r="WGT48" s="3"/>
      <c r="WGU48" s="3"/>
      <c r="WGV48" s="3"/>
      <c r="WGW48" s="3"/>
      <c r="WGX48" s="3"/>
      <c r="WGY48" s="3"/>
      <c r="WGZ48" s="3"/>
      <c r="WHA48" s="3"/>
      <c r="WHB48" s="3"/>
      <c r="WHC48" s="3"/>
      <c r="WHD48" s="3"/>
      <c r="WHE48" s="3"/>
      <c r="WHF48" s="3"/>
      <c r="WHG48" s="3"/>
      <c r="WHH48" s="3"/>
      <c r="WHI48" s="3"/>
      <c r="WHJ48" s="3"/>
      <c r="WHK48" s="3"/>
      <c r="WHL48" s="3"/>
      <c r="WHM48" s="3"/>
      <c r="WHN48" s="3"/>
      <c r="WHO48" s="3"/>
      <c r="WHP48" s="3"/>
      <c r="WHQ48" s="3"/>
      <c r="WHR48" s="3"/>
      <c r="WHS48" s="3"/>
      <c r="WHT48" s="3"/>
      <c r="WHU48" s="3"/>
      <c r="WHV48" s="3"/>
      <c r="WHW48" s="3"/>
      <c r="WHX48" s="3"/>
      <c r="WHY48" s="3"/>
      <c r="WHZ48" s="3"/>
      <c r="WIA48" s="3"/>
      <c r="WIB48" s="3"/>
      <c r="WIC48" s="3"/>
      <c r="WID48" s="3"/>
      <c r="WIE48" s="3"/>
      <c r="WIF48" s="3"/>
      <c r="WIG48" s="3"/>
      <c r="WIH48" s="3"/>
      <c r="WII48" s="3"/>
      <c r="WIJ48" s="3"/>
      <c r="WIK48" s="3"/>
      <c r="WIL48" s="3"/>
      <c r="WIM48" s="3"/>
      <c r="WIN48" s="3"/>
      <c r="WIO48" s="3"/>
      <c r="WIP48" s="3"/>
      <c r="WIQ48" s="3"/>
      <c r="WIR48" s="3"/>
      <c r="WIS48" s="3"/>
      <c r="WIT48" s="3"/>
      <c r="WIU48" s="3"/>
      <c r="WIV48" s="3"/>
      <c r="WIW48" s="3"/>
      <c r="WIX48" s="3"/>
      <c r="WIY48" s="3"/>
      <c r="WIZ48" s="3"/>
      <c r="WJA48" s="3"/>
      <c r="WJB48" s="3"/>
      <c r="WJC48" s="3"/>
      <c r="WJD48" s="3"/>
      <c r="WJE48" s="3"/>
      <c r="WJF48" s="3"/>
      <c r="WJG48" s="3"/>
      <c r="WJH48" s="3"/>
      <c r="WJI48" s="3"/>
      <c r="WJJ48" s="3"/>
      <c r="WJK48" s="3"/>
      <c r="WJL48" s="3"/>
      <c r="WJM48" s="3"/>
      <c r="WJN48" s="3"/>
      <c r="WJO48" s="3"/>
      <c r="WJP48" s="3"/>
      <c r="WJQ48" s="3"/>
      <c r="WJR48" s="3"/>
      <c r="WJS48" s="3"/>
      <c r="WJT48" s="3"/>
      <c r="WJU48" s="3"/>
      <c r="WJV48" s="3"/>
      <c r="WJW48" s="3"/>
      <c r="WJX48" s="3"/>
      <c r="WJY48" s="3"/>
      <c r="WJZ48" s="3"/>
      <c r="WKA48" s="3"/>
      <c r="WKB48" s="3"/>
      <c r="WKC48" s="3"/>
      <c r="WKD48" s="3"/>
      <c r="WKE48" s="3"/>
      <c r="WKF48" s="3"/>
      <c r="WKG48" s="3"/>
      <c r="WKH48" s="3"/>
      <c r="WKI48" s="3"/>
      <c r="WKJ48" s="3"/>
      <c r="WKK48" s="3"/>
      <c r="WKL48" s="3"/>
      <c r="WKM48" s="3"/>
      <c r="WKN48" s="3"/>
      <c r="WKO48" s="3"/>
      <c r="WKP48" s="3"/>
      <c r="WKQ48" s="3"/>
      <c r="WKR48" s="3"/>
      <c r="WKS48" s="3"/>
      <c r="WKT48" s="3"/>
      <c r="WKU48" s="3"/>
      <c r="WKV48" s="3"/>
      <c r="WKW48" s="3"/>
      <c r="WKX48" s="3"/>
      <c r="WKY48" s="3"/>
      <c r="WKZ48" s="3"/>
      <c r="WLA48" s="3"/>
      <c r="WLB48" s="3"/>
      <c r="WLC48" s="3"/>
      <c r="WLD48" s="3"/>
      <c r="WLE48" s="3"/>
      <c r="WLF48" s="3"/>
      <c r="WLG48" s="3"/>
      <c r="WLH48" s="3"/>
      <c r="WLI48" s="3"/>
      <c r="WLJ48" s="3"/>
      <c r="WLK48" s="3"/>
      <c r="WLL48" s="3"/>
      <c r="WLM48" s="3"/>
      <c r="WLN48" s="3"/>
      <c r="WLO48" s="3"/>
      <c r="WLP48" s="3"/>
      <c r="WLQ48" s="3"/>
      <c r="WLR48" s="3"/>
      <c r="WLS48" s="3"/>
      <c r="WLT48" s="3"/>
      <c r="WLU48" s="3"/>
      <c r="WLV48" s="3"/>
      <c r="WLW48" s="3"/>
      <c r="WLX48" s="3"/>
      <c r="WLY48" s="3"/>
      <c r="WLZ48" s="3"/>
      <c r="WMA48" s="3"/>
      <c r="WMB48" s="3"/>
      <c r="WMC48" s="3"/>
      <c r="WMD48" s="3"/>
      <c r="WME48" s="3"/>
      <c r="WMF48" s="3"/>
      <c r="WMG48" s="3"/>
      <c r="WMH48" s="3"/>
      <c r="WMI48" s="3"/>
      <c r="WMJ48" s="3"/>
      <c r="WMK48" s="3"/>
      <c r="WML48" s="3"/>
      <c r="WMM48" s="3"/>
      <c r="WMN48" s="3"/>
      <c r="WMO48" s="3"/>
      <c r="WMP48" s="3"/>
      <c r="WMQ48" s="3"/>
      <c r="WMR48" s="3"/>
      <c r="WMS48" s="3"/>
      <c r="WMT48" s="3"/>
      <c r="WMU48" s="3"/>
      <c r="WMV48" s="3"/>
      <c r="WMW48" s="3"/>
      <c r="WMX48" s="3"/>
      <c r="WMY48" s="3"/>
      <c r="WMZ48" s="3"/>
      <c r="WNA48" s="3"/>
      <c r="WNB48" s="3"/>
      <c r="WNC48" s="3"/>
      <c r="WND48" s="3"/>
      <c r="WNE48" s="3"/>
      <c r="WNF48" s="3"/>
      <c r="WNG48" s="3"/>
      <c r="WNH48" s="3"/>
      <c r="WNI48" s="3"/>
      <c r="WNJ48" s="3"/>
      <c r="WNK48" s="3"/>
      <c r="WNL48" s="3"/>
      <c r="WNM48" s="3"/>
      <c r="WNN48" s="3"/>
      <c r="WNO48" s="3"/>
      <c r="WNP48" s="3"/>
      <c r="WNQ48" s="3"/>
      <c r="WNR48" s="3"/>
      <c r="WNS48" s="3"/>
      <c r="WNT48" s="3"/>
      <c r="WNU48" s="3"/>
      <c r="WNV48" s="3"/>
      <c r="WNW48" s="3"/>
      <c r="WNX48" s="3"/>
      <c r="WNY48" s="3"/>
      <c r="WNZ48" s="3"/>
      <c r="WOA48" s="3"/>
      <c r="WOB48" s="3"/>
      <c r="WOC48" s="3"/>
      <c r="WOD48" s="3"/>
      <c r="WOE48" s="3"/>
      <c r="WOF48" s="3"/>
      <c r="WOG48" s="3"/>
      <c r="WOH48" s="3"/>
      <c r="WOI48" s="3"/>
      <c r="WOJ48" s="3"/>
      <c r="WOK48" s="3"/>
      <c r="WOL48" s="3"/>
      <c r="WOM48" s="3"/>
      <c r="WON48" s="3"/>
      <c r="WOO48" s="3"/>
      <c r="WOP48" s="3"/>
      <c r="WOQ48" s="3"/>
      <c r="WOR48" s="3"/>
      <c r="WOS48" s="3"/>
      <c r="WOT48" s="3"/>
      <c r="WOU48" s="3"/>
      <c r="WOV48" s="3"/>
      <c r="WOW48" s="3"/>
      <c r="WOX48" s="3"/>
      <c r="WOY48" s="3"/>
      <c r="WOZ48" s="3"/>
      <c r="WPA48" s="3"/>
      <c r="WPB48" s="3"/>
      <c r="WPC48" s="3"/>
      <c r="WPD48" s="3"/>
      <c r="WPE48" s="3"/>
      <c r="WPF48" s="3"/>
      <c r="WPG48" s="3"/>
      <c r="WPH48" s="3"/>
      <c r="WPI48" s="3"/>
      <c r="WPJ48" s="3"/>
      <c r="WPK48" s="3"/>
      <c r="WPL48" s="3"/>
      <c r="WPM48" s="3"/>
      <c r="WPN48" s="3"/>
      <c r="WPO48" s="3"/>
      <c r="WPP48" s="3"/>
      <c r="WPQ48" s="3"/>
      <c r="WPR48" s="3"/>
      <c r="WPS48" s="3"/>
      <c r="WPT48" s="3"/>
      <c r="WPU48" s="3"/>
      <c r="WPV48" s="3"/>
      <c r="WPW48" s="3"/>
      <c r="WPX48" s="3"/>
      <c r="WPY48" s="3"/>
      <c r="WPZ48" s="3"/>
      <c r="WQA48" s="3"/>
      <c r="WQB48" s="3"/>
      <c r="WQC48" s="3"/>
      <c r="WQD48" s="3"/>
      <c r="WQE48" s="3"/>
      <c r="WQF48" s="3"/>
      <c r="WQG48" s="3"/>
      <c r="WQH48" s="3"/>
      <c r="WQI48" s="3"/>
      <c r="WQJ48" s="3"/>
      <c r="WQK48" s="3"/>
      <c r="WQL48" s="3"/>
      <c r="WQM48" s="3"/>
      <c r="WQN48" s="3"/>
      <c r="WQO48" s="3"/>
      <c r="WQP48" s="3"/>
      <c r="WQQ48" s="3"/>
      <c r="WQR48" s="3"/>
      <c r="WQS48" s="3"/>
      <c r="WQT48" s="3"/>
      <c r="WQU48" s="3"/>
      <c r="WQV48" s="3"/>
      <c r="WQW48" s="3"/>
      <c r="WQX48" s="3"/>
      <c r="WQY48" s="3"/>
      <c r="WQZ48" s="3"/>
      <c r="WRA48" s="3"/>
      <c r="WRB48" s="3"/>
      <c r="WRC48" s="3"/>
      <c r="WRD48" s="3"/>
      <c r="WRE48" s="3"/>
      <c r="WRF48" s="3"/>
      <c r="WRG48" s="3"/>
      <c r="WRH48" s="3"/>
      <c r="WRI48" s="3"/>
      <c r="WRJ48" s="3"/>
      <c r="WRK48" s="3"/>
      <c r="WRL48" s="3"/>
      <c r="WRM48" s="3"/>
      <c r="WRN48" s="3"/>
      <c r="WRO48" s="3"/>
      <c r="WRP48" s="3"/>
      <c r="WRQ48" s="3"/>
      <c r="WRR48" s="3"/>
      <c r="WRS48" s="3"/>
      <c r="WRT48" s="3"/>
      <c r="WRU48" s="3"/>
      <c r="WRV48" s="3"/>
      <c r="WRW48" s="3"/>
      <c r="WRX48" s="3"/>
      <c r="WRY48" s="3"/>
      <c r="WRZ48" s="3"/>
      <c r="WSA48" s="3"/>
      <c r="WSB48" s="3"/>
      <c r="WSC48" s="3"/>
      <c r="WSD48" s="3"/>
      <c r="WSE48" s="3"/>
      <c r="WSF48" s="3"/>
      <c r="WSG48" s="3"/>
      <c r="WSH48" s="3"/>
      <c r="WSI48" s="3"/>
      <c r="WSJ48" s="3"/>
      <c r="WSK48" s="3"/>
      <c r="WSL48" s="3"/>
      <c r="WSM48" s="3"/>
      <c r="WSN48" s="3"/>
      <c r="WSO48" s="3"/>
      <c r="WSP48" s="3"/>
      <c r="WSQ48" s="3"/>
      <c r="WSR48" s="3"/>
      <c r="WSS48" s="3"/>
      <c r="WST48" s="3"/>
      <c r="WSU48" s="3"/>
      <c r="WSV48" s="3"/>
      <c r="WSW48" s="3"/>
      <c r="WSX48" s="3"/>
      <c r="WSY48" s="3"/>
      <c r="WSZ48" s="3"/>
      <c r="WTA48" s="3"/>
      <c r="WTB48" s="3"/>
      <c r="WTC48" s="3"/>
      <c r="WTD48" s="3"/>
      <c r="WTE48" s="3"/>
      <c r="WTF48" s="3"/>
      <c r="WTG48" s="3"/>
      <c r="WTH48" s="3"/>
      <c r="WTI48" s="3"/>
      <c r="WTJ48" s="3"/>
      <c r="WTK48" s="3"/>
      <c r="WTL48" s="3"/>
      <c r="WTM48" s="3"/>
      <c r="WTN48" s="3"/>
      <c r="WTO48" s="3"/>
      <c r="WTP48" s="3"/>
      <c r="WTQ48" s="3"/>
      <c r="WTR48" s="3"/>
      <c r="WTS48" s="3"/>
      <c r="WTT48" s="3"/>
      <c r="WTU48" s="3"/>
      <c r="WTV48" s="3"/>
      <c r="WTW48" s="3"/>
      <c r="WTX48" s="3"/>
      <c r="WTY48" s="3"/>
      <c r="WTZ48" s="3"/>
      <c r="WUA48" s="3"/>
      <c r="WUB48" s="3"/>
      <c r="WUC48" s="3"/>
      <c r="WUD48" s="3"/>
      <c r="WUE48" s="3"/>
      <c r="WUF48" s="3"/>
      <c r="WUG48" s="3"/>
      <c r="WUH48" s="3"/>
      <c r="WUI48" s="3"/>
      <c r="WUJ48" s="3"/>
      <c r="WUK48" s="3"/>
      <c r="WUL48" s="3"/>
      <c r="WUM48" s="3"/>
      <c r="WUN48" s="3"/>
      <c r="WUO48" s="3"/>
      <c r="WUP48" s="3"/>
      <c r="WUQ48" s="3"/>
      <c r="WUR48" s="3"/>
      <c r="WUS48" s="3"/>
      <c r="WUT48" s="3"/>
      <c r="WUU48" s="3"/>
      <c r="WUV48" s="3"/>
      <c r="WUW48" s="3"/>
      <c r="WUX48" s="3"/>
      <c r="WUY48" s="3"/>
      <c r="WUZ48" s="3"/>
      <c r="WVA48" s="3"/>
      <c r="WVB48" s="3"/>
      <c r="WVC48" s="3"/>
      <c r="WVD48" s="3"/>
      <c r="WVE48" s="3"/>
      <c r="WVF48" s="3"/>
      <c r="WVG48" s="3"/>
      <c r="WVH48" s="3"/>
      <c r="WVI48" s="3"/>
      <c r="WVJ48" s="3"/>
      <c r="WVK48" s="3"/>
      <c r="WVL48" s="3"/>
      <c r="WVM48" s="3"/>
      <c r="WVN48" s="3"/>
      <c r="WVO48" s="3"/>
      <c r="WVP48" s="3"/>
      <c r="WVQ48" s="3"/>
      <c r="WVR48" s="3"/>
      <c r="WVS48" s="3"/>
      <c r="WVT48" s="3"/>
      <c r="WVU48" s="3"/>
      <c r="WVV48" s="3"/>
      <c r="WVW48" s="3"/>
      <c r="WVX48" s="3"/>
      <c r="WVY48" s="3"/>
      <c r="WVZ48" s="3"/>
      <c r="WWA48" s="3"/>
      <c r="WWB48" s="3"/>
      <c r="WWC48" s="3"/>
      <c r="WWD48" s="3"/>
      <c r="WWE48" s="3"/>
      <c r="WWF48" s="3"/>
      <c r="WWG48" s="3"/>
      <c r="WWH48" s="3"/>
      <c r="WWI48" s="3"/>
      <c r="WWJ48" s="3"/>
      <c r="WWK48" s="3"/>
      <c r="WWL48" s="3"/>
      <c r="WWM48" s="3"/>
      <c r="WWN48" s="3"/>
      <c r="WWO48" s="3"/>
      <c r="WWP48" s="3"/>
      <c r="WWQ48" s="3"/>
      <c r="WWR48" s="3"/>
      <c r="WWS48" s="3"/>
      <c r="WWT48" s="3"/>
      <c r="WWU48" s="3"/>
      <c r="WWV48" s="3"/>
      <c r="WWW48" s="3"/>
      <c r="WWX48" s="3"/>
      <c r="WWY48" s="3"/>
      <c r="WWZ48" s="3"/>
      <c r="WXA48" s="3"/>
      <c r="WXB48" s="3"/>
      <c r="WXC48" s="3"/>
      <c r="WXD48" s="3"/>
      <c r="WXE48" s="3"/>
      <c r="WXF48" s="3"/>
      <c r="WXG48" s="3"/>
      <c r="WXH48" s="3"/>
      <c r="WXI48" s="3"/>
      <c r="WXJ48" s="3"/>
      <c r="WXK48" s="3"/>
      <c r="WXL48" s="3"/>
      <c r="WXM48" s="3"/>
      <c r="WXN48" s="3"/>
      <c r="WXO48" s="3"/>
      <c r="WXP48" s="3"/>
      <c r="WXQ48" s="3"/>
      <c r="WXR48" s="3"/>
      <c r="WXS48" s="3"/>
      <c r="WXT48" s="3"/>
      <c r="WXU48" s="3"/>
      <c r="WXV48" s="3"/>
      <c r="WXW48" s="3"/>
      <c r="WXX48" s="3"/>
      <c r="WXY48" s="3"/>
      <c r="WXZ48" s="3"/>
      <c r="WYA48" s="3"/>
      <c r="WYB48" s="3"/>
      <c r="WYC48" s="3"/>
      <c r="WYD48" s="3"/>
      <c r="WYE48" s="3"/>
      <c r="WYF48" s="3"/>
      <c r="WYG48" s="3"/>
      <c r="WYH48" s="3"/>
      <c r="WYI48" s="3"/>
      <c r="WYJ48" s="3"/>
      <c r="WYK48" s="3"/>
      <c r="WYL48" s="3"/>
      <c r="WYM48" s="3"/>
      <c r="WYN48" s="3"/>
      <c r="WYO48" s="3"/>
      <c r="WYP48" s="3"/>
      <c r="WYQ48" s="3"/>
      <c r="WYR48" s="3"/>
      <c r="WYS48" s="3"/>
      <c r="WYT48" s="3"/>
      <c r="WYU48" s="3"/>
      <c r="WYV48" s="3"/>
      <c r="WYW48" s="3"/>
      <c r="WYX48" s="3"/>
      <c r="WYY48" s="3"/>
      <c r="WYZ48" s="3"/>
      <c r="WZA48" s="3"/>
      <c r="WZB48" s="3"/>
      <c r="WZC48" s="3"/>
      <c r="WZD48" s="3"/>
      <c r="WZE48" s="3"/>
      <c r="WZF48" s="3"/>
      <c r="WZG48" s="3"/>
      <c r="WZH48" s="3"/>
      <c r="WZI48" s="3"/>
      <c r="WZJ48" s="3"/>
      <c r="WZK48" s="3"/>
      <c r="WZL48" s="3"/>
      <c r="WZM48" s="3"/>
      <c r="WZN48" s="3"/>
      <c r="WZO48" s="3"/>
      <c r="WZP48" s="3"/>
      <c r="WZQ48" s="3"/>
      <c r="WZR48" s="3"/>
      <c r="WZS48" s="3"/>
      <c r="WZT48" s="3"/>
      <c r="WZU48" s="3"/>
      <c r="WZV48" s="3"/>
      <c r="WZW48" s="3"/>
      <c r="WZX48" s="3"/>
      <c r="WZY48" s="3"/>
      <c r="WZZ48" s="3"/>
      <c r="XAA48" s="3"/>
      <c r="XAB48" s="3"/>
      <c r="XAC48" s="3"/>
      <c r="XAD48" s="3"/>
      <c r="XAE48" s="3"/>
      <c r="XAF48" s="3"/>
      <c r="XAG48" s="3"/>
      <c r="XAH48" s="3"/>
      <c r="XAI48" s="3"/>
      <c r="XAJ48" s="3"/>
      <c r="XAK48" s="3"/>
      <c r="XAL48" s="3"/>
      <c r="XAM48" s="3"/>
      <c r="XAN48" s="3"/>
      <c r="XAO48" s="3"/>
      <c r="XAP48" s="3"/>
      <c r="XAQ48" s="3"/>
      <c r="XAR48" s="3"/>
      <c r="XAS48" s="3"/>
      <c r="XAT48" s="3"/>
      <c r="XAU48" s="3"/>
      <c r="XAV48" s="3"/>
      <c r="XAW48" s="3"/>
      <c r="XAX48" s="3"/>
      <c r="XAY48" s="3"/>
      <c r="XAZ48" s="3"/>
      <c r="XBA48" s="3"/>
      <c r="XBB48" s="3"/>
      <c r="XBC48" s="3"/>
      <c r="XBD48" s="3"/>
      <c r="XBE48" s="3"/>
      <c r="XBF48" s="3"/>
      <c r="XBG48" s="3"/>
      <c r="XBH48" s="3"/>
      <c r="XBI48" s="3"/>
      <c r="XBJ48" s="3"/>
      <c r="XBK48" s="3"/>
      <c r="XBL48" s="3"/>
      <c r="XBM48" s="3"/>
      <c r="XBN48" s="3"/>
      <c r="XBO48" s="3"/>
      <c r="XBP48" s="3"/>
      <c r="XBQ48" s="3"/>
      <c r="XBR48" s="3"/>
      <c r="XBS48" s="3"/>
      <c r="XBT48" s="3"/>
      <c r="XBU48" s="3"/>
      <c r="XBV48" s="3"/>
      <c r="XBW48" s="3"/>
      <c r="XBX48" s="3"/>
      <c r="XBY48" s="3"/>
      <c r="XBZ48" s="3"/>
      <c r="XCA48" s="3"/>
      <c r="XCB48" s="3"/>
      <c r="XCC48" s="3"/>
      <c r="XCD48" s="3"/>
      <c r="XCE48" s="3"/>
      <c r="XCF48" s="3"/>
      <c r="XCG48" s="3"/>
      <c r="XCH48" s="3"/>
      <c r="XCI48" s="3"/>
      <c r="XCJ48" s="3"/>
      <c r="XCK48" s="3"/>
      <c r="XCL48" s="3"/>
      <c r="XCM48" s="3"/>
      <c r="XCN48" s="3"/>
      <c r="XCO48" s="3"/>
      <c r="XCP48" s="3"/>
      <c r="XCQ48" s="3"/>
      <c r="XCR48" s="3"/>
      <c r="XCS48" s="3"/>
      <c r="XCT48" s="3"/>
      <c r="XCU48" s="3"/>
      <c r="XCV48" s="3"/>
      <c r="XCW48" s="3"/>
      <c r="XCX48" s="3"/>
      <c r="XCY48" s="3"/>
      <c r="XCZ48" s="3"/>
      <c r="XDA48" s="3"/>
      <c r="XDB48" s="3"/>
      <c r="XDC48" s="3"/>
      <c r="XDD48" s="3"/>
      <c r="XDE48" s="3"/>
      <c r="XDF48" s="3"/>
      <c r="XDG48" s="3"/>
      <c r="XDH48" s="3"/>
      <c r="XDI48" s="3"/>
      <c r="XDJ48" s="3"/>
      <c r="XDK48" s="3"/>
      <c r="XDL48" s="3"/>
      <c r="XDM48" s="3"/>
      <c r="XDN48" s="3"/>
      <c r="XDO48" s="3"/>
      <c r="XDP48" s="3"/>
      <c r="XDQ48" s="3"/>
      <c r="XDR48" s="3"/>
      <c r="XDS48" s="3"/>
      <c r="XDT48" s="3"/>
      <c r="XDU48" s="3"/>
      <c r="XDV48" s="3"/>
      <c r="XDW48" s="3"/>
      <c r="XDX48" s="3"/>
      <c r="XDY48" s="3"/>
      <c r="XDZ48" s="3"/>
      <c r="XEA48" s="3"/>
      <c r="XEB48" s="3"/>
      <c r="XEC48" s="3"/>
      <c r="XED48" s="3"/>
      <c r="XEE48" s="3"/>
      <c r="XEF48" s="3"/>
      <c r="XEG48" s="3"/>
      <c r="XEH48" s="3"/>
      <c r="XEI48" s="3"/>
      <c r="XEJ48" s="3"/>
      <c r="XEK48" s="3"/>
      <c r="XEL48" s="3"/>
      <c r="XEM48" s="3"/>
      <c r="XEN48" s="3"/>
      <c r="XEO48" s="3"/>
      <c r="XEP48" s="3"/>
      <c r="XEQ48" s="3"/>
      <c r="XER48" s="3"/>
      <c r="XES48" s="3"/>
      <c r="XET48" s="3"/>
      <c r="XEU48" s="3"/>
      <c r="XEV48" s="3"/>
      <c r="XEW48" s="3"/>
      <c r="XEX48" s="3"/>
      <c r="XEY48" s="3"/>
      <c r="XEZ48" s="3"/>
      <c r="XFA48" s="3"/>
      <c r="XFB48" s="3"/>
      <c r="XFC48" s="3"/>
    </row>
    <row r="49" spans="1:14" ht="16" x14ac:dyDescent="0.2">
      <c r="A49" s="32"/>
      <c r="B49" s="14" t="s">
        <v>2</v>
      </c>
      <c r="C49" s="15" t="s">
        <v>3</v>
      </c>
      <c r="D49" s="16">
        <v>2025</v>
      </c>
      <c r="E49" s="16">
        <v>2026</v>
      </c>
      <c r="F49" s="16">
        <v>2027</v>
      </c>
      <c r="G49" s="16">
        <v>2028</v>
      </c>
      <c r="H49" s="16">
        <v>2029</v>
      </c>
      <c r="I49" s="16">
        <v>2030</v>
      </c>
      <c r="J49" s="16">
        <v>2031</v>
      </c>
      <c r="K49" s="16">
        <v>2032</v>
      </c>
      <c r="L49" s="16">
        <v>2033</v>
      </c>
      <c r="M49" s="16">
        <v>2034</v>
      </c>
      <c r="N49" s="16">
        <v>2035</v>
      </c>
    </row>
    <row r="50" spans="1:14" outlineLevel="1" x14ac:dyDescent="0.15">
      <c r="B50" s="3">
        <v>1</v>
      </c>
      <c r="C50" s="75" t="s">
        <v>16</v>
      </c>
      <c r="D50" s="78">
        <v>0.29699999999999999</v>
      </c>
      <c r="E50" s="78">
        <v>0.29699999999999999</v>
      </c>
      <c r="F50" s="78">
        <v>0.29699999999999999</v>
      </c>
      <c r="G50" s="78">
        <v>0.29699999999999999</v>
      </c>
      <c r="H50" s="78">
        <v>0.29699999999999999</v>
      </c>
      <c r="I50" s="78">
        <v>0.29699999999999999</v>
      </c>
      <c r="J50" s="78">
        <v>0.29699999999999999</v>
      </c>
      <c r="K50" s="78">
        <v>0.29699999999999999</v>
      </c>
      <c r="L50" s="78">
        <v>0.29699999999999999</v>
      </c>
      <c r="M50" s="78">
        <v>0.29699999999999999</v>
      </c>
      <c r="N50" s="78">
        <v>0.29699999999999999</v>
      </c>
    </row>
    <row r="51" spans="1:14" outlineLevel="1" x14ac:dyDescent="0.15">
      <c r="B51" s="3">
        <v>2</v>
      </c>
      <c r="C51" s="75" t="s">
        <v>16</v>
      </c>
      <c r="D51" s="78">
        <v>0.19600000000000001</v>
      </c>
      <c r="E51" s="78">
        <v>0.19600000000000001</v>
      </c>
      <c r="F51" s="78">
        <v>0.19600000000000001</v>
      </c>
      <c r="G51" s="78">
        <v>0.19600000000000001</v>
      </c>
      <c r="H51" s="78">
        <v>0.19600000000000001</v>
      </c>
      <c r="I51" s="78">
        <v>0.19600000000000001</v>
      </c>
      <c r="J51" s="78">
        <v>0.19600000000000001</v>
      </c>
      <c r="K51" s="78">
        <v>0.19600000000000001</v>
      </c>
      <c r="L51" s="78">
        <v>0.19600000000000001</v>
      </c>
      <c r="M51" s="78">
        <v>0.19600000000000001</v>
      </c>
      <c r="N51" s="78">
        <v>0.19600000000000001</v>
      </c>
    </row>
    <row r="52" spans="1:14" outlineLevel="1" x14ac:dyDescent="0.15">
      <c r="B52" s="3">
        <v>3</v>
      </c>
      <c r="C52" s="75" t="s">
        <v>16</v>
      </c>
      <c r="D52" s="78">
        <v>0.22600000000000001</v>
      </c>
      <c r="E52" s="78">
        <v>0.22600000000000001</v>
      </c>
      <c r="F52" s="78">
        <v>0.22600000000000001</v>
      </c>
      <c r="G52" s="78">
        <v>0.22600000000000001</v>
      </c>
      <c r="H52" s="78">
        <v>0.22600000000000001</v>
      </c>
      <c r="I52" s="78">
        <v>0.22600000000000001</v>
      </c>
      <c r="J52" s="78">
        <v>0.22600000000000001</v>
      </c>
      <c r="K52" s="78">
        <v>0.22600000000000001</v>
      </c>
      <c r="L52" s="78">
        <v>0.22600000000000001</v>
      </c>
      <c r="M52" s="78">
        <v>0.22600000000000001</v>
      </c>
      <c r="N52" s="78">
        <v>0.22600000000000001</v>
      </c>
    </row>
    <row r="53" spans="1:14" outlineLevel="1" x14ac:dyDescent="0.15">
      <c r="B53" s="3">
        <v>4</v>
      </c>
      <c r="C53" s="75" t="s">
        <v>16</v>
      </c>
      <c r="D53" s="78">
        <v>0.25</v>
      </c>
      <c r="E53" s="78">
        <v>0.25</v>
      </c>
      <c r="F53" s="78">
        <v>0.25</v>
      </c>
      <c r="G53" s="78">
        <v>0.25</v>
      </c>
      <c r="H53" s="78">
        <v>0.25</v>
      </c>
      <c r="I53" s="78">
        <v>0.25</v>
      </c>
      <c r="J53" s="78">
        <v>0.25</v>
      </c>
      <c r="K53" s="78">
        <v>0.25</v>
      </c>
      <c r="L53" s="78">
        <v>0.25</v>
      </c>
      <c r="M53" s="78">
        <v>0.25</v>
      </c>
      <c r="N53" s="78">
        <v>0.25</v>
      </c>
    </row>
    <row r="54" spans="1:14" outlineLevel="1" x14ac:dyDescent="0.15">
      <c r="B54" s="3">
        <v>5</v>
      </c>
      <c r="C54" s="75" t="s">
        <v>16</v>
      </c>
      <c r="D54" s="78">
        <v>0.20899999999999999</v>
      </c>
      <c r="E54" s="78">
        <v>0.20899999999999999</v>
      </c>
      <c r="F54" s="78">
        <v>0.20899999999999999</v>
      </c>
      <c r="G54" s="78">
        <v>0.20899999999999999</v>
      </c>
      <c r="H54" s="78">
        <v>0.20899999999999999</v>
      </c>
      <c r="I54" s="78">
        <v>0.20899999999999999</v>
      </c>
      <c r="J54" s="78">
        <v>0.20899999999999999</v>
      </c>
      <c r="K54" s="78">
        <v>0.20899999999999999</v>
      </c>
      <c r="L54" s="78">
        <v>0.20899999999999999</v>
      </c>
      <c r="M54" s="78">
        <v>0.20899999999999999</v>
      </c>
      <c r="N54" s="78">
        <v>0.20899999999999999</v>
      </c>
    </row>
    <row r="55" spans="1:14" outlineLevel="1" x14ac:dyDescent="0.15">
      <c r="B55" s="3">
        <v>6</v>
      </c>
      <c r="C55" s="75" t="s">
        <v>16</v>
      </c>
      <c r="D55" s="78">
        <v>0.25</v>
      </c>
      <c r="E55" s="78">
        <v>0.25</v>
      </c>
      <c r="F55" s="78">
        <v>0.25</v>
      </c>
      <c r="G55" s="78">
        <v>0.25</v>
      </c>
      <c r="H55" s="78">
        <v>0.25</v>
      </c>
      <c r="I55" s="78">
        <v>0.25</v>
      </c>
      <c r="J55" s="78">
        <v>0.25</v>
      </c>
      <c r="K55" s="78">
        <v>0.25</v>
      </c>
      <c r="L55" s="78">
        <v>0.25</v>
      </c>
      <c r="M55" s="78">
        <v>0.25</v>
      </c>
      <c r="N55" s="78">
        <v>0.25</v>
      </c>
    </row>
    <row r="56" spans="1:14" outlineLevel="1" x14ac:dyDescent="0.15">
      <c r="B56" s="3">
        <v>7</v>
      </c>
      <c r="C56" s="75" t="s">
        <v>16</v>
      </c>
      <c r="D56" s="78">
        <v>0.15</v>
      </c>
      <c r="E56" s="78">
        <v>0.15</v>
      </c>
      <c r="F56" s="78">
        <v>0.15</v>
      </c>
      <c r="G56" s="78">
        <v>0.15</v>
      </c>
      <c r="H56" s="78">
        <v>0.15</v>
      </c>
      <c r="I56" s="78">
        <v>0.15</v>
      </c>
      <c r="J56" s="78">
        <v>0.15</v>
      </c>
      <c r="K56" s="78">
        <v>0.15</v>
      </c>
      <c r="L56" s="78">
        <v>0.15</v>
      </c>
      <c r="M56" s="78">
        <v>0.15</v>
      </c>
      <c r="N56" s="78">
        <v>0.15</v>
      </c>
    </row>
    <row r="57" spans="1:14" outlineLevel="1" x14ac:dyDescent="0.15">
      <c r="B57" s="3">
        <v>8</v>
      </c>
      <c r="C57" s="75" t="s">
        <v>16</v>
      </c>
      <c r="D57" s="78">
        <v>0.18</v>
      </c>
      <c r="E57" s="78">
        <v>0.18</v>
      </c>
      <c r="F57" s="78">
        <v>0.18</v>
      </c>
      <c r="G57" s="78">
        <v>0.18</v>
      </c>
      <c r="H57" s="78">
        <v>0.18</v>
      </c>
      <c r="I57" s="78">
        <v>0.18</v>
      </c>
      <c r="J57" s="78">
        <v>0.18</v>
      </c>
      <c r="K57" s="78">
        <v>0.18</v>
      </c>
      <c r="L57" s="78">
        <v>0.18</v>
      </c>
      <c r="M57" s="78">
        <v>0.18</v>
      </c>
      <c r="N57" s="78">
        <v>0.18</v>
      </c>
    </row>
    <row r="58" spans="1:14" outlineLevel="1" x14ac:dyDescent="0.15">
      <c r="B58" s="3">
        <v>9</v>
      </c>
      <c r="C58" s="75" t="s">
        <v>16</v>
      </c>
      <c r="D58" s="78">
        <v>0.17699999999999999</v>
      </c>
      <c r="E58" s="78">
        <v>0.17699999999999999</v>
      </c>
      <c r="F58" s="78">
        <v>0.17699999999999999</v>
      </c>
      <c r="G58" s="78">
        <v>0.17699999999999999</v>
      </c>
      <c r="H58" s="78">
        <v>0.17699999999999999</v>
      </c>
      <c r="I58" s="78">
        <v>0.17699999999999999</v>
      </c>
      <c r="J58" s="78">
        <v>0.17699999999999999</v>
      </c>
      <c r="K58" s="78">
        <v>0.17699999999999999</v>
      </c>
      <c r="L58" s="78">
        <v>0.17699999999999999</v>
      </c>
      <c r="M58" s="78">
        <v>0.17699999999999999</v>
      </c>
      <c r="N58" s="78">
        <v>0.17699999999999999</v>
      </c>
    </row>
    <row r="59" spans="1:14" outlineLevel="1" x14ac:dyDescent="0.15">
      <c r="B59" s="3">
        <v>10</v>
      </c>
      <c r="C59" s="75" t="s">
        <v>16</v>
      </c>
      <c r="D59" s="78">
        <v>0.22</v>
      </c>
      <c r="E59" s="78">
        <v>0.22</v>
      </c>
      <c r="F59" s="78">
        <v>0.22</v>
      </c>
      <c r="G59" s="78">
        <v>0.22</v>
      </c>
      <c r="H59" s="78">
        <v>0.22</v>
      </c>
      <c r="I59" s="78">
        <v>0.22</v>
      </c>
      <c r="J59" s="78">
        <v>0.22</v>
      </c>
      <c r="K59" s="78">
        <v>0.22</v>
      </c>
      <c r="L59" s="78">
        <v>0.22</v>
      </c>
      <c r="M59" s="78">
        <v>0.22</v>
      </c>
      <c r="N59" s="78">
        <v>0.22</v>
      </c>
    </row>
    <row r="60" spans="1:14" outlineLevel="1" x14ac:dyDescent="0.15">
      <c r="B60" s="3">
        <v>11</v>
      </c>
      <c r="C60" s="75" t="s">
        <v>16</v>
      </c>
      <c r="D60" s="78">
        <v>0.37</v>
      </c>
      <c r="E60" s="78">
        <v>0.37</v>
      </c>
      <c r="F60" s="78">
        <v>0.37</v>
      </c>
      <c r="G60" s="78">
        <v>0.37</v>
      </c>
      <c r="H60" s="78">
        <v>0.37</v>
      </c>
      <c r="I60" s="78">
        <v>0.37</v>
      </c>
      <c r="J60" s="78">
        <v>0.37</v>
      </c>
      <c r="K60" s="78">
        <v>0.37</v>
      </c>
      <c r="L60" s="78">
        <v>0.37</v>
      </c>
      <c r="M60" s="78">
        <v>0.37</v>
      </c>
      <c r="N60" s="78">
        <v>0.37</v>
      </c>
    </row>
    <row r="61" spans="1:14" outlineLevel="1" x14ac:dyDescent="0.15">
      <c r="B61" s="3">
        <v>12</v>
      </c>
      <c r="C61" s="75" t="s">
        <v>16</v>
      </c>
      <c r="D61" s="78">
        <v>0.21</v>
      </c>
      <c r="E61" s="78">
        <v>0.21</v>
      </c>
      <c r="F61" s="78">
        <v>0.21</v>
      </c>
      <c r="G61" s="78">
        <v>0.21</v>
      </c>
      <c r="H61" s="78">
        <v>0.21</v>
      </c>
      <c r="I61" s="78">
        <v>0.21</v>
      </c>
      <c r="J61" s="78">
        <v>0.21</v>
      </c>
      <c r="K61" s="78">
        <v>0.21</v>
      </c>
      <c r="L61" s="78">
        <v>0.21</v>
      </c>
      <c r="M61" s="78">
        <v>0.21</v>
      </c>
      <c r="N61" s="78">
        <v>0.21</v>
      </c>
    </row>
    <row r="62" spans="1:14" outlineLevel="1" x14ac:dyDescent="0.15">
      <c r="B62" s="3">
        <v>13</v>
      </c>
      <c r="C62" s="75" t="s">
        <v>16</v>
      </c>
      <c r="D62" s="78">
        <v>0.32300000000000001</v>
      </c>
      <c r="E62" s="78">
        <v>0.32300000000000001</v>
      </c>
      <c r="F62" s="78">
        <v>0.32300000000000001</v>
      </c>
      <c r="G62" s="78">
        <v>0.32300000000000001</v>
      </c>
      <c r="H62" s="78">
        <v>0.32300000000000001</v>
      </c>
      <c r="I62" s="78">
        <v>0.32300000000000001</v>
      </c>
      <c r="J62" s="78">
        <v>0.32300000000000001</v>
      </c>
      <c r="K62" s="78">
        <v>0.32300000000000001</v>
      </c>
      <c r="L62" s="78">
        <v>0.32300000000000001</v>
      </c>
      <c r="M62" s="78">
        <v>0.32300000000000001</v>
      </c>
      <c r="N62" s="78">
        <v>0.32300000000000001</v>
      </c>
    </row>
    <row r="63" spans="1:14" outlineLevel="1" x14ac:dyDescent="0.15">
      <c r="B63" s="3">
        <v>14</v>
      </c>
      <c r="C63" s="75" t="s">
        <v>16</v>
      </c>
      <c r="D63" s="78">
        <v>0.26900000000000002</v>
      </c>
      <c r="E63" s="78">
        <v>0.26900000000000002</v>
      </c>
      <c r="F63" s="78">
        <v>0.26900000000000002</v>
      </c>
      <c r="G63" s="78">
        <v>0.26900000000000002</v>
      </c>
      <c r="H63" s="78">
        <v>0.26900000000000002</v>
      </c>
      <c r="I63" s="78">
        <v>0.26900000000000002</v>
      </c>
      <c r="J63" s="78">
        <v>0.26900000000000002</v>
      </c>
      <c r="K63" s="78">
        <v>0.26900000000000002</v>
      </c>
      <c r="L63" s="78">
        <v>0.26900000000000002</v>
      </c>
      <c r="M63" s="78">
        <v>0.26900000000000002</v>
      </c>
      <c r="N63" s="78">
        <v>0.26900000000000002</v>
      </c>
    </row>
    <row r="64" spans="1:14" outlineLevel="1" x14ac:dyDescent="0.15">
      <c r="B64" s="3">
        <v>15</v>
      </c>
      <c r="C64" s="75" t="s">
        <v>16</v>
      </c>
      <c r="D64" s="78">
        <v>0.161</v>
      </c>
      <c r="E64" s="78">
        <v>0.161</v>
      </c>
      <c r="F64" s="78">
        <v>0.161</v>
      </c>
      <c r="G64" s="78">
        <v>0.161</v>
      </c>
      <c r="H64" s="78">
        <v>0.161</v>
      </c>
      <c r="I64" s="78">
        <v>0.161</v>
      </c>
      <c r="J64" s="78">
        <v>0.161</v>
      </c>
      <c r="K64" s="78">
        <v>0.161</v>
      </c>
      <c r="L64" s="78">
        <v>0.161</v>
      </c>
      <c r="M64" s="78">
        <v>0.161</v>
      </c>
      <c r="N64" s="78">
        <v>0.161</v>
      </c>
    </row>
    <row r="65" spans="1:16383" ht="15" thickBot="1" x14ac:dyDescent="0.2">
      <c r="A65" s="56"/>
      <c r="B65" s="57" t="s">
        <v>138</v>
      </c>
      <c r="C65" s="77" t="s">
        <v>16</v>
      </c>
      <c r="D65" s="79">
        <f>AVERAGE(D50:D64)</f>
        <v>0.23253333333333334</v>
      </c>
      <c r="E65" s="79">
        <f t="shared" ref="E65:N65" si="1">AVERAGE(E50:E64)</f>
        <v>0.23253333333333334</v>
      </c>
      <c r="F65" s="79">
        <f t="shared" si="1"/>
        <v>0.23253333333333334</v>
      </c>
      <c r="G65" s="79">
        <f t="shared" si="1"/>
        <v>0.23253333333333334</v>
      </c>
      <c r="H65" s="79">
        <f t="shared" si="1"/>
        <v>0.23253333333333334</v>
      </c>
      <c r="I65" s="79">
        <f t="shared" si="1"/>
        <v>0.23253333333333334</v>
      </c>
      <c r="J65" s="79">
        <f t="shared" si="1"/>
        <v>0.23253333333333334</v>
      </c>
      <c r="K65" s="79">
        <f t="shared" si="1"/>
        <v>0.23253333333333334</v>
      </c>
      <c r="L65" s="79">
        <f t="shared" si="1"/>
        <v>0.23253333333333334</v>
      </c>
      <c r="M65" s="79">
        <f t="shared" si="1"/>
        <v>0.23253333333333334</v>
      </c>
      <c r="N65" s="79">
        <f t="shared" si="1"/>
        <v>0.23253333333333334</v>
      </c>
    </row>
    <row r="66" spans="1:16383" s="37" customFormat="1" ht="15" thickBot="1" x14ac:dyDescent="0.2">
      <c r="A66" s="60" t="s">
        <v>143</v>
      </c>
      <c r="B66" s="60"/>
      <c r="C66" s="61"/>
      <c r="D66" s="62"/>
      <c r="E66" s="62"/>
      <c r="F66" s="62"/>
      <c r="G66" s="62"/>
      <c r="H66" s="60"/>
      <c r="I66" s="62"/>
      <c r="J66" s="62"/>
      <c r="K66" s="62"/>
      <c r="L66" s="62"/>
      <c r="M66" s="60"/>
      <c r="N66" s="6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/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  <c r="AAA66" s="3"/>
      <c r="AAB66" s="3"/>
      <c r="AAC66" s="3"/>
      <c r="AAD66" s="3"/>
      <c r="AAE66" s="3"/>
      <c r="AAF66" s="3"/>
      <c r="AAG66" s="3"/>
      <c r="AAH66" s="3"/>
      <c r="AAI66" s="3"/>
      <c r="AAJ66" s="3"/>
      <c r="AAK66" s="3"/>
      <c r="AAL66" s="3"/>
      <c r="AAM66" s="3"/>
      <c r="AAN66" s="3"/>
      <c r="AAO66" s="3"/>
      <c r="AAP66" s="3"/>
      <c r="AAQ66" s="3"/>
      <c r="AAR66" s="3"/>
      <c r="AAS66" s="3"/>
      <c r="AAT66" s="3"/>
      <c r="AAU66" s="3"/>
      <c r="AAV66" s="3"/>
      <c r="AAW66" s="3"/>
      <c r="AAX66" s="3"/>
      <c r="AAY66" s="3"/>
      <c r="AAZ66" s="3"/>
      <c r="ABA66" s="3"/>
      <c r="ABB66" s="3"/>
      <c r="ABC66" s="3"/>
      <c r="ABD66" s="3"/>
      <c r="ABE66" s="3"/>
      <c r="ABF66" s="3"/>
      <c r="ABG66" s="3"/>
      <c r="ABH66" s="3"/>
      <c r="ABI66" s="3"/>
      <c r="ABJ66" s="3"/>
      <c r="ABK66" s="3"/>
      <c r="ABL66" s="3"/>
      <c r="ABM66" s="3"/>
      <c r="ABN66" s="3"/>
      <c r="ABO66" s="3"/>
      <c r="ABP66" s="3"/>
      <c r="ABQ66" s="3"/>
      <c r="ABR66" s="3"/>
      <c r="ABS66" s="3"/>
      <c r="ABT66" s="3"/>
      <c r="ABU66" s="3"/>
      <c r="ABV66" s="3"/>
      <c r="ABW66" s="3"/>
      <c r="ABX66" s="3"/>
      <c r="ABY66" s="3"/>
      <c r="ABZ66" s="3"/>
      <c r="ACA66" s="3"/>
      <c r="ACB66" s="3"/>
      <c r="ACC66" s="3"/>
      <c r="ACD66" s="3"/>
      <c r="ACE66" s="3"/>
      <c r="ACF66" s="3"/>
      <c r="ACG66" s="3"/>
      <c r="ACH66" s="3"/>
      <c r="ACI66" s="3"/>
      <c r="ACJ66" s="3"/>
      <c r="ACK66" s="3"/>
      <c r="ACL66" s="3"/>
      <c r="ACM66" s="3"/>
      <c r="ACN66" s="3"/>
      <c r="ACO66" s="3"/>
      <c r="ACP66" s="3"/>
      <c r="ACQ66" s="3"/>
      <c r="ACR66" s="3"/>
      <c r="ACS66" s="3"/>
      <c r="ACT66" s="3"/>
      <c r="ACU66" s="3"/>
      <c r="ACV66" s="3"/>
      <c r="ACW66" s="3"/>
      <c r="ACX66" s="3"/>
      <c r="ACY66" s="3"/>
      <c r="ACZ66" s="3"/>
      <c r="ADA66" s="3"/>
      <c r="ADB66" s="3"/>
      <c r="ADC66" s="3"/>
      <c r="ADD66" s="3"/>
      <c r="ADE66" s="3"/>
      <c r="ADF66" s="3"/>
      <c r="ADG66" s="3"/>
      <c r="ADH66" s="3"/>
      <c r="ADI66" s="3"/>
      <c r="ADJ66" s="3"/>
      <c r="ADK66" s="3"/>
      <c r="ADL66" s="3"/>
      <c r="ADM66" s="3"/>
      <c r="ADN66" s="3"/>
      <c r="ADO66" s="3"/>
      <c r="ADP66" s="3"/>
      <c r="ADQ66" s="3"/>
      <c r="ADR66" s="3"/>
      <c r="ADS66" s="3"/>
      <c r="ADT66" s="3"/>
      <c r="ADU66" s="3"/>
      <c r="ADV66" s="3"/>
      <c r="ADW66" s="3"/>
      <c r="ADX66" s="3"/>
      <c r="ADY66" s="3"/>
      <c r="ADZ66" s="3"/>
      <c r="AEA66" s="3"/>
      <c r="AEB66" s="3"/>
      <c r="AEC66" s="3"/>
      <c r="AED66" s="3"/>
      <c r="AEE66" s="3"/>
      <c r="AEF66" s="3"/>
      <c r="AEG66" s="3"/>
      <c r="AEH66" s="3"/>
      <c r="AEI66" s="3"/>
      <c r="AEJ66" s="3"/>
      <c r="AEK66" s="3"/>
      <c r="AEL66" s="3"/>
      <c r="AEM66" s="3"/>
      <c r="AEN66" s="3"/>
      <c r="AEO66" s="3"/>
      <c r="AEP66" s="3"/>
      <c r="AEQ66" s="3"/>
      <c r="AER66" s="3"/>
      <c r="AES66" s="3"/>
      <c r="AET66" s="3"/>
      <c r="AEU66" s="3"/>
      <c r="AEV66" s="3"/>
      <c r="AEW66" s="3"/>
      <c r="AEX66" s="3"/>
      <c r="AEY66" s="3"/>
      <c r="AEZ66" s="3"/>
      <c r="AFA66" s="3"/>
      <c r="AFB66" s="3"/>
      <c r="AFC66" s="3"/>
      <c r="AFD66" s="3"/>
      <c r="AFE66" s="3"/>
      <c r="AFF66" s="3"/>
      <c r="AFG66" s="3"/>
      <c r="AFH66" s="3"/>
      <c r="AFI66" s="3"/>
      <c r="AFJ66" s="3"/>
      <c r="AFK66" s="3"/>
      <c r="AFL66" s="3"/>
      <c r="AFM66" s="3"/>
      <c r="AFN66" s="3"/>
      <c r="AFO66" s="3"/>
      <c r="AFP66" s="3"/>
      <c r="AFQ66" s="3"/>
      <c r="AFR66" s="3"/>
      <c r="AFS66" s="3"/>
      <c r="AFT66" s="3"/>
      <c r="AFU66" s="3"/>
      <c r="AFV66" s="3"/>
      <c r="AFW66" s="3"/>
      <c r="AFX66" s="3"/>
      <c r="AFY66" s="3"/>
      <c r="AFZ66" s="3"/>
      <c r="AGA66" s="3"/>
      <c r="AGB66" s="3"/>
      <c r="AGC66" s="3"/>
      <c r="AGD66" s="3"/>
      <c r="AGE66" s="3"/>
      <c r="AGF66" s="3"/>
      <c r="AGG66" s="3"/>
      <c r="AGH66" s="3"/>
      <c r="AGI66" s="3"/>
      <c r="AGJ66" s="3"/>
      <c r="AGK66" s="3"/>
      <c r="AGL66" s="3"/>
      <c r="AGM66" s="3"/>
      <c r="AGN66" s="3"/>
      <c r="AGO66" s="3"/>
      <c r="AGP66" s="3"/>
      <c r="AGQ66" s="3"/>
      <c r="AGR66" s="3"/>
      <c r="AGS66" s="3"/>
      <c r="AGT66" s="3"/>
      <c r="AGU66" s="3"/>
      <c r="AGV66" s="3"/>
      <c r="AGW66" s="3"/>
      <c r="AGX66" s="3"/>
      <c r="AGY66" s="3"/>
      <c r="AGZ66" s="3"/>
      <c r="AHA66" s="3"/>
      <c r="AHB66" s="3"/>
      <c r="AHC66" s="3"/>
      <c r="AHD66" s="3"/>
      <c r="AHE66" s="3"/>
      <c r="AHF66" s="3"/>
      <c r="AHG66" s="3"/>
      <c r="AHH66" s="3"/>
      <c r="AHI66" s="3"/>
      <c r="AHJ66" s="3"/>
      <c r="AHK66" s="3"/>
      <c r="AHL66" s="3"/>
      <c r="AHM66" s="3"/>
      <c r="AHN66" s="3"/>
      <c r="AHO66" s="3"/>
      <c r="AHP66" s="3"/>
      <c r="AHQ66" s="3"/>
      <c r="AHR66" s="3"/>
      <c r="AHS66" s="3"/>
      <c r="AHT66" s="3"/>
      <c r="AHU66" s="3"/>
      <c r="AHV66" s="3"/>
      <c r="AHW66" s="3"/>
      <c r="AHX66" s="3"/>
      <c r="AHY66" s="3"/>
      <c r="AHZ66" s="3"/>
      <c r="AIA66" s="3"/>
      <c r="AIB66" s="3"/>
      <c r="AIC66" s="3"/>
      <c r="AID66" s="3"/>
      <c r="AIE66" s="3"/>
      <c r="AIF66" s="3"/>
      <c r="AIG66" s="3"/>
      <c r="AIH66" s="3"/>
      <c r="AII66" s="3"/>
      <c r="AIJ66" s="3"/>
      <c r="AIK66" s="3"/>
      <c r="AIL66" s="3"/>
      <c r="AIM66" s="3"/>
      <c r="AIN66" s="3"/>
      <c r="AIO66" s="3"/>
      <c r="AIP66" s="3"/>
      <c r="AIQ66" s="3"/>
      <c r="AIR66" s="3"/>
      <c r="AIS66" s="3"/>
      <c r="AIT66" s="3"/>
      <c r="AIU66" s="3"/>
      <c r="AIV66" s="3"/>
      <c r="AIW66" s="3"/>
      <c r="AIX66" s="3"/>
      <c r="AIY66" s="3"/>
      <c r="AIZ66" s="3"/>
      <c r="AJA66" s="3"/>
      <c r="AJB66" s="3"/>
      <c r="AJC66" s="3"/>
      <c r="AJD66" s="3"/>
      <c r="AJE66" s="3"/>
      <c r="AJF66" s="3"/>
      <c r="AJG66" s="3"/>
      <c r="AJH66" s="3"/>
      <c r="AJI66" s="3"/>
      <c r="AJJ66" s="3"/>
      <c r="AJK66" s="3"/>
      <c r="AJL66" s="3"/>
      <c r="AJM66" s="3"/>
      <c r="AJN66" s="3"/>
      <c r="AJO66" s="3"/>
      <c r="AJP66" s="3"/>
      <c r="AJQ66" s="3"/>
      <c r="AJR66" s="3"/>
      <c r="AJS66" s="3"/>
      <c r="AJT66" s="3"/>
      <c r="AJU66" s="3"/>
      <c r="AJV66" s="3"/>
      <c r="AJW66" s="3"/>
      <c r="AJX66" s="3"/>
      <c r="AJY66" s="3"/>
      <c r="AJZ66" s="3"/>
      <c r="AKA66" s="3"/>
      <c r="AKB66" s="3"/>
      <c r="AKC66" s="3"/>
      <c r="AKD66" s="3"/>
      <c r="AKE66" s="3"/>
      <c r="AKF66" s="3"/>
      <c r="AKG66" s="3"/>
      <c r="AKH66" s="3"/>
      <c r="AKI66" s="3"/>
      <c r="AKJ66" s="3"/>
      <c r="AKK66" s="3"/>
      <c r="AKL66" s="3"/>
      <c r="AKM66" s="3"/>
      <c r="AKN66" s="3"/>
      <c r="AKO66" s="3"/>
      <c r="AKP66" s="3"/>
      <c r="AKQ66" s="3"/>
      <c r="AKR66" s="3"/>
      <c r="AKS66" s="3"/>
      <c r="AKT66" s="3"/>
      <c r="AKU66" s="3"/>
      <c r="AKV66" s="3"/>
      <c r="AKW66" s="3"/>
      <c r="AKX66" s="3"/>
      <c r="AKY66" s="3"/>
      <c r="AKZ66" s="3"/>
      <c r="ALA66" s="3"/>
      <c r="ALB66" s="3"/>
      <c r="ALC66" s="3"/>
      <c r="ALD66" s="3"/>
      <c r="ALE66" s="3"/>
      <c r="ALF66" s="3"/>
      <c r="ALG66" s="3"/>
      <c r="ALH66" s="3"/>
      <c r="ALI66" s="3"/>
      <c r="ALJ66" s="3"/>
      <c r="ALK66" s="3"/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  <c r="AQB66" s="3"/>
      <c r="AQC66" s="3"/>
      <c r="AQD66" s="3"/>
      <c r="AQE66" s="3"/>
      <c r="AQF66" s="3"/>
      <c r="AQG66" s="3"/>
      <c r="AQH66" s="3"/>
      <c r="AQI66" s="3"/>
      <c r="AQJ66" s="3"/>
      <c r="AQK66" s="3"/>
      <c r="AQL66" s="3"/>
      <c r="AQM66" s="3"/>
      <c r="AQN66" s="3"/>
      <c r="AQO66" s="3"/>
      <c r="AQP66" s="3"/>
      <c r="AQQ66" s="3"/>
      <c r="AQR66" s="3"/>
      <c r="AQS66" s="3"/>
      <c r="AQT66" s="3"/>
      <c r="AQU66" s="3"/>
      <c r="AQV66" s="3"/>
      <c r="AQW66" s="3"/>
      <c r="AQX66" s="3"/>
      <c r="AQY66" s="3"/>
      <c r="AQZ66" s="3"/>
      <c r="ARA66" s="3"/>
      <c r="ARB66" s="3"/>
      <c r="ARC66" s="3"/>
      <c r="ARD66" s="3"/>
      <c r="ARE66" s="3"/>
      <c r="ARF66" s="3"/>
      <c r="ARG66" s="3"/>
      <c r="ARH66" s="3"/>
      <c r="ARI66" s="3"/>
      <c r="ARJ66" s="3"/>
      <c r="ARK66" s="3"/>
      <c r="ARL66" s="3"/>
      <c r="ARM66" s="3"/>
      <c r="ARN66" s="3"/>
      <c r="ARO66" s="3"/>
      <c r="ARP66" s="3"/>
      <c r="ARQ66" s="3"/>
      <c r="ARR66" s="3"/>
      <c r="ARS66" s="3"/>
      <c r="ART66" s="3"/>
      <c r="ARU66" s="3"/>
      <c r="ARV66" s="3"/>
      <c r="ARW66" s="3"/>
      <c r="ARX66" s="3"/>
      <c r="ARY66" s="3"/>
      <c r="ARZ66" s="3"/>
      <c r="ASA66" s="3"/>
      <c r="ASB66" s="3"/>
      <c r="ASC66" s="3"/>
      <c r="ASD66" s="3"/>
      <c r="ASE66" s="3"/>
      <c r="ASF66" s="3"/>
      <c r="ASG66" s="3"/>
      <c r="ASH66" s="3"/>
      <c r="ASI66" s="3"/>
      <c r="ASJ66" s="3"/>
      <c r="ASK66" s="3"/>
      <c r="ASL66" s="3"/>
      <c r="ASM66" s="3"/>
      <c r="ASN66" s="3"/>
      <c r="ASO66" s="3"/>
      <c r="ASP66" s="3"/>
      <c r="ASQ66" s="3"/>
      <c r="ASR66" s="3"/>
      <c r="ASS66" s="3"/>
      <c r="AST66" s="3"/>
      <c r="ASU66" s="3"/>
      <c r="ASV66" s="3"/>
      <c r="ASW66" s="3"/>
      <c r="ASX66" s="3"/>
      <c r="ASY66" s="3"/>
      <c r="ASZ66" s="3"/>
      <c r="ATA66" s="3"/>
      <c r="ATB66" s="3"/>
      <c r="ATC66" s="3"/>
      <c r="ATD66" s="3"/>
      <c r="ATE66" s="3"/>
      <c r="ATF66" s="3"/>
      <c r="ATG66" s="3"/>
      <c r="ATH66" s="3"/>
      <c r="ATI66" s="3"/>
      <c r="ATJ66" s="3"/>
      <c r="ATK66" s="3"/>
      <c r="ATL66" s="3"/>
      <c r="ATM66" s="3"/>
      <c r="ATN66" s="3"/>
      <c r="ATO66" s="3"/>
      <c r="ATP66" s="3"/>
      <c r="ATQ66" s="3"/>
      <c r="ATR66" s="3"/>
      <c r="ATS66" s="3"/>
      <c r="ATT66" s="3"/>
      <c r="ATU66" s="3"/>
      <c r="ATV66" s="3"/>
      <c r="ATW66" s="3"/>
      <c r="ATX66" s="3"/>
      <c r="ATY66" s="3"/>
      <c r="ATZ66" s="3"/>
      <c r="AUA66" s="3"/>
      <c r="AUB66" s="3"/>
      <c r="AUC66" s="3"/>
      <c r="AUD66" s="3"/>
      <c r="AUE66" s="3"/>
      <c r="AUF66" s="3"/>
      <c r="AUG66" s="3"/>
      <c r="AUH66" s="3"/>
      <c r="AUI66" s="3"/>
      <c r="AUJ66" s="3"/>
      <c r="AUK66" s="3"/>
      <c r="AUL66" s="3"/>
      <c r="AUM66" s="3"/>
      <c r="AUN66" s="3"/>
      <c r="AUO66" s="3"/>
      <c r="AUP66" s="3"/>
      <c r="AUQ66" s="3"/>
      <c r="AUR66" s="3"/>
      <c r="AUS66" s="3"/>
      <c r="AUT66" s="3"/>
      <c r="AUU66" s="3"/>
      <c r="AUV66" s="3"/>
      <c r="AUW66" s="3"/>
      <c r="AUX66" s="3"/>
      <c r="AUY66" s="3"/>
      <c r="AUZ66" s="3"/>
      <c r="AVA66" s="3"/>
      <c r="AVB66" s="3"/>
      <c r="AVC66" s="3"/>
      <c r="AVD66" s="3"/>
      <c r="AVE66" s="3"/>
      <c r="AVF66" s="3"/>
      <c r="AVG66" s="3"/>
      <c r="AVH66" s="3"/>
      <c r="AVI66" s="3"/>
      <c r="AVJ66" s="3"/>
      <c r="AVK66" s="3"/>
      <c r="AVL66" s="3"/>
      <c r="AVM66" s="3"/>
      <c r="AVN66" s="3"/>
      <c r="AVO66" s="3"/>
      <c r="AVP66" s="3"/>
      <c r="AVQ66" s="3"/>
      <c r="AVR66" s="3"/>
      <c r="AVS66" s="3"/>
      <c r="AVT66" s="3"/>
      <c r="AVU66" s="3"/>
      <c r="AVV66" s="3"/>
      <c r="AVW66" s="3"/>
      <c r="AVX66" s="3"/>
      <c r="AVY66" s="3"/>
      <c r="AVZ66" s="3"/>
      <c r="AWA66" s="3"/>
      <c r="AWB66" s="3"/>
      <c r="AWC66" s="3"/>
      <c r="AWD66" s="3"/>
      <c r="AWE66" s="3"/>
      <c r="AWF66" s="3"/>
      <c r="AWG66" s="3"/>
      <c r="AWH66" s="3"/>
      <c r="AWI66" s="3"/>
      <c r="AWJ66" s="3"/>
      <c r="AWK66" s="3"/>
      <c r="AWL66" s="3"/>
      <c r="AWM66" s="3"/>
      <c r="AWN66" s="3"/>
      <c r="AWO66" s="3"/>
      <c r="AWP66" s="3"/>
      <c r="AWQ66" s="3"/>
      <c r="AWR66" s="3"/>
      <c r="AWS66" s="3"/>
      <c r="AWT66" s="3"/>
      <c r="AWU66" s="3"/>
      <c r="AWV66" s="3"/>
      <c r="AWW66" s="3"/>
      <c r="AWX66" s="3"/>
      <c r="AWY66" s="3"/>
      <c r="AWZ66" s="3"/>
      <c r="AXA66" s="3"/>
      <c r="AXB66" s="3"/>
      <c r="AXC66" s="3"/>
      <c r="AXD66" s="3"/>
      <c r="AXE66" s="3"/>
      <c r="AXF66" s="3"/>
      <c r="AXG66" s="3"/>
      <c r="AXH66" s="3"/>
      <c r="AXI66" s="3"/>
      <c r="AXJ66" s="3"/>
      <c r="AXK66" s="3"/>
      <c r="AXL66" s="3"/>
      <c r="AXM66" s="3"/>
      <c r="AXN66" s="3"/>
      <c r="AXO66" s="3"/>
      <c r="AXP66" s="3"/>
      <c r="AXQ66" s="3"/>
      <c r="AXR66" s="3"/>
      <c r="AXS66" s="3"/>
      <c r="AXT66" s="3"/>
      <c r="AXU66" s="3"/>
      <c r="AXV66" s="3"/>
      <c r="AXW66" s="3"/>
      <c r="AXX66" s="3"/>
      <c r="AXY66" s="3"/>
      <c r="AXZ66" s="3"/>
      <c r="AYA66" s="3"/>
      <c r="AYB66" s="3"/>
      <c r="AYC66" s="3"/>
      <c r="AYD66" s="3"/>
      <c r="AYE66" s="3"/>
      <c r="AYF66" s="3"/>
      <c r="AYG66" s="3"/>
      <c r="AYH66" s="3"/>
      <c r="AYI66" s="3"/>
      <c r="AYJ66" s="3"/>
      <c r="AYK66" s="3"/>
      <c r="AYL66" s="3"/>
      <c r="AYM66" s="3"/>
      <c r="AYN66" s="3"/>
      <c r="AYO66" s="3"/>
      <c r="AYP66" s="3"/>
      <c r="AYQ66" s="3"/>
      <c r="AYR66" s="3"/>
      <c r="AYS66" s="3"/>
      <c r="AYT66" s="3"/>
      <c r="AYU66" s="3"/>
      <c r="AYV66" s="3"/>
      <c r="AYW66" s="3"/>
      <c r="AYX66" s="3"/>
      <c r="AYY66" s="3"/>
      <c r="AYZ66" s="3"/>
      <c r="AZA66" s="3"/>
      <c r="AZB66" s="3"/>
      <c r="AZC66" s="3"/>
      <c r="AZD66" s="3"/>
      <c r="AZE66" s="3"/>
      <c r="AZF66" s="3"/>
      <c r="AZG66" s="3"/>
      <c r="AZH66" s="3"/>
      <c r="AZI66" s="3"/>
      <c r="AZJ66" s="3"/>
      <c r="AZK66" s="3"/>
      <c r="AZL66" s="3"/>
      <c r="AZM66" s="3"/>
      <c r="AZN66" s="3"/>
      <c r="AZO66" s="3"/>
      <c r="AZP66" s="3"/>
      <c r="AZQ66" s="3"/>
      <c r="AZR66" s="3"/>
      <c r="AZS66" s="3"/>
      <c r="AZT66" s="3"/>
      <c r="AZU66" s="3"/>
      <c r="AZV66" s="3"/>
      <c r="AZW66" s="3"/>
      <c r="AZX66" s="3"/>
      <c r="AZY66" s="3"/>
      <c r="AZZ66" s="3"/>
      <c r="BAA66" s="3"/>
      <c r="BAB66" s="3"/>
      <c r="BAC66" s="3"/>
      <c r="BAD66" s="3"/>
      <c r="BAE66" s="3"/>
      <c r="BAF66" s="3"/>
      <c r="BAG66" s="3"/>
      <c r="BAH66" s="3"/>
      <c r="BAI66" s="3"/>
      <c r="BAJ66" s="3"/>
      <c r="BAK66" s="3"/>
      <c r="BAL66" s="3"/>
      <c r="BAM66" s="3"/>
      <c r="BAN66" s="3"/>
      <c r="BAO66" s="3"/>
      <c r="BAP66" s="3"/>
      <c r="BAQ66" s="3"/>
      <c r="BAR66" s="3"/>
      <c r="BAS66" s="3"/>
      <c r="BAT66" s="3"/>
      <c r="BAU66" s="3"/>
      <c r="BAV66" s="3"/>
      <c r="BAW66" s="3"/>
      <c r="BAX66" s="3"/>
      <c r="BAY66" s="3"/>
      <c r="BAZ66" s="3"/>
      <c r="BBA66" s="3"/>
      <c r="BBB66" s="3"/>
      <c r="BBC66" s="3"/>
      <c r="BBD66" s="3"/>
      <c r="BBE66" s="3"/>
      <c r="BBF66" s="3"/>
      <c r="BBG66" s="3"/>
      <c r="BBH66" s="3"/>
      <c r="BBI66" s="3"/>
      <c r="BBJ66" s="3"/>
      <c r="BBK66" s="3"/>
      <c r="BBL66" s="3"/>
      <c r="BBM66" s="3"/>
      <c r="BBN66" s="3"/>
      <c r="BBO66" s="3"/>
      <c r="BBP66" s="3"/>
      <c r="BBQ66" s="3"/>
      <c r="BBR66" s="3"/>
      <c r="BBS66" s="3"/>
      <c r="BBT66" s="3"/>
      <c r="BBU66" s="3"/>
      <c r="BBV66" s="3"/>
      <c r="BBW66" s="3"/>
      <c r="BBX66" s="3"/>
      <c r="BBY66" s="3"/>
      <c r="BBZ66" s="3"/>
      <c r="BCA66" s="3"/>
      <c r="BCB66" s="3"/>
      <c r="BCC66" s="3"/>
      <c r="BCD66" s="3"/>
      <c r="BCE66" s="3"/>
      <c r="BCF66" s="3"/>
      <c r="BCG66" s="3"/>
      <c r="BCH66" s="3"/>
      <c r="BCI66" s="3"/>
      <c r="BCJ66" s="3"/>
      <c r="BCK66" s="3"/>
      <c r="BCL66" s="3"/>
      <c r="BCM66" s="3"/>
      <c r="BCN66" s="3"/>
      <c r="BCO66" s="3"/>
      <c r="BCP66" s="3"/>
      <c r="BCQ66" s="3"/>
      <c r="BCR66" s="3"/>
      <c r="BCS66" s="3"/>
      <c r="BCT66" s="3"/>
      <c r="BCU66" s="3"/>
      <c r="BCV66" s="3"/>
      <c r="BCW66" s="3"/>
      <c r="BCX66" s="3"/>
      <c r="BCY66" s="3"/>
      <c r="BCZ66" s="3"/>
      <c r="BDA66" s="3"/>
      <c r="BDB66" s="3"/>
      <c r="BDC66" s="3"/>
      <c r="BDD66" s="3"/>
      <c r="BDE66" s="3"/>
      <c r="BDF66" s="3"/>
      <c r="BDG66" s="3"/>
      <c r="BDH66" s="3"/>
      <c r="BDI66" s="3"/>
      <c r="BDJ66" s="3"/>
      <c r="BDK66" s="3"/>
      <c r="BDL66" s="3"/>
      <c r="BDM66" s="3"/>
      <c r="BDN66" s="3"/>
      <c r="BDO66" s="3"/>
      <c r="BDP66" s="3"/>
      <c r="BDQ66" s="3"/>
      <c r="BDR66" s="3"/>
      <c r="BDS66" s="3"/>
      <c r="BDT66" s="3"/>
      <c r="BDU66" s="3"/>
      <c r="BDV66" s="3"/>
      <c r="BDW66" s="3"/>
      <c r="BDX66" s="3"/>
      <c r="BDY66" s="3"/>
      <c r="BDZ66" s="3"/>
      <c r="BEA66" s="3"/>
      <c r="BEB66" s="3"/>
      <c r="BEC66" s="3"/>
      <c r="BED66" s="3"/>
      <c r="BEE66" s="3"/>
      <c r="BEF66" s="3"/>
      <c r="BEG66" s="3"/>
      <c r="BEH66" s="3"/>
      <c r="BEI66" s="3"/>
      <c r="BEJ66" s="3"/>
      <c r="BEK66" s="3"/>
      <c r="BEL66" s="3"/>
      <c r="BEM66" s="3"/>
      <c r="BEN66" s="3"/>
      <c r="BEO66" s="3"/>
      <c r="BEP66" s="3"/>
      <c r="BEQ66" s="3"/>
      <c r="BER66" s="3"/>
      <c r="BES66" s="3"/>
      <c r="BET66" s="3"/>
      <c r="BEU66" s="3"/>
      <c r="BEV66" s="3"/>
      <c r="BEW66" s="3"/>
      <c r="BEX66" s="3"/>
      <c r="BEY66" s="3"/>
      <c r="BEZ66" s="3"/>
      <c r="BFA66" s="3"/>
      <c r="BFB66" s="3"/>
      <c r="BFC66" s="3"/>
      <c r="BFD66" s="3"/>
      <c r="BFE66" s="3"/>
      <c r="BFF66" s="3"/>
      <c r="BFG66" s="3"/>
      <c r="BFH66" s="3"/>
      <c r="BFI66" s="3"/>
      <c r="BFJ66" s="3"/>
      <c r="BFK66" s="3"/>
      <c r="BFL66" s="3"/>
      <c r="BFM66" s="3"/>
      <c r="BFN66" s="3"/>
      <c r="BFO66" s="3"/>
      <c r="BFP66" s="3"/>
      <c r="BFQ66" s="3"/>
      <c r="BFR66" s="3"/>
      <c r="BFS66" s="3"/>
      <c r="BFT66" s="3"/>
      <c r="BFU66" s="3"/>
      <c r="BFV66" s="3"/>
      <c r="BFW66" s="3"/>
      <c r="BFX66" s="3"/>
      <c r="BFY66" s="3"/>
      <c r="BFZ66" s="3"/>
      <c r="BGA66" s="3"/>
      <c r="BGB66" s="3"/>
      <c r="BGC66" s="3"/>
      <c r="BGD66" s="3"/>
      <c r="BGE66" s="3"/>
      <c r="BGF66" s="3"/>
      <c r="BGG66" s="3"/>
      <c r="BGH66" s="3"/>
      <c r="BGI66" s="3"/>
      <c r="BGJ66" s="3"/>
      <c r="BGK66" s="3"/>
      <c r="BGL66" s="3"/>
      <c r="BGM66" s="3"/>
      <c r="BGN66" s="3"/>
      <c r="BGO66" s="3"/>
      <c r="BGP66" s="3"/>
      <c r="BGQ66" s="3"/>
      <c r="BGR66" s="3"/>
      <c r="BGS66" s="3"/>
      <c r="BGT66" s="3"/>
      <c r="BGU66" s="3"/>
      <c r="BGV66" s="3"/>
      <c r="BGW66" s="3"/>
      <c r="BGX66" s="3"/>
      <c r="BGY66" s="3"/>
      <c r="BGZ66" s="3"/>
      <c r="BHA66" s="3"/>
      <c r="BHB66" s="3"/>
      <c r="BHC66" s="3"/>
      <c r="BHD66" s="3"/>
      <c r="BHE66" s="3"/>
      <c r="BHF66" s="3"/>
      <c r="BHG66" s="3"/>
      <c r="BHH66" s="3"/>
      <c r="BHI66" s="3"/>
      <c r="BHJ66" s="3"/>
      <c r="BHK66" s="3"/>
      <c r="BHL66" s="3"/>
      <c r="BHM66" s="3"/>
      <c r="BHN66" s="3"/>
      <c r="BHO66" s="3"/>
      <c r="BHP66" s="3"/>
      <c r="BHQ66" s="3"/>
      <c r="BHR66" s="3"/>
      <c r="BHS66" s="3"/>
      <c r="BHT66" s="3"/>
      <c r="BHU66" s="3"/>
      <c r="BHV66" s="3"/>
      <c r="BHW66" s="3"/>
      <c r="BHX66" s="3"/>
      <c r="BHY66" s="3"/>
      <c r="BHZ66" s="3"/>
      <c r="BIA66" s="3"/>
      <c r="BIB66" s="3"/>
      <c r="BIC66" s="3"/>
      <c r="BID66" s="3"/>
      <c r="BIE66" s="3"/>
      <c r="BIF66" s="3"/>
      <c r="BIG66" s="3"/>
      <c r="BIH66" s="3"/>
      <c r="BII66" s="3"/>
      <c r="BIJ66" s="3"/>
      <c r="BIK66" s="3"/>
      <c r="BIL66" s="3"/>
      <c r="BIM66" s="3"/>
      <c r="BIN66" s="3"/>
      <c r="BIO66" s="3"/>
      <c r="BIP66" s="3"/>
      <c r="BIQ66" s="3"/>
      <c r="BIR66" s="3"/>
      <c r="BIS66" s="3"/>
      <c r="BIT66" s="3"/>
      <c r="BIU66" s="3"/>
      <c r="BIV66" s="3"/>
      <c r="BIW66" s="3"/>
      <c r="BIX66" s="3"/>
      <c r="BIY66" s="3"/>
      <c r="BIZ66" s="3"/>
      <c r="BJA66" s="3"/>
      <c r="BJB66" s="3"/>
      <c r="BJC66" s="3"/>
      <c r="BJD66" s="3"/>
      <c r="BJE66" s="3"/>
      <c r="BJF66" s="3"/>
      <c r="BJG66" s="3"/>
      <c r="BJH66" s="3"/>
      <c r="BJI66" s="3"/>
      <c r="BJJ66" s="3"/>
      <c r="BJK66" s="3"/>
      <c r="BJL66" s="3"/>
      <c r="BJM66" s="3"/>
      <c r="BJN66" s="3"/>
      <c r="BJO66" s="3"/>
      <c r="BJP66" s="3"/>
      <c r="BJQ66" s="3"/>
      <c r="BJR66" s="3"/>
      <c r="BJS66" s="3"/>
      <c r="BJT66" s="3"/>
      <c r="BJU66" s="3"/>
      <c r="BJV66" s="3"/>
      <c r="BJW66" s="3"/>
      <c r="BJX66" s="3"/>
      <c r="BJY66" s="3"/>
      <c r="BJZ66" s="3"/>
      <c r="BKA66" s="3"/>
      <c r="BKB66" s="3"/>
      <c r="BKC66" s="3"/>
      <c r="BKD66" s="3"/>
      <c r="BKE66" s="3"/>
      <c r="BKF66" s="3"/>
      <c r="BKG66" s="3"/>
      <c r="BKH66" s="3"/>
      <c r="BKI66" s="3"/>
      <c r="BKJ66" s="3"/>
      <c r="BKK66" s="3"/>
      <c r="BKL66" s="3"/>
      <c r="BKM66" s="3"/>
      <c r="BKN66" s="3"/>
      <c r="BKO66" s="3"/>
      <c r="BKP66" s="3"/>
      <c r="BKQ66" s="3"/>
      <c r="BKR66" s="3"/>
      <c r="BKS66" s="3"/>
      <c r="BKT66" s="3"/>
      <c r="BKU66" s="3"/>
      <c r="BKV66" s="3"/>
      <c r="BKW66" s="3"/>
      <c r="BKX66" s="3"/>
      <c r="BKY66" s="3"/>
      <c r="BKZ66" s="3"/>
      <c r="BLA66" s="3"/>
      <c r="BLB66" s="3"/>
      <c r="BLC66" s="3"/>
      <c r="BLD66" s="3"/>
      <c r="BLE66" s="3"/>
      <c r="BLF66" s="3"/>
      <c r="BLG66" s="3"/>
      <c r="BLH66" s="3"/>
      <c r="BLI66" s="3"/>
      <c r="BLJ66" s="3"/>
      <c r="BLK66" s="3"/>
      <c r="BLL66" s="3"/>
      <c r="BLM66" s="3"/>
      <c r="BLN66" s="3"/>
      <c r="BLO66" s="3"/>
      <c r="BLP66" s="3"/>
      <c r="BLQ66" s="3"/>
      <c r="BLR66" s="3"/>
      <c r="BLS66" s="3"/>
      <c r="BLT66" s="3"/>
      <c r="BLU66" s="3"/>
      <c r="BLV66" s="3"/>
      <c r="BLW66" s="3"/>
      <c r="BLX66" s="3"/>
      <c r="BLY66" s="3"/>
      <c r="BLZ66" s="3"/>
      <c r="BMA66" s="3"/>
      <c r="BMB66" s="3"/>
      <c r="BMC66" s="3"/>
      <c r="BMD66" s="3"/>
      <c r="BME66" s="3"/>
      <c r="BMF66" s="3"/>
      <c r="BMG66" s="3"/>
      <c r="BMH66" s="3"/>
      <c r="BMI66" s="3"/>
      <c r="BMJ66" s="3"/>
      <c r="BMK66" s="3"/>
      <c r="BML66" s="3"/>
      <c r="BMM66" s="3"/>
      <c r="BMN66" s="3"/>
      <c r="BMO66" s="3"/>
      <c r="BMP66" s="3"/>
      <c r="BMQ66" s="3"/>
      <c r="BMR66" s="3"/>
      <c r="BMS66" s="3"/>
      <c r="BMT66" s="3"/>
      <c r="BMU66" s="3"/>
      <c r="BMV66" s="3"/>
      <c r="BMW66" s="3"/>
      <c r="BMX66" s="3"/>
      <c r="BMY66" s="3"/>
      <c r="BMZ66" s="3"/>
      <c r="BNA66" s="3"/>
      <c r="BNB66" s="3"/>
      <c r="BNC66" s="3"/>
      <c r="BND66" s="3"/>
      <c r="BNE66" s="3"/>
      <c r="BNF66" s="3"/>
      <c r="BNG66" s="3"/>
      <c r="BNH66" s="3"/>
      <c r="BNI66" s="3"/>
      <c r="BNJ66" s="3"/>
      <c r="BNK66" s="3"/>
      <c r="BNL66" s="3"/>
      <c r="BNM66" s="3"/>
      <c r="BNN66" s="3"/>
      <c r="BNO66" s="3"/>
      <c r="BNP66" s="3"/>
      <c r="BNQ66" s="3"/>
      <c r="BNR66" s="3"/>
      <c r="BNS66" s="3"/>
      <c r="BNT66" s="3"/>
      <c r="BNU66" s="3"/>
      <c r="BNV66" s="3"/>
      <c r="BNW66" s="3"/>
      <c r="BNX66" s="3"/>
      <c r="BNY66" s="3"/>
      <c r="BNZ66" s="3"/>
      <c r="BOA66" s="3"/>
      <c r="BOB66" s="3"/>
      <c r="BOC66" s="3"/>
      <c r="BOD66" s="3"/>
      <c r="BOE66" s="3"/>
      <c r="BOF66" s="3"/>
      <c r="BOG66" s="3"/>
      <c r="BOH66" s="3"/>
      <c r="BOI66" s="3"/>
      <c r="BOJ66" s="3"/>
      <c r="BOK66" s="3"/>
      <c r="BOL66" s="3"/>
      <c r="BOM66" s="3"/>
      <c r="BON66" s="3"/>
      <c r="BOO66" s="3"/>
      <c r="BOP66" s="3"/>
      <c r="BOQ66" s="3"/>
      <c r="BOR66" s="3"/>
      <c r="BOS66" s="3"/>
      <c r="BOT66" s="3"/>
      <c r="BOU66" s="3"/>
      <c r="BOV66" s="3"/>
      <c r="BOW66" s="3"/>
      <c r="BOX66" s="3"/>
      <c r="BOY66" s="3"/>
      <c r="BOZ66" s="3"/>
      <c r="BPA66" s="3"/>
      <c r="BPB66" s="3"/>
      <c r="BPC66" s="3"/>
      <c r="BPD66" s="3"/>
      <c r="BPE66" s="3"/>
      <c r="BPF66" s="3"/>
      <c r="BPG66" s="3"/>
      <c r="BPH66" s="3"/>
      <c r="BPI66" s="3"/>
      <c r="BPJ66" s="3"/>
      <c r="BPK66" s="3"/>
      <c r="BPL66" s="3"/>
      <c r="BPM66" s="3"/>
      <c r="BPN66" s="3"/>
      <c r="BPO66" s="3"/>
      <c r="BPP66" s="3"/>
      <c r="BPQ66" s="3"/>
      <c r="BPR66" s="3"/>
      <c r="BPS66" s="3"/>
      <c r="BPT66" s="3"/>
      <c r="BPU66" s="3"/>
      <c r="BPV66" s="3"/>
      <c r="BPW66" s="3"/>
      <c r="BPX66" s="3"/>
      <c r="BPY66" s="3"/>
      <c r="BPZ66" s="3"/>
      <c r="BQA66" s="3"/>
      <c r="BQB66" s="3"/>
      <c r="BQC66" s="3"/>
      <c r="BQD66" s="3"/>
      <c r="BQE66" s="3"/>
      <c r="BQF66" s="3"/>
      <c r="BQG66" s="3"/>
      <c r="BQH66" s="3"/>
      <c r="BQI66" s="3"/>
      <c r="BQJ66" s="3"/>
      <c r="BQK66" s="3"/>
      <c r="BQL66" s="3"/>
      <c r="BQM66" s="3"/>
      <c r="BQN66" s="3"/>
      <c r="BQO66" s="3"/>
      <c r="BQP66" s="3"/>
      <c r="BQQ66" s="3"/>
      <c r="BQR66" s="3"/>
      <c r="BQS66" s="3"/>
      <c r="BQT66" s="3"/>
      <c r="BQU66" s="3"/>
      <c r="BQV66" s="3"/>
      <c r="BQW66" s="3"/>
      <c r="BQX66" s="3"/>
      <c r="BQY66" s="3"/>
      <c r="BQZ66" s="3"/>
      <c r="BRA66" s="3"/>
      <c r="BRB66" s="3"/>
      <c r="BRC66" s="3"/>
      <c r="BRD66" s="3"/>
      <c r="BRE66" s="3"/>
      <c r="BRF66" s="3"/>
      <c r="BRG66" s="3"/>
      <c r="BRH66" s="3"/>
      <c r="BRI66" s="3"/>
      <c r="BRJ66" s="3"/>
      <c r="BRK66" s="3"/>
      <c r="BRL66" s="3"/>
      <c r="BRM66" s="3"/>
      <c r="BRN66" s="3"/>
      <c r="BRO66" s="3"/>
      <c r="BRP66" s="3"/>
      <c r="BRQ66" s="3"/>
      <c r="BRR66" s="3"/>
      <c r="BRS66" s="3"/>
      <c r="BRT66" s="3"/>
      <c r="BRU66" s="3"/>
      <c r="BRV66" s="3"/>
      <c r="BRW66" s="3"/>
      <c r="BRX66" s="3"/>
      <c r="BRY66" s="3"/>
      <c r="BRZ66" s="3"/>
      <c r="BSA66" s="3"/>
      <c r="BSB66" s="3"/>
      <c r="BSC66" s="3"/>
      <c r="BSD66" s="3"/>
      <c r="BSE66" s="3"/>
      <c r="BSF66" s="3"/>
      <c r="BSG66" s="3"/>
      <c r="BSH66" s="3"/>
      <c r="BSI66" s="3"/>
      <c r="BSJ66" s="3"/>
      <c r="BSK66" s="3"/>
      <c r="BSL66" s="3"/>
      <c r="BSM66" s="3"/>
      <c r="BSN66" s="3"/>
      <c r="BSO66" s="3"/>
      <c r="BSP66" s="3"/>
      <c r="BSQ66" s="3"/>
      <c r="BSR66" s="3"/>
      <c r="BSS66" s="3"/>
      <c r="BST66" s="3"/>
      <c r="BSU66" s="3"/>
      <c r="BSV66" s="3"/>
      <c r="BSW66" s="3"/>
      <c r="BSX66" s="3"/>
      <c r="BSY66" s="3"/>
      <c r="BSZ66" s="3"/>
      <c r="BTA66" s="3"/>
      <c r="BTB66" s="3"/>
      <c r="BTC66" s="3"/>
      <c r="BTD66" s="3"/>
      <c r="BTE66" s="3"/>
      <c r="BTF66" s="3"/>
      <c r="BTG66" s="3"/>
      <c r="BTH66" s="3"/>
      <c r="BTI66" s="3"/>
      <c r="BTJ66" s="3"/>
      <c r="BTK66" s="3"/>
      <c r="BTL66" s="3"/>
      <c r="BTM66" s="3"/>
      <c r="BTN66" s="3"/>
      <c r="BTO66" s="3"/>
      <c r="BTP66" s="3"/>
      <c r="BTQ66" s="3"/>
      <c r="BTR66" s="3"/>
      <c r="BTS66" s="3"/>
      <c r="BTT66" s="3"/>
      <c r="BTU66" s="3"/>
      <c r="BTV66" s="3"/>
      <c r="BTW66" s="3"/>
      <c r="BTX66" s="3"/>
      <c r="BTY66" s="3"/>
      <c r="BTZ66" s="3"/>
      <c r="BUA66" s="3"/>
      <c r="BUB66" s="3"/>
      <c r="BUC66" s="3"/>
      <c r="BUD66" s="3"/>
      <c r="BUE66" s="3"/>
      <c r="BUF66" s="3"/>
      <c r="BUG66" s="3"/>
      <c r="BUH66" s="3"/>
      <c r="BUI66" s="3"/>
      <c r="BUJ66" s="3"/>
      <c r="BUK66" s="3"/>
      <c r="BUL66" s="3"/>
      <c r="BUM66" s="3"/>
      <c r="BUN66" s="3"/>
      <c r="BUO66" s="3"/>
      <c r="BUP66" s="3"/>
      <c r="BUQ66" s="3"/>
      <c r="BUR66" s="3"/>
      <c r="BUS66" s="3"/>
      <c r="BUT66" s="3"/>
      <c r="BUU66" s="3"/>
      <c r="BUV66" s="3"/>
      <c r="BUW66" s="3"/>
      <c r="BUX66" s="3"/>
      <c r="BUY66" s="3"/>
      <c r="BUZ66" s="3"/>
      <c r="BVA66" s="3"/>
      <c r="BVB66" s="3"/>
      <c r="BVC66" s="3"/>
      <c r="BVD66" s="3"/>
      <c r="BVE66" s="3"/>
      <c r="BVF66" s="3"/>
      <c r="BVG66" s="3"/>
      <c r="BVH66" s="3"/>
      <c r="BVI66" s="3"/>
      <c r="BVJ66" s="3"/>
      <c r="BVK66" s="3"/>
      <c r="BVL66" s="3"/>
      <c r="BVM66" s="3"/>
      <c r="BVN66" s="3"/>
      <c r="BVO66" s="3"/>
      <c r="BVP66" s="3"/>
      <c r="BVQ66" s="3"/>
      <c r="BVR66" s="3"/>
      <c r="BVS66" s="3"/>
      <c r="BVT66" s="3"/>
      <c r="BVU66" s="3"/>
      <c r="BVV66" s="3"/>
      <c r="BVW66" s="3"/>
      <c r="BVX66" s="3"/>
      <c r="BVY66" s="3"/>
      <c r="BVZ66" s="3"/>
      <c r="BWA66" s="3"/>
      <c r="BWB66" s="3"/>
      <c r="BWC66" s="3"/>
      <c r="BWD66" s="3"/>
      <c r="BWE66" s="3"/>
      <c r="BWF66" s="3"/>
      <c r="BWG66" s="3"/>
      <c r="BWH66" s="3"/>
      <c r="BWI66" s="3"/>
      <c r="BWJ66" s="3"/>
      <c r="BWK66" s="3"/>
      <c r="BWL66" s="3"/>
      <c r="BWM66" s="3"/>
      <c r="BWN66" s="3"/>
      <c r="BWO66" s="3"/>
      <c r="BWP66" s="3"/>
      <c r="BWQ66" s="3"/>
      <c r="BWR66" s="3"/>
      <c r="BWS66" s="3"/>
      <c r="BWT66" s="3"/>
      <c r="BWU66" s="3"/>
      <c r="BWV66" s="3"/>
      <c r="BWW66" s="3"/>
      <c r="BWX66" s="3"/>
      <c r="BWY66" s="3"/>
      <c r="BWZ66" s="3"/>
      <c r="BXA66" s="3"/>
      <c r="BXB66" s="3"/>
      <c r="BXC66" s="3"/>
      <c r="BXD66" s="3"/>
      <c r="BXE66" s="3"/>
      <c r="BXF66" s="3"/>
      <c r="BXG66" s="3"/>
      <c r="BXH66" s="3"/>
      <c r="BXI66" s="3"/>
      <c r="BXJ66" s="3"/>
      <c r="BXK66" s="3"/>
      <c r="BXL66" s="3"/>
      <c r="BXM66" s="3"/>
      <c r="BXN66" s="3"/>
      <c r="BXO66" s="3"/>
      <c r="BXP66" s="3"/>
      <c r="BXQ66" s="3"/>
      <c r="BXR66" s="3"/>
      <c r="BXS66" s="3"/>
      <c r="BXT66" s="3"/>
      <c r="BXU66" s="3"/>
      <c r="BXV66" s="3"/>
      <c r="BXW66" s="3"/>
      <c r="BXX66" s="3"/>
      <c r="BXY66" s="3"/>
      <c r="BXZ66" s="3"/>
      <c r="BYA66" s="3"/>
      <c r="BYB66" s="3"/>
      <c r="BYC66" s="3"/>
      <c r="BYD66" s="3"/>
      <c r="BYE66" s="3"/>
      <c r="BYF66" s="3"/>
      <c r="BYG66" s="3"/>
      <c r="BYH66" s="3"/>
      <c r="BYI66" s="3"/>
      <c r="BYJ66" s="3"/>
      <c r="BYK66" s="3"/>
      <c r="BYL66" s="3"/>
      <c r="BYM66" s="3"/>
      <c r="BYN66" s="3"/>
      <c r="BYO66" s="3"/>
      <c r="BYP66" s="3"/>
      <c r="BYQ66" s="3"/>
      <c r="BYR66" s="3"/>
      <c r="BYS66" s="3"/>
      <c r="BYT66" s="3"/>
      <c r="BYU66" s="3"/>
      <c r="BYV66" s="3"/>
      <c r="BYW66" s="3"/>
      <c r="BYX66" s="3"/>
      <c r="BYY66" s="3"/>
      <c r="BYZ66" s="3"/>
      <c r="BZA66" s="3"/>
      <c r="BZB66" s="3"/>
      <c r="BZC66" s="3"/>
      <c r="BZD66" s="3"/>
      <c r="BZE66" s="3"/>
      <c r="BZF66" s="3"/>
      <c r="BZG66" s="3"/>
      <c r="BZH66" s="3"/>
      <c r="BZI66" s="3"/>
      <c r="BZJ66" s="3"/>
      <c r="BZK66" s="3"/>
      <c r="BZL66" s="3"/>
      <c r="BZM66" s="3"/>
      <c r="BZN66" s="3"/>
      <c r="BZO66" s="3"/>
      <c r="BZP66" s="3"/>
      <c r="BZQ66" s="3"/>
      <c r="BZR66" s="3"/>
      <c r="BZS66" s="3"/>
      <c r="BZT66" s="3"/>
      <c r="BZU66" s="3"/>
      <c r="BZV66" s="3"/>
      <c r="BZW66" s="3"/>
      <c r="BZX66" s="3"/>
      <c r="BZY66" s="3"/>
      <c r="BZZ66" s="3"/>
      <c r="CAA66" s="3"/>
      <c r="CAB66" s="3"/>
      <c r="CAC66" s="3"/>
      <c r="CAD66" s="3"/>
      <c r="CAE66" s="3"/>
      <c r="CAF66" s="3"/>
      <c r="CAG66" s="3"/>
      <c r="CAH66" s="3"/>
      <c r="CAI66" s="3"/>
      <c r="CAJ66" s="3"/>
      <c r="CAK66" s="3"/>
      <c r="CAL66" s="3"/>
      <c r="CAM66" s="3"/>
      <c r="CAN66" s="3"/>
      <c r="CAO66" s="3"/>
      <c r="CAP66" s="3"/>
      <c r="CAQ66" s="3"/>
      <c r="CAR66" s="3"/>
      <c r="CAS66" s="3"/>
      <c r="CAT66" s="3"/>
      <c r="CAU66" s="3"/>
      <c r="CAV66" s="3"/>
      <c r="CAW66" s="3"/>
      <c r="CAX66" s="3"/>
      <c r="CAY66" s="3"/>
      <c r="CAZ66" s="3"/>
      <c r="CBA66" s="3"/>
      <c r="CBB66" s="3"/>
      <c r="CBC66" s="3"/>
      <c r="CBD66" s="3"/>
      <c r="CBE66" s="3"/>
      <c r="CBF66" s="3"/>
      <c r="CBG66" s="3"/>
      <c r="CBH66" s="3"/>
      <c r="CBI66" s="3"/>
      <c r="CBJ66" s="3"/>
      <c r="CBK66" s="3"/>
      <c r="CBL66" s="3"/>
      <c r="CBM66" s="3"/>
      <c r="CBN66" s="3"/>
      <c r="CBO66" s="3"/>
      <c r="CBP66" s="3"/>
      <c r="CBQ66" s="3"/>
      <c r="CBR66" s="3"/>
      <c r="CBS66" s="3"/>
      <c r="CBT66" s="3"/>
      <c r="CBU66" s="3"/>
      <c r="CBV66" s="3"/>
      <c r="CBW66" s="3"/>
      <c r="CBX66" s="3"/>
      <c r="CBY66" s="3"/>
      <c r="CBZ66" s="3"/>
      <c r="CCA66" s="3"/>
      <c r="CCB66" s="3"/>
      <c r="CCC66" s="3"/>
      <c r="CCD66" s="3"/>
      <c r="CCE66" s="3"/>
      <c r="CCF66" s="3"/>
      <c r="CCG66" s="3"/>
      <c r="CCH66" s="3"/>
      <c r="CCI66" s="3"/>
      <c r="CCJ66" s="3"/>
      <c r="CCK66" s="3"/>
      <c r="CCL66" s="3"/>
      <c r="CCM66" s="3"/>
      <c r="CCN66" s="3"/>
      <c r="CCO66" s="3"/>
      <c r="CCP66" s="3"/>
      <c r="CCQ66" s="3"/>
      <c r="CCR66" s="3"/>
      <c r="CCS66" s="3"/>
      <c r="CCT66" s="3"/>
      <c r="CCU66" s="3"/>
      <c r="CCV66" s="3"/>
      <c r="CCW66" s="3"/>
      <c r="CCX66" s="3"/>
      <c r="CCY66" s="3"/>
      <c r="CCZ66" s="3"/>
      <c r="CDA66" s="3"/>
      <c r="CDB66" s="3"/>
      <c r="CDC66" s="3"/>
      <c r="CDD66" s="3"/>
      <c r="CDE66" s="3"/>
      <c r="CDF66" s="3"/>
      <c r="CDG66" s="3"/>
      <c r="CDH66" s="3"/>
      <c r="CDI66" s="3"/>
      <c r="CDJ66" s="3"/>
      <c r="CDK66" s="3"/>
      <c r="CDL66" s="3"/>
      <c r="CDM66" s="3"/>
      <c r="CDN66" s="3"/>
      <c r="CDO66" s="3"/>
      <c r="CDP66" s="3"/>
      <c r="CDQ66" s="3"/>
      <c r="CDR66" s="3"/>
      <c r="CDS66" s="3"/>
      <c r="CDT66" s="3"/>
      <c r="CDU66" s="3"/>
      <c r="CDV66" s="3"/>
      <c r="CDW66" s="3"/>
      <c r="CDX66" s="3"/>
      <c r="CDY66" s="3"/>
      <c r="CDZ66" s="3"/>
      <c r="CEA66" s="3"/>
      <c r="CEB66" s="3"/>
      <c r="CEC66" s="3"/>
      <c r="CED66" s="3"/>
      <c r="CEE66" s="3"/>
      <c r="CEF66" s="3"/>
      <c r="CEG66" s="3"/>
      <c r="CEH66" s="3"/>
      <c r="CEI66" s="3"/>
      <c r="CEJ66" s="3"/>
      <c r="CEK66" s="3"/>
      <c r="CEL66" s="3"/>
      <c r="CEM66" s="3"/>
      <c r="CEN66" s="3"/>
      <c r="CEO66" s="3"/>
      <c r="CEP66" s="3"/>
      <c r="CEQ66" s="3"/>
      <c r="CER66" s="3"/>
      <c r="CES66" s="3"/>
      <c r="CET66" s="3"/>
      <c r="CEU66" s="3"/>
      <c r="CEV66" s="3"/>
      <c r="CEW66" s="3"/>
      <c r="CEX66" s="3"/>
      <c r="CEY66" s="3"/>
      <c r="CEZ66" s="3"/>
      <c r="CFA66" s="3"/>
      <c r="CFB66" s="3"/>
      <c r="CFC66" s="3"/>
      <c r="CFD66" s="3"/>
      <c r="CFE66" s="3"/>
      <c r="CFF66" s="3"/>
      <c r="CFG66" s="3"/>
      <c r="CFH66" s="3"/>
      <c r="CFI66" s="3"/>
      <c r="CFJ66" s="3"/>
      <c r="CFK66" s="3"/>
      <c r="CFL66" s="3"/>
      <c r="CFM66" s="3"/>
      <c r="CFN66" s="3"/>
      <c r="CFO66" s="3"/>
      <c r="CFP66" s="3"/>
      <c r="CFQ66" s="3"/>
      <c r="CFR66" s="3"/>
      <c r="CFS66" s="3"/>
      <c r="CFT66" s="3"/>
      <c r="CFU66" s="3"/>
      <c r="CFV66" s="3"/>
      <c r="CFW66" s="3"/>
      <c r="CFX66" s="3"/>
      <c r="CFY66" s="3"/>
      <c r="CFZ66" s="3"/>
      <c r="CGA66" s="3"/>
      <c r="CGB66" s="3"/>
      <c r="CGC66" s="3"/>
      <c r="CGD66" s="3"/>
      <c r="CGE66" s="3"/>
      <c r="CGF66" s="3"/>
      <c r="CGG66" s="3"/>
      <c r="CGH66" s="3"/>
      <c r="CGI66" s="3"/>
      <c r="CGJ66" s="3"/>
      <c r="CGK66" s="3"/>
      <c r="CGL66" s="3"/>
      <c r="CGM66" s="3"/>
      <c r="CGN66" s="3"/>
      <c r="CGO66" s="3"/>
      <c r="CGP66" s="3"/>
      <c r="CGQ66" s="3"/>
      <c r="CGR66" s="3"/>
      <c r="CGS66" s="3"/>
      <c r="CGT66" s="3"/>
      <c r="CGU66" s="3"/>
      <c r="CGV66" s="3"/>
      <c r="CGW66" s="3"/>
      <c r="CGX66" s="3"/>
      <c r="CGY66" s="3"/>
      <c r="CGZ66" s="3"/>
      <c r="CHA66" s="3"/>
      <c r="CHB66" s="3"/>
      <c r="CHC66" s="3"/>
      <c r="CHD66" s="3"/>
      <c r="CHE66" s="3"/>
      <c r="CHF66" s="3"/>
      <c r="CHG66" s="3"/>
      <c r="CHH66" s="3"/>
      <c r="CHI66" s="3"/>
      <c r="CHJ66" s="3"/>
      <c r="CHK66" s="3"/>
      <c r="CHL66" s="3"/>
      <c r="CHM66" s="3"/>
      <c r="CHN66" s="3"/>
      <c r="CHO66" s="3"/>
      <c r="CHP66" s="3"/>
      <c r="CHQ66" s="3"/>
      <c r="CHR66" s="3"/>
      <c r="CHS66" s="3"/>
      <c r="CHT66" s="3"/>
      <c r="CHU66" s="3"/>
      <c r="CHV66" s="3"/>
      <c r="CHW66" s="3"/>
      <c r="CHX66" s="3"/>
      <c r="CHY66" s="3"/>
      <c r="CHZ66" s="3"/>
      <c r="CIA66" s="3"/>
      <c r="CIB66" s="3"/>
      <c r="CIC66" s="3"/>
      <c r="CID66" s="3"/>
      <c r="CIE66" s="3"/>
      <c r="CIF66" s="3"/>
      <c r="CIG66" s="3"/>
      <c r="CIH66" s="3"/>
      <c r="CII66" s="3"/>
      <c r="CIJ66" s="3"/>
      <c r="CIK66" s="3"/>
      <c r="CIL66" s="3"/>
      <c r="CIM66" s="3"/>
      <c r="CIN66" s="3"/>
      <c r="CIO66" s="3"/>
      <c r="CIP66" s="3"/>
      <c r="CIQ66" s="3"/>
      <c r="CIR66" s="3"/>
      <c r="CIS66" s="3"/>
      <c r="CIT66" s="3"/>
      <c r="CIU66" s="3"/>
      <c r="CIV66" s="3"/>
      <c r="CIW66" s="3"/>
      <c r="CIX66" s="3"/>
      <c r="CIY66" s="3"/>
      <c r="CIZ66" s="3"/>
      <c r="CJA66" s="3"/>
      <c r="CJB66" s="3"/>
      <c r="CJC66" s="3"/>
      <c r="CJD66" s="3"/>
      <c r="CJE66" s="3"/>
      <c r="CJF66" s="3"/>
      <c r="CJG66" s="3"/>
      <c r="CJH66" s="3"/>
      <c r="CJI66" s="3"/>
      <c r="CJJ66" s="3"/>
      <c r="CJK66" s="3"/>
      <c r="CJL66" s="3"/>
      <c r="CJM66" s="3"/>
      <c r="CJN66" s="3"/>
      <c r="CJO66" s="3"/>
      <c r="CJP66" s="3"/>
      <c r="CJQ66" s="3"/>
      <c r="CJR66" s="3"/>
      <c r="CJS66" s="3"/>
      <c r="CJT66" s="3"/>
      <c r="CJU66" s="3"/>
      <c r="CJV66" s="3"/>
      <c r="CJW66" s="3"/>
      <c r="CJX66" s="3"/>
      <c r="CJY66" s="3"/>
      <c r="CJZ66" s="3"/>
      <c r="CKA66" s="3"/>
      <c r="CKB66" s="3"/>
      <c r="CKC66" s="3"/>
      <c r="CKD66" s="3"/>
      <c r="CKE66" s="3"/>
      <c r="CKF66" s="3"/>
      <c r="CKG66" s="3"/>
      <c r="CKH66" s="3"/>
      <c r="CKI66" s="3"/>
      <c r="CKJ66" s="3"/>
      <c r="CKK66" s="3"/>
      <c r="CKL66" s="3"/>
      <c r="CKM66" s="3"/>
      <c r="CKN66" s="3"/>
      <c r="CKO66" s="3"/>
      <c r="CKP66" s="3"/>
      <c r="CKQ66" s="3"/>
      <c r="CKR66" s="3"/>
      <c r="CKS66" s="3"/>
      <c r="CKT66" s="3"/>
      <c r="CKU66" s="3"/>
      <c r="CKV66" s="3"/>
      <c r="CKW66" s="3"/>
      <c r="CKX66" s="3"/>
      <c r="CKY66" s="3"/>
      <c r="CKZ66" s="3"/>
      <c r="CLA66" s="3"/>
      <c r="CLB66" s="3"/>
      <c r="CLC66" s="3"/>
      <c r="CLD66" s="3"/>
      <c r="CLE66" s="3"/>
      <c r="CLF66" s="3"/>
      <c r="CLG66" s="3"/>
      <c r="CLH66" s="3"/>
      <c r="CLI66" s="3"/>
      <c r="CLJ66" s="3"/>
      <c r="CLK66" s="3"/>
      <c r="CLL66" s="3"/>
      <c r="CLM66" s="3"/>
      <c r="CLN66" s="3"/>
      <c r="CLO66" s="3"/>
      <c r="CLP66" s="3"/>
      <c r="CLQ66" s="3"/>
      <c r="CLR66" s="3"/>
      <c r="CLS66" s="3"/>
      <c r="CLT66" s="3"/>
      <c r="CLU66" s="3"/>
      <c r="CLV66" s="3"/>
      <c r="CLW66" s="3"/>
      <c r="CLX66" s="3"/>
      <c r="CLY66" s="3"/>
      <c r="CLZ66" s="3"/>
      <c r="CMA66" s="3"/>
      <c r="CMB66" s="3"/>
      <c r="CMC66" s="3"/>
      <c r="CMD66" s="3"/>
      <c r="CME66" s="3"/>
      <c r="CMF66" s="3"/>
      <c r="CMG66" s="3"/>
      <c r="CMH66" s="3"/>
      <c r="CMI66" s="3"/>
      <c r="CMJ66" s="3"/>
      <c r="CMK66" s="3"/>
      <c r="CML66" s="3"/>
      <c r="CMM66" s="3"/>
      <c r="CMN66" s="3"/>
      <c r="CMO66" s="3"/>
      <c r="CMP66" s="3"/>
      <c r="CMQ66" s="3"/>
      <c r="CMR66" s="3"/>
      <c r="CMS66" s="3"/>
      <c r="CMT66" s="3"/>
      <c r="CMU66" s="3"/>
      <c r="CMV66" s="3"/>
      <c r="CMW66" s="3"/>
      <c r="CMX66" s="3"/>
      <c r="CMY66" s="3"/>
      <c r="CMZ66" s="3"/>
      <c r="CNA66" s="3"/>
      <c r="CNB66" s="3"/>
      <c r="CNC66" s="3"/>
      <c r="CND66" s="3"/>
      <c r="CNE66" s="3"/>
      <c r="CNF66" s="3"/>
      <c r="CNG66" s="3"/>
      <c r="CNH66" s="3"/>
      <c r="CNI66" s="3"/>
      <c r="CNJ66" s="3"/>
      <c r="CNK66" s="3"/>
      <c r="CNL66" s="3"/>
      <c r="CNM66" s="3"/>
      <c r="CNN66" s="3"/>
      <c r="CNO66" s="3"/>
      <c r="CNP66" s="3"/>
      <c r="CNQ66" s="3"/>
      <c r="CNR66" s="3"/>
      <c r="CNS66" s="3"/>
      <c r="CNT66" s="3"/>
      <c r="CNU66" s="3"/>
      <c r="CNV66" s="3"/>
      <c r="CNW66" s="3"/>
      <c r="CNX66" s="3"/>
      <c r="CNY66" s="3"/>
      <c r="CNZ66" s="3"/>
      <c r="COA66" s="3"/>
      <c r="COB66" s="3"/>
      <c r="COC66" s="3"/>
      <c r="COD66" s="3"/>
      <c r="COE66" s="3"/>
      <c r="COF66" s="3"/>
      <c r="COG66" s="3"/>
      <c r="COH66" s="3"/>
      <c r="COI66" s="3"/>
      <c r="COJ66" s="3"/>
      <c r="COK66" s="3"/>
      <c r="COL66" s="3"/>
      <c r="COM66" s="3"/>
      <c r="CON66" s="3"/>
      <c r="COO66" s="3"/>
      <c r="COP66" s="3"/>
      <c r="COQ66" s="3"/>
      <c r="COR66" s="3"/>
      <c r="COS66" s="3"/>
      <c r="COT66" s="3"/>
      <c r="COU66" s="3"/>
      <c r="COV66" s="3"/>
      <c r="COW66" s="3"/>
      <c r="COX66" s="3"/>
      <c r="COY66" s="3"/>
      <c r="COZ66" s="3"/>
      <c r="CPA66" s="3"/>
      <c r="CPB66" s="3"/>
      <c r="CPC66" s="3"/>
      <c r="CPD66" s="3"/>
      <c r="CPE66" s="3"/>
      <c r="CPF66" s="3"/>
      <c r="CPG66" s="3"/>
      <c r="CPH66" s="3"/>
      <c r="CPI66" s="3"/>
      <c r="CPJ66" s="3"/>
      <c r="CPK66" s="3"/>
      <c r="CPL66" s="3"/>
      <c r="CPM66" s="3"/>
      <c r="CPN66" s="3"/>
      <c r="CPO66" s="3"/>
      <c r="CPP66" s="3"/>
      <c r="CPQ66" s="3"/>
      <c r="CPR66" s="3"/>
      <c r="CPS66" s="3"/>
      <c r="CPT66" s="3"/>
      <c r="CPU66" s="3"/>
      <c r="CPV66" s="3"/>
      <c r="CPW66" s="3"/>
      <c r="CPX66" s="3"/>
      <c r="CPY66" s="3"/>
      <c r="CPZ66" s="3"/>
      <c r="CQA66" s="3"/>
      <c r="CQB66" s="3"/>
      <c r="CQC66" s="3"/>
      <c r="CQD66" s="3"/>
      <c r="CQE66" s="3"/>
      <c r="CQF66" s="3"/>
      <c r="CQG66" s="3"/>
      <c r="CQH66" s="3"/>
      <c r="CQI66" s="3"/>
      <c r="CQJ66" s="3"/>
      <c r="CQK66" s="3"/>
      <c r="CQL66" s="3"/>
      <c r="CQM66" s="3"/>
      <c r="CQN66" s="3"/>
      <c r="CQO66" s="3"/>
      <c r="CQP66" s="3"/>
      <c r="CQQ66" s="3"/>
      <c r="CQR66" s="3"/>
      <c r="CQS66" s="3"/>
      <c r="CQT66" s="3"/>
      <c r="CQU66" s="3"/>
      <c r="CQV66" s="3"/>
      <c r="CQW66" s="3"/>
      <c r="CQX66" s="3"/>
      <c r="CQY66" s="3"/>
      <c r="CQZ66" s="3"/>
      <c r="CRA66" s="3"/>
      <c r="CRB66" s="3"/>
      <c r="CRC66" s="3"/>
      <c r="CRD66" s="3"/>
      <c r="CRE66" s="3"/>
      <c r="CRF66" s="3"/>
      <c r="CRG66" s="3"/>
      <c r="CRH66" s="3"/>
      <c r="CRI66" s="3"/>
      <c r="CRJ66" s="3"/>
      <c r="CRK66" s="3"/>
      <c r="CRL66" s="3"/>
      <c r="CRM66" s="3"/>
      <c r="CRN66" s="3"/>
      <c r="CRO66" s="3"/>
      <c r="CRP66" s="3"/>
      <c r="CRQ66" s="3"/>
      <c r="CRR66" s="3"/>
      <c r="CRS66" s="3"/>
      <c r="CRT66" s="3"/>
      <c r="CRU66" s="3"/>
      <c r="CRV66" s="3"/>
      <c r="CRW66" s="3"/>
      <c r="CRX66" s="3"/>
      <c r="CRY66" s="3"/>
      <c r="CRZ66" s="3"/>
      <c r="CSA66" s="3"/>
      <c r="CSB66" s="3"/>
      <c r="CSC66" s="3"/>
      <c r="CSD66" s="3"/>
      <c r="CSE66" s="3"/>
      <c r="CSF66" s="3"/>
      <c r="CSG66" s="3"/>
      <c r="CSH66" s="3"/>
      <c r="CSI66" s="3"/>
      <c r="CSJ66" s="3"/>
      <c r="CSK66" s="3"/>
      <c r="CSL66" s="3"/>
      <c r="CSM66" s="3"/>
      <c r="CSN66" s="3"/>
      <c r="CSO66" s="3"/>
      <c r="CSP66" s="3"/>
      <c r="CSQ66" s="3"/>
      <c r="CSR66" s="3"/>
      <c r="CSS66" s="3"/>
      <c r="CST66" s="3"/>
      <c r="CSU66" s="3"/>
      <c r="CSV66" s="3"/>
      <c r="CSW66" s="3"/>
      <c r="CSX66" s="3"/>
      <c r="CSY66" s="3"/>
      <c r="CSZ66" s="3"/>
      <c r="CTA66" s="3"/>
      <c r="CTB66" s="3"/>
      <c r="CTC66" s="3"/>
      <c r="CTD66" s="3"/>
      <c r="CTE66" s="3"/>
      <c r="CTF66" s="3"/>
      <c r="CTG66" s="3"/>
      <c r="CTH66" s="3"/>
      <c r="CTI66" s="3"/>
      <c r="CTJ66" s="3"/>
      <c r="CTK66" s="3"/>
      <c r="CTL66" s="3"/>
      <c r="CTM66" s="3"/>
      <c r="CTN66" s="3"/>
      <c r="CTO66" s="3"/>
      <c r="CTP66" s="3"/>
      <c r="CTQ66" s="3"/>
      <c r="CTR66" s="3"/>
      <c r="CTS66" s="3"/>
      <c r="CTT66" s="3"/>
      <c r="CTU66" s="3"/>
      <c r="CTV66" s="3"/>
      <c r="CTW66" s="3"/>
      <c r="CTX66" s="3"/>
      <c r="CTY66" s="3"/>
      <c r="CTZ66" s="3"/>
      <c r="CUA66" s="3"/>
      <c r="CUB66" s="3"/>
      <c r="CUC66" s="3"/>
      <c r="CUD66" s="3"/>
      <c r="CUE66" s="3"/>
      <c r="CUF66" s="3"/>
      <c r="CUG66" s="3"/>
      <c r="CUH66" s="3"/>
      <c r="CUI66" s="3"/>
      <c r="CUJ66" s="3"/>
      <c r="CUK66" s="3"/>
      <c r="CUL66" s="3"/>
      <c r="CUM66" s="3"/>
      <c r="CUN66" s="3"/>
      <c r="CUO66" s="3"/>
      <c r="CUP66" s="3"/>
      <c r="CUQ66" s="3"/>
      <c r="CUR66" s="3"/>
      <c r="CUS66" s="3"/>
      <c r="CUT66" s="3"/>
      <c r="CUU66" s="3"/>
      <c r="CUV66" s="3"/>
      <c r="CUW66" s="3"/>
      <c r="CUX66" s="3"/>
      <c r="CUY66" s="3"/>
      <c r="CUZ66" s="3"/>
      <c r="CVA66" s="3"/>
      <c r="CVB66" s="3"/>
      <c r="CVC66" s="3"/>
      <c r="CVD66" s="3"/>
      <c r="CVE66" s="3"/>
      <c r="CVF66" s="3"/>
      <c r="CVG66" s="3"/>
      <c r="CVH66" s="3"/>
      <c r="CVI66" s="3"/>
      <c r="CVJ66" s="3"/>
      <c r="CVK66" s="3"/>
      <c r="CVL66" s="3"/>
      <c r="CVM66" s="3"/>
      <c r="CVN66" s="3"/>
      <c r="CVO66" s="3"/>
      <c r="CVP66" s="3"/>
      <c r="CVQ66" s="3"/>
      <c r="CVR66" s="3"/>
      <c r="CVS66" s="3"/>
      <c r="CVT66" s="3"/>
      <c r="CVU66" s="3"/>
      <c r="CVV66" s="3"/>
      <c r="CVW66" s="3"/>
      <c r="CVX66" s="3"/>
      <c r="CVY66" s="3"/>
      <c r="CVZ66" s="3"/>
      <c r="CWA66" s="3"/>
      <c r="CWB66" s="3"/>
      <c r="CWC66" s="3"/>
      <c r="CWD66" s="3"/>
      <c r="CWE66" s="3"/>
      <c r="CWF66" s="3"/>
      <c r="CWG66" s="3"/>
      <c r="CWH66" s="3"/>
      <c r="CWI66" s="3"/>
      <c r="CWJ66" s="3"/>
      <c r="CWK66" s="3"/>
      <c r="CWL66" s="3"/>
      <c r="CWM66" s="3"/>
      <c r="CWN66" s="3"/>
      <c r="CWO66" s="3"/>
      <c r="CWP66" s="3"/>
      <c r="CWQ66" s="3"/>
      <c r="CWR66" s="3"/>
      <c r="CWS66" s="3"/>
      <c r="CWT66" s="3"/>
      <c r="CWU66" s="3"/>
      <c r="CWV66" s="3"/>
      <c r="CWW66" s="3"/>
      <c r="CWX66" s="3"/>
      <c r="CWY66" s="3"/>
      <c r="CWZ66" s="3"/>
      <c r="CXA66" s="3"/>
      <c r="CXB66" s="3"/>
      <c r="CXC66" s="3"/>
      <c r="CXD66" s="3"/>
      <c r="CXE66" s="3"/>
      <c r="CXF66" s="3"/>
      <c r="CXG66" s="3"/>
      <c r="CXH66" s="3"/>
      <c r="CXI66" s="3"/>
      <c r="CXJ66" s="3"/>
      <c r="CXK66" s="3"/>
      <c r="CXL66" s="3"/>
      <c r="CXM66" s="3"/>
      <c r="CXN66" s="3"/>
      <c r="CXO66" s="3"/>
      <c r="CXP66" s="3"/>
      <c r="CXQ66" s="3"/>
      <c r="CXR66" s="3"/>
      <c r="CXS66" s="3"/>
      <c r="CXT66" s="3"/>
      <c r="CXU66" s="3"/>
      <c r="CXV66" s="3"/>
      <c r="CXW66" s="3"/>
      <c r="CXX66" s="3"/>
      <c r="CXY66" s="3"/>
      <c r="CXZ66" s="3"/>
      <c r="CYA66" s="3"/>
      <c r="CYB66" s="3"/>
      <c r="CYC66" s="3"/>
      <c r="CYD66" s="3"/>
      <c r="CYE66" s="3"/>
      <c r="CYF66" s="3"/>
      <c r="CYG66" s="3"/>
      <c r="CYH66" s="3"/>
      <c r="CYI66" s="3"/>
      <c r="CYJ66" s="3"/>
      <c r="CYK66" s="3"/>
      <c r="CYL66" s="3"/>
      <c r="CYM66" s="3"/>
      <c r="CYN66" s="3"/>
      <c r="CYO66" s="3"/>
      <c r="CYP66" s="3"/>
      <c r="CYQ66" s="3"/>
      <c r="CYR66" s="3"/>
      <c r="CYS66" s="3"/>
      <c r="CYT66" s="3"/>
      <c r="CYU66" s="3"/>
      <c r="CYV66" s="3"/>
      <c r="CYW66" s="3"/>
      <c r="CYX66" s="3"/>
      <c r="CYY66" s="3"/>
      <c r="CYZ66" s="3"/>
      <c r="CZA66" s="3"/>
      <c r="CZB66" s="3"/>
      <c r="CZC66" s="3"/>
      <c r="CZD66" s="3"/>
      <c r="CZE66" s="3"/>
      <c r="CZF66" s="3"/>
      <c r="CZG66" s="3"/>
      <c r="CZH66" s="3"/>
      <c r="CZI66" s="3"/>
      <c r="CZJ66" s="3"/>
      <c r="CZK66" s="3"/>
      <c r="CZL66" s="3"/>
      <c r="CZM66" s="3"/>
      <c r="CZN66" s="3"/>
      <c r="CZO66" s="3"/>
      <c r="CZP66" s="3"/>
      <c r="CZQ66" s="3"/>
      <c r="CZR66" s="3"/>
      <c r="CZS66" s="3"/>
      <c r="CZT66" s="3"/>
      <c r="CZU66" s="3"/>
      <c r="CZV66" s="3"/>
      <c r="CZW66" s="3"/>
      <c r="CZX66" s="3"/>
      <c r="CZY66" s="3"/>
      <c r="CZZ66" s="3"/>
      <c r="DAA66" s="3"/>
      <c r="DAB66" s="3"/>
      <c r="DAC66" s="3"/>
      <c r="DAD66" s="3"/>
      <c r="DAE66" s="3"/>
      <c r="DAF66" s="3"/>
      <c r="DAG66" s="3"/>
      <c r="DAH66" s="3"/>
      <c r="DAI66" s="3"/>
      <c r="DAJ66" s="3"/>
      <c r="DAK66" s="3"/>
      <c r="DAL66" s="3"/>
      <c r="DAM66" s="3"/>
      <c r="DAN66" s="3"/>
      <c r="DAO66" s="3"/>
      <c r="DAP66" s="3"/>
      <c r="DAQ66" s="3"/>
      <c r="DAR66" s="3"/>
      <c r="DAS66" s="3"/>
      <c r="DAT66" s="3"/>
      <c r="DAU66" s="3"/>
      <c r="DAV66" s="3"/>
      <c r="DAW66" s="3"/>
      <c r="DAX66" s="3"/>
      <c r="DAY66" s="3"/>
      <c r="DAZ66" s="3"/>
      <c r="DBA66" s="3"/>
      <c r="DBB66" s="3"/>
      <c r="DBC66" s="3"/>
      <c r="DBD66" s="3"/>
      <c r="DBE66" s="3"/>
      <c r="DBF66" s="3"/>
      <c r="DBG66" s="3"/>
      <c r="DBH66" s="3"/>
      <c r="DBI66" s="3"/>
      <c r="DBJ66" s="3"/>
      <c r="DBK66" s="3"/>
      <c r="DBL66" s="3"/>
      <c r="DBM66" s="3"/>
      <c r="DBN66" s="3"/>
      <c r="DBO66" s="3"/>
      <c r="DBP66" s="3"/>
      <c r="DBQ66" s="3"/>
      <c r="DBR66" s="3"/>
      <c r="DBS66" s="3"/>
      <c r="DBT66" s="3"/>
      <c r="DBU66" s="3"/>
      <c r="DBV66" s="3"/>
      <c r="DBW66" s="3"/>
      <c r="DBX66" s="3"/>
      <c r="DBY66" s="3"/>
      <c r="DBZ66" s="3"/>
      <c r="DCA66" s="3"/>
      <c r="DCB66" s="3"/>
      <c r="DCC66" s="3"/>
      <c r="DCD66" s="3"/>
      <c r="DCE66" s="3"/>
      <c r="DCF66" s="3"/>
      <c r="DCG66" s="3"/>
      <c r="DCH66" s="3"/>
      <c r="DCI66" s="3"/>
      <c r="DCJ66" s="3"/>
      <c r="DCK66" s="3"/>
      <c r="DCL66" s="3"/>
      <c r="DCM66" s="3"/>
      <c r="DCN66" s="3"/>
      <c r="DCO66" s="3"/>
      <c r="DCP66" s="3"/>
      <c r="DCQ66" s="3"/>
      <c r="DCR66" s="3"/>
      <c r="DCS66" s="3"/>
      <c r="DCT66" s="3"/>
      <c r="DCU66" s="3"/>
      <c r="DCV66" s="3"/>
      <c r="DCW66" s="3"/>
      <c r="DCX66" s="3"/>
      <c r="DCY66" s="3"/>
      <c r="DCZ66" s="3"/>
      <c r="DDA66" s="3"/>
      <c r="DDB66" s="3"/>
      <c r="DDC66" s="3"/>
      <c r="DDD66" s="3"/>
      <c r="DDE66" s="3"/>
      <c r="DDF66" s="3"/>
      <c r="DDG66" s="3"/>
      <c r="DDH66" s="3"/>
      <c r="DDI66" s="3"/>
      <c r="DDJ66" s="3"/>
      <c r="DDK66" s="3"/>
      <c r="DDL66" s="3"/>
      <c r="DDM66" s="3"/>
      <c r="DDN66" s="3"/>
      <c r="DDO66" s="3"/>
      <c r="DDP66" s="3"/>
      <c r="DDQ66" s="3"/>
      <c r="DDR66" s="3"/>
      <c r="DDS66" s="3"/>
      <c r="DDT66" s="3"/>
      <c r="DDU66" s="3"/>
      <c r="DDV66" s="3"/>
      <c r="DDW66" s="3"/>
      <c r="DDX66" s="3"/>
      <c r="DDY66" s="3"/>
      <c r="DDZ66" s="3"/>
      <c r="DEA66" s="3"/>
      <c r="DEB66" s="3"/>
      <c r="DEC66" s="3"/>
      <c r="DED66" s="3"/>
      <c r="DEE66" s="3"/>
      <c r="DEF66" s="3"/>
      <c r="DEG66" s="3"/>
      <c r="DEH66" s="3"/>
      <c r="DEI66" s="3"/>
      <c r="DEJ66" s="3"/>
      <c r="DEK66" s="3"/>
      <c r="DEL66" s="3"/>
      <c r="DEM66" s="3"/>
      <c r="DEN66" s="3"/>
      <c r="DEO66" s="3"/>
      <c r="DEP66" s="3"/>
      <c r="DEQ66" s="3"/>
      <c r="DER66" s="3"/>
      <c r="DES66" s="3"/>
      <c r="DET66" s="3"/>
      <c r="DEU66" s="3"/>
      <c r="DEV66" s="3"/>
      <c r="DEW66" s="3"/>
      <c r="DEX66" s="3"/>
      <c r="DEY66" s="3"/>
      <c r="DEZ66" s="3"/>
      <c r="DFA66" s="3"/>
      <c r="DFB66" s="3"/>
      <c r="DFC66" s="3"/>
      <c r="DFD66" s="3"/>
      <c r="DFE66" s="3"/>
      <c r="DFF66" s="3"/>
      <c r="DFG66" s="3"/>
      <c r="DFH66" s="3"/>
      <c r="DFI66" s="3"/>
      <c r="DFJ66" s="3"/>
      <c r="DFK66" s="3"/>
      <c r="DFL66" s="3"/>
      <c r="DFM66" s="3"/>
      <c r="DFN66" s="3"/>
      <c r="DFO66" s="3"/>
      <c r="DFP66" s="3"/>
      <c r="DFQ66" s="3"/>
      <c r="DFR66" s="3"/>
      <c r="DFS66" s="3"/>
      <c r="DFT66" s="3"/>
      <c r="DFU66" s="3"/>
      <c r="DFV66" s="3"/>
      <c r="DFW66" s="3"/>
      <c r="DFX66" s="3"/>
      <c r="DFY66" s="3"/>
      <c r="DFZ66" s="3"/>
      <c r="DGA66" s="3"/>
      <c r="DGB66" s="3"/>
      <c r="DGC66" s="3"/>
      <c r="DGD66" s="3"/>
      <c r="DGE66" s="3"/>
      <c r="DGF66" s="3"/>
      <c r="DGG66" s="3"/>
      <c r="DGH66" s="3"/>
      <c r="DGI66" s="3"/>
      <c r="DGJ66" s="3"/>
      <c r="DGK66" s="3"/>
      <c r="DGL66" s="3"/>
      <c r="DGM66" s="3"/>
      <c r="DGN66" s="3"/>
      <c r="DGO66" s="3"/>
      <c r="DGP66" s="3"/>
      <c r="DGQ66" s="3"/>
      <c r="DGR66" s="3"/>
      <c r="DGS66" s="3"/>
      <c r="DGT66" s="3"/>
      <c r="DGU66" s="3"/>
      <c r="DGV66" s="3"/>
      <c r="DGW66" s="3"/>
      <c r="DGX66" s="3"/>
      <c r="DGY66" s="3"/>
      <c r="DGZ66" s="3"/>
      <c r="DHA66" s="3"/>
      <c r="DHB66" s="3"/>
      <c r="DHC66" s="3"/>
      <c r="DHD66" s="3"/>
      <c r="DHE66" s="3"/>
      <c r="DHF66" s="3"/>
      <c r="DHG66" s="3"/>
      <c r="DHH66" s="3"/>
      <c r="DHI66" s="3"/>
      <c r="DHJ66" s="3"/>
      <c r="DHK66" s="3"/>
      <c r="DHL66" s="3"/>
      <c r="DHM66" s="3"/>
      <c r="DHN66" s="3"/>
      <c r="DHO66" s="3"/>
      <c r="DHP66" s="3"/>
      <c r="DHQ66" s="3"/>
      <c r="DHR66" s="3"/>
      <c r="DHS66" s="3"/>
      <c r="DHT66" s="3"/>
      <c r="DHU66" s="3"/>
      <c r="DHV66" s="3"/>
      <c r="DHW66" s="3"/>
      <c r="DHX66" s="3"/>
      <c r="DHY66" s="3"/>
      <c r="DHZ66" s="3"/>
      <c r="DIA66" s="3"/>
      <c r="DIB66" s="3"/>
      <c r="DIC66" s="3"/>
      <c r="DID66" s="3"/>
      <c r="DIE66" s="3"/>
      <c r="DIF66" s="3"/>
      <c r="DIG66" s="3"/>
      <c r="DIH66" s="3"/>
      <c r="DII66" s="3"/>
      <c r="DIJ66" s="3"/>
      <c r="DIK66" s="3"/>
      <c r="DIL66" s="3"/>
      <c r="DIM66" s="3"/>
      <c r="DIN66" s="3"/>
      <c r="DIO66" s="3"/>
      <c r="DIP66" s="3"/>
      <c r="DIQ66" s="3"/>
      <c r="DIR66" s="3"/>
      <c r="DIS66" s="3"/>
      <c r="DIT66" s="3"/>
      <c r="DIU66" s="3"/>
      <c r="DIV66" s="3"/>
      <c r="DIW66" s="3"/>
      <c r="DIX66" s="3"/>
      <c r="DIY66" s="3"/>
      <c r="DIZ66" s="3"/>
      <c r="DJA66" s="3"/>
      <c r="DJB66" s="3"/>
      <c r="DJC66" s="3"/>
      <c r="DJD66" s="3"/>
      <c r="DJE66" s="3"/>
      <c r="DJF66" s="3"/>
      <c r="DJG66" s="3"/>
      <c r="DJH66" s="3"/>
      <c r="DJI66" s="3"/>
      <c r="DJJ66" s="3"/>
      <c r="DJK66" s="3"/>
      <c r="DJL66" s="3"/>
      <c r="DJM66" s="3"/>
      <c r="DJN66" s="3"/>
      <c r="DJO66" s="3"/>
      <c r="DJP66" s="3"/>
      <c r="DJQ66" s="3"/>
      <c r="DJR66" s="3"/>
      <c r="DJS66" s="3"/>
      <c r="DJT66" s="3"/>
      <c r="DJU66" s="3"/>
      <c r="DJV66" s="3"/>
      <c r="DJW66" s="3"/>
      <c r="DJX66" s="3"/>
      <c r="DJY66" s="3"/>
      <c r="DJZ66" s="3"/>
      <c r="DKA66" s="3"/>
      <c r="DKB66" s="3"/>
      <c r="DKC66" s="3"/>
      <c r="DKD66" s="3"/>
      <c r="DKE66" s="3"/>
      <c r="DKF66" s="3"/>
      <c r="DKG66" s="3"/>
      <c r="DKH66" s="3"/>
      <c r="DKI66" s="3"/>
      <c r="DKJ66" s="3"/>
      <c r="DKK66" s="3"/>
      <c r="DKL66" s="3"/>
      <c r="DKM66" s="3"/>
      <c r="DKN66" s="3"/>
      <c r="DKO66" s="3"/>
      <c r="DKP66" s="3"/>
      <c r="DKQ66" s="3"/>
      <c r="DKR66" s="3"/>
      <c r="DKS66" s="3"/>
      <c r="DKT66" s="3"/>
      <c r="DKU66" s="3"/>
      <c r="DKV66" s="3"/>
      <c r="DKW66" s="3"/>
      <c r="DKX66" s="3"/>
      <c r="DKY66" s="3"/>
      <c r="DKZ66" s="3"/>
      <c r="DLA66" s="3"/>
      <c r="DLB66" s="3"/>
      <c r="DLC66" s="3"/>
      <c r="DLD66" s="3"/>
      <c r="DLE66" s="3"/>
      <c r="DLF66" s="3"/>
      <c r="DLG66" s="3"/>
      <c r="DLH66" s="3"/>
      <c r="DLI66" s="3"/>
      <c r="DLJ66" s="3"/>
      <c r="DLK66" s="3"/>
      <c r="DLL66" s="3"/>
      <c r="DLM66" s="3"/>
      <c r="DLN66" s="3"/>
      <c r="DLO66" s="3"/>
      <c r="DLP66" s="3"/>
      <c r="DLQ66" s="3"/>
      <c r="DLR66" s="3"/>
      <c r="DLS66" s="3"/>
      <c r="DLT66" s="3"/>
      <c r="DLU66" s="3"/>
      <c r="DLV66" s="3"/>
      <c r="DLW66" s="3"/>
      <c r="DLX66" s="3"/>
      <c r="DLY66" s="3"/>
      <c r="DLZ66" s="3"/>
      <c r="DMA66" s="3"/>
      <c r="DMB66" s="3"/>
      <c r="DMC66" s="3"/>
      <c r="DMD66" s="3"/>
      <c r="DME66" s="3"/>
      <c r="DMF66" s="3"/>
      <c r="DMG66" s="3"/>
      <c r="DMH66" s="3"/>
      <c r="DMI66" s="3"/>
      <c r="DMJ66" s="3"/>
      <c r="DMK66" s="3"/>
      <c r="DML66" s="3"/>
      <c r="DMM66" s="3"/>
      <c r="DMN66" s="3"/>
      <c r="DMO66" s="3"/>
      <c r="DMP66" s="3"/>
      <c r="DMQ66" s="3"/>
      <c r="DMR66" s="3"/>
      <c r="DMS66" s="3"/>
      <c r="DMT66" s="3"/>
      <c r="DMU66" s="3"/>
      <c r="DMV66" s="3"/>
      <c r="DMW66" s="3"/>
      <c r="DMX66" s="3"/>
      <c r="DMY66" s="3"/>
      <c r="DMZ66" s="3"/>
      <c r="DNA66" s="3"/>
      <c r="DNB66" s="3"/>
      <c r="DNC66" s="3"/>
      <c r="DND66" s="3"/>
      <c r="DNE66" s="3"/>
      <c r="DNF66" s="3"/>
      <c r="DNG66" s="3"/>
      <c r="DNH66" s="3"/>
      <c r="DNI66" s="3"/>
      <c r="DNJ66" s="3"/>
      <c r="DNK66" s="3"/>
      <c r="DNL66" s="3"/>
      <c r="DNM66" s="3"/>
      <c r="DNN66" s="3"/>
      <c r="DNO66" s="3"/>
      <c r="DNP66" s="3"/>
      <c r="DNQ66" s="3"/>
      <c r="DNR66" s="3"/>
      <c r="DNS66" s="3"/>
      <c r="DNT66" s="3"/>
      <c r="DNU66" s="3"/>
      <c r="DNV66" s="3"/>
      <c r="DNW66" s="3"/>
      <c r="DNX66" s="3"/>
      <c r="DNY66" s="3"/>
      <c r="DNZ66" s="3"/>
      <c r="DOA66" s="3"/>
      <c r="DOB66" s="3"/>
      <c r="DOC66" s="3"/>
      <c r="DOD66" s="3"/>
      <c r="DOE66" s="3"/>
      <c r="DOF66" s="3"/>
      <c r="DOG66" s="3"/>
      <c r="DOH66" s="3"/>
      <c r="DOI66" s="3"/>
      <c r="DOJ66" s="3"/>
      <c r="DOK66" s="3"/>
      <c r="DOL66" s="3"/>
      <c r="DOM66" s="3"/>
      <c r="DON66" s="3"/>
      <c r="DOO66" s="3"/>
      <c r="DOP66" s="3"/>
      <c r="DOQ66" s="3"/>
      <c r="DOR66" s="3"/>
      <c r="DOS66" s="3"/>
      <c r="DOT66" s="3"/>
      <c r="DOU66" s="3"/>
      <c r="DOV66" s="3"/>
      <c r="DOW66" s="3"/>
      <c r="DOX66" s="3"/>
      <c r="DOY66" s="3"/>
      <c r="DOZ66" s="3"/>
      <c r="DPA66" s="3"/>
      <c r="DPB66" s="3"/>
      <c r="DPC66" s="3"/>
      <c r="DPD66" s="3"/>
      <c r="DPE66" s="3"/>
      <c r="DPF66" s="3"/>
      <c r="DPG66" s="3"/>
      <c r="DPH66" s="3"/>
      <c r="DPI66" s="3"/>
      <c r="DPJ66" s="3"/>
      <c r="DPK66" s="3"/>
      <c r="DPL66" s="3"/>
      <c r="DPM66" s="3"/>
      <c r="DPN66" s="3"/>
      <c r="DPO66" s="3"/>
      <c r="DPP66" s="3"/>
      <c r="DPQ66" s="3"/>
      <c r="DPR66" s="3"/>
      <c r="DPS66" s="3"/>
      <c r="DPT66" s="3"/>
      <c r="DPU66" s="3"/>
      <c r="DPV66" s="3"/>
      <c r="DPW66" s="3"/>
      <c r="DPX66" s="3"/>
      <c r="DPY66" s="3"/>
      <c r="DPZ66" s="3"/>
      <c r="DQA66" s="3"/>
      <c r="DQB66" s="3"/>
      <c r="DQC66" s="3"/>
      <c r="DQD66" s="3"/>
      <c r="DQE66" s="3"/>
      <c r="DQF66" s="3"/>
      <c r="DQG66" s="3"/>
      <c r="DQH66" s="3"/>
      <c r="DQI66" s="3"/>
      <c r="DQJ66" s="3"/>
      <c r="DQK66" s="3"/>
      <c r="DQL66" s="3"/>
      <c r="DQM66" s="3"/>
      <c r="DQN66" s="3"/>
      <c r="DQO66" s="3"/>
      <c r="DQP66" s="3"/>
      <c r="DQQ66" s="3"/>
      <c r="DQR66" s="3"/>
      <c r="DQS66" s="3"/>
      <c r="DQT66" s="3"/>
      <c r="DQU66" s="3"/>
      <c r="DQV66" s="3"/>
      <c r="DQW66" s="3"/>
      <c r="DQX66" s="3"/>
      <c r="DQY66" s="3"/>
      <c r="DQZ66" s="3"/>
      <c r="DRA66" s="3"/>
      <c r="DRB66" s="3"/>
      <c r="DRC66" s="3"/>
      <c r="DRD66" s="3"/>
      <c r="DRE66" s="3"/>
      <c r="DRF66" s="3"/>
      <c r="DRG66" s="3"/>
      <c r="DRH66" s="3"/>
      <c r="DRI66" s="3"/>
      <c r="DRJ66" s="3"/>
      <c r="DRK66" s="3"/>
      <c r="DRL66" s="3"/>
      <c r="DRM66" s="3"/>
      <c r="DRN66" s="3"/>
      <c r="DRO66" s="3"/>
      <c r="DRP66" s="3"/>
      <c r="DRQ66" s="3"/>
      <c r="DRR66" s="3"/>
      <c r="DRS66" s="3"/>
      <c r="DRT66" s="3"/>
      <c r="DRU66" s="3"/>
      <c r="DRV66" s="3"/>
      <c r="DRW66" s="3"/>
      <c r="DRX66" s="3"/>
      <c r="DRY66" s="3"/>
      <c r="DRZ66" s="3"/>
      <c r="DSA66" s="3"/>
      <c r="DSB66" s="3"/>
      <c r="DSC66" s="3"/>
      <c r="DSD66" s="3"/>
      <c r="DSE66" s="3"/>
      <c r="DSF66" s="3"/>
      <c r="DSG66" s="3"/>
      <c r="DSH66" s="3"/>
      <c r="DSI66" s="3"/>
      <c r="DSJ66" s="3"/>
      <c r="DSK66" s="3"/>
      <c r="DSL66" s="3"/>
      <c r="DSM66" s="3"/>
      <c r="DSN66" s="3"/>
      <c r="DSO66" s="3"/>
      <c r="DSP66" s="3"/>
      <c r="DSQ66" s="3"/>
      <c r="DSR66" s="3"/>
      <c r="DSS66" s="3"/>
      <c r="DST66" s="3"/>
      <c r="DSU66" s="3"/>
      <c r="DSV66" s="3"/>
      <c r="DSW66" s="3"/>
      <c r="DSX66" s="3"/>
      <c r="DSY66" s="3"/>
      <c r="DSZ66" s="3"/>
      <c r="DTA66" s="3"/>
      <c r="DTB66" s="3"/>
      <c r="DTC66" s="3"/>
      <c r="DTD66" s="3"/>
      <c r="DTE66" s="3"/>
      <c r="DTF66" s="3"/>
      <c r="DTG66" s="3"/>
      <c r="DTH66" s="3"/>
      <c r="DTI66" s="3"/>
      <c r="DTJ66" s="3"/>
      <c r="DTK66" s="3"/>
      <c r="DTL66" s="3"/>
      <c r="DTM66" s="3"/>
      <c r="DTN66" s="3"/>
      <c r="DTO66" s="3"/>
      <c r="DTP66" s="3"/>
      <c r="DTQ66" s="3"/>
      <c r="DTR66" s="3"/>
      <c r="DTS66" s="3"/>
      <c r="DTT66" s="3"/>
      <c r="DTU66" s="3"/>
      <c r="DTV66" s="3"/>
      <c r="DTW66" s="3"/>
      <c r="DTX66" s="3"/>
      <c r="DTY66" s="3"/>
      <c r="DTZ66" s="3"/>
      <c r="DUA66" s="3"/>
      <c r="DUB66" s="3"/>
      <c r="DUC66" s="3"/>
      <c r="DUD66" s="3"/>
      <c r="DUE66" s="3"/>
      <c r="DUF66" s="3"/>
      <c r="DUG66" s="3"/>
      <c r="DUH66" s="3"/>
      <c r="DUI66" s="3"/>
      <c r="DUJ66" s="3"/>
      <c r="DUK66" s="3"/>
      <c r="DUL66" s="3"/>
      <c r="DUM66" s="3"/>
      <c r="DUN66" s="3"/>
      <c r="DUO66" s="3"/>
      <c r="DUP66" s="3"/>
      <c r="DUQ66" s="3"/>
      <c r="DUR66" s="3"/>
      <c r="DUS66" s="3"/>
      <c r="DUT66" s="3"/>
      <c r="DUU66" s="3"/>
      <c r="DUV66" s="3"/>
      <c r="DUW66" s="3"/>
      <c r="DUX66" s="3"/>
      <c r="DUY66" s="3"/>
      <c r="DUZ66" s="3"/>
      <c r="DVA66" s="3"/>
      <c r="DVB66" s="3"/>
      <c r="DVC66" s="3"/>
      <c r="DVD66" s="3"/>
      <c r="DVE66" s="3"/>
      <c r="DVF66" s="3"/>
      <c r="DVG66" s="3"/>
      <c r="DVH66" s="3"/>
      <c r="DVI66" s="3"/>
      <c r="DVJ66" s="3"/>
      <c r="DVK66" s="3"/>
      <c r="DVL66" s="3"/>
      <c r="DVM66" s="3"/>
      <c r="DVN66" s="3"/>
      <c r="DVO66" s="3"/>
      <c r="DVP66" s="3"/>
      <c r="DVQ66" s="3"/>
      <c r="DVR66" s="3"/>
      <c r="DVS66" s="3"/>
      <c r="DVT66" s="3"/>
      <c r="DVU66" s="3"/>
      <c r="DVV66" s="3"/>
      <c r="DVW66" s="3"/>
      <c r="DVX66" s="3"/>
      <c r="DVY66" s="3"/>
      <c r="DVZ66" s="3"/>
      <c r="DWA66" s="3"/>
      <c r="DWB66" s="3"/>
      <c r="DWC66" s="3"/>
      <c r="DWD66" s="3"/>
      <c r="DWE66" s="3"/>
      <c r="DWF66" s="3"/>
      <c r="DWG66" s="3"/>
      <c r="DWH66" s="3"/>
      <c r="DWI66" s="3"/>
      <c r="DWJ66" s="3"/>
      <c r="DWK66" s="3"/>
      <c r="DWL66" s="3"/>
      <c r="DWM66" s="3"/>
      <c r="DWN66" s="3"/>
      <c r="DWO66" s="3"/>
      <c r="DWP66" s="3"/>
      <c r="DWQ66" s="3"/>
      <c r="DWR66" s="3"/>
      <c r="DWS66" s="3"/>
      <c r="DWT66" s="3"/>
      <c r="DWU66" s="3"/>
      <c r="DWV66" s="3"/>
      <c r="DWW66" s="3"/>
      <c r="DWX66" s="3"/>
      <c r="DWY66" s="3"/>
      <c r="DWZ66" s="3"/>
      <c r="DXA66" s="3"/>
      <c r="DXB66" s="3"/>
      <c r="DXC66" s="3"/>
      <c r="DXD66" s="3"/>
      <c r="DXE66" s="3"/>
      <c r="DXF66" s="3"/>
      <c r="DXG66" s="3"/>
      <c r="DXH66" s="3"/>
      <c r="DXI66" s="3"/>
      <c r="DXJ66" s="3"/>
      <c r="DXK66" s="3"/>
      <c r="DXL66" s="3"/>
      <c r="DXM66" s="3"/>
      <c r="DXN66" s="3"/>
      <c r="DXO66" s="3"/>
      <c r="DXP66" s="3"/>
      <c r="DXQ66" s="3"/>
      <c r="DXR66" s="3"/>
      <c r="DXS66" s="3"/>
      <c r="DXT66" s="3"/>
      <c r="DXU66" s="3"/>
      <c r="DXV66" s="3"/>
      <c r="DXW66" s="3"/>
      <c r="DXX66" s="3"/>
      <c r="DXY66" s="3"/>
      <c r="DXZ66" s="3"/>
      <c r="DYA66" s="3"/>
      <c r="DYB66" s="3"/>
      <c r="DYC66" s="3"/>
      <c r="DYD66" s="3"/>
      <c r="DYE66" s="3"/>
      <c r="DYF66" s="3"/>
      <c r="DYG66" s="3"/>
      <c r="DYH66" s="3"/>
      <c r="DYI66" s="3"/>
      <c r="DYJ66" s="3"/>
      <c r="DYK66" s="3"/>
      <c r="DYL66" s="3"/>
      <c r="DYM66" s="3"/>
      <c r="DYN66" s="3"/>
      <c r="DYO66" s="3"/>
      <c r="DYP66" s="3"/>
      <c r="DYQ66" s="3"/>
      <c r="DYR66" s="3"/>
      <c r="DYS66" s="3"/>
      <c r="DYT66" s="3"/>
      <c r="DYU66" s="3"/>
      <c r="DYV66" s="3"/>
      <c r="DYW66" s="3"/>
      <c r="DYX66" s="3"/>
      <c r="DYY66" s="3"/>
      <c r="DYZ66" s="3"/>
      <c r="DZA66" s="3"/>
      <c r="DZB66" s="3"/>
      <c r="DZC66" s="3"/>
      <c r="DZD66" s="3"/>
      <c r="DZE66" s="3"/>
      <c r="DZF66" s="3"/>
      <c r="DZG66" s="3"/>
      <c r="DZH66" s="3"/>
      <c r="DZI66" s="3"/>
      <c r="DZJ66" s="3"/>
      <c r="DZK66" s="3"/>
      <c r="DZL66" s="3"/>
      <c r="DZM66" s="3"/>
      <c r="DZN66" s="3"/>
      <c r="DZO66" s="3"/>
      <c r="DZP66" s="3"/>
      <c r="DZQ66" s="3"/>
      <c r="DZR66" s="3"/>
      <c r="DZS66" s="3"/>
      <c r="DZT66" s="3"/>
      <c r="DZU66" s="3"/>
      <c r="DZV66" s="3"/>
      <c r="DZW66" s="3"/>
      <c r="DZX66" s="3"/>
      <c r="DZY66" s="3"/>
      <c r="DZZ66" s="3"/>
      <c r="EAA66" s="3"/>
      <c r="EAB66" s="3"/>
      <c r="EAC66" s="3"/>
      <c r="EAD66" s="3"/>
      <c r="EAE66" s="3"/>
      <c r="EAF66" s="3"/>
      <c r="EAG66" s="3"/>
      <c r="EAH66" s="3"/>
      <c r="EAI66" s="3"/>
      <c r="EAJ66" s="3"/>
      <c r="EAK66" s="3"/>
      <c r="EAL66" s="3"/>
      <c r="EAM66" s="3"/>
      <c r="EAN66" s="3"/>
      <c r="EAO66" s="3"/>
      <c r="EAP66" s="3"/>
      <c r="EAQ66" s="3"/>
      <c r="EAR66" s="3"/>
      <c r="EAS66" s="3"/>
      <c r="EAT66" s="3"/>
      <c r="EAU66" s="3"/>
      <c r="EAV66" s="3"/>
      <c r="EAW66" s="3"/>
      <c r="EAX66" s="3"/>
      <c r="EAY66" s="3"/>
      <c r="EAZ66" s="3"/>
      <c r="EBA66" s="3"/>
      <c r="EBB66" s="3"/>
      <c r="EBC66" s="3"/>
      <c r="EBD66" s="3"/>
      <c r="EBE66" s="3"/>
      <c r="EBF66" s="3"/>
      <c r="EBG66" s="3"/>
      <c r="EBH66" s="3"/>
      <c r="EBI66" s="3"/>
      <c r="EBJ66" s="3"/>
      <c r="EBK66" s="3"/>
      <c r="EBL66" s="3"/>
      <c r="EBM66" s="3"/>
      <c r="EBN66" s="3"/>
      <c r="EBO66" s="3"/>
      <c r="EBP66" s="3"/>
      <c r="EBQ66" s="3"/>
      <c r="EBR66" s="3"/>
      <c r="EBS66" s="3"/>
      <c r="EBT66" s="3"/>
      <c r="EBU66" s="3"/>
      <c r="EBV66" s="3"/>
      <c r="EBW66" s="3"/>
      <c r="EBX66" s="3"/>
      <c r="EBY66" s="3"/>
      <c r="EBZ66" s="3"/>
      <c r="ECA66" s="3"/>
      <c r="ECB66" s="3"/>
      <c r="ECC66" s="3"/>
      <c r="ECD66" s="3"/>
      <c r="ECE66" s="3"/>
      <c r="ECF66" s="3"/>
      <c r="ECG66" s="3"/>
      <c r="ECH66" s="3"/>
      <c r="ECI66" s="3"/>
      <c r="ECJ66" s="3"/>
      <c r="ECK66" s="3"/>
      <c r="ECL66" s="3"/>
      <c r="ECM66" s="3"/>
      <c r="ECN66" s="3"/>
      <c r="ECO66" s="3"/>
      <c r="ECP66" s="3"/>
      <c r="ECQ66" s="3"/>
      <c r="ECR66" s="3"/>
      <c r="ECS66" s="3"/>
      <c r="ECT66" s="3"/>
      <c r="ECU66" s="3"/>
      <c r="ECV66" s="3"/>
      <c r="ECW66" s="3"/>
      <c r="ECX66" s="3"/>
      <c r="ECY66" s="3"/>
      <c r="ECZ66" s="3"/>
      <c r="EDA66" s="3"/>
      <c r="EDB66" s="3"/>
      <c r="EDC66" s="3"/>
      <c r="EDD66" s="3"/>
      <c r="EDE66" s="3"/>
      <c r="EDF66" s="3"/>
      <c r="EDG66" s="3"/>
      <c r="EDH66" s="3"/>
      <c r="EDI66" s="3"/>
      <c r="EDJ66" s="3"/>
      <c r="EDK66" s="3"/>
      <c r="EDL66" s="3"/>
      <c r="EDM66" s="3"/>
      <c r="EDN66" s="3"/>
      <c r="EDO66" s="3"/>
      <c r="EDP66" s="3"/>
      <c r="EDQ66" s="3"/>
      <c r="EDR66" s="3"/>
      <c r="EDS66" s="3"/>
      <c r="EDT66" s="3"/>
      <c r="EDU66" s="3"/>
      <c r="EDV66" s="3"/>
      <c r="EDW66" s="3"/>
      <c r="EDX66" s="3"/>
      <c r="EDY66" s="3"/>
      <c r="EDZ66" s="3"/>
      <c r="EEA66" s="3"/>
      <c r="EEB66" s="3"/>
      <c r="EEC66" s="3"/>
      <c r="EED66" s="3"/>
      <c r="EEE66" s="3"/>
      <c r="EEF66" s="3"/>
      <c r="EEG66" s="3"/>
      <c r="EEH66" s="3"/>
      <c r="EEI66" s="3"/>
      <c r="EEJ66" s="3"/>
      <c r="EEK66" s="3"/>
      <c r="EEL66" s="3"/>
      <c r="EEM66" s="3"/>
      <c r="EEN66" s="3"/>
      <c r="EEO66" s="3"/>
      <c r="EEP66" s="3"/>
      <c r="EEQ66" s="3"/>
      <c r="EER66" s="3"/>
      <c r="EES66" s="3"/>
      <c r="EET66" s="3"/>
      <c r="EEU66" s="3"/>
      <c r="EEV66" s="3"/>
      <c r="EEW66" s="3"/>
      <c r="EEX66" s="3"/>
      <c r="EEY66" s="3"/>
      <c r="EEZ66" s="3"/>
      <c r="EFA66" s="3"/>
      <c r="EFB66" s="3"/>
      <c r="EFC66" s="3"/>
      <c r="EFD66" s="3"/>
      <c r="EFE66" s="3"/>
      <c r="EFF66" s="3"/>
      <c r="EFG66" s="3"/>
      <c r="EFH66" s="3"/>
      <c r="EFI66" s="3"/>
      <c r="EFJ66" s="3"/>
      <c r="EFK66" s="3"/>
      <c r="EFL66" s="3"/>
      <c r="EFM66" s="3"/>
      <c r="EFN66" s="3"/>
      <c r="EFO66" s="3"/>
      <c r="EFP66" s="3"/>
      <c r="EFQ66" s="3"/>
      <c r="EFR66" s="3"/>
      <c r="EFS66" s="3"/>
      <c r="EFT66" s="3"/>
      <c r="EFU66" s="3"/>
      <c r="EFV66" s="3"/>
      <c r="EFW66" s="3"/>
      <c r="EFX66" s="3"/>
      <c r="EFY66" s="3"/>
      <c r="EFZ66" s="3"/>
      <c r="EGA66" s="3"/>
      <c r="EGB66" s="3"/>
      <c r="EGC66" s="3"/>
      <c r="EGD66" s="3"/>
      <c r="EGE66" s="3"/>
      <c r="EGF66" s="3"/>
      <c r="EGG66" s="3"/>
      <c r="EGH66" s="3"/>
      <c r="EGI66" s="3"/>
      <c r="EGJ66" s="3"/>
      <c r="EGK66" s="3"/>
      <c r="EGL66" s="3"/>
      <c r="EGM66" s="3"/>
      <c r="EGN66" s="3"/>
      <c r="EGO66" s="3"/>
      <c r="EGP66" s="3"/>
      <c r="EGQ66" s="3"/>
      <c r="EGR66" s="3"/>
      <c r="EGS66" s="3"/>
      <c r="EGT66" s="3"/>
      <c r="EGU66" s="3"/>
      <c r="EGV66" s="3"/>
      <c r="EGW66" s="3"/>
      <c r="EGX66" s="3"/>
      <c r="EGY66" s="3"/>
      <c r="EGZ66" s="3"/>
      <c r="EHA66" s="3"/>
      <c r="EHB66" s="3"/>
      <c r="EHC66" s="3"/>
      <c r="EHD66" s="3"/>
      <c r="EHE66" s="3"/>
      <c r="EHF66" s="3"/>
      <c r="EHG66" s="3"/>
      <c r="EHH66" s="3"/>
      <c r="EHI66" s="3"/>
      <c r="EHJ66" s="3"/>
      <c r="EHK66" s="3"/>
      <c r="EHL66" s="3"/>
      <c r="EHM66" s="3"/>
      <c r="EHN66" s="3"/>
      <c r="EHO66" s="3"/>
      <c r="EHP66" s="3"/>
      <c r="EHQ66" s="3"/>
      <c r="EHR66" s="3"/>
      <c r="EHS66" s="3"/>
      <c r="EHT66" s="3"/>
      <c r="EHU66" s="3"/>
      <c r="EHV66" s="3"/>
      <c r="EHW66" s="3"/>
      <c r="EHX66" s="3"/>
      <c r="EHY66" s="3"/>
      <c r="EHZ66" s="3"/>
      <c r="EIA66" s="3"/>
      <c r="EIB66" s="3"/>
      <c r="EIC66" s="3"/>
      <c r="EID66" s="3"/>
      <c r="EIE66" s="3"/>
      <c r="EIF66" s="3"/>
      <c r="EIG66" s="3"/>
      <c r="EIH66" s="3"/>
      <c r="EII66" s="3"/>
      <c r="EIJ66" s="3"/>
      <c r="EIK66" s="3"/>
      <c r="EIL66" s="3"/>
      <c r="EIM66" s="3"/>
      <c r="EIN66" s="3"/>
      <c r="EIO66" s="3"/>
      <c r="EIP66" s="3"/>
      <c r="EIQ66" s="3"/>
      <c r="EIR66" s="3"/>
      <c r="EIS66" s="3"/>
      <c r="EIT66" s="3"/>
      <c r="EIU66" s="3"/>
      <c r="EIV66" s="3"/>
      <c r="EIW66" s="3"/>
      <c r="EIX66" s="3"/>
      <c r="EIY66" s="3"/>
      <c r="EIZ66" s="3"/>
      <c r="EJA66" s="3"/>
      <c r="EJB66" s="3"/>
      <c r="EJC66" s="3"/>
      <c r="EJD66" s="3"/>
      <c r="EJE66" s="3"/>
      <c r="EJF66" s="3"/>
      <c r="EJG66" s="3"/>
      <c r="EJH66" s="3"/>
      <c r="EJI66" s="3"/>
      <c r="EJJ66" s="3"/>
      <c r="EJK66" s="3"/>
      <c r="EJL66" s="3"/>
      <c r="EJM66" s="3"/>
      <c r="EJN66" s="3"/>
      <c r="EJO66" s="3"/>
      <c r="EJP66" s="3"/>
      <c r="EJQ66" s="3"/>
      <c r="EJR66" s="3"/>
      <c r="EJS66" s="3"/>
      <c r="EJT66" s="3"/>
      <c r="EJU66" s="3"/>
      <c r="EJV66" s="3"/>
      <c r="EJW66" s="3"/>
      <c r="EJX66" s="3"/>
      <c r="EJY66" s="3"/>
      <c r="EJZ66" s="3"/>
      <c r="EKA66" s="3"/>
      <c r="EKB66" s="3"/>
      <c r="EKC66" s="3"/>
      <c r="EKD66" s="3"/>
      <c r="EKE66" s="3"/>
      <c r="EKF66" s="3"/>
      <c r="EKG66" s="3"/>
      <c r="EKH66" s="3"/>
      <c r="EKI66" s="3"/>
      <c r="EKJ66" s="3"/>
      <c r="EKK66" s="3"/>
      <c r="EKL66" s="3"/>
      <c r="EKM66" s="3"/>
      <c r="EKN66" s="3"/>
      <c r="EKO66" s="3"/>
      <c r="EKP66" s="3"/>
      <c r="EKQ66" s="3"/>
      <c r="EKR66" s="3"/>
      <c r="EKS66" s="3"/>
      <c r="EKT66" s="3"/>
      <c r="EKU66" s="3"/>
      <c r="EKV66" s="3"/>
      <c r="EKW66" s="3"/>
      <c r="EKX66" s="3"/>
      <c r="EKY66" s="3"/>
      <c r="EKZ66" s="3"/>
      <c r="ELA66" s="3"/>
      <c r="ELB66" s="3"/>
      <c r="ELC66" s="3"/>
      <c r="ELD66" s="3"/>
      <c r="ELE66" s="3"/>
      <c r="ELF66" s="3"/>
      <c r="ELG66" s="3"/>
      <c r="ELH66" s="3"/>
      <c r="ELI66" s="3"/>
      <c r="ELJ66" s="3"/>
      <c r="ELK66" s="3"/>
      <c r="ELL66" s="3"/>
      <c r="ELM66" s="3"/>
      <c r="ELN66" s="3"/>
      <c r="ELO66" s="3"/>
      <c r="ELP66" s="3"/>
      <c r="ELQ66" s="3"/>
      <c r="ELR66" s="3"/>
      <c r="ELS66" s="3"/>
      <c r="ELT66" s="3"/>
      <c r="ELU66" s="3"/>
      <c r="ELV66" s="3"/>
      <c r="ELW66" s="3"/>
      <c r="ELX66" s="3"/>
      <c r="ELY66" s="3"/>
      <c r="ELZ66" s="3"/>
      <c r="EMA66" s="3"/>
      <c r="EMB66" s="3"/>
      <c r="EMC66" s="3"/>
      <c r="EMD66" s="3"/>
      <c r="EME66" s="3"/>
      <c r="EMF66" s="3"/>
      <c r="EMG66" s="3"/>
      <c r="EMH66" s="3"/>
      <c r="EMI66" s="3"/>
      <c r="EMJ66" s="3"/>
      <c r="EMK66" s="3"/>
      <c r="EML66" s="3"/>
      <c r="EMM66" s="3"/>
      <c r="EMN66" s="3"/>
      <c r="EMO66" s="3"/>
      <c r="EMP66" s="3"/>
      <c r="EMQ66" s="3"/>
      <c r="EMR66" s="3"/>
      <c r="EMS66" s="3"/>
      <c r="EMT66" s="3"/>
      <c r="EMU66" s="3"/>
      <c r="EMV66" s="3"/>
      <c r="EMW66" s="3"/>
      <c r="EMX66" s="3"/>
      <c r="EMY66" s="3"/>
      <c r="EMZ66" s="3"/>
      <c r="ENA66" s="3"/>
      <c r="ENB66" s="3"/>
      <c r="ENC66" s="3"/>
      <c r="END66" s="3"/>
      <c r="ENE66" s="3"/>
      <c r="ENF66" s="3"/>
      <c r="ENG66" s="3"/>
      <c r="ENH66" s="3"/>
      <c r="ENI66" s="3"/>
      <c r="ENJ66" s="3"/>
      <c r="ENK66" s="3"/>
      <c r="ENL66" s="3"/>
      <c r="ENM66" s="3"/>
      <c r="ENN66" s="3"/>
      <c r="ENO66" s="3"/>
      <c r="ENP66" s="3"/>
      <c r="ENQ66" s="3"/>
      <c r="ENR66" s="3"/>
      <c r="ENS66" s="3"/>
      <c r="ENT66" s="3"/>
      <c r="ENU66" s="3"/>
      <c r="ENV66" s="3"/>
      <c r="ENW66" s="3"/>
      <c r="ENX66" s="3"/>
      <c r="ENY66" s="3"/>
      <c r="ENZ66" s="3"/>
      <c r="EOA66" s="3"/>
      <c r="EOB66" s="3"/>
      <c r="EOC66" s="3"/>
      <c r="EOD66" s="3"/>
      <c r="EOE66" s="3"/>
      <c r="EOF66" s="3"/>
      <c r="EOG66" s="3"/>
      <c r="EOH66" s="3"/>
      <c r="EOI66" s="3"/>
      <c r="EOJ66" s="3"/>
      <c r="EOK66" s="3"/>
      <c r="EOL66" s="3"/>
      <c r="EOM66" s="3"/>
      <c r="EON66" s="3"/>
      <c r="EOO66" s="3"/>
      <c r="EOP66" s="3"/>
      <c r="EOQ66" s="3"/>
      <c r="EOR66" s="3"/>
      <c r="EOS66" s="3"/>
      <c r="EOT66" s="3"/>
      <c r="EOU66" s="3"/>
      <c r="EOV66" s="3"/>
      <c r="EOW66" s="3"/>
      <c r="EOX66" s="3"/>
      <c r="EOY66" s="3"/>
      <c r="EOZ66" s="3"/>
      <c r="EPA66" s="3"/>
      <c r="EPB66" s="3"/>
      <c r="EPC66" s="3"/>
      <c r="EPD66" s="3"/>
      <c r="EPE66" s="3"/>
      <c r="EPF66" s="3"/>
      <c r="EPG66" s="3"/>
      <c r="EPH66" s="3"/>
      <c r="EPI66" s="3"/>
      <c r="EPJ66" s="3"/>
      <c r="EPK66" s="3"/>
      <c r="EPL66" s="3"/>
      <c r="EPM66" s="3"/>
      <c r="EPN66" s="3"/>
      <c r="EPO66" s="3"/>
      <c r="EPP66" s="3"/>
      <c r="EPQ66" s="3"/>
      <c r="EPR66" s="3"/>
      <c r="EPS66" s="3"/>
      <c r="EPT66" s="3"/>
      <c r="EPU66" s="3"/>
      <c r="EPV66" s="3"/>
      <c r="EPW66" s="3"/>
      <c r="EPX66" s="3"/>
      <c r="EPY66" s="3"/>
      <c r="EPZ66" s="3"/>
      <c r="EQA66" s="3"/>
      <c r="EQB66" s="3"/>
      <c r="EQC66" s="3"/>
      <c r="EQD66" s="3"/>
      <c r="EQE66" s="3"/>
      <c r="EQF66" s="3"/>
      <c r="EQG66" s="3"/>
      <c r="EQH66" s="3"/>
      <c r="EQI66" s="3"/>
      <c r="EQJ66" s="3"/>
      <c r="EQK66" s="3"/>
      <c r="EQL66" s="3"/>
      <c r="EQM66" s="3"/>
      <c r="EQN66" s="3"/>
      <c r="EQO66" s="3"/>
      <c r="EQP66" s="3"/>
      <c r="EQQ66" s="3"/>
      <c r="EQR66" s="3"/>
      <c r="EQS66" s="3"/>
      <c r="EQT66" s="3"/>
      <c r="EQU66" s="3"/>
      <c r="EQV66" s="3"/>
      <c r="EQW66" s="3"/>
      <c r="EQX66" s="3"/>
      <c r="EQY66" s="3"/>
      <c r="EQZ66" s="3"/>
      <c r="ERA66" s="3"/>
      <c r="ERB66" s="3"/>
      <c r="ERC66" s="3"/>
      <c r="ERD66" s="3"/>
      <c r="ERE66" s="3"/>
      <c r="ERF66" s="3"/>
      <c r="ERG66" s="3"/>
      <c r="ERH66" s="3"/>
      <c r="ERI66" s="3"/>
      <c r="ERJ66" s="3"/>
      <c r="ERK66" s="3"/>
      <c r="ERL66" s="3"/>
      <c r="ERM66" s="3"/>
      <c r="ERN66" s="3"/>
      <c r="ERO66" s="3"/>
      <c r="ERP66" s="3"/>
      <c r="ERQ66" s="3"/>
      <c r="ERR66" s="3"/>
      <c r="ERS66" s="3"/>
      <c r="ERT66" s="3"/>
      <c r="ERU66" s="3"/>
      <c r="ERV66" s="3"/>
      <c r="ERW66" s="3"/>
      <c r="ERX66" s="3"/>
      <c r="ERY66" s="3"/>
      <c r="ERZ66" s="3"/>
      <c r="ESA66" s="3"/>
      <c r="ESB66" s="3"/>
      <c r="ESC66" s="3"/>
      <c r="ESD66" s="3"/>
      <c r="ESE66" s="3"/>
      <c r="ESF66" s="3"/>
      <c r="ESG66" s="3"/>
      <c r="ESH66" s="3"/>
      <c r="ESI66" s="3"/>
      <c r="ESJ66" s="3"/>
      <c r="ESK66" s="3"/>
      <c r="ESL66" s="3"/>
      <c r="ESM66" s="3"/>
      <c r="ESN66" s="3"/>
      <c r="ESO66" s="3"/>
      <c r="ESP66" s="3"/>
      <c r="ESQ66" s="3"/>
      <c r="ESR66" s="3"/>
      <c r="ESS66" s="3"/>
      <c r="EST66" s="3"/>
      <c r="ESU66" s="3"/>
      <c r="ESV66" s="3"/>
      <c r="ESW66" s="3"/>
      <c r="ESX66" s="3"/>
      <c r="ESY66" s="3"/>
      <c r="ESZ66" s="3"/>
      <c r="ETA66" s="3"/>
      <c r="ETB66" s="3"/>
      <c r="ETC66" s="3"/>
      <c r="ETD66" s="3"/>
      <c r="ETE66" s="3"/>
      <c r="ETF66" s="3"/>
      <c r="ETG66" s="3"/>
      <c r="ETH66" s="3"/>
      <c r="ETI66" s="3"/>
      <c r="ETJ66" s="3"/>
      <c r="ETK66" s="3"/>
      <c r="ETL66" s="3"/>
      <c r="ETM66" s="3"/>
      <c r="ETN66" s="3"/>
      <c r="ETO66" s="3"/>
      <c r="ETP66" s="3"/>
      <c r="ETQ66" s="3"/>
      <c r="ETR66" s="3"/>
      <c r="ETS66" s="3"/>
      <c r="ETT66" s="3"/>
      <c r="ETU66" s="3"/>
      <c r="ETV66" s="3"/>
      <c r="ETW66" s="3"/>
      <c r="ETX66" s="3"/>
      <c r="ETY66" s="3"/>
      <c r="ETZ66" s="3"/>
      <c r="EUA66" s="3"/>
      <c r="EUB66" s="3"/>
      <c r="EUC66" s="3"/>
      <c r="EUD66" s="3"/>
      <c r="EUE66" s="3"/>
      <c r="EUF66" s="3"/>
      <c r="EUG66" s="3"/>
      <c r="EUH66" s="3"/>
      <c r="EUI66" s="3"/>
      <c r="EUJ66" s="3"/>
      <c r="EUK66" s="3"/>
      <c r="EUL66" s="3"/>
      <c r="EUM66" s="3"/>
      <c r="EUN66" s="3"/>
      <c r="EUO66" s="3"/>
      <c r="EUP66" s="3"/>
      <c r="EUQ66" s="3"/>
      <c r="EUR66" s="3"/>
      <c r="EUS66" s="3"/>
      <c r="EUT66" s="3"/>
      <c r="EUU66" s="3"/>
      <c r="EUV66" s="3"/>
      <c r="EUW66" s="3"/>
      <c r="EUX66" s="3"/>
      <c r="EUY66" s="3"/>
      <c r="EUZ66" s="3"/>
      <c r="EVA66" s="3"/>
      <c r="EVB66" s="3"/>
      <c r="EVC66" s="3"/>
      <c r="EVD66" s="3"/>
      <c r="EVE66" s="3"/>
      <c r="EVF66" s="3"/>
      <c r="EVG66" s="3"/>
      <c r="EVH66" s="3"/>
      <c r="EVI66" s="3"/>
      <c r="EVJ66" s="3"/>
      <c r="EVK66" s="3"/>
      <c r="EVL66" s="3"/>
      <c r="EVM66" s="3"/>
      <c r="EVN66" s="3"/>
      <c r="EVO66" s="3"/>
      <c r="EVP66" s="3"/>
      <c r="EVQ66" s="3"/>
      <c r="EVR66" s="3"/>
      <c r="EVS66" s="3"/>
      <c r="EVT66" s="3"/>
      <c r="EVU66" s="3"/>
      <c r="EVV66" s="3"/>
      <c r="EVW66" s="3"/>
      <c r="EVX66" s="3"/>
      <c r="EVY66" s="3"/>
      <c r="EVZ66" s="3"/>
      <c r="EWA66" s="3"/>
      <c r="EWB66" s="3"/>
      <c r="EWC66" s="3"/>
      <c r="EWD66" s="3"/>
      <c r="EWE66" s="3"/>
      <c r="EWF66" s="3"/>
      <c r="EWG66" s="3"/>
      <c r="EWH66" s="3"/>
      <c r="EWI66" s="3"/>
      <c r="EWJ66" s="3"/>
      <c r="EWK66" s="3"/>
      <c r="EWL66" s="3"/>
      <c r="EWM66" s="3"/>
      <c r="EWN66" s="3"/>
      <c r="EWO66" s="3"/>
      <c r="EWP66" s="3"/>
      <c r="EWQ66" s="3"/>
      <c r="EWR66" s="3"/>
      <c r="EWS66" s="3"/>
      <c r="EWT66" s="3"/>
      <c r="EWU66" s="3"/>
      <c r="EWV66" s="3"/>
      <c r="EWW66" s="3"/>
      <c r="EWX66" s="3"/>
      <c r="EWY66" s="3"/>
      <c r="EWZ66" s="3"/>
      <c r="EXA66" s="3"/>
      <c r="EXB66" s="3"/>
      <c r="EXC66" s="3"/>
      <c r="EXD66" s="3"/>
      <c r="EXE66" s="3"/>
      <c r="EXF66" s="3"/>
      <c r="EXG66" s="3"/>
      <c r="EXH66" s="3"/>
      <c r="EXI66" s="3"/>
      <c r="EXJ66" s="3"/>
      <c r="EXK66" s="3"/>
      <c r="EXL66" s="3"/>
      <c r="EXM66" s="3"/>
      <c r="EXN66" s="3"/>
      <c r="EXO66" s="3"/>
      <c r="EXP66" s="3"/>
      <c r="EXQ66" s="3"/>
      <c r="EXR66" s="3"/>
      <c r="EXS66" s="3"/>
      <c r="EXT66" s="3"/>
      <c r="EXU66" s="3"/>
      <c r="EXV66" s="3"/>
      <c r="EXW66" s="3"/>
      <c r="EXX66" s="3"/>
      <c r="EXY66" s="3"/>
      <c r="EXZ66" s="3"/>
      <c r="EYA66" s="3"/>
      <c r="EYB66" s="3"/>
      <c r="EYC66" s="3"/>
      <c r="EYD66" s="3"/>
      <c r="EYE66" s="3"/>
      <c r="EYF66" s="3"/>
      <c r="EYG66" s="3"/>
      <c r="EYH66" s="3"/>
      <c r="EYI66" s="3"/>
      <c r="EYJ66" s="3"/>
      <c r="EYK66" s="3"/>
      <c r="EYL66" s="3"/>
      <c r="EYM66" s="3"/>
      <c r="EYN66" s="3"/>
      <c r="EYO66" s="3"/>
      <c r="EYP66" s="3"/>
      <c r="EYQ66" s="3"/>
      <c r="EYR66" s="3"/>
      <c r="EYS66" s="3"/>
      <c r="EYT66" s="3"/>
      <c r="EYU66" s="3"/>
      <c r="EYV66" s="3"/>
      <c r="EYW66" s="3"/>
      <c r="EYX66" s="3"/>
      <c r="EYY66" s="3"/>
      <c r="EYZ66" s="3"/>
      <c r="EZA66" s="3"/>
      <c r="EZB66" s="3"/>
      <c r="EZC66" s="3"/>
      <c r="EZD66" s="3"/>
      <c r="EZE66" s="3"/>
      <c r="EZF66" s="3"/>
      <c r="EZG66" s="3"/>
      <c r="EZH66" s="3"/>
      <c r="EZI66" s="3"/>
      <c r="EZJ66" s="3"/>
      <c r="EZK66" s="3"/>
      <c r="EZL66" s="3"/>
      <c r="EZM66" s="3"/>
      <c r="EZN66" s="3"/>
      <c r="EZO66" s="3"/>
      <c r="EZP66" s="3"/>
      <c r="EZQ66" s="3"/>
      <c r="EZR66" s="3"/>
      <c r="EZS66" s="3"/>
      <c r="EZT66" s="3"/>
      <c r="EZU66" s="3"/>
      <c r="EZV66" s="3"/>
      <c r="EZW66" s="3"/>
      <c r="EZX66" s="3"/>
      <c r="EZY66" s="3"/>
      <c r="EZZ66" s="3"/>
      <c r="FAA66" s="3"/>
      <c r="FAB66" s="3"/>
      <c r="FAC66" s="3"/>
      <c r="FAD66" s="3"/>
      <c r="FAE66" s="3"/>
      <c r="FAF66" s="3"/>
      <c r="FAG66" s="3"/>
      <c r="FAH66" s="3"/>
      <c r="FAI66" s="3"/>
      <c r="FAJ66" s="3"/>
      <c r="FAK66" s="3"/>
      <c r="FAL66" s="3"/>
      <c r="FAM66" s="3"/>
      <c r="FAN66" s="3"/>
      <c r="FAO66" s="3"/>
      <c r="FAP66" s="3"/>
      <c r="FAQ66" s="3"/>
      <c r="FAR66" s="3"/>
      <c r="FAS66" s="3"/>
      <c r="FAT66" s="3"/>
      <c r="FAU66" s="3"/>
      <c r="FAV66" s="3"/>
      <c r="FAW66" s="3"/>
      <c r="FAX66" s="3"/>
      <c r="FAY66" s="3"/>
      <c r="FAZ66" s="3"/>
      <c r="FBA66" s="3"/>
      <c r="FBB66" s="3"/>
      <c r="FBC66" s="3"/>
      <c r="FBD66" s="3"/>
      <c r="FBE66" s="3"/>
      <c r="FBF66" s="3"/>
      <c r="FBG66" s="3"/>
      <c r="FBH66" s="3"/>
      <c r="FBI66" s="3"/>
      <c r="FBJ66" s="3"/>
      <c r="FBK66" s="3"/>
      <c r="FBL66" s="3"/>
      <c r="FBM66" s="3"/>
      <c r="FBN66" s="3"/>
      <c r="FBO66" s="3"/>
      <c r="FBP66" s="3"/>
      <c r="FBQ66" s="3"/>
      <c r="FBR66" s="3"/>
      <c r="FBS66" s="3"/>
      <c r="FBT66" s="3"/>
      <c r="FBU66" s="3"/>
      <c r="FBV66" s="3"/>
      <c r="FBW66" s="3"/>
      <c r="FBX66" s="3"/>
      <c r="FBY66" s="3"/>
      <c r="FBZ66" s="3"/>
      <c r="FCA66" s="3"/>
      <c r="FCB66" s="3"/>
      <c r="FCC66" s="3"/>
      <c r="FCD66" s="3"/>
      <c r="FCE66" s="3"/>
      <c r="FCF66" s="3"/>
      <c r="FCG66" s="3"/>
      <c r="FCH66" s="3"/>
      <c r="FCI66" s="3"/>
      <c r="FCJ66" s="3"/>
      <c r="FCK66" s="3"/>
      <c r="FCL66" s="3"/>
      <c r="FCM66" s="3"/>
      <c r="FCN66" s="3"/>
      <c r="FCO66" s="3"/>
      <c r="FCP66" s="3"/>
      <c r="FCQ66" s="3"/>
      <c r="FCR66" s="3"/>
      <c r="FCS66" s="3"/>
      <c r="FCT66" s="3"/>
      <c r="FCU66" s="3"/>
      <c r="FCV66" s="3"/>
      <c r="FCW66" s="3"/>
      <c r="FCX66" s="3"/>
      <c r="FCY66" s="3"/>
      <c r="FCZ66" s="3"/>
      <c r="FDA66" s="3"/>
      <c r="FDB66" s="3"/>
      <c r="FDC66" s="3"/>
      <c r="FDD66" s="3"/>
      <c r="FDE66" s="3"/>
      <c r="FDF66" s="3"/>
      <c r="FDG66" s="3"/>
      <c r="FDH66" s="3"/>
      <c r="FDI66" s="3"/>
      <c r="FDJ66" s="3"/>
      <c r="FDK66" s="3"/>
      <c r="FDL66" s="3"/>
      <c r="FDM66" s="3"/>
      <c r="FDN66" s="3"/>
      <c r="FDO66" s="3"/>
      <c r="FDP66" s="3"/>
      <c r="FDQ66" s="3"/>
      <c r="FDR66" s="3"/>
      <c r="FDS66" s="3"/>
      <c r="FDT66" s="3"/>
      <c r="FDU66" s="3"/>
      <c r="FDV66" s="3"/>
      <c r="FDW66" s="3"/>
      <c r="FDX66" s="3"/>
      <c r="FDY66" s="3"/>
      <c r="FDZ66" s="3"/>
      <c r="FEA66" s="3"/>
      <c r="FEB66" s="3"/>
      <c r="FEC66" s="3"/>
      <c r="FED66" s="3"/>
      <c r="FEE66" s="3"/>
      <c r="FEF66" s="3"/>
      <c r="FEG66" s="3"/>
      <c r="FEH66" s="3"/>
      <c r="FEI66" s="3"/>
      <c r="FEJ66" s="3"/>
      <c r="FEK66" s="3"/>
      <c r="FEL66" s="3"/>
      <c r="FEM66" s="3"/>
      <c r="FEN66" s="3"/>
      <c r="FEO66" s="3"/>
      <c r="FEP66" s="3"/>
      <c r="FEQ66" s="3"/>
      <c r="FER66" s="3"/>
      <c r="FES66" s="3"/>
      <c r="FET66" s="3"/>
      <c r="FEU66" s="3"/>
      <c r="FEV66" s="3"/>
      <c r="FEW66" s="3"/>
      <c r="FEX66" s="3"/>
      <c r="FEY66" s="3"/>
      <c r="FEZ66" s="3"/>
      <c r="FFA66" s="3"/>
      <c r="FFB66" s="3"/>
      <c r="FFC66" s="3"/>
      <c r="FFD66" s="3"/>
      <c r="FFE66" s="3"/>
      <c r="FFF66" s="3"/>
      <c r="FFG66" s="3"/>
      <c r="FFH66" s="3"/>
      <c r="FFI66" s="3"/>
      <c r="FFJ66" s="3"/>
      <c r="FFK66" s="3"/>
      <c r="FFL66" s="3"/>
      <c r="FFM66" s="3"/>
      <c r="FFN66" s="3"/>
      <c r="FFO66" s="3"/>
      <c r="FFP66" s="3"/>
      <c r="FFQ66" s="3"/>
      <c r="FFR66" s="3"/>
      <c r="FFS66" s="3"/>
      <c r="FFT66" s="3"/>
      <c r="FFU66" s="3"/>
      <c r="FFV66" s="3"/>
      <c r="FFW66" s="3"/>
      <c r="FFX66" s="3"/>
      <c r="FFY66" s="3"/>
      <c r="FFZ66" s="3"/>
      <c r="FGA66" s="3"/>
      <c r="FGB66" s="3"/>
      <c r="FGC66" s="3"/>
      <c r="FGD66" s="3"/>
      <c r="FGE66" s="3"/>
      <c r="FGF66" s="3"/>
      <c r="FGG66" s="3"/>
      <c r="FGH66" s="3"/>
      <c r="FGI66" s="3"/>
      <c r="FGJ66" s="3"/>
      <c r="FGK66" s="3"/>
      <c r="FGL66" s="3"/>
      <c r="FGM66" s="3"/>
      <c r="FGN66" s="3"/>
      <c r="FGO66" s="3"/>
      <c r="FGP66" s="3"/>
      <c r="FGQ66" s="3"/>
      <c r="FGR66" s="3"/>
      <c r="FGS66" s="3"/>
      <c r="FGT66" s="3"/>
      <c r="FGU66" s="3"/>
      <c r="FGV66" s="3"/>
      <c r="FGW66" s="3"/>
      <c r="FGX66" s="3"/>
      <c r="FGY66" s="3"/>
      <c r="FGZ66" s="3"/>
      <c r="FHA66" s="3"/>
      <c r="FHB66" s="3"/>
      <c r="FHC66" s="3"/>
      <c r="FHD66" s="3"/>
      <c r="FHE66" s="3"/>
      <c r="FHF66" s="3"/>
      <c r="FHG66" s="3"/>
      <c r="FHH66" s="3"/>
      <c r="FHI66" s="3"/>
      <c r="FHJ66" s="3"/>
      <c r="FHK66" s="3"/>
      <c r="FHL66" s="3"/>
      <c r="FHM66" s="3"/>
      <c r="FHN66" s="3"/>
      <c r="FHO66" s="3"/>
      <c r="FHP66" s="3"/>
      <c r="FHQ66" s="3"/>
      <c r="FHR66" s="3"/>
      <c r="FHS66" s="3"/>
      <c r="FHT66" s="3"/>
      <c r="FHU66" s="3"/>
      <c r="FHV66" s="3"/>
      <c r="FHW66" s="3"/>
      <c r="FHX66" s="3"/>
      <c r="FHY66" s="3"/>
      <c r="FHZ66" s="3"/>
      <c r="FIA66" s="3"/>
      <c r="FIB66" s="3"/>
      <c r="FIC66" s="3"/>
      <c r="FID66" s="3"/>
      <c r="FIE66" s="3"/>
      <c r="FIF66" s="3"/>
      <c r="FIG66" s="3"/>
      <c r="FIH66" s="3"/>
      <c r="FII66" s="3"/>
      <c r="FIJ66" s="3"/>
      <c r="FIK66" s="3"/>
      <c r="FIL66" s="3"/>
      <c r="FIM66" s="3"/>
      <c r="FIN66" s="3"/>
      <c r="FIO66" s="3"/>
      <c r="FIP66" s="3"/>
      <c r="FIQ66" s="3"/>
      <c r="FIR66" s="3"/>
      <c r="FIS66" s="3"/>
      <c r="FIT66" s="3"/>
      <c r="FIU66" s="3"/>
      <c r="FIV66" s="3"/>
      <c r="FIW66" s="3"/>
      <c r="FIX66" s="3"/>
      <c r="FIY66" s="3"/>
      <c r="FIZ66" s="3"/>
      <c r="FJA66" s="3"/>
      <c r="FJB66" s="3"/>
      <c r="FJC66" s="3"/>
      <c r="FJD66" s="3"/>
      <c r="FJE66" s="3"/>
      <c r="FJF66" s="3"/>
      <c r="FJG66" s="3"/>
      <c r="FJH66" s="3"/>
      <c r="FJI66" s="3"/>
      <c r="FJJ66" s="3"/>
      <c r="FJK66" s="3"/>
      <c r="FJL66" s="3"/>
      <c r="FJM66" s="3"/>
      <c r="FJN66" s="3"/>
      <c r="FJO66" s="3"/>
      <c r="FJP66" s="3"/>
      <c r="FJQ66" s="3"/>
      <c r="FJR66" s="3"/>
      <c r="FJS66" s="3"/>
      <c r="FJT66" s="3"/>
      <c r="FJU66" s="3"/>
      <c r="FJV66" s="3"/>
      <c r="FJW66" s="3"/>
      <c r="FJX66" s="3"/>
      <c r="FJY66" s="3"/>
      <c r="FJZ66" s="3"/>
      <c r="FKA66" s="3"/>
      <c r="FKB66" s="3"/>
      <c r="FKC66" s="3"/>
      <c r="FKD66" s="3"/>
      <c r="FKE66" s="3"/>
      <c r="FKF66" s="3"/>
      <c r="FKG66" s="3"/>
      <c r="FKH66" s="3"/>
      <c r="FKI66" s="3"/>
      <c r="FKJ66" s="3"/>
      <c r="FKK66" s="3"/>
      <c r="FKL66" s="3"/>
      <c r="FKM66" s="3"/>
      <c r="FKN66" s="3"/>
      <c r="FKO66" s="3"/>
      <c r="FKP66" s="3"/>
      <c r="FKQ66" s="3"/>
      <c r="FKR66" s="3"/>
      <c r="FKS66" s="3"/>
      <c r="FKT66" s="3"/>
      <c r="FKU66" s="3"/>
      <c r="FKV66" s="3"/>
      <c r="FKW66" s="3"/>
      <c r="FKX66" s="3"/>
      <c r="FKY66" s="3"/>
      <c r="FKZ66" s="3"/>
      <c r="FLA66" s="3"/>
      <c r="FLB66" s="3"/>
      <c r="FLC66" s="3"/>
      <c r="FLD66" s="3"/>
      <c r="FLE66" s="3"/>
      <c r="FLF66" s="3"/>
      <c r="FLG66" s="3"/>
      <c r="FLH66" s="3"/>
      <c r="FLI66" s="3"/>
      <c r="FLJ66" s="3"/>
      <c r="FLK66" s="3"/>
      <c r="FLL66" s="3"/>
      <c r="FLM66" s="3"/>
      <c r="FLN66" s="3"/>
      <c r="FLO66" s="3"/>
      <c r="FLP66" s="3"/>
      <c r="FLQ66" s="3"/>
      <c r="FLR66" s="3"/>
      <c r="FLS66" s="3"/>
      <c r="FLT66" s="3"/>
      <c r="FLU66" s="3"/>
      <c r="FLV66" s="3"/>
      <c r="FLW66" s="3"/>
      <c r="FLX66" s="3"/>
      <c r="FLY66" s="3"/>
      <c r="FLZ66" s="3"/>
      <c r="FMA66" s="3"/>
      <c r="FMB66" s="3"/>
      <c r="FMC66" s="3"/>
      <c r="FMD66" s="3"/>
      <c r="FME66" s="3"/>
      <c r="FMF66" s="3"/>
      <c r="FMG66" s="3"/>
      <c r="FMH66" s="3"/>
      <c r="FMI66" s="3"/>
      <c r="FMJ66" s="3"/>
      <c r="FMK66" s="3"/>
      <c r="FML66" s="3"/>
      <c r="FMM66" s="3"/>
      <c r="FMN66" s="3"/>
      <c r="FMO66" s="3"/>
      <c r="FMP66" s="3"/>
      <c r="FMQ66" s="3"/>
      <c r="FMR66" s="3"/>
      <c r="FMS66" s="3"/>
      <c r="FMT66" s="3"/>
      <c r="FMU66" s="3"/>
      <c r="FMV66" s="3"/>
      <c r="FMW66" s="3"/>
      <c r="FMX66" s="3"/>
      <c r="FMY66" s="3"/>
      <c r="FMZ66" s="3"/>
      <c r="FNA66" s="3"/>
      <c r="FNB66" s="3"/>
      <c r="FNC66" s="3"/>
      <c r="FND66" s="3"/>
      <c r="FNE66" s="3"/>
      <c r="FNF66" s="3"/>
      <c r="FNG66" s="3"/>
      <c r="FNH66" s="3"/>
      <c r="FNI66" s="3"/>
      <c r="FNJ66" s="3"/>
      <c r="FNK66" s="3"/>
      <c r="FNL66" s="3"/>
      <c r="FNM66" s="3"/>
      <c r="FNN66" s="3"/>
      <c r="FNO66" s="3"/>
      <c r="FNP66" s="3"/>
      <c r="FNQ66" s="3"/>
      <c r="FNR66" s="3"/>
      <c r="FNS66" s="3"/>
      <c r="FNT66" s="3"/>
      <c r="FNU66" s="3"/>
      <c r="FNV66" s="3"/>
      <c r="FNW66" s="3"/>
      <c r="FNX66" s="3"/>
      <c r="FNY66" s="3"/>
      <c r="FNZ66" s="3"/>
      <c r="FOA66" s="3"/>
      <c r="FOB66" s="3"/>
      <c r="FOC66" s="3"/>
      <c r="FOD66" s="3"/>
      <c r="FOE66" s="3"/>
      <c r="FOF66" s="3"/>
      <c r="FOG66" s="3"/>
      <c r="FOH66" s="3"/>
      <c r="FOI66" s="3"/>
      <c r="FOJ66" s="3"/>
      <c r="FOK66" s="3"/>
      <c r="FOL66" s="3"/>
      <c r="FOM66" s="3"/>
      <c r="FON66" s="3"/>
      <c r="FOO66" s="3"/>
      <c r="FOP66" s="3"/>
      <c r="FOQ66" s="3"/>
      <c r="FOR66" s="3"/>
      <c r="FOS66" s="3"/>
      <c r="FOT66" s="3"/>
      <c r="FOU66" s="3"/>
      <c r="FOV66" s="3"/>
      <c r="FOW66" s="3"/>
      <c r="FOX66" s="3"/>
      <c r="FOY66" s="3"/>
      <c r="FOZ66" s="3"/>
      <c r="FPA66" s="3"/>
      <c r="FPB66" s="3"/>
      <c r="FPC66" s="3"/>
      <c r="FPD66" s="3"/>
      <c r="FPE66" s="3"/>
      <c r="FPF66" s="3"/>
      <c r="FPG66" s="3"/>
      <c r="FPH66" s="3"/>
      <c r="FPI66" s="3"/>
      <c r="FPJ66" s="3"/>
      <c r="FPK66" s="3"/>
      <c r="FPL66" s="3"/>
      <c r="FPM66" s="3"/>
      <c r="FPN66" s="3"/>
      <c r="FPO66" s="3"/>
      <c r="FPP66" s="3"/>
      <c r="FPQ66" s="3"/>
      <c r="FPR66" s="3"/>
      <c r="FPS66" s="3"/>
      <c r="FPT66" s="3"/>
      <c r="FPU66" s="3"/>
      <c r="FPV66" s="3"/>
      <c r="FPW66" s="3"/>
      <c r="FPX66" s="3"/>
      <c r="FPY66" s="3"/>
      <c r="FPZ66" s="3"/>
      <c r="FQA66" s="3"/>
      <c r="FQB66" s="3"/>
      <c r="FQC66" s="3"/>
      <c r="FQD66" s="3"/>
      <c r="FQE66" s="3"/>
      <c r="FQF66" s="3"/>
      <c r="FQG66" s="3"/>
      <c r="FQH66" s="3"/>
      <c r="FQI66" s="3"/>
      <c r="FQJ66" s="3"/>
      <c r="FQK66" s="3"/>
      <c r="FQL66" s="3"/>
      <c r="FQM66" s="3"/>
      <c r="FQN66" s="3"/>
      <c r="FQO66" s="3"/>
      <c r="FQP66" s="3"/>
      <c r="FQQ66" s="3"/>
      <c r="FQR66" s="3"/>
      <c r="FQS66" s="3"/>
      <c r="FQT66" s="3"/>
      <c r="FQU66" s="3"/>
      <c r="FQV66" s="3"/>
      <c r="FQW66" s="3"/>
      <c r="FQX66" s="3"/>
      <c r="FQY66" s="3"/>
      <c r="FQZ66" s="3"/>
      <c r="FRA66" s="3"/>
      <c r="FRB66" s="3"/>
      <c r="FRC66" s="3"/>
      <c r="FRD66" s="3"/>
      <c r="FRE66" s="3"/>
      <c r="FRF66" s="3"/>
      <c r="FRG66" s="3"/>
      <c r="FRH66" s="3"/>
      <c r="FRI66" s="3"/>
      <c r="FRJ66" s="3"/>
      <c r="FRK66" s="3"/>
      <c r="FRL66" s="3"/>
      <c r="FRM66" s="3"/>
      <c r="FRN66" s="3"/>
      <c r="FRO66" s="3"/>
      <c r="FRP66" s="3"/>
      <c r="FRQ66" s="3"/>
      <c r="FRR66" s="3"/>
      <c r="FRS66" s="3"/>
      <c r="FRT66" s="3"/>
      <c r="FRU66" s="3"/>
      <c r="FRV66" s="3"/>
      <c r="FRW66" s="3"/>
      <c r="FRX66" s="3"/>
      <c r="FRY66" s="3"/>
      <c r="FRZ66" s="3"/>
      <c r="FSA66" s="3"/>
      <c r="FSB66" s="3"/>
      <c r="FSC66" s="3"/>
      <c r="FSD66" s="3"/>
      <c r="FSE66" s="3"/>
      <c r="FSF66" s="3"/>
      <c r="FSG66" s="3"/>
      <c r="FSH66" s="3"/>
      <c r="FSI66" s="3"/>
      <c r="FSJ66" s="3"/>
      <c r="FSK66" s="3"/>
      <c r="FSL66" s="3"/>
      <c r="FSM66" s="3"/>
      <c r="FSN66" s="3"/>
      <c r="FSO66" s="3"/>
      <c r="FSP66" s="3"/>
      <c r="FSQ66" s="3"/>
      <c r="FSR66" s="3"/>
      <c r="FSS66" s="3"/>
      <c r="FST66" s="3"/>
      <c r="FSU66" s="3"/>
      <c r="FSV66" s="3"/>
      <c r="FSW66" s="3"/>
      <c r="FSX66" s="3"/>
      <c r="FSY66" s="3"/>
      <c r="FSZ66" s="3"/>
      <c r="FTA66" s="3"/>
      <c r="FTB66" s="3"/>
      <c r="FTC66" s="3"/>
      <c r="FTD66" s="3"/>
      <c r="FTE66" s="3"/>
      <c r="FTF66" s="3"/>
      <c r="FTG66" s="3"/>
      <c r="FTH66" s="3"/>
      <c r="FTI66" s="3"/>
      <c r="FTJ66" s="3"/>
      <c r="FTK66" s="3"/>
      <c r="FTL66" s="3"/>
      <c r="FTM66" s="3"/>
      <c r="FTN66" s="3"/>
      <c r="FTO66" s="3"/>
      <c r="FTP66" s="3"/>
      <c r="FTQ66" s="3"/>
      <c r="FTR66" s="3"/>
      <c r="FTS66" s="3"/>
      <c r="FTT66" s="3"/>
      <c r="FTU66" s="3"/>
      <c r="FTV66" s="3"/>
      <c r="FTW66" s="3"/>
      <c r="FTX66" s="3"/>
      <c r="FTY66" s="3"/>
      <c r="FTZ66" s="3"/>
      <c r="FUA66" s="3"/>
      <c r="FUB66" s="3"/>
      <c r="FUC66" s="3"/>
      <c r="FUD66" s="3"/>
      <c r="FUE66" s="3"/>
      <c r="FUF66" s="3"/>
      <c r="FUG66" s="3"/>
      <c r="FUH66" s="3"/>
      <c r="FUI66" s="3"/>
      <c r="FUJ66" s="3"/>
      <c r="FUK66" s="3"/>
      <c r="FUL66" s="3"/>
      <c r="FUM66" s="3"/>
      <c r="FUN66" s="3"/>
      <c r="FUO66" s="3"/>
      <c r="FUP66" s="3"/>
      <c r="FUQ66" s="3"/>
      <c r="FUR66" s="3"/>
      <c r="FUS66" s="3"/>
      <c r="FUT66" s="3"/>
      <c r="FUU66" s="3"/>
      <c r="FUV66" s="3"/>
      <c r="FUW66" s="3"/>
      <c r="FUX66" s="3"/>
      <c r="FUY66" s="3"/>
      <c r="FUZ66" s="3"/>
      <c r="FVA66" s="3"/>
      <c r="FVB66" s="3"/>
      <c r="FVC66" s="3"/>
      <c r="FVD66" s="3"/>
      <c r="FVE66" s="3"/>
      <c r="FVF66" s="3"/>
      <c r="FVG66" s="3"/>
      <c r="FVH66" s="3"/>
      <c r="FVI66" s="3"/>
      <c r="FVJ66" s="3"/>
      <c r="FVK66" s="3"/>
      <c r="FVL66" s="3"/>
      <c r="FVM66" s="3"/>
      <c r="FVN66" s="3"/>
      <c r="FVO66" s="3"/>
      <c r="FVP66" s="3"/>
      <c r="FVQ66" s="3"/>
      <c r="FVR66" s="3"/>
      <c r="FVS66" s="3"/>
      <c r="FVT66" s="3"/>
      <c r="FVU66" s="3"/>
      <c r="FVV66" s="3"/>
      <c r="FVW66" s="3"/>
      <c r="FVX66" s="3"/>
      <c r="FVY66" s="3"/>
      <c r="FVZ66" s="3"/>
      <c r="FWA66" s="3"/>
      <c r="FWB66" s="3"/>
      <c r="FWC66" s="3"/>
      <c r="FWD66" s="3"/>
      <c r="FWE66" s="3"/>
      <c r="FWF66" s="3"/>
      <c r="FWG66" s="3"/>
      <c r="FWH66" s="3"/>
      <c r="FWI66" s="3"/>
      <c r="FWJ66" s="3"/>
      <c r="FWK66" s="3"/>
      <c r="FWL66" s="3"/>
      <c r="FWM66" s="3"/>
      <c r="FWN66" s="3"/>
      <c r="FWO66" s="3"/>
      <c r="FWP66" s="3"/>
      <c r="FWQ66" s="3"/>
      <c r="FWR66" s="3"/>
      <c r="FWS66" s="3"/>
      <c r="FWT66" s="3"/>
      <c r="FWU66" s="3"/>
      <c r="FWV66" s="3"/>
      <c r="FWW66" s="3"/>
      <c r="FWX66" s="3"/>
      <c r="FWY66" s="3"/>
      <c r="FWZ66" s="3"/>
      <c r="FXA66" s="3"/>
      <c r="FXB66" s="3"/>
      <c r="FXC66" s="3"/>
      <c r="FXD66" s="3"/>
      <c r="FXE66" s="3"/>
      <c r="FXF66" s="3"/>
      <c r="FXG66" s="3"/>
      <c r="FXH66" s="3"/>
      <c r="FXI66" s="3"/>
      <c r="FXJ66" s="3"/>
      <c r="FXK66" s="3"/>
      <c r="FXL66" s="3"/>
      <c r="FXM66" s="3"/>
      <c r="FXN66" s="3"/>
      <c r="FXO66" s="3"/>
      <c r="FXP66" s="3"/>
      <c r="FXQ66" s="3"/>
      <c r="FXR66" s="3"/>
      <c r="FXS66" s="3"/>
      <c r="FXT66" s="3"/>
      <c r="FXU66" s="3"/>
      <c r="FXV66" s="3"/>
      <c r="FXW66" s="3"/>
      <c r="FXX66" s="3"/>
      <c r="FXY66" s="3"/>
      <c r="FXZ66" s="3"/>
      <c r="FYA66" s="3"/>
      <c r="FYB66" s="3"/>
      <c r="FYC66" s="3"/>
      <c r="FYD66" s="3"/>
      <c r="FYE66" s="3"/>
      <c r="FYF66" s="3"/>
      <c r="FYG66" s="3"/>
      <c r="FYH66" s="3"/>
      <c r="FYI66" s="3"/>
      <c r="FYJ66" s="3"/>
      <c r="FYK66" s="3"/>
      <c r="FYL66" s="3"/>
      <c r="FYM66" s="3"/>
      <c r="FYN66" s="3"/>
      <c r="FYO66" s="3"/>
      <c r="FYP66" s="3"/>
      <c r="FYQ66" s="3"/>
      <c r="FYR66" s="3"/>
      <c r="FYS66" s="3"/>
      <c r="FYT66" s="3"/>
      <c r="FYU66" s="3"/>
      <c r="FYV66" s="3"/>
      <c r="FYW66" s="3"/>
      <c r="FYX66" s="3"/>
      <c r="FYY66" s="3"/>
      <c r="FYZ66" s="3"/>
      <c r="FZA66" s="3"/>
      <c r="FZB66" s="3"/>
      <c r="FZC66" s="3"/>
      <c r="FZD66" s="3"/>
      <c r="FZE66" s="3"/>
      <c r="FZF66" s="3"/>
      <c r="FZG66" s="3"/>
      <c r="FZH66" s="3"/>
      <c r="FZI66" s="3"/>
      <c r="FZJ66" s="3"/>
      <c r="FZK66" s="3"/>
      <c r="FZL66" s="3"/>
      <c r="FZM66" s="3"/>
      <c r="FZN66" s="3"/>
      <c r="FZO66" s="3"/>
      <c r="FZP66" s="3"/>
      <c r="FZQ66" s="3"/>
      <c r="FZR66" s="3"/>
      <c r="FZS66" s="3"/>
      <c r="FZT66" s="3"/>
      <c r="FZU66" s="3"/>
      <c r="FZV66" s="3"/>
      <c r="FZW66" s="3"/>
      <c r="FZX66" s="3"/>
      <c r="FZY66" s="3"/>
      <c r="FZZ66" s="3"/>
      <c r="GAA66" s="3"/>
      <c r="GAB66" s="3"/>
      <c r="GAC66" s="3"/>
      <c r="GAD66" s="3"/>
      <c r="GAE66" s="3"/>
      <c r="GAF66" s="3"/>
      <c r="GAG66" s="3"/>
      <c r="GAH66" s="3"/>
      <c r="GAI66" s="3"/>
      <c r="GAJ66" s="3"/>
      <c r="GAK66" s="3"/>
      <c r="GAL66" s="3"/>
      <c r="GAM66" s="3"/>
      <c r="GAN66" s="3"/>
      <c r="GAO66" s="3"/>
      <c r="GAP66" s="3"/>
      <c r="GAQ66" s="3"/>
      <c r="GAR66" s="3"/>
      <c r="GAS66" s="3"/>
      <c r="GAT66" s="3"/>
      <c r="GAU66" s="3"/>
      <c r="GAV66" s="3"/>
      <c r="GAW66" s="3"/>
      <c r="GAX66" s="3"/>
      <c r="GAY66" s="3"/>
      <c r="GAZ66" s="3"/>
      <c r="GBA66" s="3"/>
      <c r="GBB66" s="3"/>
      <c r="GBC66" s="3"/>
      <c r="GBD66" s="3"/>
      <c r="GBE66" s="3"/>
      <c r="GBF66" s="3"/>
      <c r="GBG66" s="3"/>
      <c r="GBH66" s="3"/>
      <c r="GBI66" s="3"/>
      <c r="GBJ66" s="3"/>
      <c r="GBK66" s="3"/>
      <c r="GBL66" s="3"/>
      <c r="GBM66" s="3"/>
      <c r="GBN66" s="3"/>
      <c r="GBO66" s="3"/>
      <c r="GBP66" s="3"/>
      <c r="GBQ66" s="3"/>
      <c r="GBR66" s="3"/>
      <c r="GBS66" s="3"/>
      <c r="GBT66" s="3"/>
      <c r="GBU66" s="3"/>
      <c r="GBV66" s="3"/>
      <c r="GBW66" s="3"/>
      <c r="GBX66" s="3"/>
      <c r="GBY66" s="3"/>
      <c r="GBZ66" s="3"/>
      <c r="GCA66" s="3"/>
      <c r="GCB66" s="3"/>
      <c r="GCC66" s="3"/>
      <c r="GCD66" s="3"/>
      <c r="GCE66" s="3"/>
      <c r="GCF66" s="3"/>
      <c r="GCG66" s="3"/>
      <c r="GCH66" s="3"/>
      <c r="GCI66" s="3"/>
      <c r="GCJ66" s="3"/>
      <c r="GCK66" s="3"/>
      <c r="GCL66" s="3"/>
      <c r="GCM66" s="3"/>
      <c r="GCN66" s="3"/>
      <c r="GCO66" s="3"/>
      <c r="GCP66" s="3"/>
      <c r="GCQ66" s="3"/>
      <c r="GCR66" s="3"/>
      <c r="GCS66" s="3"/>
      <c r="GCT66" s="3"/>
      <c r="GCU66" s="3"/>
      <c r="GCV66" s="3"/>
      <c r="GCW66" s="3"/>
      <c r="GCX66" s="3"/>
      <c r="GCY66" s="3"/>
      <c r="GCZ66" s="3"/>
      <c r="GDA66" s="3"/>
      <c r="GDB66" s="3"/>
      <c r="GDC66" s="3"/>
      <c r="GDD66" s="3"/>
      <c r="GDE66" s="3"/>
      <c r="GDF66" s="3"/>
      <c r="GDG66" s="3"/>
      <c r="GDH66" s="3"/>
      <c r="GDI66" s="3"/>
      <c r="GDJ66" s="3"/>
      <c r="GDK66" s="3"/>
      <c r="GDL66" s="3"/>
      <c r="GDM66" s="3"/>
      <c r="GDN66" s="3"/>
      <c r="GDO66" s="3"/>
      <c r="GDP66" s="3"/>
      <c r="GDQ66" s="3"/>
      <c r="GDR66" s="3"/>
      <c r="GDS66" s="3"/>
      <c r="GDT66" s="3"/>
      <c r="GDU66" s="3"/>
      <c r="GDV66" s="3"/>
      <c r="GDW66" s="3"/>
      <c r="GDX66" s="3"/>
      <c r="GDY66" s="3"/>
      <c r="GDZ66" s="3"/>
      <c r="GEA66" s="3"/>
      <c r="GEB66" s="3"/>
      <c r="GEC66" s="3"/>
      <c r="GED66" s="3"/>
      <c r="GEE66" s="3"/>
      <c r="GEF66" s="3"/>
      <c r="GEG66" s="3"/>
      <c r="GEH66" s="3"/>
      <c r="GEI66" s="3"/>
      <c r="GEJ66" s="3"/>
      <c r="GEK66" s="3"/>
      <c r="GEL66" s="3"/>
      <c r="GEM66" s="3"/>
      <c r="GEN66" s="3"/>
      <c r="GEO66" s="3"/>
      <c r="GEP66" s="3"/>
      <c r="GEQ66" s="3"/>
      <c r="GER66" s="3"/>
      <c r="GES66" s="3"/>
      <c r="GET66" s="3"/>
      <c r="GEU66" s="3"/>
      <c r="GEV66" s="3"/>
      <c r="GEW66" s="3"/>
      <c r="GEX66" s="3"/>
      <c r="GEY66" s="3"/>
      <c r="GEZ66" s="3"/>
      <c r="GFA66" s="3"/>
      <c r="GFB66" s="3"/>
      <c r="GFC66" s="3"/>
      <c r="GFD66" s="3"/>
      <c r="GFE66" s="3"/>
      <c r="GFF66" s="3"/>
      <c r="GFG66" s="3"/>
      <c r="GFH66" s="3"/>
      <c r="GFI66" s="3"/>
      <c r="GFJ66" s="3"/>
      <c r="GFK66" s="3"/>
      <c r="GFL66" s="3"/>
      <c r="GFM66" s="3"/>
      <c r="GFN66" s="3"/>
      <c r="GFO66" s="3"/>
      <c r="GFP66" s="3"/>
      <c r="GFQ66" s="3"/>
      <c r="GFR66" s="3"/>
      <c r="GFS66" s="3"/>
      <c r="GFT66" s="3"/>
      <c r="GFU66" s="3"/>
      <c r="GFV66" s="3"/>
      <c r="GFW66" s="3"/>
      <c r="GFX66" s="3"/>
      <c r="GFY66" s="3"/>
      <c r="GFZ66" s="3"/>
      <c r="GGA66" s="3"/>
      <c r="GGB66" s="3"/>
      <c r="GGC66" s="3"/>
      <c r="GGD66" s="3"/>
      <c r="GGE66" s="3"/>
      <c r="GGF66" s="3"/>
      <c r="GGG66" s="3"/>
      <c r="GGH66" s="3"/>
      <c r="GGI66" s="3"/>
      <c r="GGJ66" s="3"/>
      <c r="GGK66" s="3"/>
      <c r="GGL66" s="3"/>
      <c r="GGM66" s="3"/>
      <c r="GGN66" s="3"/>
      <c r="GGO66" s="3"/>
      <c r="GGP66" s="3"/>
      <c r="GGQ66" s="3"/>
      <c r="GGR66" s="3"/>
      <c r="GGS66" s="3"/>
      <c r="GGT66" s="3"/>
      <c r="GGU66" s="3"/>
      <c r="GGV66" s="3"/>
      <c r="GGW66" s="3"/>
      <c r="GGX66" s="3"/>
      <c r="GGY66" s="3"/>
      <c r="GGZ66" s="3"/>
      <c r="GHA66" s="3"/>
      <c r="GHB66" s="3"/>
      <c r="GHC66" s="3"/>
      <c r="GHD66" s="3"/>
      <c r="GHE66" s="3"/>
      <c r="GHF66" s="3"/>
      <c r="GHG66" s="3"/>
      <c r="GHH66" s="3"/>
      <c r="GHI66" s="3"/>
      <c r="GHJ66" s="3"/>
      <c r="GHK66" s="3"/>
      <c r="GHL66" s="3"/>
      <c r="GHM66" s="3"/>
      <c r="GHN66" s="3"/>
      <c r="GHO66" s="3"/>
      <c r="GHP66" s="3"/>
      <c r="GHQ66" s="3"/>
      <c r="GHR66" s="3"/>
      <c r="GHS66" s="3"/>
      <c r="GHT66" s="3"/>
      <c r="GHU66" s="3"/>
      <c r="GHV66" s="3"/>
      <c r="GHW66" s="3"/>
      <c r="GHX66" s="3"/>
      <c r="GHY66" s="3"/>
      <c r="GHZ66" s="3"/>
      <c r="GIA66" s="3"/>
      <c r="GIB66" s="3"/>
      <c r="GIC66" s="3"/>
      <c r="GID66" s="3"/>
      <c r="GIE66" s="3"/>
      <c r="GIF66" s="3"/>
      <c r="GIG66" s="3"/>
      <c r="GIH66" s="3"/>
      <c r="GII66" s="3"/>
      <c r="GIJ66" s="3"/>
      <c r="GIK66" s="3"/>
      <c r="GIL66" s="3"/>
      <c r="GIM66" s="3"/>
      <c r="GIN66" s="3"/>
      <c r="GIO66" s="3"/>
      <c r="GIP66" s="3"/>
      <c r="GIQ66" s="3"/>
      <c r="GIR66" s="3"/>
      <c r="GIS66" s="3"/>
      <c r="GIT66" s="3"/>
      <c r="GIU66" s="3"/>
      <c r="GIV66" s="3"/>
      <c r="GIW66" s="3"/>
      <c r="GIX66" s="3"/>
      <c r="GIY66" s="3"/>
      <c r="GIZ66" s="3"/>
      <c r="GJA66" s="3"/>
      <c r="GJB66" s="3"/>
      <c r="GJC66" s="3"/>
      <c r="GJD66" s="3"/>
      <c r="GJE66" s="3"/>
      <c r="GJF66" s="3"/>
      <c r="GJG66" s="3"/>
      <c r="GJH66" s="3"/>
      <c r="GJI66" s="3"/>
      <c r="GJJ66" s="3"/>
      <c r="GJK66" s="3"/>
      <c r="GJL66" s="3"/>
      <c r="GJM66" s="3"/>
      <c r="GJN66" s="3"/>
      <c r="GJO66" s="3"/>
      <c r="GJP66" s="3"/>
      <c r="GJQ66" s="3"/>
      <c r="GJR66" s="3"/>
      <c r="GJS66" s="3"/>
      <c r="GJT66" s="3"/>
      <c r="GJU66" s="3"/>
      <c r="GJV66" s="3"/>
      <c r="GJW66" s="3"/>
      <c r="GJX66" s="3"/>
      <c r="GJY66" s="3"/>
      <c r="GJZ66" s="3"/>
      <c r="GKA66" s="3"/>
      <c r="GKB66" s="3"/>
      <c r="GKC66" s="3"/>
      <c r="GKD66" s="3"/>
      <c r="GKE66" s="3"/>
      <c r="GKF66" s="3"/>
      <c r="GKG66" s="3"/>
      <c r="GKH66" s="3"/>
      <c r="GKI66" s="3"/>
      <c r="GKJ66" s="3"/>
      <c r="GKK66" s="3"/>
      <c r="GKL66" s="3"/>
      <c r="GKM66" s="3"/>
      <c r="GKN66" s="3"/>
      <c r="GKO66" s="3"/>
      <c r="GKP66" s="3"/>
      <c r="GKQ66" s="3"/>
      <c r="GKR66" s="3"/>
      <c r="GKS66" s="3"/>
      <c r="GKT66" s="3"/>
      <c r="GKU66" s="3"/>
      <c r="GKV66" s="3"/>
      <c r="GKW66" s="3"/>
      <c r="GKX66" s="3"/>
      <c r="GKY66" s="3"/>
      <c r="GKZ66" s="3"/>
      <c r="GLA66" s="3"/>
      <c r="GLB66" s="3"/>
      <c r="GLC66" s="3"/>
      <c r="GLD66" s="3"/>
      <c r="GLE66" s="3"/>
      <c r="GLF66" s="3"/>
      <c r="GLG66" s="3"/>
      <c r="GLH66" s="3"/>
      <c r="GLI66" s="3"/>
      <c r="GLJ66" s="3"/>
      <c r="GLK66" s="3"/>
      <c r="GLL66" s="3"/>
      <c r="GLM66" s="3"/>
      <c r="GLN66" s="3"/>
      <c r="GLO66" s="3"/>
      <c r="GLP66" s="3"/>
      <c r="GLQ66" s="3"/>
      <c r="GLR66" s="3"/>
      <c r="GLS66" s="3"/>
      <c r="GLT66" s="3"/>
      <c r="GLU66" s="3"/>
      <c r="GLV66" s="3"/>
      <c r="GLW66" s="3"/>
      <c r="GLX66" s="3"/>
      <c r="GLY66" s="3"/>
      <c r="GLZ66" s="3"/>
      <c r="GMA66" s="3"/>
      <c r="GMB66" s="3"/>
      <c r="GMC66" s="3"/>
      <c r="GMD66" s="3"/>
      <c r="GME66" s="3"/>
      <c r="GMF66" s="3"/>
      <c r="GMG66" s="3"/>
      <c r="GMH66" s="3"/>
      <c r="GMI66" s="3"/>
      <c r="GMJ66" s="3"/>
      <c r="GMK66" s="3"/>
      <c r="GML66" s="3"/>
      <c r="GMM66" s="3"/>
      <c r="GMN66" s="3"/>
      <c r="GMO66" s="3"/>
      <c r="GMP66" s="3"/>
      <c r="GMQ66" s="3"/>
      <c r="GMR66" s="3"/>
      <c r="GMS66" s="3"/>
      <c r="GMT66" s="3"/>
      <c r="GMU66" s="3"/>
      <c r="GMV66" s="3"/>
      <c r="GMW66" s="3"/>
      <c r="GMX66" s="3"/>
      <c r="GMY66" s="3"/>
      <c r="GMZ66" s="3"/>
      <c r="GNA66" s="3"/>
      <c r="GNB66" s="3"/>
      <c r="GNC66" s="3"/>
      <c r="GND66" s="3"/>
      <c r="GNE66" s="3"/>
      <c r="GNF66" s="3"/>
      <c r="GNG66" s="3"/>
      <c r="GNH66" s="3"/>
      <c r="GNI66" s="3"/>
      <c r="GNJ66" s="3"/>
      <c r="GNK66" s="3"/>
      <c r="GNL66" s="3"/>
      <c r="GNM66" s="3"/>
      <c r="GNN66" s="3"/>
      <c r="GNO66" s="3"/>
      <c r="GNP66" s="3"/>
      <c r="GNQ66" s="3"/>
      <c r="GNR66" s="3"/>
      <c r="GNS66" s="3"/>
      <c r="GNT66" s="3"/>
      <c r="GNU66" s="3"/>
      <c r="GNV66" s="3"/>
      <c r="GNW66" s="3"/>
      <c r="GNX66" s="3"/>
      <c r="GNY66" s="3"/>
      <c r="GNZ66" s="3"/>
      <c r="GOA66" s="3"/>
      <c r="GOB66" s="3"/>
      <c r="GOC66" s="3"/>
      <c r="GOD66" s="3"/>
      <c r="GOE66" s="3"/>
      <c r="GOF66" s="3"/>
      <c r="GOG66" s="3"/>
      <c r="GOH66" s="3"/>
      <c r="GOI66" s="3"/>
      <c r="GOJ66" s="3"/>
      <c r="GOK66" s="3"/>
      <c r="GOL66" s="3"/>
      <c r="GOM66" s="3"/>
      <c r="GON66" s="3"/>
      <c r="GOO66" s="3"/>
      <c r="GOP66" s="3"/>
      <c r="GOQ66" s="3"/>
      <c r="GOR66" s="3"/>
      <c r="GOS66" s="3"/>
      <c r="GOT66" s="3"/>
      <c r="GOU66" s="3"/>
      <c r="GOV66" s="3"/>
      <c r="GOW66" s="3"/>
      <c r="GOX66" s="3"/>
      <c r="GOY66" s="3"/>
      <c r="GOZ66" s="3"/>
      <c r="GPA66" s="3"/>
      <c r="GPB66" s="3"/>
      <c r="GPC66" s="3"/>
      <c r="GPD66" s="3"/>
      <c r="GPE66" s="3"/>
      <c r="GPF66" s="3"/>
      <c r="GPG66" s="3"/>
      <c r="GPH66" s="3"/>
      <c r="GPI66" s="3"/>
      <c r="GPJ66" s="3"/>
      <c r="GPK66" s="3"/>
      <c r="GPL66" s="3"/>
      <c r="GPM66" s="3"/>
      <c r="GPN66" s="3"/>
      <c r="GPO66" s="3"/>
      <c r="GPP66" s="3"/>
      <c r="GPQ66" s="3"/>
      <c r="GPR66" s="3"/>
      <c r="GPS66" s="3"/>
      <c r="GPT66" s="3"/>
      <c r="GPU66" s="3"/>
      <c r="GPV66" s="3"/>
      <c r="GPW66" s="3"/>
      <c r="GPX66" s="3"/>
      <c r="GPY66" s="3"/>
      <c r="GPZ66" s="3"/>
      <c r="GQA66" s="3"/>
      <c r="GQB66" s="3"/>
      <c r="GQC66" s="3"/>
      <c r="GQD66" s="3"/>
      <c r="GQE66" s="3"/>
      <c r="GQF66" s="3"/>
      <c r="GQG66" s="3"/>
      <c r="GQH66" s="3"/>
      <c r="GQI66" s="3"/>
      <c r="GQJ66" s="3"/>
      <c r="GQK66" s="3"/>
      <c r="GQL66" s="3"/>
      <c r="GQM66" s="3"/>
      <c r="GQN66" s="3"/>
      <c r="GQO66" s="3"/>
      <c r="GQP66" s="3"/>
      <c r="GQQ66" s="3"/>
      <c r="GQR66" s="3"/>
      <c r="GQS66" s="3"/>
      <c r="GQT66" s="3"/>
      <c r="GQU66" s="3"/>
      <c r="GQV66" s="3"/>
      <c r="GQW66" s="3"/>
      <c r="GQX66" s="3"/>
      <c r="GQY66" s="3"/>
      <c r="GQZ66" s="3"/>
      <c r="GRA66" s="3"/>
      <c r="GRB66" s="3"/>
      <c r="GRC66" s="3"/>
      <c r="GRD66" s="3"/>
      <c r="GRE66" s="3"/>
      <c r="GRF66" s="3"/>
      <c r="GRG66" s="3"/>
      <c r="GRH66" s="3"/>
      <c r="GRI66" s="3"/>
      <c r="GRJ66" s="3"/>
      <c r="GRK66" s="3"/>
      <c r="GRL66" s="3"/>
      <c r="GRM66" s="3"/>
      <c r="GRN66" s="3"/>
      <c r="GRO66" s="3"/>
      <c r="GRP66" s="3"/>
      <c r="GRQ66" s="3"/>
      <c r="GRR66" s="3"/>
      <c r="GRS66" s="3"/>
      <c r="GRT66" s="3"/>
      <c r="GRU66" s="3"/>
      <c r="GRV66" s="3"/>
      <c r="GRW66" s="3"/>
      <c r="GRX66" s="3"/>
      <c r="GRY66" s="3"/>
      <c r="GRZ66" s="3"/>
      <c r="GSA66" s="3"/>
      <c r="GSB66" s="3"/>
      <c r="GSC66" s="3"/>
      <c r="GSD66" s="3"/>
      <c r="GSE66" s="3"/>
      <c r="GSF66" s="3"/>
      <c r="GSG66" s="3"/>
      <c r="GSH66" s="3"/>
      <c r="GSI66" s="3"/>
      <c r="GSJ66" s="3"/>
      <c r="GSK66" s="3"/>
      <c r="GSL66" s="3"/>
      <c r="GSM66" s="3"/>
      <c r="GSN66" s="3"/>
      <c r="GSO66" s="3"/>
      <c r="GSP66" s="3"/>
      <c r="GSQ66" s="3"/>
      <c r="GSR66" s="3"/>
      <c r="GSS66" s="3"/>
      <c r="GST66" s="3"/>
      <c r="GSU66" s="3"/>
      <c r="GSV66" s="3"/>
      <c r="GSW66" s="3"/>
      <c r="GSX66" s="3"/>
      <c r="GSY66" s="3"/>
      <c r="GSZ66" s="3"/>
      <c r="GTA66" s="3"/>
      <c r="GTB66" s="3"/>
      <c r="GTC66" s="3"/>
      <c r="GTD66" s="3"/>
      <c r="GTE66" s="3"/>
      <c r="GTF66" s="3"/>
      <c r="GTG66" s="3"/>
      <c r="GTH66" s="3"/>
      <c r="GTI66" s="3"/>
      <c r="GTJ66" s="3"/>
      <c r="GTK66" s="3"/>
      <c r="GTL66" s="3"/>
      <c r="GTM66" s="3"/>
      <c r="GTN66" s="3"/>
      <c r="GTO66" s="3"/>
      <c r="GTP66" s="3"/>
      <c r="GTQ66" s="3"/>
      <c r="GTR66" s="3"/>
      <c r="GTS66" s="3"/>
      <c r="GTT66" s="3"/>
      <c r="GTU66" s="3"/>
      <c r="GTV66" s="3"/>
      <c r="GTW66" s="3"/>
      <c r="GTX66" s="3"/>
      <c r="GTY66" s="3"/>
      <c r="GTZ66" s="3"/>
      <c r="GUA66" s="3"/>
      <c r="GUB66" s="3"/>
      <c r="GUC66" s="3"/>
      <c r="GUD66" s="3"/>
      <c r="GUE66" s="3"/>
      <c r="GUF66" s="3"/>
      <c r="GUG66" s="3"/>
      <c r="GUH66" s="3"/>
      <c r="GUI66" s="3"/>
      <c r="GUJ66" s="3"/>
      <c r="GUK66" s="3"/>
      <c r="GUL66" s="3"/>
      <c r="GUM66" s="3"/>
      <c r="GUN66" s="3"/>
      <c r="GUO66" s="3"/>
      <c r="GUP66" s="3"/>
      <c r="GUQ66" s="3"/>
      <c r="GUR66" s="3"/>
      <c r="GUS66" s="3"/>
      <c r="GUT66" s="3"/>
      <c r="GUU66" s="3"/>
      <c r="GUV66" s="3"/>
      <c r="GUW66" s="3"/>
      <c r="GUX66" s="3"/>
      <c r="GUY66" s="3"/>
      <c r="GUZ66" s="3"/>
      <c r="GVA66" s="3"/>
      <c r="GVB66" s="3"/>
      <c r="GVC66" s="3"/>
      <c r="GVD66" s="3"/>
      <c r="GVE66" s="3"/>
      <c r="GVF66" s="3"/>
      <c r="GVG66" s="3"/>
      <c r="GVH66" s="3"/>
      <c r="GVI66" s="3"/>
      <c r="GVJ66" s="3"/>
      <c r="GVK66" s="3"/>
      <c r="GVL66" s="3"/>
      <c r="GVM66" s="3"/>
      <c r="GVN66" s="3"/>
      <c r="GVO66" s="3"/>
      <c r="GVP66" s="3"/>
      <c r="GVQ66" s="3"/>
      <c r="GVR66" s="3"/>
      <c r="GVS66" s="3"/>
      <c r="GVT66" s="3"/>
      <c r="GVU66" s="3"/>
      <c r="GVV66" s="3"/>
      <c r="GVW66" s="3"/>
      <c r="GVX66" s="3"/>
      <c r="GVY66" s="3"/>
      <c r="GVZ66" s="3"/>
      <c r="GWA66" s="3"/>
      <c r="GWB66" s="3"/>
      <c r="GWC66" s="3"/>
      <c r="GWD66" s="3"/>
      <c r="GWE66" s="3"/>
      <c r="GWF66" s="3"/>
      <c r="GWG66" s="3"/>
      <c r="GWH66" s="3"/>
      <c r="GWI66" s="3"/>
      <c r="GWJ66" s="3"/>
      <c r="GWK66" s="3"/>
      <c r="GWL66" s="3"/>
      <c r="GWM66" s="3"/>
      <c r="GWN66" s="3"/>
      <c r="GWO66" s="3"/>
      <c r="GWP66" s="3"/>
      <c r="GWQ66" s="3"/>
      <c r="GWR66" s="3"/>
      <c r="GWS66" s="3"/>
      <c r="GWT66" s="3"/>
      <c r="GWU66" s="3"/>
      <c r="GWV66" s="3"/>
      <c r="GWW66" s="3"/>
      <c r="GWX66" s="3"/>
      <c r="GWY66" s="3"/>
      <c r="GWZ66" s="3"/>
      <c r="GXA66" s="3"/>
      <c r="GXB66" s="3"/>
      <c r="GXC66" s="3"/>
      <c r="GXD66" s="3"/>
      <c r="GXE66" s="3"/>
      <c r="GXF66" s="3"/>
      <c r="GXG66" s="3"/>
      <c r="GXH66" s="3"/>
      <c r="GXI66" s="3"/>
      <c r="GXJ66" s="3"/>
      <c r="GXK66" s="3"/>
      <c r="GXL66" s="3"/>
      <c r="GXM66" s="3"/>
      <c r="GXN66" s="3"/>
      <c r="GXO66" s="3"/>
      <c r="GXP66" s="3"/>
      <c r="GXQ66" s="3"/>
      <c r="GXR66" s="3"/>
      <c r="GXS66" s="3"/>
      <c r="GXT66" s="3"/>
      <c r="GXU66" s="3"/>
      <c r="GXV66" s="3"/>
      <c r="GXW66" s="3"/>
      <c r="GXX66" s="3"/>
      <c r="GXY66" s="3"/>
      <c r="GXZ66" s="3"/>
      <c r="GYA66" s="3"/>
      <c r="GYB66" s="3"/>
      <c r="GYC66" s="3"/>
      <c r="GYD66" s="3"/>
      <c r="GYE66" s="3"/>
      <c r="GYF66" s="3"/>
      <c r="GYG66" s="3"/>
      <c r="GYH66" s="3"/>
      <c r="GYI66" s="3"/>
      <c r="GYJ66" s="3"/>
      <c r="GYK66" s="3"/>
      <c r="GYL66" s="3"/>
      <c r="GYM66" s="3"/>
      <c r="GYN66" s="3"/>
      <c r="GYO66" s="3"/>
      <c r="GYP66" s="3"/>
      <c r="GYQ66" s="3"/>
      <c r="GYR66" s="3"/>
      <c r="GYS66" s="3"/>
      <c r="GYT66" s="3"/>
      <c r="GYU66" s="3"/>
      <c r="GYV66" s="3"/>
      <c r="GYW66" s="3"/>
      <c r="GYX66" s="3"/>
      <c r="GYY66" s="3"/>
      <c r="GYZ66" s="3"/>
      <c r="GZA66" s="3"/>
      <c r="GZB66" s="3"/>
      <c r="GZC66" s="3"/>
      <c r="GZD66" s="3"/>
      <c r="GZE66" s="3"/>
      <c r="GZF66" s="3"/>
      <c r="GZG66" s="3"/>
      <c r="GZH66" s="3"/>
      <c r="GZI66" s="3"/>
      <c r="GZJ66" s="3"/>
      <c r="GZK66" s="3"/>
      <c r="GZL66" s="3"/>
      <c r="GZM66" s="3"/>
      <c r="GZN66" s="3"/>
      <c r="GZO66" s="3"/>
      <c r="GZP66" s="3"/>
      <c r="GZQ66" s="3"/>
      <c r="GZR66" s="3"/>
      <c r="GZS66" s="3"/>
      <c r="GZT66" s="3"/>
      <c r="GZU66" s="3"/>
      <c r="GZV66" s="3"/>
      <c r="GZW66" s="3"/>
      <c r="GZX66" s="3"/>
      <c r="GZY66" s="3"/>
      <c r="GZZ66" s="3"/>
      <c r="HAA66" s="3"/>
      <c r="HAB66" s="3"/>
      <c r="HAC66" s="3"/>
      <c r="HAD66" s="3"/>
      <c r="HAE66" s="3"/>
      <c r="HAF66" s="3"/>
      <c r="HAG66" s="3"/>
      <c r="HAH66" s="3"/>
      <c r="HAI66" s="3"/>
      <c r="HAJ66" s="3"/>
      <c r="HAK66" s="3"/>
      <c r="HAL66" s="3"/>
      <c r="HAM66" s="3"/>
      <c r="HAN66" s="3"/>
      <c r="HAO66" s="3"/>
      <c r="HAP66" s="3"/>
      <c r="HAQ66" s="3"/>
      <c r="HAR66" s="3"/>
      <c r="HAS66" s="3"/>
      <c r="HAT66" s="3"/>
      <c r="HAU66" s="3"/>
      <c r="HAV66" s="3"/>
      <c r="HAW66" s="3"/>
      <c r="HAX66" s="3"/>
      <c r="HAY66" s="3"/>
      <c r="HAZ66" s="3"/>
      <c r="HBA66" s="3"/>
      <c r="HBB66" s="3"/>
      <c r="HBC66" s="3"/>
      <c r="HBD66" s="3"/>
      <c r="HBE66" s="3"/>
      <c r="HBF66" s="3"/>
      <c r="HBG66" s="3"/>
      <c r="HBH66" s="3"/>
      <c r="HBI66" s="3"/>
      <c r="HBJ66" s="3"/>
      <c r="HBK66" s="3"/>
      <c r="HBL66" s="3"/>
      <c r="HBM66" s="3"/>
      <c r="HBN66" s="3"/>
      <c r="HBO66" s="3"/>
      <c r="HBP66" s="3"/>
      <c r="HBQ66" s="3"/>
      <c r="HBR66" s="3"/>
      <c r="HBS66" s="3"/>
      <c r="HBT66" s="3"/>
      <c r="HBU66" s="3"/>
      <c r="HBV66" s="3"/>
      <c r="HBW66" s="3"/>
      <c r="HBX66" s="3"/>
      <c r="HBY66" s="3"/>
      <c r="HBZ66" s="3"/>
      <c r="HCA66" s="3"/>
      <c r="HCB66" s="3"/>
      <c r="HCC66" s="3"/>
      <c r="HCD66" s="3"/>
      <c r="HCE66" s="3"/>
      <c r="HCF66" s="3"/>
      <c r="HCG66" s="3"/>
      <c r="HCH66" s="3"/>
      <c r="HCI66" s="3"/>
      <c r="HCJ66" s="3"/>
      <c r="HCK66" s="3"/>
      <c r="HCL66" s="3"/>
      <c r="HCM66" s="3"/>
      <c r="HCN66" s="3"/>
      <c r="HCO66" s="3"/>
      <c r="HCP66" s="3"/>
      <c r="HCQ66" s="3"/>
      <c r="HCR66" s="3"/>
      <c r="HCS66" s="3"/>
      <c r="HCT66" s="3"/>
      <c r="HCU66" s="3"/>
      <c r="HCV66" s="3"/>
      <c r="HCW66" s="3"/>
      <c r="HCX66" s="3"/>
      <c r="HCY66" s="3"/>
      <c r="HCZ66" s="3"/>
      <c r="HDA66" s="3"/>
      <c r="HDB66" s="3"/>
      <c r="HDC66" s="3"/>
      <c r="HDD66" s="3"/>
      <c r="HDE66" s="3"/>
      <c r="HDF66" s="3"/>
      <c r="HDG66" s="3"/>
      <c r="HDH66" s="3"/>
      <c r="HDI66" s="3"/>
      <c r="HDJ66" s="3"/>
      <c r="HDK66" s="3"/>
      <c r="HDL66" s="3"/>
      <c r="HDM66" s="3"/>
      <c r="HDN66" s="3"/>
      <c r="HDO66" s="3"/>
      <c r="HDP66" s="3"/>
      <c r="HDQ66" s="3"/>
      <c r="HDR66" s="3"/>
      <c r="HDS66" s="3"/>
      <c r="HDT66" s="3"/>
      <c r="HDU66" s="3"/>
      <c r="HDV66" s="3"/>
      <c r="HDW66" s="3"/>
      <c r="HDX66" s="3"/>
      <c r="HDY66" s="3"/>
      <c r="HDZ66" s="3"/>
      <c r="HEA66" s="3"/>
      <c r="HEB66" s="3"/>
      <c r="HEC66" s="3"/>
      <c r="HED66" s="3"/>
      <c r="HEE66" s="3"/>
      <c r="HEF66" s="3"/>
      <c r="HEG66" s="3"/>
      <c r="HEH66" s="3"/>
      <c r="HEI66" s="3"/>
      <c r="HEJ66" s="3"/>
      <c r="HEK66" s="3"/>
      <c r="HEL66" s="3"/>
      <c r="HEM66" s="3"/>
      <c r="HEN66" s="3"/>
      <c r="HEO66" s="3"/>
      <c r="HEP66" s="3"/>
      <c r="HEQ66" s="3"/>
      <c r="HER66" s="3"/>
      <c r="HES66" s="3"/>
      <c r="HET66" s="3"/>
      <c r="HEU66" s="3"/>
      <c r="HEV66" s="3"/>
      <c r="HEW66" s="3"/>
      <c r="HEX66" s="3"/>
      <c r="HEY66" s="3"/>
      <c r="HEZ66" s="3"/>
      <c r="HFA66" s="3"/>
      <c r="HFB66" s="3"/>
      <c r="HFC66" s="3"/>
      <c r="HFD66" s="3"/>
      <c r="HFE66" s="3"/>
      <c r="HFF66" s="3"/>
      <c r="HFG66" s="3"/>
      <c r="HFH66" s="3"/>
      <c r="HFI66" s="3"/>
      <c r="HFJ66" s="3"/>
      <c r="HFK66" s="3"/>
      <c r="HFL66" s="3"/>
      <c r="HFM66" s="3"/>
      <c r="HFN66" s="3"/>
      <c r="HFO66" s="3"/>
      <c r="HFP66" s="3"/>
      <c r="HFQ66" s="3"/>
      <c r="HFR66" s="3"/>
      <c r="HFS66" s="3"/>
      <c r="HFT66" s="3"/>
      <c r="HFU66" s="3"/>
      <c r="HFV66" s="3"/>
      <c r="HFW66" s="3"/>
      <c r="HFX66" s="3"/>
      <c r="HFY66" s="3"/>
      <c r="HFZ66" s="3"/>
      <c r="HGA66" s="3"/>
      <c r="HGB66" s="3"/>
      <c r="HGC66" s="3"/>
      <c r="HGD66" s="3"/>
      <c r="HGE66" s="3"/>
      <c r="HGF66" s="3"/>
      <c r="HGG66" s="3"/>
      <c r="HGH66" s="3"/>
      <c r="HGI66" s="3"/>
      <c r="HGJ66" s="3"/>
      <c r="HGK66" s="3"/>
      <c r="HGL66" s="3"/>
      <c r="HGM66" s="3"/>
      <c r="HGN66" s="3"/>
      <c r="HGO66" s="3"/>
      <c r="HGP66" s="3"/>
      <c r="HGQ66" s="3"/>
      <c r="HGR66" s="3"/>
      <c r="HGS66" s="3"/>
      <c r="HGT66" s="3"/>
      <c r="HGU66" s="3"/>
      <c r="HGV66" s="3"/>
      <c r="HGW66" s="3"/>
      <c r="HGX66" s="3"/>
      <c r="HGY66" s="3"/>
      <c r="HGZ66" s="3"/>
      <c r="HHA66" s="3"/>
      <c r="HHB66" s="3"/>
      <c r="HHC66" s="3"/>
      <c r="HHD66" s="3"/>
      <c r="HHE66" s="3"/>
      <c r="HHF66" s="3"/>
      <c r="HHG66" s="3"/>
      <c r="HHH66" s="3"/>
      <c r="HHI66" s="3"/>
      <c r="HHJ66" s="3"/>
      <c r="HHK66" s="3"/>
      <c r="HHL66" s="3"/>
      <c r="HHM66" s="3"/>
      <c r="HHN66" s="3"/>
      <c r="HHO66" s="3"/>
      <c r="HHP66" s="3"/>
      <c r="HHQ66" s="3"/>
      <c r="HHR66" s="3"/>
      <c r="HHS66" s="3"/>
      <c r="HHT66" s="3"/>
      <c r="HHU66" s="3"/>
      <c r="HHV66" s="3"/>
      <c r="HHW66" s="3"/>
      <c r="HHX66" s="3"/>
      <c r="HHY66" s="3"/>
      <c r="HHZ66" s="3"/>
      <c r="HIA66" s="3"/>
      <c r="HIB66" s="3"/>
      <c r="HIC66" s="3"/>
      <c r="HID66" s="3"/>
      <c r="HIE66" s="3"/>
      <c r="HIF66" s="3"/>
      <c r="HIG66" s="3"/>
      <c r="HIH66" s="3"/>
      <c r="HII66" s="3"/>
      <c r="HIJ66" s="3"/>
      <c r="HIK66" s="3"/>
      <c r="HIL66" s="3"/>
      <c r="HIM66" s="3"/>
      <c r="HIN66" s="3"/>
      <c r="HIO66" s="3"/>
      <c r="HIP66" s="3"/>
      <c r="HIQ66" s="3"/>
      <c r="HIR66" s="3"/>
      <c r="HIS66" s="3"/>
      <c r="HIT66" s="3"/>
      <c r="HIU66" s="3"/>
      <c r="HIV66" s="3"/>
      <c r="HIW66" s="3"/>
      <c r="HIX66" s="3"/>
      <c r="HIY66" s="3"/>
      <c r="HIZ66" s="3"/>
      <c r="HJA66" s="3"/>
      <c r="HJB66" s="3"/>
      <c r="HJC66" s="3"/>
      <c r="HJD66" s="3"/>
      <c r="HJE66" s="3"/>
      <c r="HJF66" s="3"/>
      <c r="HJG66" s="3"/>
      <c r="HJH66" s="3"/>
      <c r="HJI66" s="3"/>
      <c r="HJJ66" s="3"/>
      <c r="HJK66" s="3"/>
      <c r="HJL66" s="3"/>
      <c r="HJM66" s="3"/>
      <c r="HJN66" s="3"/>
      <c r="HJO66" s="3"/>
      <c r="HJP66" s="3"/>
      <c r="HJQ66" s="3"/>
      <c r="HJR66" s="3"/>
      <c r="HJS66" s="3"/>
      <c r="HJT66" s="3"/>
      <c r="HJU66" s="3"/>
      <c r="HJV66" s="3"/>
      <c r="HJW66" s="3"/>
      <c r="HJX66" s="3"/>
      <c r="HJY66" s="3"/>
      <c r="HJZ66" s="3"/>
      <c r="HKA66" s="3"/>
      <c r="HKB66" s="3"/>
      <c r="HKC66" s="3"/>
      <c r="HKD66" s="3"/>
      <c r="HKE66" s="3"/>
      <c r="HKF66" s="3"/>
      <c r="HKG66" s="3"/>
      <c r="HKH66" s="3"/>
      <c r="HKI66" s="3"/>
      <c r="HKJ66" s="3"/>
      <c r="HKK66" s="3"/>
      <c r="HKL66" s="3"/>
      <c r="HKM66" s="3"/>
      <c r="HKN66" s="3"/>
      <c r="HKO66" s="3"/>
      <c r="HKP66" s="3"/>
      <c r="HKQ66" s="3"/>
      <c r="HKR66" s="3"/>
      <c r="HKS66" s="3"/>
      <c r="HKT66" s="3"/>
      <c r="HKU66" s="3"/>
      <c r="HKV66" s="3"/>
      <c r="HKW66" s="3"/>
      <c r="HKX66" s="3"/>
      <c r="HKY66" s="3"/>
      <c r="HKZ66" s="3"/>
      <c r="HLA66" s="3"/>
      <c r="HLB66" s="3"/>
      <c r="HLC66" s="3"/>
      <c r="HLD66" s="3"/>
      <c r="HLE66" s="3"/>
      <c r="HLF66" s="3"/>
      <c r="HLG66" s="3"/>
      <c r="HLH66" s="3"/>
      <c r="HLI66" s="3"/>
      <c r="HLJ66" s="3"/>
      <c r="HLK66" s="3"/>
      <c r="HLL66" s="3"/>
      <c r="HLM66" s="3"/>
      <c r="HLN66" s="3"/>
      <c r="HLO66" s="3"/>
      <c r="HLP66" s="3"/>
      <c r="HLQ66" s="3"/>
      <c r="HLR66" s="3"/>
      <c r="HLS66" s="3"/>
      <c r="HLT66" s="3"/>
      <c r="HLU66" s="3"/>
      <c r="HLV66" s="3"/>
      <c r="HLW66" s="3"/>
      <c r="HLX66" s="3"/>
      <c r="HLY66" s="3"/>
      <c r="HLZ66" s="3"/>
      <c r="HMA66" s="3"/>
      <c r="HMB66" s="3"/>
      <c r="HMC66" s="3"/>
      <c r="HMD66" s="3"/>
      <c r="HME66" s="3"/>
      <c r="HMF66" s="3"/>
      <c r="HMG66" s="3"/>
      <c r="HMH66" s="3"/>
      <c r="HMI66" s="3"/>
      <c r="HMJ66" s="3"/>
      <c r="HMK66" s="3"/>
      <c r="HML66" s="3"/>
      <c r="HMM66" s="3"/>
      <c r="HMN66" s="3"/>
      <c r="HMO66" s="3"/>
      <c r="HMP66" s="3"/>
      <c r="HMQ66" s="3"/>
      <c r="HMR66" s="3"/>
      <c r="HMS66" s="3"/>
      <c r="HMT66" s="3"/>
      <c r="HMU66" s="3"/>
      <c r="HMV66" s="3"/>
      <c r="HMW66" s="3"/>
      <c r="HMX66" s="3"/>
      <c r="HMY66" s="3"/>
      <c r="HMZ66" s="3"/>
      <c r="HNA66" s="3"/>
      <c r="HNB66" s="3"/>
      <c r="HNC66" s="3"/>
      <c r="HND66" s="3"/>
      <c r="HNE66" s="3"/>
      <c r="HNF66" s="3"/>
      <c r="HNG66" s="3"/>
      <c r="HNH66" s="3"/>
      <c r="HNI66" s="3"/>
      <c r="HNJ66" s="3"/>
      <c r="HNK66" s="3"/>
      <c r="HNL66" s="3"/>
      <c r="HNM66" s="3"/>
      <c r="HNN66" s="3"/>
      <c r="HNO66" s="3"/>
      <c r="HNP66" s="3"/>
      <c r="HNQ66" s="3"/>
      <c r="HNR66" s="3"/>
      <c r="HNS66" s="3"/>
      <c r="HNT66" s="3"/>
      <c r="HNU66" s="3"/>
      <c r="HNV66" s="3"/>
      <c r="HNW66" s="3"/>
      <c r="HNX66" s="3"/>
      <c r="HNY66" s="3"/>
      <c r="HNZ66" s="3"/>
      <c r="HOA66" s="3"/>
      <c r="HOB66" s="3"/>
      <c r="HOC66" s="3"/>
      <c r="HOD66" s="3"/>
      <c r="HOE66" s="3"/>
      <c r="HOF66" s="3"/>
      <c r="HOG66" s="3"/>
      <c r="HOH66" s="3"/>
      <c r="HOI66" s="3"/>
      <c r="HOJ66" s="3"/>
      <c r="HOK66" s="3"/>
      <c r="HOL66" s="3"/>
      <c r="HOM66" s="3"/>
      <c r="HON66" s="3"/>
      <c r="HOO66" s="3"/>
      <c r="HOP66" s="3"/>
      <c r="HOQ66" s="3"/>
      <c r="HOR66" s="3"/>
      <c r="HOS66" s="3"/>
      <c r="HOT66" s="3"/>
      <c r="HOU66" s="3"/>
      <c r="HOV66" s="3"/>
      <c r="HOW66" s="3"/>
      <c r="HOX66" s="3"/>
      <c r="HOY66" s="3"/>
      <c r="HOZ66" s="3"/>
      <c r="HPA66" s="3"/>
      <c r="HPB66" s="3"/>
      <c r="HPC66" s="3"/>
      <c r="HPD66" s="3"/>
      <c r="HPE66" s="3"/>
      <c r="HPF66" s="3"/>
      <c r="HPG66" s="3"/>
      <c r="HPH66" s="3"/>
      <c r="HPI66" s="3"/>
      <c r="HPJ66" s="3"/>
      <c r="HPK66" s="3"/>
      <c r="HPL66" s="3"/>
      <c r="HPM66" s="3"/>
      <c r="HPN66" s="3"/>
      <c r="HPO66" s="3"/>
      <c r="HPP66" s="3"/>
      <c r="HPQ66" s="3"/>
      <c r="HPR66" s="3"/>
      <c r="HPS66" s="3"/>
      <c r="HPT66" s="3"/>
      <c r="HPU66" s="3"/>
      <c r="HPV66" s="3"/>
      <c r="HPW66" s="3"/>
      <c r="HPX66" s="3"/>
      <c r="HPY66" s="3"/>
      <c r="HPZ66" s="3"/>
      <c r="HQA66" s="3"/>
      <c r="HQB66" s="3"/>
      <c r="HQC66" s="3"/>
      <c r="HQD66" s="3"/>
      <c r="HQE66" s="3"/>
      <c r="HQF66" s="3"/>
      <c r="HQG66" s="3"/>
      <c r="HQH66" s="3"/>
      <c r="HQI66" s="3"/>
      <c r="HQJ66" s="3"/>
      <c r="HQK66" s="3"/>
      <c r="HQL66" s="3"/>
      <c r="HQM66" s="3"/>
      <c r="HQN66" s="3"/>
      <c r="HQO66" s="3"/>
      <c r="HQP66" s="3"/>
      <c r="HQQ66" s="3"/>
      <c r="HQR66" s="3"/>
      <c r="HQS66" s="3"/>
      <c r="HQT66" s="3"/>
      <c r="HQU66" s="3"/>
      <c r="HQV66" s="3"/>
      <c r="HQW66" s="3"/>
      <c r="HQX66" s="3"/>
      <c r="HQY66" s="3"/>
      <c r="HQZ66" s="3"/>
      <c r="HRA66" s="3"/>
      <c r="HRB66" s="3"/>
      <c r="HRC66" s="3"/>
      <c r="HRD66" s="3"/>
      <c r="HRE66" s="3"/>
      <c r="HRF66" s="3"/>
      <c r="HRG66" s="3"/>
      <c r="HRH66" s="3"/>
      <c r="HRI66" s="3"/>
      <c r="HRJ66" s="3"/>
      <c r="HRK66" s="3"/>
      <c r="HRL66" s="3"/>
      <c r="HRM66" s="3"/>
      <c r="HRN66" s="3"/>
      <c r="HRO66" s="3"/>
      <c r="HRP66" s="3"/>
      <c r="HRQ66" s="3"/>
      <c r="HRR66" s="3"/>
      <c r="HRS66" s="3"/>
      <c r="HRT66" s="3"/>
      <c r="HRU66" s="3"/>
      <c r="HRV66" s="3"/>
      <c r="HRW66" s="3"/>
      <c r="HRX66" s="3"/>
      <c r="HRY66" s="3"/>
      <c r="HRZ66" s="3"/>
      <c r="HSA66" s="3"/>
      <c r="HSB66" s="3"/>
      <c r="HSC66" s="3"/>
      <c r="HSD66" s="3"/>
      <c r="HSE66" s="3"/>
      <c r="HSF66" s="3"/>
      <c r="HSG66" s="3"/>
      <c r="HSH66" s="3"/>
      <c r="HSI66" s="3"/>
      <c r="HSJ66" s="3"/>
      <c r="HSK66" s="3"/>
      <c r="HSL66" s="3"/>
      <c r="HSM66" s="3"/>
      <c r="HSN66" s="3"/>
      <c r="HSO66" s="3"/>
      <c r="HSP66" s="3"/>
      <c r="HSQ66" s="3"/>
      <c r="HSR66" s="3"/>
      <c r="HSS66" s="3"/>
      <c r="HST66" s="3"/>
      <c r="HSU66" s="3"/>
      <c r="HSV66" s="3"/>
      <c r="HSW66" s="3"/>
      <c r="HSX66" s="3"/>
      <c r="HSY66" s="3"/>
      <c r="HSZ66" s="3"/>
      <c r="HTA66" s="3"/>
      <c r="HTB66" s="3"/>
      <c r="HTC66" s="3"/>
      <c r="HTD66" s="3"/>
      <c r="HTE66" s="3"/>
      <c r="HTF66" s="3"/>
      <c r="HTG66" s="3"/>
      <c r="HTH66" s="3"/>
      <c r="HTI66" s="3"/>
      <c r="HTJ66" s="3"/>
      <c r="HTK66" s="3"/>
      <c r="HTL66" s="3"/>
      <c r="HTM66" s="3"/>
      <c r="HTN66" s="3"/>
      <c r="HTO66" s="3"/>
      <c r="HTP66" s="3"/>
      <c r="HTQ66" s="3"/>
      <c r="HTR66" s="3"/>
      <c r="HTS66" s="3"/>
      <c r="HTT66" s="3"/>
      <c r="HTU66" s="3"/>
      <c r="HTV66" s="3"/>
      <c r="HTW66" s="3"/>
      <c r="HTX66" s="3"/>
      <c r="HTY66" s="3"/>
      <c r="HTZ66" s="3"/>
      <c r="HUA66" s="3"/>
      <c r="HUB66" s="3"/>
      <c r="HUC66" s="3"/>
      <c r="HUD66" s="3"/>
      <c r="HUE66" s="3"/>
      <c r="HUF66" s="3"/>
      <c r="HUG66" s="3"/>
      <c r="HUH66" s="3"/>
      <c r="HUI66" s="3"/>
      <c r="HUJ66" s="3"/>
      <c r="HUK66" s="3"/>
      <c r="HUL66" s="3"/>
      <c r="HUM66" s="3"/>
      <c r="HUN66" s="3"/>
      <c r="HUO66" s="3"/>
      <c r="HUP66" s="3"/>
      <c r="HUQ66" s="3"/>
      <c r="HUR66" s="3"/>
      <c r="HUS66" s="3"/>
      <c r="HUT66" s="3"/>
      <c r="HUU66" s="3"/>
      <c r="HUV66" s="3"/>
      <c r="HUW66" s="3"/>
      <c r="HUX66" s="3"/>
      <c r="HUY66" s="3"/>
      <c r="HUZ66" s="3"/>
      <c r="HVA66" s="3"/>
      <c r="HVB66" s="3"/>
      <c r="HVC66" s="3"/>
      <c r="HVD66" s="3"/>
      <c r="HVE66" s="3"/>
      <c r="HVF66" s="3"/>
      <c r="HVG66" s="3"/>
      <c r="HVH66" s="3"/>
      <c r="HVI66" s="3"/>
      <c r="HVJ66" s="3"/>
      <c r="HVK66" s="3"/>
      <c r="HVL66" s="3"/>
      <c r="HVM66" s="3"/>
      <c r="HVN66" s="3"/>
      <c r="HVO66" s="3"/>
      <c r="HVP66" s="3"/>
      <c r="HVQ66" s="3"/>
      <c r="HVR66" s="3"/>
      <c r="HVS66" s="3"/>
      <c r="HVT66" s="3"/>
      <c r="HVU66" s="3"/>
      <c r="HVV66" s="3"/>
      <c r="HVW66" s="3"/>
      <c r="HVX66" s="3"/>
      <c r="HVY66" s="3"/>
      <c r="HVZ66" s="3"/>
      <c r="HWA66" s="3"/>
      <c r="HWB66" s="3"/>
      <c r="HWC66" s="3"/>
      <c r="HWD66" s="3"/>
      <c r="HWE66" s="3"/>
      <c r="HWF66" s="3"/>
      <c r="HWG66" s="3"/>
      <c r="HWH66" s="3"/>
      <c r="HWI66" s="3"/>
      <c r="HWJ66" s="3"/>
      <c r="HWK66" s="3"/>
      <c r="HWL66" s="3"/>
      <c r="HWM66" s="3"/>
      <c r="HWN66" s="3"/>
      <c r="HWO66" s="3"/>
      <c r="HWP66" s="3"/>
      <c r="HWQ66" s="3"/>
      <c r="HWR66" s="3"/>
      <c r="HWS66" s="3"/>
      <c r="HWT66" s="3"/>
      <c r="HWU66" s="3"/>
      <c r="HWV66" s="3"/>
      <c r="HWW66" s="3"/>
      <c r="HWX66" s="3"/>
      <c r="HWY66" s="3"/>
      <c r="HWZ66" s="3"/>
      <c r="HXA66" s="3"/>
      <c r="HXB66" s="3"/>
      <c r="HXC66" s="3"/>
      <c r="HXD66" s="3"/>
      <c r="HXE66" s="3"/>
      <c r="HXF66" s="3"/>
      <c r="HXG66" s="3"/>
      <c r="HXH66" s="3"/>
      <c r="HXI66" s="3"/>
      <c r="HXJ66" s="3"/>
      <c r="HXK66" s="3"/>
      <c r="HXL66" s="3"/>
      <c r="HXM66" s="3"/>
      <c r="HXN66" s="3"/>
      <c r="HXO66" s="3"/>
      <c r="HXP66" s="3"/>
      <c r="HXQ66" s="3"/>
      <c r="HXR66" s="3"/>
      <c r="HXS66" s="3"/>
      <c r="HXT66" s="3"/>
      <c r="HXU66" s="3"/>
      <c r="HXV66" s="3"/>
      <c r="HXW66" s="3"/>
      <c r="HXX66" s="3"/>
      <c r="HXY66" s="3"/>
      <c r="HXZ66" s="3"/>
      <c r="HYA66" s="3"/>
      <c r="HYB66" s="3"/>
      <c r="HYC66" s="3"/>
      <c r="HYD66" s="3"/>
      <c r="HYE66" s="3"/>
      <c r="HYF66" s="3"/>
      <c r="HYG66" s="3"/>
      <c r="HYH66" s="3"/>
      <c r="HYI66" s="3"/>
      <c r="HYJ66" s="3"/>
      <c r="HYK66" s="3"/>
      <c r="HYL66" s="3"/>
      <c r="HYM66" s="3"/>
      <c r="HYN66" s="3"/>
      <c r="HYO66" s="3"/>
      <c r="HYP66" s="3"/>
      <c r="HYQ66" s="3"/>
      <c r="HYR66" s="3"/>
      <c r="HYS66" s="3"/>
      <c r="HYT66" s="3"/>
      <c r="HYU66" s="3"/>
      <c r="HYV66" s="3"/>
      <c r="HYW66" s="3"/>
      <c r="HYX66" s="3"/>
      <c r="HYY66" s="3"/>
      <c r="HYZ66" s="3"/>
      <c r="HZA66" s="3"/>
      <c r="HZB66" s="3"/>
      <c r="HZC66" s="3"/>
      <c r="HZD66" s="3"/>
      <c r="HZE66" s="3"/>
      <c r="HZF66" s="3"/>
      <c r="HZG66" s="3"/>
      <c r="HZH66" s="3"/>
      <c r="HZI66" s="3"/>
      <c r="HZJ66" s="3"/>
      <c r="HZK66" s="3"/>
      <c r="HZL66" s="3"/>
      <c r="HZM66" s="3"/>
      <c r="HZN66" s="3"/>
      <c r="HZO66" s="3"/>
      <c r="HZP66" s="3"/>
      <c r="HZQ66" s="3"/>
      <c r="HZR66" s="3"/>
      <c r="HZS66" s="3"/>
      <c r="HZT66" s="3"/>
      <c r="HZU66" s="3"/>
      <c r="HZV66" s="3"/>
      <c r="HZW66" s="3"/>
      <c r="HZX66" s="3"/>
      <c r="HZY66" s="3"/>
      <c r="HZZ66" s="3"/>
      <c r="IAA66" s="3"/>
      <c r="IAB66" s="3"/>
      <c r="IAC66" s="3"/>
      <c r="IAD66" s="3"/>
      <c r="IAE66" s="3"/>
      <c r="IAF66" s="3"/>
      <c r="IAG66" s="3"/>
      <c r="IAH66" s="3"/>
      <c r="IAI66" s="3"/>
      <c r="IAJ66" s="3"/>
      <c r="IAK66" s="3"/>
      <c r="IAL66" s="3"/>
      <c r="IAM66" s="3"/>
      <c r="IAN66" s="3"/>
      <c r="IAO66" s="3"/>
      <c r="IAP66" s="3"/>
      <c r="IAQ66" s="3"/>
      <c r="IAR66" s="3"/>
      <c r="IAS66" s="3"/>
      <c r="IAT66" s="3"/>
      <c r="IAU66" s="3"/>
      <c r="IAV66" s="3"/>
      <c r="IAW66" s="3"/>
      <c r="IAX66" s="3"/>
      <c r="IAY66" s="3"/>
      <c r="IAZ66" s="3"/>
      <c r="IBA66" s="3"/>
      <c r="IBB66" s="3"/>
      <c r="IBC66" s="3"/>
      <c r="IBD66" s="3"/>
      <c r="IBE66" s="3"/>
      <c r="IBF66" s="3"/>
      <c r="IBG66" s="3"/>
      <c r="IBH66" s="3"/>
      <c r="IBI66" s="3"/>
      <c r="IBJ66" s="3"/>
      <c r="IBK66" s="3"/>
      <c r="IBL66" s="3"/>
      <c r="IBM66" s="3"/>
      <c r="IBN66" s="3"/>
      <c r="IBO66" s="3"/>
      <c r="IBP66" s="3"/>
      <c r="IBQ66" s="3"/>
      <c r="IBR66" s="3"/>
      <c r="IBS66" s="3"/>
      <c r="IBT66" s="3"/>
      <c r="IBU66" s="3"/>
      <c r="IBV66" s="3"/>
      <c r="IBW66" s="3"/>
      <c r="IBX66" s="3"/>
      <c r="IBY66" s="3"/>
      <c r="IBZ66" s="3"/>
      <c r="ICA66" s="3"/>
      <c r="ICB66" s="3"/>
      <c r="ICC66" s="3"/>
      <c r="ICD66" s="3"/>
      <c r="ICE66" s="3"/>
      <c r="ICF66" s="3"/>
      <c r="ICG66" s="3"/>
      <c r="ICH66" s="3"/>
      <c r="ICI66" s="3"/>
      <c r="ICJ66" s="3"/>
      <c r="ICK66" s="3"/>
      <c r="ICL66" s="3"/>
      <c r="ICM66" s="3"/>
      <c r="ICN66" s="3"/>
      <c r="ICO66" s="3"/>
      <c r="ICP66" s="3"/>
      <c r="ICQ66" s="3"/>
      <c r="ICR66" s="3"/>
      <c r="ICS66" s="3"/>
      <c r="ICT66" s="3"/>
      <c r="ICU66" s="3"/>
      <c r="ICV66" s="3"/>
      <c r="ICW66" s="3"/>
      <c r="ICX66" s="3"/>
      <c r="ICY66" s="3"/>
      <c r="ICZ66" s="3"/>
      <c r="IDA66" s="3"/>
      <c r="IDB66" s="3"/>
      <c r="IDC66" s="3"/>
      <c r="IDD66" s="3"/>
      <c r="IDE66" s="3"/>
      <c r="IDF66" s="3"/>
      <c r="IDG66" s="3"/>
      <c r="IDH66" s="3"/>
      <c r="IDI66" s="3"/>
      <c r="IDJ66" s="3"/>
      <c r="IDK66" s="3"/>
      <c r="IDL66" s="3"/>
      <c r="IDM66" s="3"/>
      <c r="IDN66" s="3"/>
      <c r="IDO66" s="3"/>
      <c r="IDP66" s="3"/>
      <c r="IDQ66" s="3"/>
      <c r="IDR66" s="3"/>
      <c r="IDS66" s="3"/>
      <c r="IDT66" s="3"/>
      <c r="IDU66" s="3"/>
      <c r="IDV66" s="3"/>
      <c r="IDW66" s="3"/>
      <c r="IDX66" s="3"/>
      <c r="IDY66" s="3"/>
      <c r="IDZ66" s="3"/>
      <c r="IEA66" s="3"/>
      <c r="IEB66" s="3"/>
      <c r="IEC66" s="3"/>
      <c r="IED66" s="3"/>
      <c r="IEE66" s="3"/>
      <c r="IEF66" s="3"/>
      <c r="IEG66" s="3"/>
      <c r="IEH66" s="3"/>
      <c r="IEI66" s="3"/>
      <c r="IEJ66" s="3"/>
      <c r="IEK66" s="3"/>
      <c r="IEL66" s="3"/>
      <c r="IEM66" s="3"/>
      <c r="IEN66" s="3"/>
      <c r="IEO66" s="3"/>
      <c r="IEP66" s="3"/>
      <c r="IEQ66" s="3"/>
      <c r="IER66" s="3"/>
      <c r="IES66" s="3"/>
      <c r="IET66" s="3"/>
      <c r="IEU66" s="3"/>
      <c r="IEV66" s="3"/>
      <c r="IEW66" s="3"/>
      <c r="IEX66" s="3"/>
      <c r="IEY66" s="3"/>
      <c r="IEZ66" s="3"/>
      <c r="IFA66" s="3"/>
      <c r="IFB66" s="3"/>
      <c r="IFC66" s="3"/>
      <c r="IFD66" s="3"/>
      <c r="IFE66" s="3"/>
      <c r="IFF66" s="3"/>
      <c r="IFG66" s="3"/>
      <c r="IFH66" s="3"/>
      <c r="IFI66" s="3"/>
      <c r="IFJ66" s="3"/>
      <c r="IFK66" s="3"/>
      <c r="IFL66" s="3"/>
      <c r="IFM66" s="3"/>
      <c r="IFN66" s="3"/>
      <c r="IFO66" s="3"/>
      <c r="IFP66" s="3"/>
      <c r="IFQ66" s="3"/>
      <c r="IFR66" s="3"/>
      <c r="IFS66" s="3"/>
      <c r="IFT66" s="3"/>
      <c r="IFU66" s="3"/>
      <c r="IFV66" s="3"/>
      <c r="IFW66" s="3"/>
      <c r="IFX66" s="3"/>
      <c r="IFY66" s="3"/>
      <c r="IFZ66" s="3"/>
      <c r="IGA66" s="3"/>
      <c r="IGB66" s="3"/>
      <c r="IGC66" s="3"/>
      <c r="IGD66" s="3"/>
      <c r="IGE66" s="3"/>
      <c r="IGF66" s="3"/>
      <c r="IGG66" s="3"/>
      <c r="IGH66" s="3"/>
      <c r="IGI66" s="3"/>
      <c r="IGJ66" s="3"/>
      <c r="IGK66" s="3"/>
      <c r="IGL66" s="3"/>
      <c r="IGM66" s="3"/>
      <c r="IGN66" s="3"/>
      <c r="IGO66" s="3"/>
      <c r="IGP66" s="3"/>
      <c r="IGQ66" s="3"/>
      <c r="IGR66" s="3"/>
      <c r="IGS66" s="3"/>
      <c r="IGT66" s="3"/>
      <c r="IGU66" s="3"/>
      <c r="IGV66" s="3"/>
      <c r="IGW66" s="3"/>
      <c r="IGX66" s="3"/>
      <c r="IGY66" s="3"/>
      <c r="IGZ66" s="3"/>
      <c r="IHA66" s="3"/>
      <c r="IHB66" s="3"/>
      <c r="IHC66" s="3"/>
      <c r="IHD66" s="3"/>
      <c r="IHE66" s="3"/>
      <c r="IHF66" s="3"/>
      <c r="IHG66" s="3"/>
      <c r="IHH66" s="3"/>
      <c r="IHI66" s="3"/>
      <c r="IHJ66" s="3"/>
      <c r="IHK66" s="3"/>
      <c r="IHL66" s="3"/>
      <c r="IHM66" s="3"/>
      <c r="IHN66" s="3"/>
      <c r="IHO66" s="3"/>
      <c r="IHP66" s="3"/>
      <c r="IHQ66" s="3"/>
      <c r="IHR66" s="3"/>
      <c r="IHS66" s="3"/>
      <c r="IHT66" s="3"/>
      <c r="IHU66" s="3"/>
      <c r="IHV66" s="3"/>
      <c r="IHW66" s="3"/>
      <c r="IHX66" s="3"/>
      <c r="IHY66" s="3"/>
      <c r="IHZ66" s="3"/>
      <c r="IIA66" s="3"/>
      <c r="IIB66" s="3"/>
      <c r="IIC66" s="3"/>
      <c r="IID66" s="3"/>
      <c r="IIE66" s="3"/>
      <c r="IIF66" s="3"/>
      <c r="IIG66" s="3"/>
      <c r="IIH66" s="3"/>
      <c r="III66" s="3"/>
      <c r="IIJ66" s="3"/>
      <c r="IIK66" s="3"/>
      <c r="IIL66" s="3"/>
      <c r="IIM66" s="3"/>
      <c r="IIN66" s="3"/>
      <c r="IIO66" s="3"/>
      <c r="IIP66" s="3"/>
      <c r="IIQ66" s="3"/>
      <c r="IIR66" s="3"/>
      <c r="IIS66" s="3"/>
      <c r="IIT66" s="3"/>
      <c r="IIU66" s="3"/>
      <c r="IIV66" s="3"/>
      <c r="IIW66" s="3"/>
      <c r="IIX66" s="3"/>
      <c r="IIY66" s="3"/>
      <c r="IIZ66" s="3"/>
      <c r="IJA66" s="3"/>
      <c r="IJB66" s="3"/>
      <c r="IJC66" s="3"/>
      <c r="IJD66" s="3"/>
      <c r="IJE66" s="3"/>
      <c r="IJF66" s="3"/>
      <c r="IJG66" s="3"/>
      <c r="IJH66" s="3"/>
      <c r="IJI66" s="3"/>
      <c r="IJJ66" s="3"/>
      <c r="IJK66" s="3"/>
      <c r="IJL66" s="3"/>
      <c r="IJM66" s="3"/>
      <c r="IJN66" s="3"/>
      <c r="IJO66" s="3"/>
      <c r="IJP66" s="3"/>
      <c r="IJQ66" s="3"/>
      <c r="IJR66" s="3"/>
      <c r="IJS66" s="3"/>
      <c r="IJT66" s="3"/>
      <c r="IJU66" s="3"/>
      <c r="IJV66" s="3"/>
      <c r="IJW66" s="3"/>
      <c r="IJX66" s="3"/>
      <c r="IJY66" s="3"/>
      <c r="IJZ66" s="3"/>
      <c r="IKA66" s="3"/>
      <c r="IKB66" s="3"/>
      <c r="IKC66" s="3"/>
      <c r="IKD66" s="3"/>
      <c r="IKE66" s="3"/>
      <c r="IKF66" s="3"/>
      <c r="IKG66" s="3"/>
      <c r="IKH66" s="3"/>
      <c r="IKI66" s="3"/>
      <c r="IKJ66" s="3"/>
      <c r="IKK66" s="3"/>
      <c r="IKL66" s="3"/>
      <c r="IKM66" s="3"/>
      <c r="IKN66" s="3"/>
      <c r="IKO66" s="3"/>
      <c r="IKP66" s="3"/>
      <c r="IKQ66" s="3"/>
      <c r="IKR66" s="3"/>
      <c r="IKS66" s="3"/>
      <c r="IKT66" s="3"/>
      <c r="IKU66" s="3"/>
      <c r="IKV66" s="3"/>
      <c r="IKW66" s="3"/>
      <c r="IKX66" s="3"/>
      <c r="IKY66" s="3"/>
      <c r="IKZ66" s="3"/>
      <c r="ILA66" s="3"/>
      <c r="ILB66" s="3"/>
      <c r="ILC66" s="3"/>
      <c r="ILD66" s="3"/>
      <c r="ILE66" s="3"/>
      <c r="ILF66" s="3"/>
      <c r="ILG66" s="3"/>
      <c r="ILH66" s="3"/>
      <c r="ILI66" s="3"/>
      <c r="ILJ66" s="3"/>
      <c r="ILK66" s="3"/>
      <c r="ILL66" s="3"/>
      <c r="ILM66" s="3"/>
      <c r="ILN66" s="3"/>
      <c r="ILO66" s="3"/>
      <c r="ILP66" s="3"/>
      <c r="ILQ66" s="3"/>
      <c r="ILR66" s="3"/>
      <c r="ILS66" s="3"/>
      <c r="ILT66" s="3"/>
      <c r="ILU66" s="3"/>
      <c r="ILV66" s="3"/>
      <c r="ILW66" s="3"/>
      <c r="ILX66" s="3"/>
      <c r="ILY66" s="3"/>
      <c r="ILZ66" s="3"/>
      <c r="IMA66" s="3"/>
      <c r="IMB66" s="3"/>
      <c r="IMC66" s="3"/>
      <c r="IMD66" s="3"/>
      <c r="IME66" s="3"/>
      <c r="IMF66" s="3"/>
      <c r="IMG66" s="3"/>
      <c r="IMH66" s="3"/>
      <c r="IMI66" s="3"/>
      <c r="IMJ66" s="3"/>
      <c r="IMK66" s="3"/>
      <c r="IML66" s="3"/>
      <c r="IMM66" s="3"/>
      <c r="IMN66" s="3"/>
      <c r="IMO66" s="3"/>
      <c r="IMP66" s="3"/>
      <c r="IMQ66" s="3"/>
      <c r="IMR66" s="3"/>
      <c r="IMS66" s="3"/>
      <c r="IMT66" s="3"/>
      <c r="IMU66" s="3"/>
      <c r="IMV66" s="3"/>
      <c r="IMW66" s="3"/>
      <c r="IMX66" s="3"/>
      <c r="IMY66" s="3"/>
      <c r="IMZ66" s="3"/>
      <c r="INA66" s="3"/>
      <c r="INB66" s="3"/>
      <c r="INC66" s="3"/>
      <c r="IND66" s="3"/>
      <c r="INE66" s="3"/>
      <c r="INF66" s="3"/>
      <c r="ING66" s="3"/>
      <c r="INH66" s="3"/>
      <c r="INI66" s="3"/>
      <c r="INJ66" s="3"/>
      <c r="INK66" s="3"/>
      <c r="INL66" s="3"/>
      <c r="INM66" s="3"/>
      <c r="INN66" s="3"/>
      <c r="INO66" s="3"/>
      <c r="INP66" s="3"/>
      <c r="INQ66" s="3"/>
      <c r="INR66" s="3"/>
      <c r="INS66" s="3"/>
      <c r="INT66" s="3"/>
      <c r="INU66" s="3"/>
      <c r="INV66" s="3"/>
      <c r="INW66" s="3"/>
      <c r="INX66" s="3"/>
      <c r="INY66" s="3"/>
      <c r="INZ66" s="3"/>
      <c r="IOA66" s="3"/>
      <c r="IOB66" s="3"/>
      <c r="IOC66" s="3"/>
      <c r="IOD66" s="3"/>
      <c r="IOE66" s="3"/>
      <c r="IOF66" s="3"/>
      <c r="IOG66" s="3"/>
      <c r="IOH66" s="3"/>
      <c r="IOI66" s="3"/>
      <c r="IOJ66" s="3"/>
      <c r="IOK66" s="3"/>
      <c r="IOL66" s="3"/>
      <c r="IOM66" s="3"/>
      <c r="ION66" s="3"/>
      <c r="IOO66" s="3"/>
      <c r="IOP66" s="3"/>
      <c r="IOQ66" s="3"/>
      <c r="IOR66" s="3"/>
      <c r="IOS66" s="3"/>
      <c r="IOT66" s="3"/>
      <c r="IOU66" s="3"/>
      <c r="IOV66" s="3"/>
      <c r="IOW66" s="3"/>
      <c r="IOX66" s="3"/>
      <c r="IOY66" s="3"/>
      <c r="IOZ66" s="3"/>
      <c r="IPA66" s="3"/>
      <c r="IPB66" s="3"/>
      <c r="IPC66" s="3"/>
      <c r="IPD66" s="3"/>
      <c r="IPE66" s="3"/>
      <c r="IPF66" s="3"/>
      <c r="IPG66" s="3"/>
      <c r="IPH66" s="3"/>
      <c r="IPI66" s="3"/>
      <c r="IPJ66" s="3"/>
      <c r="IPK66" s="3"/>
      <c r="IPL66" s="3"/>
      <c r="IPM66" s="3"/>
      <c r="IPN66" s="3"/>
      <c r="IPO66" s="3"/>
      <c r="IPP66" s="3"/>
      <c r="IPQ66" s="3"/>
      <c r="IPR66" s="3"/>
      <c r="IPS66" s="3"/>
      <c r="IPT66" s="3"/>
      <c r="IPU66" s="3"/>
      <c r="IPV66" s="3"/>
      <c r="IPW66" s="3"/>
      <c r="IPX66" s="3"/>
      <c r="IPY66" s="3"/>
      <c r="IPZ66" s="3"/>
      <c r="IQA66" s="3"/>
      <c r="IQB66" s="3"/>
      <c r="IQC66" s="3"/>
      <c r="IQD66" s="3"/>
      <c r="IQE66" s="3"/>
      <c r="IQF66" s="3"/>
      <c r="IQG66" s="3"/>
      <c r="IQH66" s="3"/>
      <c r="IQI66" s="3"/>
      <c r="IQJ66" s="3"/>
      <c r="IQK66" s="3"/>
      <c r="IQL66" s="3"/>
      <c r="IQM66" s="3"/>
      <c r="IQN66" s="3"/>
      <c r="IQO66" s="3"/>
      <c r="IQP66" s="3"/>
      <c r="IQQ66" s="3"/>
      <c r="IQR66" s="3"/>
      <c r="IQS66" s="3"/>
      <c r="IQT66" s="3"/>
      <c r="IQU66" s="3"/>
      <c r="IQV66" s="3"/>
      <c r="IQW66" s="3"/>
      <c r="IQX66" s="3"/>
      <c r="IQY66" s="3"/>
      <c r="IQZ66" s="3"/>
      <c r="IRA66" s="3"/>
      <c r="IRB66" s="3"/>
      <c r="IRC66" s="3"/>
      <c r="IRD66" s="3"/>
      <c r="IRE66" s="3"/>
      <c r="IRF66" s="3"/>
      <c r="IRG66" s="3"/>
      <c r="IRH66" s="3"/>
      <c r="IRI66" s="3"/>
      <c r="IRJ66" s="3"/>
      <c r="IRK66" s="3"/>
      <c r="IRL66" s="3"/>
      <c r="IRM66" s="3"/>
      <c r="IRN66" s="3"/>
      <c r="IRO66" s="3"/>
      <c r="IRP66" s="3"/>
      <c r="IRQ66" s="3"/>
      <c r="IRR66" s="3"/>
      <c r="IRS66" s="3"/>
      <c r="IRT66" s="3"/>
      <c r="IRU66" s="3"/>
      <c r="IRV66" s="3"/>
      <c r="IRW66" s="3"/>
      <c r="IRX66" s="3"/>
      <c r="IRY66" s="3"/>
      <c r="IRZ66" s="3"/>
      <c r="ISA66" s="3"/>
      <c r="ISB66" s="3"/>
      <c r="ISC66" s="3"/>
      <c r="ISD66" s="3"/>
      <c r="ISE66" s="3"/>
      <c r="ISF66" s="3"/>
      <c r="ISG66" s="3"/>
      <c r="ISH66" s="3"/>
      <c r="ISI66" s="3"/>
      <c r="ISJ66" s="3"/>
      <c r="ISK66" s="3"/>
      <c r="ISL66" s="3"/>
      <c r="ISM66" s="3"/>
      <c r="ISN66" s="3"/>
      <c r="ISO66" s="3"/>
      <c r="ISP66" s="3"/>
      <c r="ISQ66" s="3"/>
      <c r="ISR66" s="3"/>
      <c r="ISS66" s="3"/>
      <c r="IST66" s="3"/>
      <c r="ISU66" s="3"/>
      <c r="ISV66" s="3"/>
      <c r="ISW66" s="3"/>
      <c r="ISX66" s="3"/>
      <c r="ISY66" s="3"/>
      <c r="ISZ66" s="3"/>
      <c r="ITA66" s="3"/>
      <c r="ITB66" s="3"/>
      <c r="ITC66" s="3"/>
      <c r="ITD66" s="3"/>
      <c r="ITE66" s="3"/>
      <c r="ITF66" s="3"/>
      <c r="ITG66" s="3"/>
      <c r="ITH66" s="3"/>
      <c r="ITI66" s="3"/>
      <c r="ITJ66" s="3"/>
      <c r="ITK66" s="3"/>
      <c r="ITL66" s="3"/>
      <c r="ITM66" s="3"/>
      <c r="ITN66" s="3"/>
      <c r="ITO66" s="3"/>
      <c r="ITP66" s="3"/>
      <c r="ITQ66" s="3"/>
      <c r="ITR66" s="3"/>
      <c r="ITS66" s="3"/>
      <c r="ITT66" s="3"/>
      <c r="ITU66" s="3"/>
      <c r="ITV66" s="3"/>
      <c r="ITW66" s="3"/>
      <c r="ITX66" s="3"/>
      <c r="ITY66" s="3"/>
      <c r="ITZ66" s="3"/>
      <c r="IUA66" s="3"/>
      <c r="IUB66" s="3"/>
      <c r="IUC66" s="3"/>
      <c r="IUD66" s="3"/>
      <c r="IUE66" s="3"/>
      <c r="IUF66" s="3"/>
      <c r="IUG66" s="3"/>
      <c r="IUH66" s="3"/>
      <c r="IUI66" s="3"/>
      <c r="IUJ66" s="3"/>
      <c r="IUK66" s="3"/>
      <c r="IUL66" s="3"/>
      <c r="IUM66" s="3"/>
      <c r="IUN66" s="3"/>
      <c r="IUO66" s="3"/>
      <c r="IUP66" s="3"/>
      <c r="IUQ66" s="3"/>
      <c r="IUR66" s="3"/>
      <c r="IUS66" s="3"/>
      <c r="IUT66" s="3"/>
      <c r="IUU66" s="3"/>
      <c r="IUV66" s="3"/>
      <c r="IUW66" s="3"/>
      <c r="IUX66" s="3"/>
      <c r="IUY66" s="3"/>
      <c r="IUZ66" s="3"/>
      <c r="IVA66" s="3"/>
      <c r="IVB66" s="3"/>
      <c r="IVC66" s="3"/>
      <c r="IVD66" s="3"/>
      <c r="IVE66" s="3"/>
      <c r="IVF66" s="3"/>
      <c r="IVG66" s="3"/>
      <c r="IVH66" s="3"/>
      <c r="IVI66" s="3"/>
      <c r="IVJ66" s="3"/>
      <c r="IVK66" s="3"/>
      <c r="IVL66" s="3"/>
      <c r="IVM66" s="3"/>
      <c r="IVN66" s="3"/>
      <c r="IVO66" s="3"/>
      <c r="IVP66" s="3"/>
      <c r="IVQ66" s="3"/>
      <c r="IVR66" s="3"/>
      <c r="IVS66" s="3"/>
      <c r="IVT66" s="3"/>
      <c r="IVU66" s="3"/>
      <c r="IVV66" s="3"/>
      <c r="IVW66" s="3"/>
      <c r="IVX66" s="3"/>
      <c r="IVY66" s="3"/>
      <c r="IVZ66" s="3"/>
      <c r="IWA66" s="3"/>
      <c r="IWB66" s="3"/>
      <c r="IWC66" s="3"/>
      <c r="IWD66" s="3"/>
      <c r="IWE66" s="3"/>
      <c r="IWF66" s="3"/>
      <c r="IWG66" s="3"/>
      <c r="IWH66" s="3"/>
      <c r="IWI66" s="3"/>
      <c r="IWJ66" s="3"/>
      <c r="IWK66" s="3"/>
      <c r="IWL66" s="3"/>
      <c r="IWM66" s="3"/>
      <c r="IWN66" s="3"/>
      <c r="IWO66" s="3"/>
      <c r="IWP66" s="3"/>
      <c r="IWQ66" s="3"/>
      <c r="IWR66" s="3"/>
      <c r="IWS66" s="3"/>
      <c r="IWT66" s="3"/>
      <c r="IWU66" s="3"/>
      <c r="IWV66" s="3"/>
      <c r="IWW66" s="3"/>
      <c r="IWX66" s="3"/>
      <c r="IWY66" s="3"/>
      <c r="IWZ66" s="3"/>
      <c r="IXA66" s="3"/>
      <c r="IXB66" s="3"/>
      <c r="IXC66" s="3"/>
      <c r="IXD66" s="3"/>
      <c r="IXE66" s="3"/>
      <c r="IXF66" s="3"/>
      <c r="IXG66" s="3"/>
      <c r="IXH66" s="3"/>
      <c r="IXI66" s="3"/>
      <c r="IXJ66" s="3"/>
      <c r="IXK66" s="3"/>
      <c r="IXL66" s="3"/>
      <c r="IXM66" s="3"/>
      <c r="IXN66" s="3"/>
      <c r="IXO66" s="3"/>
      <c r="IXP66" s="3"/>
      <c r="IXQ66" s="3"/>
      <c r="IXR66" s="3"/>
      <c r="IXS66" s="3"/>
      <c r="IXT66" s="3"/>
      <c r="IXU66" s="3"/>
      <c r="IXV66" s="3"/>
      <c r="IXW66" s="3"/>
      <c r="IXX66" s="3"/>
      <c r="IXY66" s="3"/>
      <c r="IXZ66" s="3"/>
      <c r="IYA66" s="3"/>
      <c r="IYB66" s="3"/>
      <c r="IYC66" s="3"/>
      <c r="IYD66" s="3"/>
      <c r="IYE66" s="3"/>
      <c r="IYF66" s="3"/>
      <c r="IYG66" s="3"/>
      <c r="IYH66" s="3"/>
      <c r="IYI66" s="3"/>
      <c r="IYJ66" s="3"/>
      <c r="IYK66" s="3"/>
      <c r="IYL66" s="3"/>
      <c r="IYM66" s="3"/>
      <c r="IYN66" s="3"/>
      <c r="IYO66" s="3"/>
      <c r="IYP66" s="3"/>
      <c r="IYQ66" s="3"/>
      <c r="IYR66" s="3"/>
      <c r="IYS66" s="3"/>
      <c r="IYT66" s="3"/>
      <c r="IYU66" s="3"/>
      <c r="IYV66" s="3"/>
      <c r="IYW66" s="3"/>
      <c r="IYX66" s="3"/>
      <c r="IYY66" s="3"/>
      <c r="IYZ66" s="3"/>
      <c r="IZA66" s="3"/>
      <c r="IZB66" s="3"/>
      <c r="IZC66" s="3"/>
      <c r="IZD66" s="3"/>
      <c r="IZE66" s="3"/>
      <c r="IZF66" s="3"/>
      <c r="IZG66" s="3"/>
      <c r="IZH66" s="3"/>
      <c r="IZI66" s="3"/>
      <c r="IZJ66" s="3"/>
      <c r="IZK66" s="3"/>
      <c r="IZL66" s="3"/>
      <c r="IZM66" s="3"/>
      <c r="IZN66" s="3"/>
      <c r="IZO66" s="3"/>
      <c r="IZP66" s="3"/>
      <c r="IZQ66" s="3"/>
      <c r="IZR66" s="3"/>
      <c r="IZS66" s="3"/>
      <c r="IZT66" s="3"/>
      <c r="IZU66" s="3"/>
      <c r="IZV66" s="3"/>
      <c r="IZW66" s="3"/>
      <c r="IZX66" s="3"/>
      <c r="IZY66" s="3"/>
      <c r="IZZ66" s="3"/>
      <c r="JAA66" s="3"/>
      <c r="JAB66" s="3"/>
      <c r="JAC66" s="3"/>
      <c r="JAD66" s="3"/>
      <c r="JAE66" s="3"/>
      <c r="JAF66" s="3"/>
      <c r="JAG66" s="3"/>
      <c r="JAH66" s="3"/>
      <c r="JAI66" s="3"/>
      <c r="JAJ66" s="3"/>
      <c r="JAK66" s="3"/>
      <c r="JAL66" s="3"/>
      <c r="JAM66" s="3"/>
      <c r="JAN66" s="3"/>
      <c r="JAO66" s="3"/>
      <c r="JAP66" s="3"/>
      <c r="JAQ66" s="3"/>
      <c r="JAR66" s="3"/>
      <c r="JAS66" s="3"/>
      <c r="JAT66" s="3"/>
      <c r="JAU66" s="3"/>
      <c r="JAV66" s="3"/>
      <c r="JAW66" s="3"/>
      <c r="JAX66" s="3"/>
      <c r="JAY66" s="3"/>
      <c r="JAZ66" s="3"/>
      <c r="JBA66" s="3"/>
      <c r="JBB66" s="3"/>
      <c r="JBC66" s="3"/>
      <c r="JBD66" s="3"/>
      <c r="JBE66" s="3"/>
      <c r="JBF66" s="3"/>
      <c r="JBG66" s="3"/>
      <c r="JBH66" s="3"/>
      <c r="JBI66" s="3"/>
      <c r="JBJ66" s="3"/>
      <c r="JBK66" s="3"/>
      <c r="JBL66" s="3"/>
      <c r="JBM66" s="3"/>
      <c r="JBN66" s="3"/>
      <c r="JBO66" s="3"/>
      <c r="JBP66" s="3"/>
      <c r="JBQ66" s="3"/>
      <c r="JBR66" s="3"/>
      <c r="JBS66" s="3"/>
      <c r="JBT66" s="3"/>
      <c r="JBU66" s="3"/>
      <c r="JBV66" s="3"/>
      <c r="JBW66" s="3"/>
      <c r="JBX66" s="3"/>
      <c r="JBY66" s="3"/>
      <c r="JBZ66" s="3"/>
      <c r="JCA66" s="3"/>
      <c r="JCB66" s="3"/>
      <c r="JCC66" s="3"/>
      <c r="JCD66" s="3"/>
      <c r="JCE66" s="3"/>
      <c r="JCF66" s="3"/>
      <c r="JCG66" s="3"/>
      <c r="JCH66" s="3"/>
      <c r="JCI66" s="3"/>
      <c r="JCJ66" s="3"/>
      <c r="JCK66" s="3"/>
      <c r="JCL66" s="3"/>
      <c r="JCM66" s="3"/>
      <c r="JCN66" s="3"/>
      <c r="JCO66" s="3"/>
      <c r="JCP66" s="3"/>
      <c r="JCQ66" s="3"/>
      <c r="JCR66" s="3"/>
      <c r="JCS66" s="3"/>
      <c r="JCT66" s="3"/>
      <c r="JCU66" s="3"/>
      <c r="JCV66" s="3"/>
      <c r="JCW66" s="3"/>
      <c r="JCX66" s="3"/>
      <c r="JCY66" s="3"/>
      <c r="JCZ66" s="3"/>
      <c r="JDA66" s="3"/>
      <c r="JDB66" s="3"/>
      <c r="JDC66" s="3"/>
      <c r="JDD66" s="3"/>
      <c r="JDE66" s="3"/>
      <c r="JDF66" s="3"/>
      <c r="JDG66" s="3"/>
      <c r="JDH66" s="3"/>
      <c r="JDI66" s="3"/>
      <c r="JDJ66" s="3"/>
      <c r="JDK66" s="3"/>
      <c r="JDL66" s="3"/>
      <c r="JDM66" s="3"/>
      <c r="JDN66" s="3"/>
      <c r="JDO66" s="3"/>
      <c r="JDP66" s="3"/>
      <c r="JDQ66" s="3"/>
      <c r="JDR66" s="3"/>
      <c r="JDS66" s="3"/>
      <c r="JDT66" s="3"/>
      <c r="JDU66" s="3"/>
      <c r="JDV66" s="3"/>
      <c r="JDW66" s="3"/>
      <c r="JDX66" s="3"/>
      <c r="JDY66" s="3"/>
      <c r="JDZ66" s="3"/>
      <c r="JEA66" s="3"/>
      <c r="JEB66" s="3"/>
      <c r="JEC66" s="3"/>
      <c r="JED66" s="3"/>
      <c r="JEE66" s="3"/>
      <c r="JEF66" s="3"/>
      <c r="JEG66" s="3"/>
      <c r="JEH66" s="3"/>
      <c r="JEI66" s="3"/>
      <c r="JEJ66" s="3"/>
      <c r="JEK66" s="3"/>
      <c r="JEL66" s="3"/>
      <c r="JEM66" s="3"/>
      <c r="JEN66" s="3"/>
      <c r="JEO66" s="3"/>
      <c r="JEP66" s="3"/>
      <c r="JEQ66" s="3"/>
      <c r="JER66" s="3"/>
      <c r="JES66" s="3"/>
      <c r="JET66" s="3"/>
      <c r="JEU66" s="3"/>
      <c r="JEV66" s="3"/>
      <c r="JEW66" s="3"/>
      <c r="JEX66" s="3"/>
      <c r="JEY66" s="3"/>
      <c r="JEZ66" s="3"/>
      <c r="JFA66" s="3"/>
      <c r="JFB66" s="3"/>
      <c r="JFC66" s="3"/>
      <c r="JFD66" s="3"/>
      <c r="JFE66" s="3"/>
      <c r="JFF66" s="3"/>
      <c r="JFG66" s="3"/>
      <c r="JFH66" s="3"/>
      <c r="JFI66" s="3"/>
      <c r="JFJ66" s="3"/>
      <c r="JFK66" s="3"/>
      <c r="JFL66" s="3"/>
      <c r="JFM66" s="3"/>
      <c r="JFN66" s="3"/>
      <c r="JFO66" s="3"/>
      <c r="JFP66" s="3"/>
      <c r="JFQ66" s="3"/>
      <c r="JFR66" s="3"/>
      <c r="JFS66" s="3"/>
      <c r="JFT66" s="3"/>
      <c r="JFU66" s="3"/>
      <c r="JFV66" s="3"/>
      <c r="JFW66" s="3"/>
      <c r="JFX66" s="3"/>
      <c r="JFY66" s="3"/>
      <c r="JFZ66" s="3"/>
      <c r="JGA66" s="3"/>
      <c r="JGB66" s="3"/>
      <c r="JGC66" s="3"/>
      <c r="JGD66" s="3"/>
      <c r="JGE66" s="3"/>
      <c r="JGF66" s="3"/>
      <c r="JGG66" s="3"/>
      <c r="JGH66" s="3"/>
      <c r="JGI66" s="3"/>
      <c r="JGJ66" s="3"/>
      <c r="JGK66" s="3"/>
      <c r="JGL66" s="3"/>
      <c r="JGM66" s="3"/>
      <c r="JGN66" s="3"/>
      <c r="JGO66" s="3"/>
      <c r="JGP66" s="3"/>
      <c r="JGQ66" s="3"/>
      <c r="JGR66" s="3"/>
      <c r="JGS66" s="3"/>
      <c r="JGT66" s="3"/>
      <c r="JGU66" s="3"/>
      <c r="JGV66" s="3"/>
      <c r="JGW66" s="3"/>
      <c r="JGX66" s="3"/>
      <c r="JGY66" s="3"/>
      <c r="JGZ66" s="3"/>
      <c r="JHA66" s="3"/>
      <c r="JHB66" s="3"/>
      <c r="JHC66" s="3"/>
      <c r="JHD66" s="3"/>
      <c r="JHE66" s="3"/>
      <c r="JHF66" s="3"/>
      <c r="JHG66" s="3"/>
      <c r="JHH66" s="3"/>
      <c r="JHI66" s="3"/>
      <c r="JHJ66" s="3"/>
      <c r="JHK66" s="3"/>
      <c r="JHL66" s="3"/>
      <c r="JHM66" s="3"/>
      <c r="JHN66" s="3"/>
      <c r="JHO66" s="3"/>
      <c r="JHP66" s="3"/>
      <c r="JHQ66" s="3"/>
      <c r="JHR66" s="3"/>
      <c r="JHS66" s="3"/>
      <c r="JHT66" s="3"/>
      <c r="JHU66" s="3"/>
      <c r="JHV66" s="3"/>
      <c r="JHW66" s="3"/>
      <c r="JHX66" s="3"/>
      <c r="JHY66" s="3"/>
      <c r="JHZ66" s="3"/>
      <c r="JIA66" s="3"/>
      <c r="JIB66" s="3"/>
      <c r="JIC66" s="3"/>
      <c r="JID66" s="3"/>
      <c r="JIE66" s="3"/>
      <c r="JIF66" s="3"/>
      <c r="JIG66" s="3"/>
      <c r="JIH66" s="3"/>
      <c r="JII66" s="3"/>
      <c r="JIJ66" s="3"/>
      <c r="JIK66" s="3"/>
      <c r="JIL66" s="3"/>
      <c r="JIM66" s="3"/>
      <c r="JIN66" s="3"/>
      <c r="JIO66" s="3"/>
      <c r="JIP66" s="3"/>
      <c r="JIQ66" s="3"/>
      <c r="JIR66" s="3"/>
      <c r="JIS66" s="3"/>
      <c r="JIT66" s="3"/>
      <c r="JIU66" s="3"/>
      <c r="JIV66" s="3"/>
      <c r="JIW66" s="3"/>
      <c r="JIX66" s="3"/>
      <c r="JIY66" s="3"/>
      <c r="JIZ66" s="3"/>
      <c r="JJA66" s="3"/>
      <c r="JJB66" s="3"/>
      <c r="JJC66" s="3"/>
      <c r="JJD66" s="3"/>
      <c r="JJE66" s="3"/>
      <c r="JJF66" s="3"/>
      <c r="JJG66" s="3"/>
      <c r="JJH66" s="3"/>
      <c r="JJI66" s="3"/>
      <c r="JJJ66" s="3"/>
      <c r="JJK66" s="3"/>
      <c r="JJL66" s="3"/>
      <c r="JJM66" s="3"/>
      <c r="JJN66" s="3"/>
      <c r="JJO66" s="3"/>
      <c r="JJP66" s="3"/>
      <c r="JJQ66" s="3"/>
      <c r="JJR66" s="3"/>
      <c r="JJS66" s="3"/>
      <c r="JJT66" s="3"/>
      <c r="JJU66" s="3"/>
      <c r="JJV66" s="3"/>
      <c r="JJW66" s="3"/>
      <c r="JJX66" s="3"/>
      <c r="JJY66" s="3"/>
      <c r="JJZ66" s="3"/>
      <c r="JKA66" s="3"/>
      <c r="JKB66" s="3"/>
      <c r="JKC66" s="3"/>
      <c r="JKD66" s="3"/>
      <c r="JKE66" s="3"/>
      <c r="JKF66" s="3"/>
      <c r="JKG66" s="3"/>
      <c r="JKH66" s="3"/>
      <c r="JKI66" s="3"/>
      <c r="JKJ66" s="3"/>
      <c r="JKK66" s="3"/>
      <c r="JKL66" s="3"/>
      <c r="JKM66" s="3"/>
      <c r="JKN66" s="3"/>
      <c r="JKO66" s="3"/>
      <c r="JKP66" s="3"/>
      <c r="JKQ66" s="3"/>
      <c r="JKR66" s="3"/>
      <c r="JKS66" s="3"/>
      <c r="JKT66" s="3"/>
      <c r="JKU66" s="3"/>
      <c r="JKV66" s="3"/>
      <c r="JKW66" s="3"/>
      <c r="JKX66" s="3"/>
      <c r="JKY66" s="3"/>
      <c r="JKZ66" s="3"/>
      <c r="JLA66" s="3"/>
      <c r="JLB66" s="3"/>
      <c r="JLC66" s="3"/>
      <c r="JLD66" s="3"/>
      <c r="JLE66" s="3"/>
      <c r="JLF66" s="3"/>
      <c r="JLG66" s="3"/>
      <c r="JLH66" s="3"/>
      <c r="JLI66" s="3"/>
      <c r="JLJ66" s="3"/>
      <c r="JLK66" s="3"/>
      <c r="JLL66" s="3"/>
      <c r="JLM66" s="3"/>
      <c r="JLN66" s="3"/>
      <c r="JLO66" s="3"/>
      <c r="JLP66" s="3"/>
      <c r="JLQ66" s="3"/>
      <c r="JLR66" s="3"/>
      <c r="JLS66" s="3"/>
      <c r="JLT66" s="3"/>
      <c r="JLU66" s="3"/>
      <c r="JLV66" s="3"/>
      <c r="JLW66" s="3"/>
      <c r="JLX66" s="3"/>
      <c r="JLY66" s="3"/>
      <c r="JLZ66" s="3"/>
      <c r="JMA66" s="3"/>
      <c r="JMB66" s="3"/>
      <c r="JMC66" s="3"/>
      <c r="JMD66" s="3"/>
      <c r="JME66" s="3"/>
      <c r="JMF66" s="3"/>
      <c r="JMG66" s="3"/>
      <c r="JMH66" s="3"/>
      <c r="JMI66" s="3"/>
      <c r="JMJ66" s="3"/>
      <c r="JMK66" s="3"/>
      <c r="JML66" s="3"/>
      <c r="JMM66" s="3"/>
      <c r="JMN66" s="3"/>
      <c r="JMO66" s="3"/>
      <c r="JMP66" s="3"/>
      <c r="JMQ66" s="3"/>
      <c r="JMR66" s="3"/>
      <c r="JMS66" s="3"/>
      <c r="JMT66" s="3"/>
      <c r="JMU66" s="3"/>
      <c r="JMV66" s="3"/>
      <c r="JMW66" s="3"/>
      <c r="JMX66" s="3"/>
      <c r="JMY66" s="3"/>
      <c r="JMZ66" s="3"/>
      <c r="JNA66" s="3"/>
      <c r="JNB66" s="3"/>
      <c r="JNC66" s="3"/>
      <c r="JND66" s="3"/>
      <c r="JNE66" s="3"/>
      <c r="JNF66" s="3"/>
      <c r="JNG66" s="3"/>
      <c r="JNH66" s="3"/>
      <c r="JNI66" s="3"/>
      <c r="JNJ66" s="3"/>
      <c r="JNK66" s="3"/>
      <c r="JNL66" s="3"/>
      <c r="JNM66" s="3"/>
      <c r="JNN66" s="3"/>
      <c r="JNO66" s="3"/>
      <c r="JNP66" s="3"/>
      <c r="JNQ66" s="3"/>
      <c r="JNR66" s="3"/>
      <c r="JNS66" s="3"/>
      <c r="JNT66" s="3"/>
      <c r="JNU66" s="3"/>
      <c r="JNV66" s="3"/>
      <c r="JNW66" s="3"/>
      <c r="JNX66" s="3"/>
      <c r="JNY66" s="3"/>
      <c r="JNZ66" s="3"/>
      <c r="JOA66" s="3"/>
      <c r="JOB66" s="3"/>
      <c r="JOC66" s="3"/>
      <c r="JOD66" s="3"/>
      <c r="JOE66" s="3"/>
      <c r="JOF66" s="3"/>
      <c r="JOG66" s="3"/>
      <c r="JOH66" s="3"/>
      <c r="JOI66" s="3"/>
      <c r="JOJ66" s="3"/>
      <c r="JOK66" s="3"/>
      <c r="JOL66" s="3"/>
      <c r="JOM66" s="3"/>
      <c r="JON66" s="3"/>
      <c r="JOO66" s="3"/>
      <c r="JOP66" s="3"/>
      <c r="JOQ66" s="3"/>
      <c r="JOR66" s="3"/>
      <c r="JOS66" s="3"/>
      <c r="JOT66" s="3"/>
      <c r="JOU66" s="3"/>
      <c r="JOV66" s="3"/>
      <c r="JOW66" s="3"/>
      <c r="JOX66" s="3"/>
      <c r="JOY66" s="3"/>
      <c r="JOZ66" s="3"/>
      <c r="JPA66" s="3"/>
      <c r="JPB66" s="3"/>
      <c r="JPC66" s="3"/>
      <c r="JPD66" s="3"/>
      <c r="JPE66" s="3"/>
      <c r="JPF66" s="3"/>
      <c r="JPG66" s="3"/>
      <c r="JPH66" s="3"/>
      <c r="JPI66" s="3"/>
      <c r="JPJ66" s="3"/>
      <c r="JPK66" s="3"/>
      <c r="JPL66" s="3"/>
      <c r="JPM66" s="3"/>
      <c r="JPN66" s="3"/>
      <c r="JPO66" s="3"/>
      <c r="JPP66" s="3"/>
      <c r="JPQ66" s="3"/>
      <c r="JPR66" s="3"/>
      <c r="JPS66" s="3"/>
      <c r="JPT66" s="3"/>
      <c r="JPU66" s="3"/>
      <c r="JPV66" s="3"/>
      <c r="JPW66" s="3"/>
      <c r="JPX66" s="3"/>
      <c r="JPY66" s="3"/>
      <c r="JPZ66" s="3"/>
      <c r="JQA66" s="3"/>
      <c r="JQB66" s="3"/>
      <c r="JQC66" s="3"/>
      <c r="JQD66" s="3"/>
      <c r="JQE66" s="3"/>
      <c r="JQF66" s="3"/>
      <c r="JQG66" s="3"/>
      <c r="JQH66" s="3"/>
      <c r="JQI66" s="3"/>
      <c r="JQJ66" s="3"/>
      <c r="JQK66" s="3"/>
      <c r="JQL66" s="3"/>
      <c r="JQM66" s="3"/>
      <c r="JQN66" s="3"/>
      <c r="JQO66" s="3"/>
      <c r="JQP66" s="3"/>
      <c r="JQQ66" s="3"/>
      <c r="JQR66" s="3"/>
      <c r="JQS66" s="3"/>
      <c r="JQT66" s="3"/>
      <c r="JQU66" s="3"/>
      <c r="JQV66" s="3"/>
      <c r="JQW66" s="3"/>
      <c r="JQX66" s="3"/>
      <c r="JQY66" s="3"/>
      <c r="JQZ66" s="3"/>
      <c r="JRA66" s="3"/>
      <c r="JRB66" s="3"/>
      <c r="JRC66" s="3"/>
      <c r="JRD66" s="3"/>
      <c r="JRE66" s="3"/>
      <c r="JRF66" s="3"/>
      <c r="JRG66" s="3"/>
      <c r="JRH66" s="3"/>
      <c r="JRI66" s="3"/>
      <c r="JRJ66" s="3"/>
      <c r="JRK66" s="3"/>
      <c r="JRL66" s="3"/>
      <c r="JRM66" s="3"/>
      <c r="JRN66" s="3"/>
      <c r="JRO66" s="3"/>
      <c r="JRP66" s="3"/>
      <c r="JRQ66" s="3"/>
      <c r="JRR66" s="3"/>
      <c r="JRS66" s="3"/>
      <c r="JRT66" s="3"/>
      <c r="JRU66" s="3"/>
      <c r="JRV66" s="3"/>
      <c r="JRW66" s="3"/>
      <c r="JRX66" s="3"/>
      <c r="JRY66" s="3"/>
      <c r="JRZ66" s="3"/>
      <c r="JSA66" s="3"/>
      <c r="JSB66" s="3"/>
      <c r="JSC66" s="3"/>
      <c r="JSD66" s="3"/>
      <c r="JSE66" s="3"/>
      <c r="JSF66" s="3"/>
      <c r="JSG66" s="3"/>
      <c r="JSH66" s="3"/>
      <c r="JSI66" s="3"/>
      <c r="JSJ66" s="3"/>
      <c r="JSK66" s="3"/>
      <c r="JSL66" s="3"/>
      <c r="JSM66" s="3"/>
      <c r="JSN66" s="3"/>
      <c r="JSO66" s="3"/>
      <c r="JSP66" s="3"/>
      <c r="JSQ66" s="3"/>
      <c r="JSR66" s="3"/>
      <c r="JSS66" s="3"/>
      <c r="JST66" s="3"/>
      <c r="JSU66" s="3"/>
      <c r="JSV66" s="3"/>
      <c r="JSW66" s="3"/>
      <c r="JSX66" s="3"/>
      <c r="JSY66" s="3"/>
      <c r="JSZ66" s="3"/>
      <c r="JTA66" s="3"/>
      <c r="JTB66" s="3"/>
      <c r="JTC66" s="3"/>
      <c r="JTD66" s="3"/>
      <c r="JTE66" s="3"/>
      <c r="JTF66" s="3"/>
      <c r="JTG66" s="3"/>
      <c r="JTH66" s="3"/>
      <c r="JTI66" s="3"/>
      <c r="JTJ66" s="3"/>
      <c r="JTK66" s="3"/>
      <c r="JTL66" s="3"/>
      <c r="JTM66" s="3"/>
      <c r="JTN66" s="3"/>
      <c r="JTO66" s="3"/>
      <c r="JTP66" s="3"/>
      <c r="JTQ66" s="3"/>
      <c r="JTR66" s="3"/>
      <c r="JTS66" s="3"/>
      <c r="JTT66" s="3"/>
      <c r="JTU66" s="3"/>
      <c r="JTV66" s="3"/>
      <c r="JTW66" s="3"/>
      <c r="JTX66" s="3"/>
      <c r="JTY66" s="3"/>
      <c r="JTZ66" s="3"/>
      <c r="JUA66" s="3"/>
      <c r="JUB66" s="3"/>
      <c r="JUC66" s="3"/>
      <c r="JUD66" s="3"/>
      <c r="JUE66" s="3"/>
      <c r="JUF66" s="3"/>
      <c r="JUG66" s="3"/>
      <c r="JUH66" s="3"/>
      <c r="JUI66" s="3"/>
      <c r="JUJ66" s="3"/>
      <c r="JUK66" s="3"/>
      <c r="JUL66" s="3"/>
      <c r="JUM66" s="3"/>
      <c r="JUN66" s="3"/>
      <c r="JUO66" s="3"/>
      <c r="JUP66" s="3"/>
      <c r="JUQ66" s="3"/>
      <c r="JUR66" s="3"/>
      <c r="JUS66" s="3"/>
      <c r="JUT66" s="3"/>
      <c r="JUU66" s="3"/>
      <c r="JUV66" s="3"/>
      <c r="JUW66" s="3"/>
      <c r="JUX66" s="3"/>
      <c r="JUY66" s="3"/>
      <c r="JUZ66" s="3"/>
      <c r="JVA66" s="3"/>
      <c r="JVB66" s="3"/>
      <c r="JVC66" s="3"/>
      <c r="JVD66" s="3"/>
      <c r="JVE66" s="3"/>
      <c r="JVF66" s="3"/>
      <c r="JVG66" s="3"/>
      <c r="JVH66" s="3"/>
      <c r="JVI66" s="3"/>
      <c r="JVJ66" s="3"/>
      <c r="JVK66" s="3"/>
      <c r="JVL66" s="3"/>
      <c r="JVM66" s="3"/>
      <c r="JVN66" s="3"/>
      <c r="JVO66" s="3"/>
      <c r="JVP66" s="3"/>
      <c r="JVQ66" s="3"/>
      <c r="JVR66" s="3"/>
      <c r="JVS66" s="3"/>
      <c r="JVT66" s="3"/>
      <c r="JVU66" s="3"/>
      <c r="JVV66" s="3"/>
      <c r="JVW66" s="3"/>
      <c r="JVX66" s="3"/>
      <c r="JVY66" s="3"/>
      <c r="JVZ66" s="3"/>
      <c r="JWA66" s="3"/>
      <c r="JWB66" s="3"/>
      <c r="JWC66" s="3"/>
      <c r="JWD66" s="3"/>
      <c r="JWE66" s="3"/>
      <c r="JWF66" s="3"/>
      <c r="JWG66" s="3"/>
      <c r="JWH66" s="3"/>
      <c r="JWI66" s="3"/>
      <c r="JWJ66" s="3"/>
      <c r="JWK66" s="3"/>
      <c r="JWL66" s="3"/>
      <c r="JWM66" s="3"/>
      <c r="JWN66" s="3"/>
      <c r="JWO66" s="3"/>
      <c r="JWP66" s="3"/>
      <c r="JWQ66" s="3"/>
      <c r="JWR66" s="3"/>
      <c r="JWS66" s="3"/>
      <c r="JWT66" s="3"/>
      <c r="JWU66" s="3"/>
      <c r="JWV66" s="3"/>
      <c r="JWW66" s="3"/>
      <c r="JWX66" s="3"/>
      <c r="JWY66" s="3"/>
      <c r="JWZ66" s="3"/>
      <c r="JXA66" s="3"/>
      <c r="JXB66" s="3"/>
      <c r="JXC66" s="3"/>
      <c r="JXD66" s="3"/>
      <c r="JXE66" s="3"/>
      <c r="JXF66" s="3"/>
      <c r="JXG66" s="3"/>
      <c r="JXH66" s="3"/>
      <c r="JXI66" s="3"/>
      <c r="JXJ66" s="3"/>
      <c r="JXK66" s="3"/>
      <c r="JXL66" s="3"/>
      <c r="JXM66" s="3"/>
      <c r="JXN66" s="3"/>
      <c r="JXO66" s="3"/>
      <c r="JXP66" s="3"/>
      <c r="JXQ66" s="3"/>
      <c r="JXR66" s="3"/>
      <c r="JXS66" s="3"/>
      <c r="JXT66" s="3"/>
      <c r="JXU66" s="3"/>
      <c r="JXV66" s="3"/>
      <c r="JXW66" s="3"/>
      <c r="JXX66" s="3"/>
      <c r="JXY66" s="3"/>
      <c r="JXZ66" s="3"/>
      <c r="JYA66" s="3"/>
      <c r="JYB66" s="3"/>
      <c r="JYC66" s="3"/>
      <c r="JYD66" s="3"/>
      <c r="JYE66" s="3"/>
      <c r="JYF66" s="3"/>
      <c r="JYG66" s="3"/>
      <c r="JYH66" s="3"/>
      <c r="JYI66" s="3"/>
      <c r="JYJ66" s="3"/>
      <c r="JYK66" s="3"/>
      <c r="JYL66" s="3"/>
      <c r="JYM66" s="3"/>
      <c r="JYN66" s="3"/>
      <c r="JYO66" s="3"/>
      <c r="JYP66" s="3"/>
      <c r="JYQ66" s="3"/>
      <c r="JYR66" s="3"/>
      <c r="JYS66" s="3"/>
      <c r="JYT66" s="3"/>
      <c r="JYU66" s="3"/>
      <c r="JYV66" s="3"/>
      <c r="JYW66" s="3"/>
      <c r="JYX66" s="3"/>
      <c r="JYY66" s="3"/>
      <c r="JYZ66" s="3"/>
      <c r="JZA66" s="3"/>
      <c r="JZB66" s="3"/>
      <c r="JZC66" s="3"/>
      <c r="JZD66" s="3"/>
      <c r="JZE66" s="3"/>
      <c r="JZF66" s="3"/>
      <c r="JZG66" s="3"/>
      <c r="JZH66" s="3"/>
      <c r="JZI66" s="3"/>
      <c r="JZJ66" s="3"/>
      <c r="JZK66" s="3"/>
      <c r="JZL66" s="3"/>
      <c r="JZM66" s="3"/>
      <c r="JZN66" s="3"/>
      <c r="JZO66" s="3"/>
      <c r="JZP66" s="3"/>
      <c r="JZQ66" s="3"/>
      <c r="JZR66" s="3"/>
      <c r="JZS66" s="3"/>
      <c r="JZT66" s="3"/>
      <c r="JZU66" s="3"/>
      <c r="JZV66" s="3"/>
      <c r="JZW66" s="3"/>
      <c r="JZX66" s="3"/>
      <c r="JZY66" s="3"/>
      <c r="JZZ66" s="3"/>
      <c r="KAA66" s="3"/>
      <c r="KAB66" s="3"/>
      <c r="KAC66" s="3"/>
      <c r="KAD66" s="3"/>
      <c r="KAE66" s="3"/>
      <c r="KAF66" s="3"/>
      <c r="KAG66" s="3"/>
      <c r="KAH66" s="3"/>
      <c r="KAI66" s="3"/>
      <c r="KAJ66" s="3"/>
      <c r="KAK66" s="3"/>
      <c r="KAL66" s="3"/>
      <c r="KAM66" s="3"/>
      <c r="KAN66" s="3"/>
      <c r="KAO66" s="3"/>
      <c r="KAP66" s="3"/>
      <c r="KAQ66" s="3"/>
      <c r="KAR66" s="3"/>
      <c r="KAS66" s="3"/>
      <c r="KAT66" s="3"/>
      <c r="KAU66" s="3"/>
      <c r="KAV66" s="3"/>
      <c r="KAW66" s="3"/>
      <c r="KAX66" s="3"/>
      <c r="KAY66" s="3"/>
      <c r="KAZ66" s="3"/>
      <c r="KBA66" s="3"/>
      <c r="KBB66" s="3"/>
      <c r="KBC66" s="3"/>
      <c r="KBD66" s="3"/>
      <c r="KBE66" s="3"/>
      <c r="KBF66" s="3"/>
      <c r="KBG66" s="3"/>
      <c r="KBH66" s="3"/>
      <c r="KBI66" s="3"/>
      <c r="KBJ66" s="3"/>
      <c r="KBK66" s="3"/>
      <c r="KBL66" s="3"/>
      <c r="KBM66" s="3"/>
      <c r="KBN66" s="3"/>
      <c r="KBO66" s="3"/>
      <c r="KBP66" s="3"/>
      <c r="KBQ66" s="3"/>
      <c r="KBR66" s="3"/>
      <c r="KBS66" s="3"/>
      <c r="KBT66" s="3"/>
      <c r="KBU66" s="3"/>
      <c r="KBV66" s="3"/>
      <c r="KBW66" s="3"/>
      <c r="KBX66" s="3"/>
      <c r="KBY66" s="3"/>
      <c r="KBZ66" s="3"/>
      <c r="KCA66" s="3"/>
      <c r="KCB66" s="3"/>
      <c r="KCC66" s="3"/>
      <c r="KCD66" s="3"/>
      <c r="KCE66" s="3"/>
      <c r="KCF66" s="3"/>
      <c r="KCG66" s="3"/>
      <c r="KCH66" s="3"/>
      <c r="KCI66" s="3"/>
      <c r="KCJ66" s="3"/>
      <c r="KCK66" s="3"/>
      <c r="KCL66" s="3"/>
      <c r="KCM66" s="3"/>
      <c r="KCN66" s="3"/>
      <c r="KCO66" s="3"/>
      <c r="KCP66" s="3"/>
      <c r="KCQ66" s="3"/>
      <c r="KCR66" s="3"/>
      <c r="KCS66" s="3"/>
      <c r="KCT66" s="3"/>
      <c r="KCU66" s="3"/>
      <c r="KCV66" s="3"/>
      <c r="KCW66" s="3"/>
      <c r="KCX66" s="3"/>
      <c r="KCY66" s="3"/>
      <c r="KCZ66" s="3"/>
      <c r="KDA66" s="3"/>
      <c r="KDB66" s="3"/>
      <c r="KDC66" s="3"/>
      <c r="KDD66" s="3"/>
      <c r="KDE66" s="3"/>
      <c r="KDF66" s="3"/>
      <c r="KDG66" s="3"/>
      <c r="KDH66" s="3"/>
      <c r="KDI66" s="3"/>
      <c r="KDJ66" s="3"/>
      <c r="KDK66" s="3"/>
      <c r="KDL66" s="3"/>
      <c r="KDM66" s="3"/>
      <c r="KDN66" s="3"/>
      <c r="KDO66" s="3"/>
      <c r="KDP66" s="3"/>
      <c r="KDQ66" s="3"/>
      <c r="KDR66" s="3"/>
      <c r="KDS66" s="3"/>
      <c r="KDT66" s="3"/>
      <c r="KDU66" s="3"/>
      <c r="KDV66" s="3"/>
      <c r="KDW66" s="3"/>
      <c r="KDX66" s="3"/>
      <c r="KDY66" s="3"/>
      <c r="KDZ66" s="3"/>
      <c r="KEA66" s="3"/>
      <c r="KEB66" s="3"/>
      <c r="KEC66" s="3"/>
      <c r="KED66" s="3"/>
      <c r="KEE66" s="3"/>
      <c r="KEF66" s="3"/>
      <c r="KEG66" s="3"/>
      <c r="KEH66" s="3"/>
      <c r="KEI66" s="3"/>
      <c r="KEJ66" s="3"/>
      <c r="KEK66" s="3"/>
      <c r="KEL66" s="3"/>
      <c r="KEM66" s="3"/>
      <c r="KEN66" s="3"/>
      <c r="KEO66" s="3"/>
      <c r="KEP66" s="3"/>
      <c r="KEQ66" s="3"/>
      <c r="KER66" s="3"/>
      <c r="KES66" s="3"/>
      <c r="KET66" s="3"/>
      <c r="KEU66" s="3"/>
      <c r="KEV66" s="3"/>
      <c r="KEW66" s="3"/>
      <c r="KEX66" s="3"/>
      <c r="KEY66" s="3"/>
      <c r="KEZ66" s="3"/>
      <c r="KFA66" s="3"/>
      <c r="KFB66" s="3"/>
      <c r="KFC66" s="3"/>
      <c r="KFD66" s="3"/>
      <c r="KFE66" s="3"/>
      <c r="KFF66" s="3"/>
      <c r="KFG66" s="3"/>
      <c r="KFH66" s="3"/>
      <c r="KFI66" s="3"/>
      <c r="KFJ66" s="3"/>
      <c r="KFK66" s="3"/>
      <c r="KFL66" s="3"/>
      <c r="KFM66" s="3"/>
      <c r="KFN66" s="3"/>
      <c r="KFO66" s="3"/>
      <c r="KFP66" s="3"/>
      <c r="KFQ66" s="3"/>
      <c r="KFR66" s="3"/>
      <c r="KFS66" s="3"/>
      <c r="KFT66" s="3"/>
      <c r="KFU66" s="3"/>
      <c r="KFV66" s="3"/>
      <c r="KFW66" s="3"/>
      <c r="KFX66" s="3"/>
      <c r="KFY66" s="3"/>
      <c r="KFZ66" s="3"/>
      <c r="KGA66" s="3"/>
      <c r="KGB66" s="3"/>
      <c r="KGC66" s="3"/>
      <c r="KGD66" s="3"/>
      <c r="KGE66" s="3"/>
      <c r="KGF66" s="3"/>
      <c r="KGG66" s="3"/>
      <c r="KGH66" s="3"/>
      <c r="KGI66" s="3"/>
      <c r="KGJ66" s="3"/>
      <c r="KGK66" s="3"/>
      <c r="KGL66" s="3"/>
      <c r="KGM66" s="3"/>
      <c r="KGN66" s="3"/>
      <c r="KGO66" s="3"/>
      <c r="KGP66" s="3"/>
      <c r="KGQ66" s="3"/>
      <c r="KGR66" s="3"/>
      <c r="KGS66" s="3"/>
      <c r="KGT66" s="3"/>
      <c r="KGU66" s="3"/>
      <c r="KGV66" s="3"/>
      <c r="KGW66" s="3"/>
      <c r="KGX66" s="3"/>
      <c r="KGY66" s="3"/>
      <c r="KGZ66" s="3"/>
      <c r="KHA66" s="3"/>
      <c r="KHB66" s="3"/>
      <c r="KHC66" s="3"/>
      <c r="KHD66" s="3"/>
      <c r="KHE66" s="3"/>
      <c r="KHF66" s="3"/>
      <c r="KHG66" s="3"/>
      <c r="KHH66" s="3"/>
      <c r="KHI66" s="3"/>
      <c r="KHJ66" s="3"/>
      <c r="KHK66" s="3"/>
      <c r="KHL66" s="3"/>
      <c r="KHM66" s="3"/>
      <c r="KHN66" s="3"/>
      <c r="KHO66" s="3"/>
      <c r="KHP66" s="3"/>
      <c r="KHQ66" s="3"/>
      <c r="KHR66" s="3"/>
      <c r="KHS66" s="3"/>
      <c r="KHT66" s="3"/>
      <c r="KHU66" s="3"/>
      <c r="KHV66" s="3"/>
      <c r="KHW66" s="3"/>
      <c r="KHX66" s="3"/>
      <c r="KHY66" s="3"/>
      <c r="KHZ66" s="3"/>
      <c r="KIA66" s="3"/>
      <c r="KIB66" s="3"/>
      <c r="KIC66" s="3"/>
      <c r="KID66" s="3"/>
      <c r="KIE66" s="3"/>
      <c r="KIF66" s="3"/>
      <c r="KIG66" s="3"/>
      <c r="KIH66" s="3"/>
      <c r="KII66" s="3"/>
      <c r="KIJ66" s="3"/>
      <c r="KIK66" s="3"/>
      <c r="KIL66" s="3"/>
      <c r="KIM66" s="3"/>
      <c r="KIN66" s="3"/>
      <c r="KIO66" s="3"/>
      <c r="KIP66" s="3"/>
      <c r="KIQ66" s="3"/>
      <c r="KIR66" s="3"/>
      <c r="KIS66" s="3"/>
      <c r="KIT66" s="3"/>
      <c r="KIU66" s="3"/>
      <c r="KIV66" s="3"/>
      <c r="KIW66" s="3"/>
      <c r="KIX66" s="3"/>
      <c r="KIY66" s="3"/>
      <c r="KIZ66" s="3"/>
      <c r="KJA66" s="3"/>
      <c r="KJB66" s="3"/>
      <c r="KJC66" s="3"/>
      <c r="KJD66" s="3"/>
      <c r="KJE66" s="3"/>
      <c r="KJF66" s="3"/>
      <c r="KJG66" s="3"/>
      <c r="KJH66" s="3"/>
      <c r="KJI66" s="3"/>
      <c r="KJJ66" s="3"/>
      <c r="KJK66" s="3"/>
      <c r="KJL66" s="3"/>
      <c r="KJM66" s="3"/>
      <c r="KJN66" s="3"/>
      <c r="KJO66" s="3"/>
      <c r="KJP66" s="3"/>
      <c r="KJQ66" s="3"/>
      <c r="KJR66" s="3"/>
      <c r="KJS66" s="3"/>
      <c r="KJT66" s="3"/>
      <c r="KJU66" s="3"/>
      <c r="KJV66" s="3"/>
      <c r="KJW66" s="3"/>
      <c r="KJX66" s="3"/>
      <c r="KJY66" s="3"/>
      <c r="KJZ66" s="3"/>
      <c r="KKA66" s="3"/>
      <c r="KKB66" s="3"/>
      <c r="KKC66" s="3"/>
      <c r="KKD66" s="3"/>
      <c r="KKE66" s="3"/>
      <c r="KKF66" s="3"/>
      <c r="KKG66" s="3"/>
      <c r="KKH66" s="3"/>
      <c r="KKI66" s="3"/>
      <c r="KKJ66" s="3"/>
      <c r="KKK66" s="3"/>
      <c r="KKL66" s="3"/>
      <c r="KKM66" s="3"/>
      <c r="KKN66" s="3"/>
      <c r="KKO66" s="3"/>
      <c r="KKP66" s="3"/>
      <c r="KKQ66" s="3"/>
      <c r="KKR66" s="3"/>
      <c r="KKS66" s="3"/>
      <c r="KKT66" s="3"/>
      <c r="KKU66" s="3"/>
      <c r="KKV66" s="3"/>
      <c r="KKW66" s="3"/>
      <c r="KKX66" s="3"/>
      <c r="KKY66" s="3"/>
      <c r="KKZ66" s="3"/>
      <c r="KLA66" s="3"/>
      <c r="KLB66" s="3"/>
      <c r="KLC66" s="3"/>
      <c r="KLD66" s="3"/>
      <c r="KLE66" s="3"/>
      <c r="KLF66" s="3"/>
      <c r="KLG66" s="3"/>
      <c r="KLH66" s="3"/>
      <c r="KLI66" s="3"/>
      <c r="KLJ66" s="3"/>
      <c r="KLK66" s="3"/>
      <c r="KLL66" s="3"/>
      <c r="KLM66" s="3"/>
      <c r="KLN66" s="3"/>
      <c r="KLO66" s="3"/>
      <c r="KLP66" s="3"/>
      <c r="KLQ66" s="3"/>
      <c r="KLR66" s="3"/>
      <c r="KLS66" s="3"/>
      <c r="KLT66" s="3"/>
      <c r="KLU66" s="3"/>
      <c r="KLV66" s="3"/>
      <c r="KLW66" s="3"/>
      <c r="KLX66" s="3"/>
      <c r="KLY66" s="3"/>
      <c r="KLZ66" s="3"/>
      <c r="KMA66" s="3"/>
      <c r="KMB66" s="3"/>
      <c r="KMC66" s="3"/>
      <c r="KMD66" s="3"/>
      <c r="KME66" s="3"/>
      <c r="KMF66" s="3"/>
      <c r="KMG66" s="3"/>
      <c r="KMH66" s="3"/>
      <c r="KMI66" s="3"/>
      <c r="KMJ66" s="3"/>
      <c r="KMK66" s="3"/>
      <c r="KML66" s="3"/>
      <c r="KMM66" s="3"/>
      <c r="KMN66" s="3"/>
      <c r="KMO66" s="3"/>
      <c r="KMP66" s="3"/>
      <c r="KMQ66" s="3"/>
      <c r="KMR66" s="3"/>
      <c r="KMS66" s="3"/>
      <c r="KMT66" s="3"/>
      <c r="KMU66" s="3"/>
      <c r="KMV66" s="3"/>
      <c r="KMW66" s="3"/>
      <c r="KMX66" s="3"/>
      <c r="KMY66" s="3"/>
      <c r="KMZ66" s="3"/>
      <c r="KNA66" s="3"/>
      <c r="KNB66" s="3"/>
      <c r="KNC66" s="3"/>
      <c r="KND66" s="3"/>
      <c r="KNE66" s="3"/>
      <c r="KNF66" s="3"/>
      <c r="KNG66" s="3"/>
      <c r="KNH66" s="3"/>
      <c r="KNI66" s="3"/>
      <c r="KNJ66" s="3"/>
      <c r="KNK66" s="3"/>
      <c r="KNL66" s="3"/>
      <c r="KNM66" s="3"/>
      <c r="KNN66" s="3"/>
      <c r="KNO66" s="3"/>
      <c r="KNP66" s="3"/>
      <c r="KNQ66" s="3"/>
      <c r="KNR66" s="3"/>
      <c r="KNS66" s="3"/>
      <c r="KNT66" s="3"/>
      <c r="KNU66" s="3"/>
      <c r="KNV66" s="3"/>
      <c r="KNW66" s="3"/>
      <c r="KNX66" s="3"/>
      <c r="KNY66" s="3"/>
      <c r="KNZ66" s="3"/>
      <c r="KOA66" s="3"/>
      <c r="KOB66" s="3"/>
      <c r="KOC66" s="3"/>
      <c r="KOD66" s="3"/>
      <c r="KOE66" s="3"/>
      <c r="KOF66" s="3"/>
      <c r="KOG66" s="3"/>
      <c r="KOH66" s="3"/>
      <c r="KOI66" s="3"/>
      <c r="KOJ66" s="3"/>
      <c r="KOK66" s="3"/>
      <c r="KOL66" s="3"/>
      <c r="KOM66" s="3"/>
      <c r="KON66" s="3"/>
      <c r="KOO66" s="3"/>
      <c r="KOP66" s="3"/>
      <c r="KOQ66" s="3"/>
      <c r="KOR66" s="3"/>
      <c r="KOS66" s="3"/>
      <c r="KOT66" s="3"/>
      <c r="KOU66" s="3"/>
      <c r="KOV66" s="3"/>
      <c r="KOW66" s="3"/>
      <c r="KOX66" s="3"/>
      <c r="KOY66" s="3"/>
      <c r="KOZ66" s="3"/>
      <c r="KPA66" s="3"/>
      <c r="KPB66" s="3"/>
      <c r="KPC66" s="3"/>
      <c r="KPD66" s="3"/>
      <c r="KPE66" s="3"/>
      <c r="KPF66" s="3"/>
      <c r="KPG66" s="3"/>
      <c r="KPH66" s="3"/>
      <c r="KPI66" s="3"/>
      <c r="KPJ66" s="3"/>
      <c r="KPK66" s="3"/>
      <c r="KPL66" s="3"/>
      <c r="KPM66" s="3"/>
      <c r="KPN66" s="3"/>
      <c r="KPO66" s="3"/>
      <c r="KPP66" s="3"/>
      <c r="KPQ66" s="3"/>
      <c r="KPR66" s="3"/>
      <c r="KPS66" s="3"/>
      <c r="KPT66" s="3"/>
      <c r="KPU66" s="3"/>
      <c r="KPV66" s="3"/>
      <c r="KPW66" s="3"/>
      <c r="KPX66" s="3"/>
      <c r="KPY66" s="3"/>
      <c r="KPZ66" s="3"/>
      <c r="KQA66" s="3"/>
      <c r="KQB66" s="3"/>
      <c r="KQC66" s="3"/>
      <c r="KQD66" s="3"/>
      <c r="KQE66" s="3"/>
      <c r="KQF66" s="3"/>
      <c r="KQG66" s="3"/>
      <c r="KQH66" s="3"/>
      <c r="KQI66" s="3"/>
      <c r="KQJ66" s="3"/>
      <c r="KQK66" s="3"/>
      <c r="KQL66" s="3"/>
      <c r="KQM66" s="3"/>
      <c r="KQN66" s="3"/>
      <c r="KQO66" s="3"/>
      <c r="KQP66" s="3"/>
      <c r="KQQ66" s="3"/>
      <c r="KQR66" s="3"/>
      <c r="KQS66" s="3"/>
      <c r="KQT66" s="3"/>
      <c r="KQU66" s="3"/>
      <c r="KQV66" s="3"/>
      <c r="KQW66" s="3"/>
      <c r="KQX66" s="3"/>
      <c r="KQY66" s="3"/>
      <c r="KQZ66" s="3"/>
      <c r="KRA66" s="3"/>
      <c r="KRB66" s="3"/>
      <c r="KRC66" s="3"/>
      <c r="KRD66" s="3"/>
      <c r="KRE66" s="3"/>
      <c r="KRF66" s="3"/>
      <c r="KRG66" s="3"/>
      <c r="KRH66" s="3"/>
      <c r="KRI66" s="3"/>
      <c r="KRJ66" s="3"/>
      <c r="KRK66" s="3"/>
      <c r="KRL66" s="3"/>
      <c r="KRM66" s="3"/>
      <c r="KRN66" s="3"/>
      <c r="KRO66" s="3"/>
      <c r="KRP66" s="3"/>
      <c r="KRQ66" s="3"/>
      <c r="KRR66" s="3"/>
      <c r="KRS66" s="3"/>
      <c r="KRT66" s="3"/>
      <c r="KRU66" s="3"/>
      <c r="KRV66" s="3"/>
      <c r="KRW66" s="3"/>
      <c r="KRX66" s="3"/>
      <c r="KRY66" s="3"/>
      <c r="KRZ66" s="3"/>
      <c r="KSA66" s="3"/>
      <c r="KSB66" s="3"/>
      <c r="KSC66" s="3"/>
      <c r="KSD66" s="3"/>
      <c r="KSE66" s="3"/>
      <c r="KSF66" s="3"/>
      <c r="KSG66" s="3"/>
      <c r="KSH66" s="3"/>
      <c r="KSI66" s="3"/>
      <c r="KSJ66" s="3"/>
      <c r="KSK66" s="3"/>
      <c r="KSL66" s="3"/>
      <c r="KSM66" s="3"/>
      <c r="KSN66" s="3"/>
      <c r="KSO66" s="3"/>
      <c r="KSP66" s="3"/>
      <c r="KSQ66" s="3"/>
      <c r="KSR66" s="3"/>
      <c r="KSS66" s="3"/>
      <c r="KST66" s="3"/>
      <c r="KSU66" s="3"/>
      <c r="KSV66" s="3"/>
      <c r="KSW66" s="3"/>
      <c r="KSX66" s="3"/>
      <c r="KSY66" s="3"/>
      <c r="KSZ66" s="3"/>
      <c r="KTA66" s="3"/>
      <c r="KTB66" s="3"/>
      <c r="KTC66" s="3"/>
      <c r="KTD66" s="3"/>
      <c r="KTE66" s="3"/>
      <c r="KTF66" s="3"/>
      <c r="KTG66" s="3"/>
      <c r="KTH66" s="3"/>
      <c r="KTI66" s="3"/>
      <c r="KTJ66" s="3"/>
      <c r="KTK66" s="3"/>
      <c r="KTL66" s="3"/>
      <c r="KTM66" s="3"/>
      <c r="KTN66" s="3"/>
      <c r="KTO66" s="3"/>
      <c r="KTP66" s="3"/>
      <c r="KTQ66" s="3"/>
      <c r="KTR66" s="3"/>
      <c r="KTS66" s="3"/>
      <c r="KTT66" s="3"/>
      <c r="KTU66" s="3"/>
      <c r="KTV66" s="3"/>
      <c r="KTW66" s="3"/>
      <c r="KTX66" s="3"/>
      <c r="KTY66" s="3"/>
      <c r="KTZ66" s="3"/>
      <c r="KUA66" s="3"/>
      <c r="KUB66" s="3"/>
      <c r="KUC66" s="3"/>
      <c r="KUD66" s="3"/>
      <c r="KUE66" s="3"/>
      <c r="KUF66" s="3"/>
      <c r="KUG66" s="3"/>
      <c r="KUH66" s="3"/>
      <c r="KUI66" s="3"/>
      <c r="KUJ66" s="3"/>
      <c r="KUK66" s="3"/>
      <c r="KUL66" s="3"/>
      <c r="KUM66" s="3"/>
      <c r="KUN66" s="3"/>
      <c r="KUO66" s="3"/>
      <c r="KUP66" s="3"/>
      <c r="KUQ66" s="3"/>
      <c r="KUR66" s="3"/>
      <c r="KUS66" s="3"/>
      <c r="KUT66" s="3"/>
      <c r="KUU66" s="3"/>
      <c r="KUV66" s="3"/>
      <c r="KUW66" s="3"/>
      <c r="KUX66" s="3"/>
      <c r="KUY66" s="3"/>
      <c r="KUZ66" s="3"/>
      <c r="KVA66" s="3"/>
      <c r="KVB66" s="3"/>
      <c r="KVC66" s="3"/>
      <c r="KVD66" s="3"/>
      <c r="KVE66" s="3"/>
      <c r="KVF66" s="3"/>
      <c r="KVG66" s="3"/>
      <c r="KVH66" s="3"/>
      <c r="KVI66" s="3"/>
      <c r="KVJ66" s="3"/>
      <c r="KVK66" s="3"/>
      <c r="KVL66" s="3"/>
      <c r="KVM66" s="3"/>
      <c r="KVN66" s="3"/>
      <c r="KVO66" s="3"/>
      <c r="KVP66" s="3"/>
      <c r="KVQ66" s="3"/>
      <c r="KVR66" s="3"/>
      <c r="KVS66" s="3"/>
      <c r="KVT66" s="3"/>
      <c r="KVU66" s="3"/>
      <c r="KVV66" s="3"/>
      <c r="KVW66" s="3"/>
      <c r="KVX66" s="3"/>
      <c r="KVY66" s="3"/>
      <c r="KVZ66" s="3"/>
      <c r="KWA66" s="3"/>
      <c r="KWB66" s="3"/>
      <c r="KWC66" s="3"/>
      <c r="KWD66" s="3"/>
      <c r="KWE66" s="3"/>
      <c r="KWF66" s="3"/>
      <c r="KWG66" s="3"/>
      <c r="KWH66" s="3"/>
      <c r="KWI66" s="3"/>
      <c r="KWJ66" s="3"/>
      <c r="KWK66" s="3"/>
      <c r="KWL66" s="3"/>
      <c r="KWM66" s="3"/>
      <c r="KWN66" s="3"/>
      <c r="KWO66" s="3"/>
      <c r="KWP66" s="3"/>
      <c r="KWQ66" s="3"/>
      <c r="KWR66" s="3"/>
      <c r="KWS66" s="3"/>
      <c r="KWT66" s="3"/>
      <c r="KWU66" s="3"/>
      <c r="KWV66" s="3"/>
      <c r="KWW66" s="3"/>
      <c r="KWX66" s="3"/>
      <c r="KWY66" s="3"/>
      <c r="KWZ66" s="3"/>
      <c r="KXA66" s="3"/>
      <c r="KXB66" s="3"/>
      <c r="KXC66" s="3"/>
      <c r="KXD66" s="3"/>
      <c r="KXE66" s="3"/>
      <c r="KXF66" s="3"/>
      <c r="KXG66" s="3"/>
      <c r="KXH66" s="3"/>
      <c r="KXI66" s="3"/>
      <c r="KXJ66" s="3"/>
      <c r="KXK66" s="3"/>
      <c r="KXL66" s="3"/>
      <c r="KXM66" s="3"/>
      <c r="KXN66" s="3"/>
      <c r="KXO66" s="3"/>
      <c r="KXP66" s="3"/>
      <c r="KXQ66" s="3"/>
      <c r="KXR66" s="3"/>
      <c r="KXS66" s="3"/>
      <c r="KXT66" s="3"/>
      <c r="KXU66" s="3"/>
      <c r="KXV66" s="3"/>
      <c r="KXW66" s="3"/>
      <c r="KXX66" s="3"/>
      <c r="KXY66" s="3"/>
      <c r="KXZ66" s="3"/>
      <c r="KYA66" s="3"/>
      <c r="KYB66" s="3"/>
      <c r="KYC66" s="3"/>
      <c r="KYD66" s="3"/>
      <c r="KYE66" s="3"/>
      <c r="KYF66" s="3"/>
      <c r="KYG66" s="3"/>
      <c r="KYH66" s="3"/>
      <c r="KYI66" s="3"/>
      <c r="KYJ66" s="3"/>
      <c r="KYK66" s="3"/>
      <c r="KYL66" s="3"/>
      <c r="KYM66" s="3"/>
      <c r="KYN66" s="3"/>
      <c r="KYO66" s="3"/>
      <c r="KYP66" s="3"/>
      <c r="KYQ66" s="3"/>
      <c r="KYR66" s="3"/>
      <c r="KYS66" s="3"/>
      <c r="KYT66" s="3"/>
      <c r="KYU66" s="3"/>
      <c r="KYV66" s="3"/>
      <c r="KYW66" s="3"/>
      <c r="KYX66" s="3"/>
      <c r="KYY66" s="3"/>
      <c r="KYZ66" s="3"/>
      <c r="KZA66" s="3"/>
      <c r="KZB66" s="3"/>
      <c r="KZC66" s="3"/>
      <c r="KZD66" s="3"/>
      <c r="KZE66" s="3"/>
      <c r="KZF66" s="3"/>
      <c r="KZG66" s="3"/>
      <c r="KZH66" s="3"/>
      <c r="KZI66" s="3"/>
      <c r="KZJ66" s="3"/>
      <c r="KZK66" s="3"/>
      <c r="KZL66" s="3"/>
      <c r="KZM66" s="3"/>
      <c r="KZN66" s="3"/>
      <c r="KZO66" s="3"/>
      <c r="KZP66" s="3"/>
      <c r="KZQ66" s="3"/>
      <c r="KZR66" s="3"/>
      <c r="KZS66" s="3"/>
      <c r="KZT66" s="3"/>
      <c r="KZU66" s="3"/>
      <c r="KZV66" s="3"/>
      <c r="KZW66" s="3"/>
      <c r="KZX66" s="3"/>
      <c r="KZY66" s="3"/>
      <c r="KZZ66" s="3"/>
      <c r="LAA66" s="3"/>
      <c r="LAB66" s="3"/>
      <c r="LAC66" s="3"/>
      <c r="LAD66" s="3"/>
      <c r="LAE66" s="3"/>
      <c r="LAF66" s="3"/>
      <c r="LAG66" s="3"/>
      <c r="LAH66" s="3"/>
      <c r="LAI66" s="3"/>
      <c r="LAJ66" s="3"/>
      <c r="LAK66" s="3"/>
      <c r="LAL66" s="3"/>
      <c r="LAM66" s="3"/>
      <c r="LAN66" s="3"/>
      <c r="LAO66" s="3"/>
      <c r="LAP66" s="3"/>
      <c r="LAQ66" s="3"/>
      <c r="LAR66" s="3"/>
      <c r="LAS66" s="3"/>
      <c r="LAT66" s="3"/>
      <c r="LAU66" s="3"/>
      <c r="LAV66" s="3"/>
      <c r="LAW66" s="3"/>
      <c r="LAX66" s="3"/>
      <c r="LAY66" s="3"/>
      <c r="LAZ66" s="3"/>
      <c r="LBA66" s="3"/>
      <c r="LBB66" s="3"/>
      <c r="LBC66" s="3"/>
      <c r="LBD66" s="3"/>
      <c r="LBE66" s="3"/>
      <c r="LBF66" s="3"/>
      <c r="LBG66" s="3"/>
      <c r="LBH66" s="3"/>
      <c r="LBI66" s="3"/>
      <c r="LBJ66" s="3"/>
      <c r="LBK66" s="3"/>
      <c r="LBL66" s="3"/>
      <c r="LBM66" s="3"/>
      <c r="LBN66" s="3"/>
      <c r="LBO66" s="3"/>
      <c r="LBP66" s="3"/>
      <c r="LBQ66" s="3"/>
      <c r="LBR66" s="3"/>
      <c r="LBS66" s="3"/>
      <c r="LBT66" s="3"/>
      <c r="LBU66" s="3"/>
      <c r="LBV66" s="3"/>
      <c r="LBW66" s="3"/>
      <c r="LBX66" s="3"/>
      <c r="LBY66" s="3"/>
      <c r="LBZ66" s="3"/>
      <c r="LCA66" s="3"/>
      <c r="LCB66" s="3"/>
      <c r="LCC66" s="3"/>
      <c r="LCD66" s="3"/>
      <c r="LCE66" s="3"/>
      <c r="LCF66" s="3"/>
      <c r="LCG66" s="3"/>
      <c r="LCH66" s="3"/>
      <c r="LCI66" s="3"/>
      <c r="LCJ66" s="3"/>
      <c r="LCK66" s="3"/>
      <c r="LCL66" s="3"/>
      <c r="LCM66" s="3"/>
      <c r="LCN66" s="3"/>
      <c r="LCO66" s="3"/>
      <c r="LCP66" s="3"/>
      <c r="LCQ66" s="3"/>
      <c r="LCR66" s="3"/>
      <c r="LCS66" s="3"/>
      <c r="LCT66" s="3"/>
      <c r="LCU66" s="3"/>
      <c r="LCV66" s="3"/>
      <c r="LCW66" s="3"/>
      <c r="LCX66" s="3"/>
      <c r="LCY66" s="3"/>
      <c r="LCZ66" s="3"/>
      <c r="LDA66" s="3"/>
      <c r="LDB66" s="3"/>
      <c r="LDC66" s="3"/>
      <c r="LDD66" s="3"/>
      <c r="LDE66" s="3"/>
      <c r="LDF66" s="3"/>
      <c r="LDG66" s="3"/>
      <c r="LDH66" s="3"/>
      <c r="LDI66" s="3"/>
      <c r="LDJ66" s="3"/>
      <c r="LDK66" s="3"/>
      <c r="LDL66" s="3"/>
      <c r="LDM66" s="3"/>
      <c r="LDN66" s="3"/>
      <c r="LDO66" s="3"/>
      <c r="LDP66" s="3"/>
      <c r="LDQ66" s="3"/>
      <c r="LDR66" s="3"/>
      <c r="LDS66" s="3"/>
      <c r="LDT66" s="3"/>
      <c r="LDU66" s="3"/>
      <c r="LDV66" s="3"/>
      <c r="LDW66" s="3"/>
      <c r="LDX66" s="3"/>
      <c r="LDY66" s="3"/>
      <c r="LDZ66" s="3"/>
      <c r="LEA66" s="3"/>
      <c r="LEB66" s="3"/>
      <c r="LEC66" s="3"/>
      <c r="LED66" s="3"/>
      <c r="LEE66" s="3"/>
      <c r="LEF66" s="3"/>
      <c r="LEG66" s="3"/>
      <c r="LEH66" s="3"/>
      <c r="LEI66" s="3"/>
      <c r="LEJ66" s="3"/>
      <c r="LEK66" s="3"/>
      <c r="LEL66" s="3"/>
      <c r="LEM66" s="3"/>
      <c r="LEN66" s="3"/>
      <c r="LEO66" s="3"/>
      <c r="LEP66" s="3"/>
      <c r="LEQ66" s="3"/>
      <c r="LER66" s="3"/>
      <c r="LES66" s="3"/>
      <c r="LET66" s="3"/>
      <c r="LEU66" s="3"/>
      <c r="LEV66" s="3"/>
      <c r="LEW66" s="3"/>
      <c r="LEX66" s="3"/>
      <c r="LEY66" s="3"/>
      <c r="LEZ66" s="3"/>
      <c r="LFA66" s="3"/>
      <c r="LFB66" s="3"/>
      <c r="LFC66" s="3"/>
      <c r="LFD66" s="3"/>
      <c r="LFE66" s="3"/>
      <c r="LFF66" s="3"/>
      <c r="LFG66" s="3"/>
      <c r="LFH66" s="3"/>
      <c r="LFI66" s="3"/>
      <c r="LFJ66" s="3"/>
      <c r="LFK66" s="3"/>
      <c r="LFL66" s="3"/>
      <c r="LFM66" s="3"/>
      <c r="LFN66" s="3"/>
      <c r="LFO66" s="3"/>
      <c r="LFP66" s="3"/>
      <c r="LFQ66" s="3"/>
      <c r="LFR66" s="3"/>
      <c r="LFS66" s="3"/>
      <c r="LFT66" s="3"/>
      <c r="LFU66" s="3"/>
      <c r="LFV66" s="3"/>
      <c r="LFW66" s="3"/>
      <c r="LFX66" s="3"/>
      <c r="LFY66" s="3"/>
      <c r="LFZ66" s="3"/>
      <c r="LGA66" s="3"/>
      <c r="LGB66" s="3"/>
      <c r="LGC66" s="3"/>
      <c r="LGD66" s="3"/>
      <c r="LGE66" s="3"/>
      <c r="LGF66" s="3"/>
      <c r="LGG66" s="3"/>
      <c r="LGH66" s="3"/>
      <c r="LGI66" s="3"/>
      <c r="LGJ66" s="3"/>
      <c r="LGK66" s="3"/>
      <c r="LGL66" s="3"/>
      <c r="LGM66" s="3"/>
      <c r="LGN66" s="3"/>
      <c r="LGO66" s="3"/>
      <c r="LGP66" s="3"/>
      <c r="LGQ66" s="3"/>
      <c r="LGR66" s="3"/>
      <c r="LGS66" s="3"/>
      <c r="LGT66" s="3"/>
      <c r="LGU66" s="3"/>
      <c r="LGV66" s="3"/>
      <c r="LGW66" s="3"/>
      <c r="LGX66" s="3"/>
      <c r="LGY66" s="3"/>
      <c r="LGZ66" s="3"/>
      <c r="LHA66" s="3"/>
      <c r="LHB66" s="3"/>
      <c r="LHC66" s="3"/>
      <c r="LHD66" s="3"/>
      <c r="LHE66" s="3"/>
      <c r="LHF66" s="3"/>
      <c r="LHG66" s="3"/>
      <c r="LHH66" s="3"/>
      <c r="LHI66" s="3"/>
      <c r="LHJ66" s="3"/>
      <c r="LHK66" s="3"/>
      <c r="LHL66" s="3"/>
      <c r="LHM66" s="3"/>
      <c r="LHN66" s="3"/>
      <c r="LHO66" s="3"/>
      <c r="LHP66" s="3"/>
      <c r="LHQ66" s="3"/>
      <c r="LHR66" s="3"/>
      <c r="LHS66" s="3"/>
      <c r="LHT66" s="3"/>
      <c r="LHU66" s="3"/>
      <c r="LHV66" s="3"/>
      <c r="LHW66" s="3"/>
      <c r="LHX66" s="3"/>
      <c r="LHY66" s="3"/>
      <c r="LHZ66" s="3"/>
      <c r="LIA66" s="3"/>
      <c r="LIB66" s="3"/>
      <c r="LIC66" s="3"/>
      <c r="LID66" s="3"/>
      <c r="LIE66" s="3"/>
      <c r="LIF66" s="3"/>
      <c r="LIG66" s="3"/>
      <c r="LIH66" s="3"/>
      <c r="LII66" s="3"/>
      <c r="LIJ66" s="3"/>
      <c r="LIK66" s="3"/>
      <c r="LIL66" s="3"/>
      <c r="LIM66" s="3"/>
      <c r="LIN66" s="3"/>
      <c r="LIO66" s="3"/>
      <c r="LIP66" s="3"/>
      <c r="LIQ66" s="3"/>
      <c r="LIR66" s="3"/>
      <c r="LIS66" s="3"/>
      <c r="LIT66" s="3"/>
      <c r="LIU66" s="3"/>
      <c r="LIV66" s="3"/>
      <c r="LIW66" s="3"/>
      <c r="LIX66" s="3"/>
      <c r="LIY66" s="3"/>
      <c r="LIZ66" s="3"/>
      <c r="LJA66" s="3"/>
      <c r="LJB66" s="3"/>
      <c r="LJC66" s="3"/>
      <c r="LJD66" s="3"/>
      <c r="LJE66" s="3"/>
      <c r="LJF66" s="3"/>
      <c r="LJG66" s="3"/>
      <c r="LJH66" s="3"/>
      <c r="LJI66" s="3"/>
      <c r="LJJ66" s="3"/>
      <c r="LJK66" s="3"/>
      <c r="LJL66" s="3"/>
      <c r="LJM66" s="3"/>
      <c r="LJN66" s="3"/>
      <c r="LJO66" s="3"/>
      <c r="LJP66" s="3"/>
      <c r="LJQ66" s="3"/>
      <c r="LJR66" s="3"/>
      <c r="LJS66" s="3"/>
      <c r="LJT66" s="3"/>
      <c r="LJU66" s="3"/>
      <c r="LJV66" s="3"/>
      <c r="LJW66" s="3"/>
      <c r="LJX66" s="3"/>
      <c r="LJY66" s="3"/>
      <c r="LJZ66" s="3"/>
      <c r="LKA66" s="3"/>
      <c r="LKB66" s="3"/>
      <c r="LKC66" s="3"/>
      <c r="LKD66" s="3"/>
      <c r="LKE66" s="3"/>
      <c r="LKF66" s="3"/>
      <c r="LKG66" s="3"/>
      <c r="LKH66" s="3"/>
      <c r="LKI66" s="3"/>
      <c r="LKJ66" s="3"/>
      <c r="LKK66" s="3"/>
      <c r="LKL66" s="3"/>
      <c r="LKM66" s="3"/>
      <c r="LKN66" s="3"/>
      <c r="LKO66" s="3"/>
      <c r="LKP66" s="3"/>
      <c r="LKQ66" s="3"/>
      <c r="LKR66" s="3"/>
      <c r="LKS66" s="3"/>
      <c r="LKT66" s="3"/>
      <c r="LKU66" s="3"/>
      <c r="LKV66" s="3"/>
      <c r="LKW66" s="3"/>
      <c r="LKX66" s="3"/>
      <c r="LKY66" s="3"/>
      <c r="LKZ66" s="3"/>
      <c r="LLA66" s="3"/>
      <c r="LLB66" s="3"/>
      <c r="LLC66" s="3"/>
      <c r="LLD66" s="3"/>
      <c r="LLE66" s="3"/>
      <c r="LLF66" s="3"/>
      <c r="LLG66" s="3"/>
      <c r="LLH66" s="3"/>
      <c r="LLI66" s="3"/>
      <c r="LLJ66" s="3"/>
      <c r="LLK66" s="3"/>
      <c r="LLL66" s="3"/>
      <c r="LLM66" s="3"/>
      <c r="LLN66" s="3"/>
      <c r="LLO66" s="3"/>
      <c r="LLP66" s="3"/>
      <c r="LLQ66" s="3"/>
      <c r="LLR66" s="3"/>
      <c r="LLS66" s="3"/>
      <c r="LLT66" s="3"/>
      <c r="LLU66" s="3"/>
      <c r="LLV66" s="3"/>
      <c r="LLW66" s="3"/>
      <c r="LLX66" s="3"/>
      <c r="LLY66" s="3"/>
      <c r="LLZ66" s="3"/>
      <c r="LMA66" s="3"/>
      <c r="LMB66" s="3"/>
      <c r="LMC66" s="3"/>
      <c r="LMD66" s="3"/>
      <c r="LME66" s="3"/>
      <c r="LMF66" s="3"/>
      <c r="LMG66" s="3"/>
      <c r="LMH66" s="3"/>
      <c r="LMI66" s="3"/>
      <c r="LMJ66" s="3"/>
      <c r="LMK66" s="3"/>
      <c r="LML66" s="3"/>
      <c r="LMM66" s="3"/>
      <c r="LMN66" s="3"/>
      <c r="LMO66" s="3"/>
      <c r="LMP66" s="3"/>
      <c r="LMQ66" s="3"/>
      <c r="LMR66" s="3"/>
      <c r="LMS66" s="3"/>
      <c r="LMT66" s="3"/>
      <c r="LMU66" s="3"/>
      <c r="LMV66" s="3"/>
      <c r="LMW66" s="3"/>
      <c r="LMX66" s="3"/>
      <c r="LMY66" s="3"/>
      <c r="LMZ66" s="3"/>
      <c r="LNA66" s="3"/>
      <c r="LNB66" s="3"/>
      <c r="LNC66" s="3"/>
      <c r="LND66" s="3"/>
      <c r="LNE66" s="3"/>
      <c r="LNF66" s="3"/>
      <c r="LNG66" s="3"/>
      <c r="LNH66" s="3"/>
      <c r="LNI66" s="3"/>
      <c r="LNJ66" s="3"/>
      <c r="LNK66" s="3"/>
      <c r="LNL66" s="3"/>
      <c r="LNM66" s="3"/>
      <c r="LNN66" s="3"/>
      <c r="LNO66" s="3"/>
      <c r="LNP66" s="3"/>
      <c r="LNQ66" s="3"/>
      <c r="LNR66" s="3"/>
      <c r="LNS66" s="3"/>
      <c r="LNT66" s="3"/>
      <c r="LNU66" s="3"/>
      <c r="LNV66" s="3"/>
      <c r="LNW66" s="3"/>
      <c r="LNX66" s="3"/>
      <c r="LNY66" s="3"/>
      <c r="LNZ66" s="3"/>
      <c r="LOA66" s="3"/>
      <c r="LOB66" s="3"/>
      <c r="LOC66" s="3"/>
      <c r="LOD66" s="3"/>
      <c r="LOE66" s="3"/>
      <c r="LOF66" s="3"/>
      <c r="LOG66" s="3"/>
      <c r="LOH66" s="3"/>
      <c r="LOI66" s="3"/>
      <c r="LOJ66" s="3"/>
      <c r="LOK66" s="3"/>
      <c r="LOL66" s="3"/>
      <c r="LOM66" s="3"/>
      <c r="LON66" s="3"/>
      <c r="LOO66" s="3"/>
      <c r="LOP66" s="3"/>
      <c r="LOQ66" s="3"/>
      <c r="LOR66" s="3"/>
      <c r="LOS66" s="3"/>
      <c r="LOT66" s="3"/>
      <c r="LOU66" s="3"/>
      <c r="LOV66" s="3"/>
      <c r="LOW66" s="3"/>
      <c r="LOX66" s="3"/>
      <c r="LOY66" s="3"/>
      <c r="LOZ66" s="3"/>
      <c r="LPA66" s="3"/>
      <c r="LPB66" s="3"/>
      <c r="LPC66" s="3"/>
      <c r="LPD66" s="3"/>
      <c r="LPE66" s="3"/>
      <c r="LPF66" s="3"/>
      <c r="LPG66" s="3"/>
      <c r="LPH66" s="3"/>
      <c r="LPI66" s="3"/>
      <c r="LPJ66" s="3"/>
      <c r="LPK66" s="3"/>
      <c r="LPL66" s="3"/>
      <c r="LPM66" s="3"/>
      <c r="LPN66" s="3"/>
      <c r="LPO66" s="3"/>
      <c r="LPP66" s="3"/>
      <c r="LPQ66" s="3"/>
      <c r="LPR66" s="3"/>
      <c r="LPS66" s="3"/>
      <c r="LPT66" s="3"/>
      <c r="LPU66" s="3"/>
      <c r="LPV66" s="3"/>
      <c r="LPW66" s="3"/>
      <c r="LPX66" s="3"/>
      <c r="LPY66" s="3"/>
      <c r="LPZ66" s="3"/>
      <c r="LQA66" s="3"/>
      <c r="LQB66" s="3"/>
      <c r="LQC66" s="3"/>
      <c r="LQD66" s="3"/>
      <c r="LQE66" s="3"/>
      <c r="LQF66" s="3"/>
      <c r="LQG66" s="3"/>
      <c r="LQH66" s="3"/>
      <c r="LQI66" s="3"/>
      <c r="LQJ66" s="3"/>
      <c r="LQK66" s="3"/>
      <c r="LQL66" s="3"/>
      <c r="LQM66" s="3"/>
      <c r="LQN66" s="3"/>
      <c r="LQO66" s="3"/>
      <c r="LQP66" s="3"/>
      <c r="LQQ66" s="3"/>
      <c r="LQR66" s="3"/>
      <c r="LQS66" s="3"/>
      <c r="LQT66" s="3"/>
      <c r="LQU66" s="3"/>
      <c r="LQV66" s="3"/>
      <c r="LQW66" s="3"/>
      <c r="LQX66" s="3"/>
      <c r="LQY66" s="3"/>
      <c r="LQZ66" s="3"/>
      <c r="LRA66" s="3"/>
      <c r="LRB66" s="3"/>
      <c r="LRC66" s="3"/>
      <c r="LRD66" s="3"/>
      <c r="LRE66" s="3"/>
      <c r="LRF66" s="3"/>
      <c r="LRG66" s="3"/>
      <c r="LRH66" s="3"/>
      <c r="LRI66" s="3"/>
      <c r="LRJ66" s="3"/>
      <c r="LRK66" s="3"/>
      <c r="LRL66" s="3"/>
      <c r="LRM66" s="3"/>
      <c r="LRN66" s="3"/>
      <c r="LRO66" s="3"/>
      <c r="LRP66" s="3"/>
      <c r="LRQ66" s="3"/>
      <c r="LRR66" s="3"/>
      <c r="LRS66" s="3"/>
      <c r="LRT66" s="3"/>
      <c r="LRU66" s="3"/>
      <c r="LRV66" s="3"/>
      <c r="LRW66" s="3"/>
      <c r="LRX66" s="3"/>
      <c r="LRY66" s="3"/>
      <c r="LRZ66" s="3"/>
      <c r="LSA66" s="3"/>
      <c r="LSB66" s="3"/>
      <c r="LSC66" s="3"/>
      <c r="LSD66" s="3"/>
      <c r="LSE66" s="3"/>
      <c r="LSF66" s="3"/>
      <c r="LSG66" s="3"/>
      <c r="LSH66" s="3"/>
      <c r="LSI66" s="3"/>
      <c r="LSJ66" s="3"/>
      <c r="LSK66" s="3"/>
      <c r="LSL66" s="3"/>
      <c r="LSM66" s="3"/>
      <c r="LSN66" s="3"/>
      <c r="LSO66" s="3"/>
      <c r="LSP66" s="3"/>
      <c r="LSQ66" s="3"/>
      <c r="LSR66" s="3"/>
      <c r="LSS66" s="3"/>
      <c r="LST66" s="3"/>
      <c r="LSU66" s="3"/>
      <c r="LSV66" s="3"/>
      <c r="LSW66" s="3"/>
      <c r="LSX66" s="3"/>
      <c r="LSY66" s="3"/>
      <c r="LSZ66" s="3"/>
      <c r="LTA66" s="3"/>
      <c r="LTB66" s="3"/>
      <c r="LTC66" s="3"/>
      <c r="LTD66" s="3"/>
      <c r="LTE66" s="3"/>
      <c r="LTF66" s="3"/>
      <c r="LTG66" s="3"/>
      <c r="LTH66" s="3"/>
      <c r="LTI66" s="3"/>
      <c r="LTJ66" s="3"/>
      <c r="LTK66" s="3"/>
      <c r="LTL66" s="3"/>
      <c r="LTM66" s="3"/>
      <c r="LTN66" s="3"/>
      <c r="LTO66" s="3"/>
      <c r="LTP66" s="3"/>
      <c r="LTQ66" s="3"/>
      <c r="LTR66" s="3"/>
      <c r="LTS66" s="3"/>
      <c r="LTT66" s="3"/>
      <c r="LTU66" s="3"/>
      <c r="LTV66" s="3"/>
      <c r="LTW66" s="3"/>
      <c r="LTX66" s="3"/>
      <c r="LTY66" s="3"/>
      <c r="LTZ66" s="3"/>
      <c r="LUA66" s="3"/>
      <c r="LUB66" s="3"/>
      <c r="LUC66" s="3"/>
      <c r="LUD66" s="3"/>
      <c r="LUE66" s="3"/>
      <c r="LUF66" s="3"/>
      <c r="LUG66" s="3"/>
      <c r="LUH66" s="3"/>
      <c r="LUI66" s="3"/>
      <c r="LUJ66" s="3"/>
      <c r="LUK66" s="3"/>
      <c r="LUL66" s="3"/>
      <c r="LUM66" s="3"/>
      <c r="LUN66" s="3"/>
      <c r="LUO66" s="3"/>
      <c r="LUP66" s="3"/>
      <c r="LUQ66" s="3"/>
      <c r="LUR66" s="3"/>
      <c r="LUS66" s="3"/>
      <c r="LUT66" s="3"/>
      <c r="LUU66" s="3"/>
      <c r="LUV66" s="3"/>
      <c r="LUW66" s="3"/>
      <c r="LUX66" s="3"/>
      <c r="LUY66" s="3"/>
      <c r="LUZ66" s="3"/>
      <c r="LVA66" s="3"/>
      <c r="LVB66" s="3"/>
      <c r="LVC66" s="3"/>
      <c r="LVD66" s="3"/>
      <c r="LVE66" s="3"/>
      <c r="LVF66" s="3"/>
      <c r="LVG66" s="3"/>
      <c r="LVH66" s="3"/>
      <c r="LVI66" s="3"/>
      <c r="LVJ66" s="3"/>
      <c r="LVK66" s="3"/>
      <c r="LVL66" s="3"/>
      <c r="LVM66" s="3"/>
      <c r="LVN66" s="3"/>
      <c r="LVO66" s="3"/>
      <c r="LVP66" s="3"/>
      <c r="LVQ66" s="3"/>
      <c r="LVR66" s="3"/>
      <c r="LVS66" s="3"/>
      <c r="LVT66" s="3"/>
      <c r="LVU66" s="3"/>
      <c r="LVV66" s="3"/>
      <c r="LVW66" s="3"/>
      <c r="LVX66" s="3"/>
      <c r="LVY66" s="3"/>
      <c r="LVZ66" s="3"/>
      <c r="LWA66" s="3"/>
      <c r="LWB66" s="3"/>
      <c r="LWC66" s="3"/>
      <c r="LWD66" s="3"/>
      <c r="LWE66" s="3"/>
      <c r="LWF66" s="3"/>
      <c r="LWG66" s="3"/>
      <c r="LWH66" s="3"/>
      <c r="LWI66" s="3"/>
      <c r="LWJ66" s="3"/>
      <c r="LWK66" s="3"/>
      <c r="LWL66" s="3"/>
      <c r="LWM66" s="3"/>
      <c r="LWN66" s="3"/>
      <c r="LWO66" s="3"/>
      <c r="LWP66" s="3"/>
      <c r="LWQ66" s="3"/>
      <c r="LWR66" s="3"/>
      <c r="LWS66" s="3"/>
      <c r="LWT66" s="3"/>
      <c r="LWU66" s="3"/>
      <c r="LWV66" s="3"/>
      <c r="LWW66" s="3"/>
      <c r="LWX66" s="3"/>
      <c r="LWY66" s="3"/>
      <c r="LWZ66" s="3"/>
      <c r="LXA66" s="3"/>
      <c r="LXB66" s="3"/>
      <c r="LXC66" s="3"/>
      <c r="LXD66" s="3"/>
      <c r="LXE66" s="3"/>
      <c r="LXF66" s="3"/>
      <c r="LXG66" s="3"/>
      <c r="LXH66" s="3"/>
      <c r="LXI66" s="3"/>
      <c r="LXJ66" s="3"/>
      <c r="LXK66" s="3"/>
      <c r="LXL66" s="3"/>
      <c r="LXM66" s="3"/>
      <c r="LXN66" s="3"/>
      <c r="LXO66" s="3"/>
      <c r="LXP66" s="3"/>
      <c r="LXQ66" s="3"/>
      <c r="LXR66" s="3"/>
      <c r="LXS66" s="3"/>
      <c r="LXT66" s="3"/>
      <c r="LXU66" s="3"/>
      <c r="LXV66" s="3"/>
      <c r="LXW66" s="3"/>
      <c r="LXX66" s="3"/>
      <c r="LXY66" s="3"/>
      <c r="LXZ66" s="3"/>
      <c r="LYA66" s="3"/>
      <c r="LYB66" s="3"/>
      <c r="LYC66" s="3"/>
      <c r="LYD66" s="3"/>
      <c r="LYE66" s="3"/>
      <c r="LYF66" s="3"/>
      <c r="LYG66" s="3"/>
      <c r="LYH66" s="3"/>
      <c r="LYI66" s="3"/>
      <c r="LYJ66" s="3"/>
      <c r="LYK66" s="3"/>
      <c r="LYL66" s="3"/>
      <c r="LYM66" s="3"/>
      <c r="LYN66" s="3"/>
      <c r="LYO66" s="3"/>
      <c r="LYP66" s="3"/>
      <c r="LYQ66" s="3"/>
      <c r="LYR66" s="3"/>
      <c r="LYS66" s="3"/>
      <c r="LYT66" s="3"/>
      <c r="LYU66" s="3"/>
      <c r="LYV66" s="3"/>
      <c r="LYW66" s="3"/>
      <c r="LYX66" s="3"/>
      <c r="LYY66" s="3"/>
      <c r="LYZ66" s="3"/>
      <c r="LZA66" s="3"/>
      <c r="LZB66" s="3"/>
      <c r="LZC66" s="3"/>
      <c r="LZD66" s="3"/>
      <c r="LZE66" s="3"/>
      <c r="LZF66" s="3"/>
      <c r="LZG66" s="3"/>
      <c r="LZH66" s="3"/>
      <c r="LZI66" s="3"/>
      <c r="LZJ66" s="3"/>
      <c r="LZK66" s="3"/>
      <c r="LZL66" s="3"/>
      <c r="LZM66" s="3"/>
      <c r="LZN66" s="3"/>
      <c r="LZO66" s="3"/>
      <c r="LZP66" s="3"/>
      <c r="LZQ66" s="3"/>
      <c r="LZR66" s="3"/>
      <c r="LZS66" s="3"/>
      <c r="LZT66" s="3"/>
      <c r="LZU66" s="3"/>
      <c r="LZV66" s="3"/>
      <c r="LZW66" s="3"/>
      <c r="LZX66" s="3"/>
      <c r="LZY66" s="3"/>
      <c r="LZZ66" s="3"/>
      <c r="MAA66" s="3"/>
      <c r="MAB66" s="3"/>
      <c r="MAC66" s="3"/>
      <c r="MAD66" s="3"/>
      <c r="MAE66" s="3"/>
      <c r="MAF66" s="3"/>
      <c r="MAG66" s="3"/>
      <c r="MAH66" s="3"/>
      <c r="MAI66" s="3"/>
      <c r="MAJ66" s="3"/>
      <c r="MAK66" s="3"/>
      <c r="MAL66" s="3"/>
      <c r="MAM66" s="3"/>
      <c r="MAN66" s="3"/>
      <c r="MAO66" s="3"/>
      <c r="MAP66" s="3"/>
      <c r="MAQ66" s="3"/>
      <c r="MAR66" s="3"/>
      <c r="MAS66" s="3"/>
      <c r="MAT66" s="3"/>
      <c r="MAU66" s="3"/>
      <c r="MAV66" s="3"/>
      <c r="MAW66" s="3"/>
      <c r="MAX66" s="3"/>
      <c r="MAY66" s="3"/>
      <c r="MAZ66" s="3"/>
      <c r="MBA66" s="3"/>
      <c r="MBB66" s="3"/>
      <c r="MBC66" s="3"/>
      <c r="MBD66" s="3"/>
      <c r="MBE66" s="3"/>
      <c r="MBF66" s="3"/>
      <c r="MBG66" s="3"/>
      <c r="MBH66" s="3"/>
      <c r="MBI66" s="3"/>
      <c r="MBJ66" s="3"/>
      <c r="MBK66" s="3"/>
      <c r="MBL66" s="3"/>
      <c r="MBM66" s="3"/>
      <c r="MBN66" s="3"/>
      <c r="MBO66" s="3"/>
      <c r="MBP66" s="3"/>
      <c r="MBQ66" s="3"/>
      <c r="MBR66" s="3"/>
      <c r="MBS66" s="3"/>
      <c r="MBT66" s="3"/>
      <c r="MBU66" s="3"/>
      <c r="MBV66" s="3"/>
      <c r="MBW66" s="3"/>
      <c r="MBX66" s="3"/>
      <c r="MBY66" s="3"/>
      <c r="MBZ66" s="3"/>
      <c r="MCA66" s="3"/>
      <c r="MCB66" s="3"/>
      <c r="MCC66" s="3"/>
      <c r="MCD66" s="3"/>
      <c r="MCE66" s="3"/>
      <c r="MCF66" s="3"/>
      <c r="MCG66" s="3"/>
      <c r="MCH66" s="3"/>
      <c r="MCI66" s="3"/>
      <c r="MCJ66" s="3"/>
      <c r="MCK66" s="3"/>
      <c r="MCL66" s="3"/>
      <c r="MCM66" s="3"/>
      <c r="MCN66" s="3"/>
      <c r="MCO66" s="3"/>
      <c r="MCP66" s="3"/>
      <c r="MCQ66" s="3"/>
      <c r="MCR66" s="3"/>
      <c r="MCS66" s="3"/>
      <c r="MCT66" s="3"/>
      <c r="MCU66" s="3"/>
      <c r="MCV66" s="3"/>
      <c r="MCW66" s="3"/>
      <c r="MCX66" s="3"/>
      <c r="MCY66" s="3"/>
      <c r="MCZ66" s="3"/>
      <c r="MDA66" s="3"/>
      <c r="MDB66" s="3"/>
      <c r="MDC66" s="3"/>
      <c r="MDD66" s="3"/>
      <c r="MDE66" s="3"/>
      <c r="MDF66" s="3"/>
      <c r="MDG66" s="3"/>
      <c r="MDH66" s="3"/>
      <c r="MDI66" s="3"/>
      <c r="MDJ66" s="3"/>
      <c r="MDK66" s="3"/>
      <c r="MDL66" s="3"/>
      <c r="MDM66" s="3"/>
      <c r="MDN66" s="3"/>
      <c r="MDO66" s="3"/>
      <c r="MDP66" s="3"/>
      <c r="MDQ66" s="3"/>
      <c r="MDR66" s="3"/>
      <c r="MDS66" s="3"/>
      <c r="MDT66" s="3"/>
      <c r="MDU66" s="3"/>
      <c r="MDV66" s="3"/>
      <c r="MDW66" s="3"/>
      <c r="MDX66" s="3"/>
      <c r="MDY66" s="3"/>
      <c r="MDZ66" s="3"/>
      <c r="MEA66" s="3"/>
      <c r="MEB66" s="3"/>
      <c r="MEC66" s="3"/>
      <c r="MED66" s="3"/>
      <c r="MEE66" s="3"/>
      <c r="MEF66" s="3"/>
      <c r="MEG66" s="3"/>
      <c r="MEH66" s="3"/>
      <c r="MEI66" s="3"/>
      <c r="MEJ66" s="3"/>
      <c r="MEK66" s="3"/>
      <c r="MEL66" s="3"/>
      <c r="MEM66" s="3"/>
      <c r="MEN66" s="3"/>
      <c r="MEO66" s="3"/>
      <c r="MEP66" s="3"/>
      <c r="MEQ66" s="3"/>
      <c r="MER66" s="3"/>
      <c r="MES66" s="3"/>
      <c r="MET66" s="3"/>
      <c r="MEU66" s="3"/>
      <c r="MEV66" s="3"/>
      <c r="MEW66" s="3"/>
      <c r="MEX66" s="3"/>
      <c r="MEY66" s="3"/>
      <c r="MEZ66" s="3"/>
      <c r="MFA66" s="3"/>
      <c r="MFB66" s="3"/>
      <c r="MFC66" s="3"/>
      <c r="MFD66" s="3"/>
      <c r="MFE66" s="3"/>
      <c r="MFF66" s="3"/>
      <c r="MFG66" s="3"/>
      <c r="MFH66" s="3"/>
      <c r="MFI66" s="3"/>
      <c r="MFJ66" s="3"/>
      <c r="MFK66" s="3"/>
      <c r="MFL66" s="3"/>
      <c r="MFM66" s="3"/>
      <c r="MFN66" s="3"/>
      <c r="MFO66" s="3"/>
      <c r="MFP66" s="3"/>
      <c r="MFQ66" s="3"/>
      <c r="MFR66" s="3"/>
      <c r="MFS66" s="3"/>
      <c r="MFT66" s="3"/>
      <c r="MFU66" s="3"/>
      <c r="MFV66" s="3"/>
      <c r="MFW66" s="3"/>
      <c r="MFX66" s="3"/>
      <c r="MFY66" s="3"/>
      <c r="MFZ66" s="3"/>
      <c r="MGA66" s="3"/>
      <c r="MGB66" s="3"/>
      <c r="MGC66" s="3"/>
      <c r="MGD66" s="3"/>
      <c r="MGE66" s="3"/>
      <c r="MGF66" s="3"/>
      <c r="MGG66" s="3"/>
      <c r="MGH66" s="3"/>
      <c r="MGI66" s="3"/>
      <c r="MGJ66" s="3"/>
      <c r="MGK66" s="3"/>
      <c r="MGL66" s="3"/>
      <c r="MGM66" s="3"/>
      <c r="MGN66" s="3"/>
      <c r="MGO66" s="3"/>
      <c r="MGP66" s="3"/>
      <c r="MGQ66" s="3"/>
      <c r="MGR66" s="3"/>
      <c r="MGS66" s="3"/>
      <c r="MGT66" s="3"/>
      <c r="MGU66" s="3"/>
      <c r="MGV66" s="3"/>
      <c r="MGW66" s="3"/>
      <c r="MGX66" s="3"/>
      <c r="MGY66" s="3"/>
      <c r="MGZ66" s="3"/>
      <c r="MHA66" s="3"/>
      <c r="MHB66" s="3"/>
      <c r="MHC66" s="3"/>
      <c r="MHD66" s="3"/>
      <c r="MHE66" s="3"/>
      <c r="MHF66" s="3"/>
      <c r="MHG66" s="3"/>
      <c r="MHH66" s="3"/>
      <c r="MHI66" s="3"/>
      <c r="MHJ66" s="3"/>
      <c r="MHK66" s="3"/>
      <c r="MHL66" s="3"/>
      <c r="MHM66" s="3"/>
      <c r="MHN66" s="3"/>
      <c r="MHO66" s="3"/>
      <c r="MHP66" s="3"/>
      <c r="MHQ66" s="3"/>
      <c r="MHR66" s="3"/>
      <c r="MHS66" s="3"/>
      <c r="MHT66" s="3"/>
      <c r="MHU66" s="3"/>
      <c r="MHV66" s="3"/>
      <c r="MHW66" s="3"/>
      <c r="MHX66" s="3"/>
      <c r="MHY66" s="3"/>
      <c r="MHZ66" s="3"/>
      <c r="MIA66" s="3"/>
      <c r="MIB66" s="3"/>
      <c r="MIC66" s="3"/>
      <c r="MID66" s="3"/>
      <c r="MIE66" s="3"/>
      <c r="MIF66" s="3"/>
      <c r="MIG66" s="3"/>
      <c r="MIH66" s="3"/>
      <c r="MII66" s="3"/>
      <c r="MIJ66" s="3"/>
      <c r="MIK66" s="3"/>
      <c r="MIL66" s="3"/>
      <c r="MIM66" s="3"/>
      <c r="MIN66" s="3"/>
      <c r="MIO66" s="3"/>
      <c r="MIP66" s="3"/>
      <c r="MIQ66" s="3"/>
      <c r="MIR66" s="3"/>
      <c r="MIS66" s="3"/>
      <c r="MIT66" s="3"/>
      <c r="MIU66" s="3"/>
      <c r="MIV66" s="3"/>
      <c r="MIW66" s="3"/>
      <c r="MIX66" s="3"/>
      <c r="MIY66" s="3"/>
      <c r="MIZ66" s="3"/>
      <c r="MJA66" s="3"/>
      <c r="MJB66" s="3"/>
      <c r="MJC66" s="3"/>
      <c r="MJD66" s="3"/>
      <c r="MJE66" s="3"/>
      <c r="MJF66" s="3"/>
      <c r="MJG66" s="3"/>
      <c r="MJH66" s="3"/>
      <c r="MJI66" s="3"/>
      <c r="MJJ66" s="3"/>
      <c r="MJK66" s="3"/>
      <c r="MJL66" s="3"/>
      <c r="MJM66" s="3"/>
      <c r="MJN66" s="3"/>
      <c r="MJO66" s="3"/>
      <c r="MJP66" s="3"/>
      <c r="MJQ66" s="3"/>
      <c r="MJR66" s="3"/>
      <c r="MJS66" s="3"/>
      <c r="MJT66" s="3"/>
      <c r="MJU66" s="3"/>
      <c r="MJV66" s="3"/>
      <c r="MJW66" s="3"/>
      <c r="MJX66" s="3"/>
      <c r="MJY66" s="3"/>
      <c r="MJZ66" s="3"/>
      <c r="MKA66" s="3"/>
      <c r="MKB66" s="3"/>
      <c r="MKC66" s="3"/>
      <c r="MKD66" s="3"/>
      <c r="MKE66" s="3"/>
      <c r="MKF66" s="3"/>
      <c r="MKG66" s="3"/>
      <c r="MKH66" s="3"/>
      <c r="MKI66" s="3"/>
      <c r="MKJ66" s="3"/>
      <c r="MKK66" s="3"/>
      <c r="MKL66" s="3"/>
      <c r="MKM66" s="3"/>
      <c r="MKN66" s="3"/>
      <c r="MKO66" s="3"/>
      <c r="MKP66" s="3"/>
      <c r="MKQ66" s="3"/>
      <c r="MKR66" s="3"/>
      <c r="MKS66" s="3"/>
      <c r="MKT66" s="3"/>
      <c r="MKU66" s="3"/>
      <c r="MKV66" s="3"/>
      <c r="MKW66" s="3"/>
      <c r="MKX66" s="3"/>
      <c r="MKY66" s="3"/>
      <c r="MKZ66" s="3"/>
      <c r="MLA66" s="3"/>
      <c r="MLB66" s="3"/>
      <c r="MLC66" s="3"/>
      <c r="MLD66" s="3"/>
      <c r="MLE66" s="3"/>
      <c r="MLF66" s="3"/>
      <c r="MLG66" s="3"/>
      <c r="MLH66" s="3"/>
      <c r="MLI66" s="3"/>
      <c r="MLJ66" s="3"/>
      <c r="MLK66" s="3"/>
      <c r="MLL66" s="3"/>
      <c r="MLM66" s="3"/>
      <c r="MLN66" s="3"/>
      <c r="MLO66" s="3"/>
      <c r="MLP66" s="3"/>
      <c r="MLQ66" s="3"/>
      <c r="MLR66" s="3"/>
      <c r="MLS66" s="3"/>
      <c r="MLT66" s="3"/>
      <c r="MLU66" s="3"/>
      <c r="MLV66" s="3"/>
      <c r="MLW66" s="3"/>
      <c r="MLX66" s="3"/>
      <c r="MLY66" s="3"/>
      <c r="MLZ66" s="3"/>
      <c r="MMA66" s="3"/>
      <c r="MMB66" s="3"/>
      <c r="MMC66" s="3"/>
      <c r="MMD66" s="3"/>
      <c r="MME66" s="3"/>
      <c r="MMF66" s="3"/>
      <c r="MMG66" s="3"/>
      <c r="MMH66" s="3"/>
      <c r="MMI66" s="3"/>
      <c r="MMJ66" s="3"/>
      <c r="MMK66" s="3"/>
      <c r="MML66" s="3"/>
      <c r="MMM66" s="3"/>
      <c r="MMN66" s="3"/>
      <c r="MMO66" s="3"/>
      <c r="MMP66" s="3"/>
      <c r="MMQ66" s="3"/>
      <c r="MMR66" s="3"/>
      <c r="MMS66" s="3"/>
      <c r="MMT66" s="3"/>
      <c r="MMU66" s="3"/>
      <c r="MMV66" s="3"/>
      <c r="MMW66" s="3"/>
      <c r="MMX66" s="3"/>
      <c r="MMY66" s="3"/>
      <c r="MMZ66" s="3"/>
      <c r="MNA66" s="3"/>
      <c r="MNB66" s="3"/>
      <c r="MNC66" s="3"/>
      <c r="MND66" s="3"/>
      <c r="MNE66" s="3"/>
      <c r="MNF66" s="3"/>
      <c r="MNG66" s="3"/>
      <c r="MNH66" s="3"/>
      <c r="MNI66" s="3"/>
      <c r="MNJ66" s="3"/>
      <c r="MNK66" s="3"/>
      <c r="MNL66" s="3"/>
      <c r="MNM66" s="3"/>
      <c r="MNN66" s="3"/>
      <c r="MNO66" s="3"/>
      <c r="MNP66" s="3"/>
      <c r="MNQ66" s="3"/>
      <c r="MNR66" s="3"/>
      <c r="MNS66" s="3"/>
      <c r="MNT66" s="3"/>
      <c r="MNU66" s="3"/>
      <c r="MNV66" s="3"/>
      <c r="MNW66" s="3"/>
      <c r="MNX66" s="3"/>
      <c r="MNY66" s="3"/>
      <c r="MNZ66" s="3"/>
      <c r="MOA66" s="3"/>
      <c r="MOB66" s="3"/>
      <c r="MOC66" s="3"/>
      <c r="MOD66" s="3"/>
      <c r="MOE66" s="3"/>
      <c r="MOF66" s="3"/>
      <c r="MOG66" s="3"/>
      <c r="MOH66" s="3"/>
      <c r="MOI66" s="3"/>
      <c r="MOJ66" s="3"/>
      <c r="MOK66" s="3"/>
      <c r="MOL66" s="3"/>
      <c r="MOM66" s="3"/>
      <c r="MON66" s="3"/>
      <c r="MOO66" s="3"/>
      <c r="MOP66" s="3"/>
      <c r="MOQ66" s="3"/>
      <c r="MOR66" s="3"/>
      <c r="MOS66" s="3"/>
      <c r="MOT66" s="3"/>
      <c r="MOU66" s="3"/>
      <c r="MOV66" s="3"/>
      <c r="MOW66" s="3"/>
      <c r="MOX66" s="3"/>
      <c r="MOY66" s="3"/>
      <c r="MOZ66" s="3"/>
      <c r="MPA66" s="3"/>
      <c r="MPB66" s="3"/>
      <c r="MPC66" s="3"/>
      <c r="MPD66" s="3"/>
      <c r="MPE66" s="3"/>
      <c r="MPF66" s="3"/>
      <c r="MPG66" s="3"/>
      <c r="MPH66" s="3"/>
      <c r="MPI66" s="3"/>
      <c r="MPJ66" s="3"/>
      <c r="MPK66" s="3"/>
      <c r="MPL66" s="3"/>
      <c r="MPM66" s="3"/>
      <c r="MPN66" s="3"/>
      <c r="MPO66" s="3"/>
      <c r="MPP66" s="3"/>
      <c r="MPQ66" s="3"/>
      <c r="MPR66" s="3"/>
      <c r="MPS66" s="3"/>
      <c r="MPT66" s="3"/>
      <c r="MPU66" s="3"/>
      <c r="MPV66" s="3"/>
      <c r="MPW66" s="3"/>
      <c r="MPX66" s="3"/>
      <c r="MPY66" s="3"/>
      <c r="MPZ66" s="3"/>
      <c r="MQA66" s="3"/>
      <c r="MQB66" s="3"/>
      <c r="MQC66" s="3"/>
      <c r="MQD66" s="3"/>
      <c r="MQE66" s="3"/>
      <c r="MQF66" s="3"/>
      <c r="MQG66" s="3"/>
      <c r="MQH66" s="3"/>
      <c r="MQI66" s="3"/>
      <c r="MQJ66" s="3"/>
      <c r="MQK66" s="3"/>
      <c r="MQL66" s="3"/>
      <c r="MQM66" s="3"/>
      <c r="MQN66" s="3"/>
      <c r="MQO66" s="3"/>
      <c r="MQP66" s="3"/>
      <c r="MQQ66" s="3"/>
      <c r="MQR66" s="3"/>
      <c r="MQS66" s="3"/>
      <c r="MQT66" s="3"/>
      <c r="MQU66" s="3"/>
      <c r="MQV66" s="3"/>
      <c r="MQW66" s="3"/>
      <c r="MQX66" s="3"/>
      <c r="MQY66" s="3"/>
      <c r="MQZ66" s="3"/>
      <c r="MRA66" s="3"/>
      <c r="MRB66" s="3"/>
      <c r="MRC66" s="3"/>
      <c r="MRD66" s="3"/>
      <c r="MRE66" s="3"/>
      <c r="MRF66" s="3"/>
      <c r="MRG66" s="3"/>
      <c r="MRH66" s="3"/>
      <c r="MRI66" s="3"/>
      <c r="MRJ66" s="3"/>
      <c r="MRK66" s="3"/>
      <c r="MRL66" s="3"/>
      <c r="MRM66" s="3"/>
      <c r="MRN66" s="3"/>
      <c r="MRO66" s="3"/>
      <c r="MRP66" s="3"/>
      <c r="MRQ66" s="3"/>
      <c r="MRR66" s="3"/>
      <c r="MRS66" s="3"/>
      <c r="MRT66" s="3"/>
      <c r="MRU66" s="3"/>
      <c r="MRV66" s="3"/>
      <c r="MRW66" s="3"/>
      <c r="MRX66" s="3"/>
      <c r="MRY66" s="3"/>
      <c r="MRZ66" s="3"/>
      <c r="MSA66" s="3"/>
      <c r="MSB66" s="3"/>
      <c r="MSC66" s="3"/>
      <c r="MSD66" s="3"/>
      <c r="MSE66" s="3"/>
      <c r="MSF66" s="3"/>
      <c r="MSG66" s="3"/>
      <c r="MSH66" s="3"/>
      <c r="MSI66" s="3"/>
      <c r="MSJ66" s="3"/>
      <c r="MSK66" s="3"/>
      <c r="MSL66" s="3"/>
      <c r="MSM66" s="3"/>
      <c r="MSN66" s="3"/>
      <c r="MSO66" s="3"/>
      <c r="MSP66" s="3"/>
      <c r="MSQ66" s="3"/>
      <c r="MSR66" s="3"/>
      <c r="MSS66" s="3"/>
      <c r="MST66" s="3"/>
      <c r="MSU66" s="3"/>
      <c r="MSV66" s="3"/>
      <c r="MSW66" s="3"/>
      <c r="MSX66" s="3"/>
      <c r="MSY66" s="3"/>
      <c r="MSZ66" s="3"/>
      <c r="MTA66" s="3"/>
      <c r="MTB66" s="3"/>
      <c r="MTC66" s="3"/>
      <c r="MTD66" s="3"/>
      <c r="MTE66" s="3"/>
      <c r="MTF66" s="3"/>
      <c r="MTG66" s="3"/>
      <c r="MTH66" s="3"/>
      <c r="MTI66" s="3"/>
      <c r="MTJ66" s="3"/>
      <c r="MTK66" s="3"/>
      <c r="MTL66" s="3"/>
      <c r="MTM66" s="3"/>
      <c r="MTN66" s="3"/>
      <c r="MTO66" s="3"/>
      <c r="MTP66" s="3"/>
      <c r="MTQ66" s="3"/>
      <c r="MTR66" s="3"/>
      <c r="MTS66" s="3"/>
      <c r="MTT66" s="3"/>
      <c r="MTU66" s="3"/>
      <c r="MTV66" s="3"/>
      <c r="MTW66" s="3"/>
      <c r="MTX66" s="3"/>
      <c r="MTY66" s="3"/>
      <c r="MTZ66" s="3"/>
      <c r="MUA66" s="3"/>
      <c r="MUB66" s="3"/>
      <c r="MUC66" s="3"/>
      <c r="MUD66" s="3"/>
      <c r="MUE66" s="3"/>
      <c r="MUF66" s="3"/>
      <c r="MUG66" s="3"/>
      <c r="MUH66" s="3"/>
      <c r="MUI66" s="3"/>
      <c r="MUJ66" s="3"/>
      <c r="MUK66" s="3"/>
      <c r="MUL66" s="3"/>
      <c r="MUM66" s="3"/>
      <c r="MUN66" s="3"/>
      <c r="MUO66" s="3"/>
      <c r="MUP66" s="3"/>
      <c r="MUQ66" s="3"/>
      <c r="MUR66" s="3"/>
      <c r="MUS66" s="3"/>
      <c r="MUT66" s="3"/>
      <c r="MUU66" s="3"/>
      <c r="MUV66" s="3"/>
      <c r="MUW66" s="3"/>
      <c r="MUX66" s="3"/>
      <c r="MUY66" s="3"/>
      <c r="MUZ66" s="3"/>
      <c r="MVA66" s="3"/>
      <c r="MVB66" s="3"/>
      <c r="MVC66" s="3"/>
      <c r="MVD66" s="3"/>
      <c r="MVE66" s="3"/>
      <c r="MVF66" s="3"/>
      <c r="MVG66" s="3"/>
      <c r="MVH66" s="3"/>
      <c r="MVI66" s="3"/>
      <c r="MVJ66" s="3"/>
      <c r="MVK66" s="3"/>
      <c r="MVL66" s="3"/>
      <c r="MVM66" s="3"/>
      <c r="MVN66" s="3"/>
      <c r="MVO66" s="3"/>
      <c r="MVP66" s="3"/>
      <c r="MVQ66" s="3"/>
      <c r="MVR66" s="3"/>
      <c r="MVS66" s="3"/>
      <c r="MVT66" s="3"/>
      <c r="MVU66" s="3"/>
      <c r="MVV66" s="3"/>
      <c r="MVW66" s="3"/>
      <c r="MVX66" s="3"/>
      <c r="MVY66" s="3"/>
      <c r="MVZ66" s="3"/>
      <c r="MWA66" s="3"/>
      <c r="MWB66" s="3"/>
      <c r="MWC66" s="3"/>
      <c r="MWD66" s="3"/>
      <c r="MWE66" s="3"/>
      <c r="MWF66" s="3"/>
      <c r="MWG66" s="3"/>
      <c r="MWH66" s="3"/>
      <c r="MWI66" s="3"/>
      <c r="MWJ66" s="3"/>
      <c r="MWK66" s="3"/>
      <c r="MWL66" s="3"/>
      <c r="MWM66" s="3"/>
      <c r="MWN66" s="3"/>
      <c r="MWO66" s="3"/>
      <c r="MWP66" s="3"/>
      <c r="MWQ66" s="3"/>
      <c r="MWR66" s="3"/>
      <c r="MWS66" s="3"/>
      <c r="MWT66" s="3"/>
      <c r="MWU66" s="3"/>
      <c r="MWV66" s="3"/>
      <c r="MWW66" s="3"/>
      <c r="MWX66" s="3"/>
      <c r="MWY66" s="3"/>
      <c r="MWZ66" s="3"/>
      <c r="MXA66" s="3"/>
      <c r="MXB66" s="3"/>
      <c r="MXC66" s="3"/>
      <c r="MXD66" s="3"/>
      <c r="MXE66" s="3"/>
      <c r="MXF66" s="3"/>
      <c r="MXG66" s="3"/>
      <c r="MXH66" s="3"/>
      <c r="MXI66" s="3"/>
      <c r="MXJ66" s="3"/>
      <c r="MXK66" s="3"/>
      <c r="MXL66" s="3"/>
      <c r="MXM66" s="3"/>
      <c r="MXN66" s="3"/>
      <c r="MXO66" s="3"/>
      <c r="MXP66" s="3"/>
      <c r="MXQ66" s="3"/>
      <c r="MXR66" s="3"/>
      <c r="MXS66" s="3"/>
      <c r="MXT66" s="3"/>
      <c r="MXU66" s="3"/>
      <c r="MXV66" s="3"/>
      <c r="MXW66" s="3"/>
      <c r="MXX66" s="3"/>
      <c r="MXY66" s="3"/>
      <c r="MXZ66" s="3"/>
      <c r="MYA66" s="3"/>
      <c r="MYB66" s="3"/>
      <c r="MYC66" s="3"/>
      <c r="MYD66" s="3"/>
      <c r="MYE66" s="3"/>
      <c r="MYF66" s="3"/>
      <c r="MYG66" s="3"/>
      <c r="MYH66" s="3"/>
      <c r="MYI66" s="3"/>
      <c r="MYJ66" s="3"/>
      <c r="MYK66" s="3"/>
      <c r="MYL66" s="3"/>
      <c r="MYM66" s="3"/>
      <c r="MYN66" s="3"/>
      <c r="MYO66" s="3"/>
      <c r="MYP66" s="3"/>
      <c r="MYQ66" s="3"/>
      <c r="MYR66" s="3"/>
      <c r="MYS66" s="3"/>
      <c r="MYT66" s="3"/>
      <c r="MYU66" s="3"/>
      <c r="MYV66" s="3"/>
      <c r="MYW66" s="3"/>
      <c r="MYX66" s="3"/>
      <c r="MYY66" s="3"/>
      <c r="MYZ66" s="3"/>
      <c r="MZA66" s="3"/>
      <c r="MZB66" s="3"/>
      <c r="MZC66" s="3"/>
      <c r="MZD66" s="3"/>
      <c r="MZE66" s="3"/>
      <c r="MZF66" s="3"/>
      <c r="MZG66" s="3"/>
      <c r="MZH66" s="3"/>
      <c r="MZI66" s="3"/>
      <c r="MZJ66" s="3"/>
      <c r="MZK66" s="3"/>
      <c r="MZL66" s="3"/>
      <c r="MZM66" s="3"/>
      <c r="MZN66" s="3"/>
      <c r="MZO66" s="3"/>
      <c r="MZP66" s="3"/>
      <c r="MZQ66" s="3"/>
      <c r="MZR66" s="3"/>
      <c r="MZS66" s="3"/>
      <c r="MZT66" s="3"/>
      <c r="MZU66" s="3"/>
      <c r="MZV66" s="3"/>
      <c r="MZW66" s="3"/>
      <c r="MZX66" s="3"/>
      <c r="MZY66" s="3"/>
      <c r="MZZ66" s="3"/>
      <c r="NAA66" s="3"/>
      <c r="NAB66" s="3"/>
      <c r="NAC66" s="3"/>
      <c r="NAD66" s="3"/>
      <c r="NAE66" s="3"/>
      <c r="NAF66" s="3"/>
      <c r="NAG66" s="3"/>
      <c r="NAH66" s="3"/>
      <c r="NAI66" s="3"/>
      <c r="NAJ66" s="3"/>
      <c r="NAK66" s="3"/>
      <c r="NAL66" s="3"/>
      <c r="NAM66" s="3"/>
      <c r="NAN66" s="3"/>
      <c r="NAO66" s="3"/>
      <c r="NAP66" s="3"/>
      <c r="NAQ66" s="3"/>
      <c r="NAR66" s="3"/>
      <c r="NAS66" s="3"/>
      <c r="NAT66" s="3"/>
      <c r="NAU66" s="3"/>
      <c r="NAV66" s="3"/>
      <c r="NAW66" s="3"/>
      <c r="NAX66" s="3"/>
      <c r="NAY66" s="3"/>
      <c r="NAZ66" s="3"/>
      <c r="NBA66" s="3"/>
      <c r="NBB66" s="3"/>
      <c r="NBC66" s="3"/>
      <c r="NBD66" s="3"/>
      <c r="NBE66" s="3"/>
      <c r="NBF66" s="3"/>
      <c r="NBG66" s="3"/>
      <c r="NBH66" s="3"/>
      <c r="NBI66" s="3"/>
      <c r="NBJ66" s="3"/>
      <c r="NBK66" s="3"/>
      <c r="NBL66" s="3"/>
      <c r="NBM66" s="3"/>
      <c r="NBN66" s="3"/>
      <c r="NBO66" s="3"/>
      <c r="NBP66" s="3"/>
      <c r="NBQ66" s="3"/>
      <c r="NBR66" s="3"/>
      <c r="NBS66" s="3"/>
      <c r="NBT66" s="3"/>
      <c r="NBU66" s="3"/>
      <c r="NBV66" s="3"/>
      <c r="NBW66" s="3"/>
      <c r="NBX66" s="3"/>
      <c r="NBY66" s="3"/>
      <c r="NBZ66" s="3"/>
      <c r="NCA66" s="3"/>
      <c r="NCB66" s="3"/>
      <c r="NCC66" s="3"/>
      <c r="NCD66" s="3"/>
      <c r="NCE66" s="3"/>
      <c r="NCF66" s="3"/>
      <c r="NCG66" s="3"/>
      <c r="NCH66" s="3"/>
      <c r="NCI66" s="3"/>
      <c r="NCJ66" s="3"/>
      <c r="NCK66" s="3"/>
      <c r="NCL66" s="3"/>
      <c r="NCM66" s="3"/>
      <c r="NCN66" s="3"/>
      <c r="NCO66" s="3"/>
      <c r="NCP66" s="3"/>
      <c r="NCQ66" s="3"/>
      <c r="NCR66" s="3"/>
      <c r="NCS66" s="3"/>
      <c r="NCT66" s="3"/>
      <c r="NCU66" s="3"/>
      <c r="NCV66" s="3"/>
      <c r="NCW66" s="3"/>
      <c r="NCX66" s="3"/>
      <c r="NCY66" s="3"/>
      <c r="NCZ66" s="3"/>
      <c r="NDA66" s="3"/>
      <c r="NDB66" s="3"/>
      <c r="NDC66" s="3"/>
      <c r="NDD66" s="3"/>
      <c r="NDE66" s="3"/>
      <c r="NDF66" s="3"/>
      <c r="NDG66" s="3"/>
      <c r="NDH66" s="3"/>
      <c r="NDI66" s="3"/>
      <c r="NDJ66" s="3"/>
      <c r="NDK66" s="3"/>
      <c r="NDL66" s="3"/>
      <c r="NDM66" s="3"/>
      <c r="NDN66" s="3"/>
      <c r="NDO66" s="3"/>
      <c r="NDP66" s="3"/>
      <c r="NDQ66" s="3"/>
      <c r="NDR66" s="3"/>
      <c r="NDS66" s="3"/>
      <c r="NDT66" s="3"/>
      <c r="NDU66" s="3"/>
      <c r="NDV66" s="3"/>
      <c r="NDW66" s="3"/>
      <c r="NDX66" s="3"/>
      <c r="NDY66" s="3"/>
      <c r="NDZ66" s="3"/>
      <c r="NEA66" s="3"/>
      <c r="NEB66" s="3"/>
      <c r="NEC66" s="3"/>
      <c r="NED66" s="3"/>
      <c r="NEE66" s="3"/>
      <c r="NEF66" s="3"/>
      <c r="NEG66" s="3"/>
      <c r="NEH66" s="3"/>
      <c r="NEI66" s="3"/>
      <c r="NEJ66" s="3"/>
      <c r="NEK66" s="3"/>
      <c r="NEL66" s="3"/>
      <c r="NEM66" s="3"/>
      <c r="NEN66" s="3"/>
      <c r="NEO66" s="3"/>
      <c r="NEP66" s="3"/>
      <c r="NEQ66" s="3"/>
      <c r="NER66" s="3"/>
      <c r="NES66" s="3"/>
      <c r="NET66" s="3"/>
      <c r="NEU66" s="3"/>
      <c r="NEV66" s="3"/>
      <c r="NEW66" s="3"/>
      <c r="NEX66" s="3"/>
      <c r="NEY66" s="3"/>
      <c r="NEZ66" s="3"/>
      <c r="NFA66" s="3"/>
      <c r="NFB66" s="3"/>
      <c r="NFC66" s="3"/>
      <c r="NFD66" s="3"/>
      <c r="NFE66" s="3"/>
      <c r="NFF66" s="3"/>
      <c r="NFG66" s="3"/>
      <c r="NFH66" s="3"/>
      <c r="NFI66" s="3"/>
      <c r="NFJ66" s="3"/>
      <c r="NFK66" s="3"/>
      <c r="NFL66" s="3"/>
      <c r="NFM66" s="3"/>
      <c r="NFN66" s="3"/>
      <c r="NFO66" s="3"/>
      <c r="NFP66" s="3"/>
      <c r="NFQ66" s="3"/>
      <c r="NFR66" s="3"/>
      <c r="NFS66" s="3"/>
      <c r="NFT66" s="3"/>
      <c r="NFU66" s="3"/>
      <c r="NFV66" s="3"/>
      <c r="NFW66" s="3"/>
      <c r="NFX66" s="3"/>
      <c r="NFY66" s="3"/>
      <c r="NFZ66" s="3"/>
      <c r="NGA66" s="3"/>
      <c r="NGB66" s="3"/>
      <c r="NGC66" s="3"/>
      <c r="NGD66" s="3"/>
      <c r="NGE66" s="3"/>
      <c r="NGF66" s="3"/>
      <c r="NGG66" s="3"/>
      <c r="NGH66" s="3"/>
      <c r="NGI66" s="3"/>
      <c r="NGJ66" s="3"/>
      <c r="NGK66" s="3"/>
      <c r="NGL66" s="3"/>
      <c r="NGM66" s="3"/>
      <c r="NGN66" s="3"/>
      <c r="NGO66" s="3"/>
      <c r="NGP66" s="3"/>
      <c r="NGQ66" s="3"/>
      <c r="NGR66" s="3"/>
      <c r="NGS66" s="3"/>
      <c r="NGT66" s="3"/>
      <c r="NGU66" s="3"/>
      <c r="NGV66" s="3"/>
      <c r="NGW66" s="3"/>
      <c r="NGX66" s="3"/>
      <c r="NGY66" s="3"/>
      <c r="NGZ66" s="3"/>
      <c r="NHA66" s="3"/>
      <c r="NHB66" s="3"/>
      <c r="NHC66" s="3"/>
      <c r="NHD66" s="3"/>
      <c r="NHE66" s="3"/>
      <c r="NHF66" s="3"/>
      <c r="NHG66" s="3"/>
      <c r="NHH66" s="3"/>
      <c r="NHI66" s="3"/>
      <c r="NHJ66" s="3"/>
      <c r="NHK66" s="3"/>
      <c r="NHL66" s="3"/>
      <c r="NHM66" s="3"/>
      <c r="NHN66" s="3"/>
      <c r="NHO66" s="3"/>
      <c r="NHP66" s="3"/>
      <c r="NHQ66" s="3"/>
      <c r="NHR66" s="3"/>
      <c r="NHS66" s="3"/>
      <c r="NHT66" s="3"/>
      <c r="NHU66" s="3"/>
      <c r="NHV66" s="3"/>
      <c r="NHW66" s="3"/>
      <c r="NHX66" s="3"/>
      <c r="NHY66" s="3"/>
      <c r="NHZ66" s="3"/>
      <c r="NIA66" s="3"/>
      <c r="NIB66" s="3"/>
      <c r="NIC66" s="3"/>
      <c r="NID66" s="3"/>
      <c r="NIE66" s="3"/>
      <c r="NIF66" s="3"/>
      <c r="NIG66" s="3"/>
      <c r="NIH66" s="3"/>
      <c r="NII66" s="3"/>
      <c r="NIJ66" s="3"/>
      <c r="NIK66" s="3"/>
      <c r="NIL66" s="3"/>
      <c r="NIM66" s="3"/>
      <c r="NIN66" s="3"/>
      <c r="NIO66" s="3"/>
      <c r="NIP66" s="3"/>
      <c r="NIQ66" s="3"/>
      <c r="NIR66" s="3"/>
      <c r="NIS66" s="3"/>
      <c r="NIT66" s="3"/>
      <c r="NIU66" s="3"/>
      <c r="NIV66" s="3"/>
      <c r="NIW66" s="3"/>
      <c r="NIX66" s="3"/>
      <c r="NIY66" s="3"/>
      <c r="NIZ66" s="3"/>
      <c r="NJA66" s="3"/>
      <c r="NJB66" s="3"/>
      <c r="NJC66" s="3"/>
      <c r="NJD66" s="3"/>
      <c r="NJE66" s="3"/>
      <c r="NJF66" s="3"/>
      <c r="NJG66" s="3"/>
      <c r="NJH66" s="3"/>
      <c r="NJI66" s="3"/>
      <c r="NJJ66" s="3"/>
      <c r="NJK66" s="3"/>
      <c r="NJL66" s="3"/>
      <c r="NJM66" s="3"/>
      <c r="NJN66" s="3"/>
      <c r="NJO66" s="3"/>
      <c r="NJP66" s="3"/>
      <c r="NJQ66" s="3"/>
      <c r="NJR66" s="3"/>
      <c r="NJS66" s="3"/>
      <c r="NJT66" s="3"/>
      <c r="NJU66" s="3"/>
      <c r="NJV66" s="3"/>
      <c r="NJW66" s="3"/>
      <c r="NJX66" s="3"/>
      <c r="NJY66" s="3"/>
      <c r="NJZ66" s="3"/>
      <c r="NKA66" s="3"/>
      <c r="NKB66" s="3"/>
      <c r="NKC66" s="3"/>
      <c r="NKD66" s="3"/>
      <c r="NKE66" s="3"/>
      <c r="NKF66" s="3"/>
      <c r="NKG66" s="3"/>
      <c r="NKH66" s="3"/>
      <c r="NKI66" s="3"/>
      <c r="NKJ66" s="3"/>
      <c r="NKK66" s="3"/>
      <c r="NKL66" s="3"/>
      <c r="NKM66" s="3"/>
      <c r="NKN66" s="3"/>
      <c r="NKO66" s="3"/>
      <c r="NKP66" s="3"/>
      <c r="NKQ66" s="3"/>
      <c r="NKR66" s="3"/>
      <c r="NKS66" s="3"/>
      <c r="NKT66" s="3"/>
      <c r="NKU66" s="3"/>
      <c r="NKV66" s="3"/>
      <c r="NKW66" s="3"/>
      <c r="NKX66" s="3"/>
      <c r="NKY66" s="3"/>
      <c r="NKZ66" s="3"/>
      <c r="NLA66" s="3"/>
      <c r="NLB66" s="3"/>
      <c r="NLC66" s="3"/>
      <c r="NLD66" s="3"/>
      <c r="NLE66" s="3"/>
      <c r="NLF66" s="3"/>
      <c r="NLG66" s="3"/>
      <c r="NLH66" s="3"/>
      <c r="NLI66" s="3"/>
      <c r="NLJ66" s="3"/>
      <c r="NLK66" s="3"/>
      <c r="NLL66" s="3"/>
      <c r="NLM66" s="3"/>
      <c r="NLN66" s="3"/>
      <c r="NLO66" s="3"/>
      <c r="NLP66" s="3"/>
      <c r="NLQ66" s="3"/>
      <c r="NLR66" s="3"/>
      <c r="NLS66" s="3"/>
      <c r="NLT66" s="3"/>
      <c r="NLU66" s="3"/>
      <c r="NLV66" s="3"/>
      <c r="NLW66" s="3"/>
      <c r="NLX66" s="3"/>
      <c r="NLY66" s="3"/>
      <c r="NLZ66" s="3"/>
      <c r="NMA66" s="3"/>
      <c r="NMB66" s="3"/>
      <c r="NMC66" s="3"/>
      <c r="NMD66" s="3"/>
      <c r="NME66" s="3"/>
      <c r="NMF66" s="3"/>
      <c r="NMG66" s="3"/>
      <c r="NMH66" s="3"/>
      <c r="NMI66" s="3"/>
      <c r="NMJ66" s="3"/>
      <c r="NMK66" s="3"/>
      <c r="NML66" s="3"/>
      <c r="NMM66" s="3"/>
      <c r="NMN66" s="3"/>
      <c r="NMO66" s="3"/>
      <c r="NMP66" s="3"/>
      <c r="NMQ66" s="3"/>
      <c r="NMR66" s="3"/>
      <c r="NMS66" s="3"/>
      <c r="NMT66" s="3"/>
      <c r="NMU66" s="3"/>
      <c r="NMV66" s="3"/>
      <c r="NMW66" s="3"/>
      <c r="NMX66" s="3"/>
      <c r="NMY66" s="3"/>
      <c r="NMZ66" s="3"/>
      <c r="NNA66" s="3"/>
      <c r="NNB66" s="3"/>
      <c r="NNC66" s="3"/>
      <c r="NND66" s="3"/>
      <c r="NNE66" s="3"/>
      <c r="NNF66" s="3"/>
      <c r="NNG66" s="3"/>
      <c r="NNH66" s="3"/>
      <c r="NNI66" s="3"/>
      <c r="NNJ66" s="3"/>
      <c r="NNK66" s="3"/>
      <c r="NNL66" s="3"/>
      <c r="NNM66" s="3"/>
      <c r="NNN66" s="3"/>
      <c r="NNO66" s="3"/>
      <c r="NNP66" s="3"/>
      <c r="NNQ66" s="3"/>
      <c r="NNR66" s="3"/>
      <c r="NNS66" s="3"/>
      <c r="NNT66" s="3"/>
      <c r="NNU66" s="3"/>
      <c r="NNV66" s="3"/>
      <c r="NNW66" s="3"/>
      <c r="NNX66" s="3"/>
      <c r="NNY66" s="3"/>
      <c r="NNZ66" s="3"/>
      <c r="NOA66" s="3"/>
      <c r="NOB66" s="3"/>
      <c r="NOC66" s="3"/>
      <c r="NOD66" s="3"/>
      <c r="NOE66" s="3"/>
      <c r="NOF66" s="3"/>
      <c r="NOG66" s="3"/>
      <c r="NOH66" s="3"/>
      <c r="NOI66" s="3"/>
      <c r="NOJ66" s="3"/>
      <c r="NOK66" s="3"/>
      <c r="NOL66" s="3"/>
      <c r="NOM66" s="3"/>
      <c r="NON66" s="3"/>
      <c r="NOO66" s="3"/>
      <c r="NOP66" s="3"/>
      <c r="NOQ66" s="3"/>
      <c r="NOR66" s="3"/>
      <c r="NOS66" s="3"/>
      <c r="NOT66" s="3"/>
      <c r="NOU66" s="3"/>
      <c r="NOV66" s="3"/>
      <c r="NOW66" s="3"/>
      <c r="NOX66" s="3"/>
      <c r="NOY66" s="3"/>
      <c r="NOZ66" s="3"/>
      <c r="NPA66" s="3"/>
      <c r="NPB66" s="3"/>
      <c r="NPC66" s="3"/>
      <c r="NPD66" s="3"/>
      <c r="NPE66" s="3"/>
      <c r="NPF66" s="3"/>
      <c r="NPG66" s="3"/>
      <c r="NPH66" s="3"/>
      <c r="NPI66" s="3"/>
      <c r="NPJ66" s="3"/>
      <c r="NPK66" s="3"/>
      <c r="NPL66" s="3"/>
      <c r="NPM66" s="3"/>
      <c r="NPN66" s="3"/>
      <c r="NPO66" s="3"/>
      <c r="NPP66" s="3"/>
      <c r="NPQ66" s="3"/>
      <c r="NPR66" s="3"/>
      <c r="NPS66" s="3"/>
      <c r="NPT66" s="3"/>
      <c r="NPU66" s="3"/>
      <c r="NPV66" s="3"/>
      <c r="NPW66" s="3"/>
      <c r="NPX66" s="3"/>
      <c r="NPY66" s="3"/>
      <c r="NPZ66" s="3"/>
      <c r="NQA66" s="3"/>
      <c r="NQB66" s="3"/>
      <c r="NQC66" s="3"/>
      <c r="NQD66" s="3"/>
      <c r="NQE66" s="3"/>
      <c r="NQF66" s="3"/>
      <c r="NQG66" s="3"/>
      <c r="NQH66" s="3"/>
      <c r="NQI66" s="3"/>
      <c r="NQJ66" s="3"/>
      <c r="NQK66" s="3"/>
      <c r="NQL66" s="3"/>
      <c r="NQM66" s="3"/>
      <c r="NQN66" s="3"/>
      <c r="NQO66" s="3"/>
      <c r="NQP66" s="3"/>
      <c r="NQQ66" s="3"/>
      <c r="NQR66" s="3"/>
      <c r="NQS66" s="3"/>
      <c r="NQT66" s="3"/>
      <c r="NQU66" s="3"/>
      <c r="NQV66" s="3"/>
      <c r="NQW66" s="3"/>
      <c r="NQX66" s="3"/>
      <c r="NQY66" s="3"/>
      <c r="NQZ66" s="3"/>
      <c r="NRA66" s="3"/>
      <c r="NRB66" s="3"/>
      <c r="NRC66" s="3"/>
      <c r="NRD66" s="3"/>
      <c r="NRE66" s="3"/>
      <c r="NRF66" s="3"/>
      <c r="NRG66" s="3"/>
      <c r="NRH66" s="3"/>
      <c r="NRI66" s="3"/>
      <c r="NRJ66" s="3"/>
      <c r="NRK66" s="3"/>
      <c r="NRL66" s="3"/>
      <c r="NRM66" s="3"/>
      <c r="NRN66" s="3"/>
      <c r="NRO66" s="3"/>
      <c r="NRP66" s="3"/>
      <c r="NRQ66" s="3"/>
      <c r="NRR66" s="3"/>
      <c r="NRS66" s="3"/>
      <c r="NRT66" s="3"/>
      <c r="NRU66" s="3"/>
      <c r="NRV66" s="3"/>
      <c r="NRW66" s="3"/>
      <c r="NRX66" s="3"/>
      <c r="NRY66" s="3"/>
      <c r="NRZ66" s="3"/>
      <c r="NSA66" s="3"/>
      <c r="NSB66" s="3"/>
      <c r="NSC66" s="3"/>
      <c r="NSD66" s="3"/>
      <c r="NSE66" s="3"/>
      <c r="NSF66" s="3"/>
      <c r="NSG66" s="3"/>
      <c r="NSH66" s="3"/>
      <c r="NSI66" s="3"/>
      <c r="NSJ66" s="3"/>
      <c r="NSK66" s="3"/>
      <c r="NSL66" s="3"/>
      <c r="NSM66" s="3"/>
      <c r="NSN66" s="3"/>
      <c r="NSO66" s="3"/>
      <c r="NSP66" s="3"/>
      <c r="NSQ66" s="3"/>
      <c r="NSR66" s="3"/>
      <c r="NSS66" s="3"/>
      <c r="NST66" s="3"/>
      <c r="NSU66" s="3"/>
      <c r="NSV66" s="3"/>
      <c r="NSW66" s="3"/>
      <c r="NSX66" s="3"/>
      <c r="NSY66" s="3"/>
      <c r="NSZ66" s="3"/>
      <c r="NTA66" s="3"/>
      <c r="NTB66" s="3"/>
      <c r="NTC66" s="3"/>
      <c r="NTD66" s="3"/>
      <c r="NTE66" s="3"/>
      <c r="NTF66" s="3"/>
      <c r="NTG66" s="3"/>
      <c r="NTH66" s="3"/>
      <c r="NTI66" s="3"/>
      <c r="NTJ66" s="3"/>
      <c r="NTK66" s="3"/>
      <c r="NTL66" s="3"/>
      <c r="NTM66" s="3"/>
      <c r="NTN66" s="3"/>
      <c r="NTO66" s="3"/>
      <c r="NTP66" s="3"/>
      <c r="NTQ66" s="3"/>
      <c r="NTR66" s="3"/>
      <c r="NTS66" s="3"/>
      <c r="NTT66" s="3"/>
      <c r="NTU66" s="3"/>
      <c r="NTV66" s="3"/>
      <c r="NTW66" s="3"/>
      <c r="NTX66" s="3"/>
      <c r="NTY66" s="3"/>
      <c r="NTZ66" s="3"/>
      <c r="NUA66" s="3"/>
      <c r="NUB66" s="3"/>
      <c r="NUC66" s="3"/>
      <c r="NUD66" s="3"/>
      <c r="NUE66" s="3"/>
      <c r="NUF66" s="3"/>
      <c r="NUG66" s="3"/>
      <c r="NUH66" s="3"/>
      <c r="NUI66" s="3"/>
      <c r="NUJ66" s="3"/>
      <c r="NUK66" s="3"/>
      <c r="NUL66" s="3"/>
      <c r="NUM66" s="3"/>
      <c r="NUN66" s="3"/>
      <c r="NUO66" s="3"/>
      <c r="NUP66" s="3"/>
      <c r="NUQ66" s="3"/>
      <c r="NUR66" s="3"/>
      <c r="NUS66" s="3"/>
      <c r="NUT66" s="3"/>
      <c r="NUU66" s="3"/>
      <c r="NUV66" s="3"/>
      <c r="NUW66" s="3"/>
      <c r="NUX66" s="3"/>
      <c r="NUY66" s="3"/>
      <c r="NUZ66" s="3"/>
      <c r="NVA66" s="3"/>
      <c r="NVB66" s="3"/>
      <c r="NVC66" s="3"/>
      <c r="NVD66" s="3"/>
      <c r="NVE66" s="3"/>
      <c r="NVF66" s="3"/>
      <c r="NVG66" s="3"/>
      <c r="NVH66" s="3"/>
      <c r="NVI66" s="3"/>
      <c r="NVJ66" s="3"/>
      <c r="NVK66" s="3"/>
      <c r="NVL66" s="3"/>
      <c r="NVM66" s="3"/>
      <c r="NVN66" s="3"/>
      <c r="NVO66" s="3"/>
      <c r="NVP66" s="3"/>
      <c r="NVQ66" s="3"/>
      <c r="NVR66" s="3"/>
      <c r="NVS66" s="3"/>
      <c r="NVT66" s="3"/>
      <c r="NVU66" s="3"/>
      <c r="NVV66" s="3"/>
      <c r="NVW66" s="3"/>
      <c r="NVX66" s="3"/>
      <c r="NVY66" s="3"/>
      <c r="NVZ66" s="3"/>
      <c r="NWA66" s="3"/>
      <c r="NWB66" s="3"/>
      <c r="NWC66" s="3"/>
      <c r="NWD66" s="3"/>
      <c r="NWE66" s="3"/>
      <c r="NWF66" s="3"/>
      <c r="NWG66" s="3"/>
      <c r="NWH66" s="3"/>
      <c r="NWI66" s="3"/>
      <c r="NWJ66" s="3"/>
      <c r="NWK66" s="3"/>
      <c r="NWL66" s="3"/>
      <c r="NWM66" s="3"/>
      <c r="NWN66" s="3"/>
      <c r="NWO66" s="3"/>
      <c r="NWP66" s="3"/>
      <c r="NWQ66" s="3"/>
      <c r="NWR66" s="3"/>
      <c r="NWS66" s="3"/>
      <c r="NWT66" s="3"/>
      <c r="NWU66" s="3"/>
      <c r="NWV66" s="3"/>
      <c r="NWW66" s="3"/>
      <c r="NWX66" s="3"/>
      <c r="NWY66" s="3"/>
      <c r="NWZ66" s="3"/>
      <c r="NXA66" s="3"/>
      <c r="NXB66" s="3"/>
      <c r="NXC66" s="3"/>
      <c r="NXD66" s="3"/>
      <c r="NXE66" s="3"/>
      <c r="NXF66" s="3"/>
      <c r="NXG66" s="3"/>
      <c r="NXH66" s="3"/>
      <c r="NXI66" s="3"/>
      <c r="NXJ66" s="3"/>
      <c r="NXK66" s="3"/>
      <c r="NXL66" s="3"/>
      <c r="NXM66" s="3"/>
      <c r="NXN66" s="3"/>
      <c r="NXO66" s="3"/>
      <c r="NXP66" s="3"/>
      <c r="NXQ66" s="3"/>
      <c r="NXR66" s="3"/>
      <c r="NXS66" s="3"/>
      <c r="NXT66" s="3"/>
      <c r="NXU66" s="3"/>
      <c r="NXV66" s="3"/>
      <c r="NXW66" s="3"/>
      <c r="NXX66" s="3"/>
      <c r="NXY66" s="3"/>
      <c r="NXZ66" s="3"/>
      <c r="NYA66" s="3"/>
      <c r="NYB66" s="3"/>
      <c r="NYC66" s="3"/>
      <c r="NYD66" s="3"/>
      <c r="NYE66" s="3"/>
      <c r="NYF66" s="3"/>
      <c r="NYG66" s="3"/>
      <c r="NYH66" s="3"/>
      <c r="NYI66" s="3"/>
      <c r="NYJ66" s="3"/>
      <c r="NYK66" s="3"/>
      <c r="NYL66" s="3"/>
      <c r="NYM66" s="3"/>
      <c r="NYN66" s="3"/>
      <c r="NYO66" s="3"/>
      <c r="NYP66" s="3"/>
      <c r="NYQ66" s="3"/>
      <c r="NYR66" s="3"/>
      <c r="NYS66" s="3"/>
      <c r="NYT66" s="3"/>
      <c r="NYU66" s="3"/>
      <c r="NYV66" s="3"/>
      <c r="NYW66" s="3"/>
      <c r="NYX66" s="3"/>
      <c r="NYY66" s="3"/>
      <c r="NYZ66" s="3"/>
      <c r="NZA66" s="3"/>
      <c r="NZB66" s="3"/>
      <c r="NZC66" s="3"/>
      <c r="NZD66" s="3"/>
      <c r="NZE66" s="3"/>
      <c r="NZF66" s="3"/>
      <c r="NZG66" s="3"/>
      <c r="NZH66" s="3"/>
      <c r="NZI66" s="3"/>
      <c r="NZJ66" s="3"/>
      <c r="NZK66" s="3"/>
      <c r="NZL66" s="3"/>
      <c r="NZM66" s="3"/>
      <c r="NZN66" s="3"/>
      <c r="NZO66" s="3"/>
      <c r="NZP66" s="3"/>
      <c r="NZQ66" s="3"/>
      <c r="NZR66" s="3"/>
      <c r="NZS66" s="3"/>
      <c r="NZT66" s="3"/>
      <c r="NZU66" s="3"/>
      <c r="NZV66" s="3"/>
      <c r="NZW66" s="3"/>
      <c r="NZX66" s="3"/>
      <c r="NZY66" s="3"/>
      <c r="NZZ66" s="3"/>
      <c r="OAA66" s="3"/>
      <c r="OAB66" s="3"/>
      <c r="OAC66" s="3"/>
      <c r="OAD66" s="3"/>
      <c r="OAE66" s="3"/>
      <c r="OAF66" s="3"/>
      <c r="OAG66" s="3"/>
      <c r="OAH66" s="3"/>
      <c r="OAI66" s="3"/>
      <c r="OAJ66" s="3"/>
      <c r="OAK66" s="3"/>
      <c r="OAL66" s="3"/>
      <c r="OAM66" s="3"/>
      <c r="OAN66" s="3"/>
      <c r="OAO66" s="3"/>
      <c r="OAP66" s="3"/>
      <c r="OAQ66" s="3"/>
      <c r="OAR66" s="3"/>
      <c r="OAS66" s="3"/>
      <c r="OAT66" s="3"/>
      <c r="OAU66" s="3"/>
      <c r="OAV66" s="3"/>
      <c r="OAW66" s="3"/>
      <c r="OAX66" s="3"/>
      <c r="OAY66" s="3"/>
      <c r="OAZ66" s="3"/>
      <c r="OBA66" s="3"/>
      <c r="OBB66" s="3"/>
      <c r="OBC66" s="3"/>
      <c r="OBD66" s="3"/>
      <c r="OBE66" s="3"/>
      <c r="OBF66" s="3"/>
      <c r="OBG66" s="3"/>
      <c r="OBH66" s="3"/>
      <c r="OBI66" s="3"/>
      <c r="OBJ66" s="3"/>
      <c r="OBK66" s="3"/>
      <c r="OBL66" s="3"/>
      <c r="OBM66" s="3"/>
      <c r="OBN66" s="3"/>
      <c r="OBO66" s="3"/>
      <c r="OBP66" s="3"/>
      <c r="OBQ66" s="3"/>
      <c r="OBR66" s="3"/>
      <c r="OBS66" s="3"/>
      <c r="OBT66" s="3"/>
      <c r="OBU66" s="3"/>
      <c r="OBV66" s="3"/>
      <c r="OBW66" s="3"/>
      <c r="OBX66" s="3"/>
      <c r="OBY66" s="3"/>
      <c r="OBZ66" s="3"/>
      <c r="OCA66" s="3"/>
      <c r="OCB66" s="3"/>
      <c r="OCC66" s="3"/>
      <c r="OCD66" s="3"/>
      <c r="OCE66" s="3"/>
      <c r="OCF66" s="3"/>
      <c r="OCG66" s="3"/>
      <c r="OCH66" s="3"/>
      <c r="OCI66" s="3"/>
      <c r="OCJ66" s="3"/>
      <c r="OCK66" s="3"/>
      <c r="OCL66" s="3"/>
      <c r="OCM66" s="3"/>
      <c r="OCN66" s="3"/>
      <c r="OCO66" s="3"/>
      <c r="OCP66" s="3"/>
      <c r="OCQ66" s="3"/>
      <c r="OCR66" s="3"/>
      <c r="OCS66" s="3"/>
      <c r="OCT66" s="3"/>
      <c r="OCU66" s="3"/>
      <c r="OCV66" s="3"/>
      <c r="OCW66" s="3"/>
      <c r="OCX66" s="3"/>
      <c r="OCY66" s="3"/>
      <c r="OCZ66" s="3"/>
      <c r="ODA66" s="3"/>
      <c r="ODB66" s="3"/>
      <c r="ODC66" s="3"/>
      <c r="ODD66" s="3"/>
      <c r="ODE66" s="3"/>
      <c r="ODF66" s="3"/>
      <c r="ODG66" s="3"/>
      <c r="ODH66" s="3"/>
      <c r="ODI66" s="3"/>
      <c r="ODJ66" s="3"/>
      <c r="ODK66" s="3"/>
      <c r="ODL66" s="3"/>
      <c r="ODM66" s="3"/>
      <c r="ODN66" s="3"/>
      <c r="ODO66" s="3"/>
      <c r="ODP66" s="3"/>
      <c r="ODQ66" s="3"/>
      <c r="ODR66" s="3"/>
      <c r="ODS66" s="3"/>
      <c r="ODT66" s="3"/>
      <c r="ODU66" s="3"/>
      <c r="ODV66" s="3"/>
      <c r="ODW66" s="3"/>
      <c r="ODX66" s="3"/>
      <c r="ODY66" s="3"/>
      <c r="ODZ66" s="3"/>
      <c r="OEA66" s="3"/>
      <c r="OEB66" s="3"/>
      <c r="OEC66" s="3"/>
      <c r="OED66" s="3"/>
      <c r="OEE66" s="3"/>
      <c r="OEF66" s="3"/>
      <c r="OEG66" s="3"/>
      <c r="OEH66" s="3"/>
      <c r="OEI66" s="3"/>
      <c r="OEJ66" s="3"/>
      <c r="OEK66" s="3"/>
      <c r="OEL66" s="3"/>
      <c r="OEM66" s="3"/>
      <c r="OEN66" s="3"/>
      <c r="OEO66" s="3"/>
      <c r="OEP66" s="3"/>
      <c r="OEQ66" s="3"/>
      <c r="OER66" s="3"/>
      <c r="OES66" s="3"/>
      <c r="OET66" s="3"/>
      <c r="OEU66" s="3"/>
      <c r="OEV66" s="3"/>
      <c r="OEW66" s="3"/>
      <c r="OEX66" s="3"/>
      <c r="OEY66" s="3"/>
      <c r="OEZ66" s="3"/>
      <c r="OFA66" s="3"/>
      <c r="OFB66" s="3"/>
      <c r="OFC66" s="3"/>
      <c r="OFD66" s="3"/>
      <c r="OFE66" s="3"/>
      <c r="OFF66" s="3"/>
      <c r="OFG66" s="3"/>
      <c r="OFH66" s="3"/>
      <c r="OFI66" s="3"/>
      <c r="OFJ66" s="3"/>
      <c r="OFK66" s="3"/>
      <c r="OFL66" s="3"/>
      <c r="OFM66" s="3"/>
      <c r="OFN66" s="3"/>
      <c r="OFO66" s="3"/>
      <c r="OFP66" s="3"/>
      <c r="OFQ66" s="3"/>
      <c r="OFR66" s="3"/>
      <c r="OFS66" s="3"/>
      <c r="OFT66" s="3"/>
      <c r="OFU66" s="3"/>
      <c r="OFV66" s="3"/>
      <c r="OFW66" s="3"/>
      <c r="OFX66" s="3"/>
      <c r="OFY66" s="3"/>
      <c r="OFZ66" s="3"/>
      <c r="OGA66" s="3"/>
      <c r="OGB66" s="3"/>
      <c r="OGC66" s="3"/>
      <c r="OGD66" s="3"/>
      <c r="OGE66" s="3"/>
      <c r="OGF66" s="3"/>
      <c r="OGG66" s="3"/>
      <c r="OGH66" s="3"/>
      <c r="OGI66" s="3"/>
      <c r="OGJ66" s="3"/>
      <c r="OGK66" s="3"/>
      <c r="OGL66" s="3"/>
      <c r="OGM66" s="3"/>
      <c r="OGN66" s="3"/>
      <c r="OGO66" s="3"/>
      <c r="OGP66" s="3"/>
      <c r="OGQ66" s="3"/>
      <c r="OGR66" s="3"/>
      <c r="OGS66" s="3"/>
      <c r="OGT66" s="3"/>
      <c r="OGU66" s="3"/>
      <c r="OGV66" s="3"/>
      <c r="OGW66" s="3"/>
      <c r="OGX66" s="3"/>
      <c r="OGY66" s="3"/>
      <c r="OGZ66" s="3"/>
      <c r="OHA66" s="3"/>
      <c r="OHB66" s="3"/>
      <c r="OHC66" s="3"/>
      <c r="OHD66" s="3"/>
      <c r="OHE66" s="3"/>
      <c r="OHF66" s="3"/>
      <c r="OHG66" s="3"/>
      <c r="OHH66" s="3"/>
      <c r="OHI66" s="3"/>
      <c r="OHJ66" s="3"/>
      <c r="OHK66" s="3"/>
      <c r="OHL66" s="3"/>
      <c r="OHM66" s="3"/>
      <c r="OHN66" s="3"/>
      <c r="OHO66" s="3"/>
      <c r="OHP66" s="3"/>
      <c r="OHQ66" s="3"/>
      <c r="OHR66" s="3"/>
      <c r="OHS66" s="3"/>
      <c r="OHT66" s="3"/>
      <c r="OHU66" s="3"/>
      <c r="OHV66" s="3"/>
      <c r="OHW66" s="3"/>
      <c r="OHX66" s="3"/>
      <c r="OHY66" s="3"/>
      <c r="OHZ66" s="3"/>
      <c r="OIA66" s="3"/>
      <c r="OIB66" s="3"/>
      <c r="OIC66" s="3"/>
      <c r="OID66" s="3"/>
      <c r="OIE66" s="3"/>
      <c r="OIF66" s="3"/>
      <c r="OIG66" s="3"/>
      <c r="OIH66" s="3"/>
      <c r="OII66" s="3"/>
      <c r="OIJ66" s="3"/>
      <c r="OIK66" s="3"/>
      <c r="OIL66" s="3"/>
      <c r="OIM66" s="3"/>
      <c r="OIN66" s="3"/>
      <c r="OIO66" s="3"/>
      <c r="OIP66" s="3"/>
      <c r="OIQ66" s="3"/>
      <c r="OIR66" s="3"/>
      <c r="OIS66" s="3"/>
      <c r="OIT66" s="3"/>
      <c r="OIU66" s="3"/>
      <c r="OIV66" s="3"/>
      <c r="OIW66" s="3"/>
      <c r="OIX66" s="3"/>
      <c r="OIY66" s="3"/>
      <c r="OIZ66" s="3"/>
      <c r="OJA66" s="3"/>
      <c r="OJB66" s="3"/>
      <c r="OJC66" s="3"/>
      <c r="OJD66" s="3"/>
      <c r="OJE66" s="3"/>
      <c r="OJF66" s="3"/>
      <c r="OJG66" s="3"/>
      <c r="OJH66" s="3"/>
      <c r="OJI66" s="3"/>
      <c r="OJJ66" s="3"/>
      <c r="OJK66" s="3"/>
      <c r="OJL66" s="3"/>
      <c r="OJM66" s="3"/>
      <c r="OJN66" s="3"/>
      <c r="OJO66" s="3"/>
      <c r="OJP66" s="3"/>
      <c r="OJQ66" s="3"/>
      <c r="OJR66" s="3"/>
      <c r="OJS66" s="3"/>
      <c r="OJT66" s="3"/>
      <c r="OJU66" s="3"/>
      <c r="OJV66" s="3"/>
      <c r="OJW66" s="3"/>
      <c r="OJX66" s="3"/>
      <c r="OJY66" s="3"/>
      <c r="OJZ66" s="3"/>
      <c r="OKA66" s="3"/>
      <c r="OKB66" s="3"/>
      <c r="OKC66" s="3"/>
      <c r="OKD66" s="3"/>
      <c r="OKE66" s="3"/>
      <c r="OKF66" s="3"/>
      <c r="OKG66" s="3"/>
      <c r="OKH66" s="3"/>
      <c r="OKI66" s="3"/>
      <c r="OKJ66" s="3"/>
      <c r="OKK66" s="3"/>
      <c r="OKL66" s="3"/>
      <c r="OKM66" s="3"/>
      <c r="OKN66" s="3"/>
      <c r="OKO66" s="3"/>
      <c r="OKP66" s="3"/>
      <c r="OKQ66" s="3"/>
      <c r="OKR66" s="3"/>
      <c r="OKS66" s="3"/>
      <c r="OKT66" s="3"/>
      <c r="OKU66" s="3"/>
      <c r="OKV66" s="3"/>
      <c r="OKW66" s="3"/>
      <c r="OKX66" s="3"/>
      <c r="OKY66" s="3"/>
      <c r="OKZ66" s="3"/>
      <c r="OLA66" s="3"/>
      <c r="OLB66" s="3"/>
      <c r="OLC66" s="3"/>
      <c r="OLD66" s="3"/>
      <c r="OLE66" s="3"/>
      <c r="OLF66" s="3"/>
      <c r="OLG66" s="3"/>
      <c r="OLH66" s="3"/>
      <c r="OLI66" s="3"/>
      <c r="OLJ66" s="3"/>
      <c r="OLK66" s="3"/>
      <c r="OLL66" s="3"/>
      <c r="OLM66" s="3"/>
      <c r="OLN66" s="3"/>
      <c r="OLO66" s="3"/>
      <c r="OLP66" s="3"/>
      <c r="OLQ66" s="3"/>
      <c r="OLR66" s="3"/>
      <c r="OLS66" s="3"/>
      <c r="OLT66" s="3"/>
      <c r="OLU66" s="3"/>
      <c r="OLV66" s="3"/>
      <c r="OLW66" s="3"/>
      <c r="OLX66" s="3"/>
      <c r="OLY66" s="3"/>
      <c r="OLZ66" s="3"/>
      <c r="OMA66" s="3"/>
      <c r="OMB66" s="3"/>
      <c r="OMC66" s="3"/>
      <c r="OMD66" s="3"/>
      <c r="OME66" s="3"/>
      <c r="OMF66" s="3"/>
      <c r="OMG66" s="3"/>
      <c r="OMH66" s="3"/>
      <c r="OMI66" s="3"/>
      <c r="OMJ66" s="3"/>
      <c r="OMK66" s="3"/>
      <c r="OML66" s="3"/>
      <c r="OMM66" s="3"/>
      <c r="OMN66" s="3"/>
      <c r="OMO66" s="3"/>
      <c r="OMP66" s="3"/>
      <c r="OMQ66" s="3"/>
      <c r="OMR66" s="3"/>
      <c r="OMS66" s="3"/>
      <c r="OMT66" s="3"/>
      <c r="OMU66" s="3"/>
      <c r="OMV66" s="3"/>
      <c r="OMW66" s="3"/>
      <c r="OMX66" s="3"/>
      <c r="OMY66" s="3"/>
      <c r="OMZ66" s="3"/>
      <c r="ONA66" s="3"/>
      <c r="ONB66" s="3"/>
      <c r="ONC66" s="3"/>
      <c r="OND66" s="3"/>
      <c r="ONE66" s="3"/>
      <c r="ONF66" s="3"/>
      <c r="ONG66" s="3"/>
      <c r="ONH66" s="3"/>
      <c r="ONI66" s="3"/>
      <c r="ONJ66" s="3"/>
      <c r="ONK66" s="3"/>
      <c r="ONL66" s="3"/>
      <c r="ONM66" s="3"/>
      <c r="ONN66" s="3"/>
      <c r="ONO66" s="3"/>
      <c r="ONP66" s="3"/>
      <c r="ONQ66" s="3"/>
      <c r="ONR66" s="3"/>
      <c r="ONS66" s="3"/>
      <c r="ONT66" s="3"/>
      <c r="ONU66" s="3"/>
      <c r="ONV66" s="3"/>
      <c r="ONW66" s="3"/>
      <c r="ONX66" s="3"/>
      <c r="ONY66" s="3"/>
      <c r="ONZ66" s="3"/>
      <c r="OOA66" s="3"/>
      <c r="OOB66" s="3"/>
      <c r="OOC66" s="3"/>
      <c r="OOD66" s="3"/>
      <c r="OOE66" s="3"/>
      <c r="OOF66" s="3"/>
      <c r="OOG66" s="3"/>
      <c r="OOH66" s="3"/>
      <c r="OOI66" s="3"/>
      <c r="OOJ66" s="3"/>
      <c r="OOK66" s="3"/>
      <c r="OOL66" s="3"/>
      <c r="OOM66" s="3"/>
      <c r="OON66" s="3"/>
      <c r="OOO66" s="3"/>
      <c r="OOP66" s="3"/>
      <c r="OOQ66" s="3"/>
      <c r="OOR66" s="3"/>
      <c r="OOS66" s="3"/>
      <c r="OOT66" s="3"/>
      <c r="OOU66" s="3"/>
      <c r="OOV66" s="3"/>
      <c r="OOW66" s="3"/>
      <c r="OOX66" s="3"/>
      <c r="OOY66" s="3"/>
      <c r="OOZ66" s="3"/>
      <c r="OPA66" s="3"/>
      <c r="OPB66" s="3"/>
      <c r="OPC66" s="3"/>
      <c r="OPD66" s="3"/>
      <c r="OPE66" s="3"/>
      <c r="OPF66" s="3"/>
      <c r="OPG66" s="3"/>
      <c r="OPH66" s="3"/>
      <c r="OPI66" s="3"/>
      <c r="OPJ66" s="3"/>
      <c r="OPK66" s="3"/>
      <c r="OPL66" s="3"/>
      <c r="OPM66" s="3"/>
      <c r="OPN66" s="3"/>
      <c r="OPO66" s="3"/>
      <c r="OPP66" s="3"/>
      <c r="OPQ66" s="3"/>
      <c r="OPR66" s="3"/>
      <c r="OPS66" s="3"/>
      <c r="OPT66" s="3"/>
      <c r="OPU66" s="3"/>
      <c r="OPV66" s="3"/>
      <c r="OPW66" s="3"/>
      <c r="OPX66" s="3"/>
      <c r="OPY66" s="3"/>
      <c r="OPZ66" s="3"/>
      <c r="OQA66" s="3"/>
      <c r="OQB66" s="3"/>
      <c r="OQC66" s="3"/>
      <c r="OQD66" s="3"/>
      <c r="OQE66" s="3"/>
      <c r="OQF66" s="3"/>
      <c r="OQG66" s="3"/>
      <c r="OQH66" s="3"/>
      <c r="OQI66" s="3"/>
      <c r="OQJ66" s="3"/>
      <c r="OQK66" s="3"/>
      <c r="OQL66" s="3"/>
      <c r="OQM66" s="3"/>
      <c r="OQN66" s="3"/>
      <c r="OQO66" s="3"/>
      <c r="OQP66" s="3"/>
      <c r="OQQ66" s="3"/>
      <c r="OQR66" s="3"/>
      <c r="OQS66" s="3"/>
      <c r="OQT66" s="3"/>
      <c r="OQU66" s="3"/>
      <c r="OQV66" s="3"/>
      <c r="OQW66" s="3"/>
      <c r="OQX66" s="3"/>
      <c r="OQY66" s="3"/>
      <c r="OQZ66" s="3"/>
      <c r="ORA66" s="3"/>
      <c r="ORB66" s="3"/>
      <c r="ORC66" s="3"/>
      <c r="ORD66" s="3"/>
      <c r="ORE66" s="3"/>
      <c r="ORF66" s="3"/>
      <c r="ORG66" s="3"/>
      <c r="ORH66" s="3"/>
      <c r="ORI66" s="3"/>
      <c r="ORJ66" s="3"/>
      <c r="ORK66" s="3"/>
      <c r="ORL66" s="3"/>
      <c r="ORM66" s="3"/>
      <c r="ORN66" s="3"/>
      <c r="ORO66" s="3"/>
      <c r="ORP66" s="3"/>
      <c r="ORQ66" s="3"/>
      <c r="ORR66" s="3"/>
      <c r="ORS66" s="3"/>
      <c r="ORT66" s="3"/>
      <c r="ORU66" s="3"/>
      <c r="ORV66" s="3"/>
      <c r="ORW66" s="3"/>
      <c r="ORX66" s="3"/>
      <c r="ORY66" s="3"/>
      <c r="ORZ66" s="3"/>
      <c r="OSA66" s="3"/>
      <c r="OSB66" s="3"/>
      <c r="OSC66" s="3"/>
      <c r="OSD66" s="3"/>
      <c r="OSE66" s="3"/>
      <c r="OSF66" s="3"/>
      <c r="OSG66" s="3"/>
      <c r="OSH66" s="3"/>
      <c r="OSI66" s="3"/>
      <c r="OSJ66" s="3"/>
      <c r="OSK66" s="3"/>
      <c r="OSL66" s="3"/>
      <c r="OSM66" s="3"/>
      <c r="OSN66" s="3"/>
      <c r="OSO66" s="3"/>
      <c r="OSP66" s="3"/>
      <c r="OSQ66" s="3"/>
      <c r="OSR66" s="3"/>
      <c r="OSS66" s="3"/>
      <c r="OST66" s="3"/>
      <c r="OSU66" s="3"/>
      <c r="OSV66" s="3"/>
      <c r="OSW66" s="3"/>
      <c r="OSX66" s="3"/>
      <c r="OSY66" s="3"/>
      <c r="OSZ66" s="3"/>
      <c r="OTA66" s="3"/>
      <c r="OTB66" s="3"/>
      <c r="OTC66" s="3"/>
      <c r="OTD66" s="3"/>
      <c r="OTE66" s="3"/>
      <c r="OTF66" s="3"/>
      <c r="OTG66" s="3"/>
      <c r="OTH66" s="3"/>
      <c r="OTI66" s="3"/>
      <c r="OTJ66" s="3"/>
      <c r="OTK66" s="3"/>
      <c r="OTL66" s="3"/>
      <c r="OTM66" s="3"/>
      <c r="OTN66" s="3"/>
      <c r="OTO66" s="3"/>
      <c r="OTP66" s="3"/>
      <c r="OTQ66" s="3"/>
      <c r="OTR66" s="3"/>
      <c r="OTS66" s="3"/>
      <c r="OTT66" s="3"/>
      <c r="OTU66" s="3"/>
      <c r="OTV66" s="3"/>
      <c r="OTW66" s="3"/>
      <c r="OTX66" s="3"/>
      <c r="OTY66" s="3"/>
      <c r="OTZ66" s="3"/>
      <c r="OUA66" s="3"/>
      <c r="OUB66" s="3"/>
      <c r="OUC66" s="3"/>
      <c r="OUD66" s="3"/>
      <c r="OUE66" s="3"/>
      <c r="OUF66" s="3"/>
      <c r="OUG66" s="3"/>
      <c r="OUH66" s="3"/>
      <c r="OUI66" s="3"/>
      <c r="OUJ66" s="3"/>
      <c r="OUK66" s="3"/>
      <c r="OUL66" s="3"/>
      <c r="OUM66" s="3"/>
      <c r="OUN66" s="3"/>
      <c r="OUO66" s="3"/>
      <c r="OUP66" s="3"/>
      <c r="OUQ66" s="3"/>
      <c r="OUR66" s="3"/>
      <c r="OUS66" s="3"/>
      <c r="OUT66" s="3"/>
      <c r="OUU66" s="3"/>
      <c r="OUV66" s="3"/>
      <c r="OUW66" s="3"/>
      <c r="OUX66" s="3"/>
      <c r="OUY66" s="3"/>
      <c r="OUZ66" s="3"/>
      <c r="OVA66" s="3"/>
      <c r="OVB66" s="3"/>
      <c r="OVC66" s="3"/>
      <c r="OVD66" s="3"/>
      <c r="OVE66" s="3"/>
      <c r="OVF66" s="3"/>
      <c r="OVG66" s="3"/>
      <c r="OVH66" s="3"/>
      <c r="OVI66" s="3"/>
      <c r="OVJ66" s="3"/>
      <c r="OVK66" s="3"/>
      <c r="OVL66" s="3"/>
      <c r="OVM66" s="3"/>
      <c r="OVN66" s="3"/>
      <c r="OVO66" s="3"/>
      <c r="OVP66" s="3"/>
      <c r="OVQ66" s="3"/>
      <c r="OVR66" s="3"/>
      <c r="OVS66" s="3"/>
      <c r="OVT66" s="3"/>
      <c r="OVU66" s="3"/>
      <c r="OVV66" s="3"/>
      <c r="OVW66" s="3"/>
      <c r="OVX66" s="3"/>
      <c r="OVY66" s="3"/>
      <c r="OVZ66" s="3"/>
      <c r="OWA66" s="3"/>
      <c r="OWB66" s="3"/>
      <c r="OWC66" s="3"/>
      <c r="OWD66" s="3"/>
      <c r="OWE66" s="3"/>
      <c r="OWF66" s="3"/>
      <c r="OWG66" s="3"/>
      <c r="OWH66" s="3"/>
      <c r="OWI66" s="3"/>
      <c r="OWJ66" s="3"/>
      <c r="OWK66" s="3"/>
      <c r="OWL66" s="3"/>
      <c r="OWM66" s="3"/>
      <c r="OWN66" s="3"/>
      <c r="OWO66" s="3"/>
      <c r="OWP66" s="3"/>
      <c r="OWQ66" s="3"/>
      <c r="OWR66" s="3"/>
      <c r="OWS66" s="3"/>
      <c r="OWT66" s="3"/>
      <c r="OWU66" s="3"/>
      <c r="OWV66" s="3"/>
      <c r="OWW66" s="3"/>
      <c r="OWX66" s="3"/>
      <c r="OWY66" s="3"/>
      <c r="OWZ66" s="3"/>
      <c r="OXA66" s="3"/>
      <c r="OXB66" s="3"/>
      <c r="OXC66" s="3"/>
      <c r="OXD66" s="3"/>
      <c r="OXE66" s="3"/>
      <c r="OXF66" s="3"/>
      <c r="OXG66" s="3"/>
      <c r="OXH66" s="3"/>
      <c r="OXI66" s="3"/>
      <c r="OXJ66" s="3"/>
      <c r="OXK66" s="3"/>
      <c r="OXL66" s="3"/>
      <c r="OXM66" s="3"/>
      <c r="OXN66" s="3"/>
      <c r="OXO66" s="3"/>
      <c r="OXP66" s="3"/>
      <c r="OXQ66" s="3"/>
      <c r="OXR66" s="3"/>
      <c r="OXS66" s="3"/>
      <c r="OXT66" s="3"/>
      <c r="OXU66" s="3"/>
      <c r="OXV66" s="3"/>
      <c r="OXW66" s="3"/>
      <c r="OXX66" s="3"/>
      <c r="OXY66" s="3"/>
      <c r="OXZ66" s="3"/>
      <c r="OYA66" s="3"/>
      <c r="OYB66" s="3"/>
      <c r="OYC66" s="3"/>
      <c r="OYD66" s="3"/>
      <c r="OYE66" s="3"/>
      <c r="OYF66" s="3"/>
      <c r="OYG66" s="3"/>
      <c r="OYH66" s="3"/>
      <c r="OYI66" s="3"/>
      <c r="OYJ66" s="3"/>
      <c r="OYK66" s="3"/>
      <c r="OYL66" s="3"/>
      <c r="OYM66" s="3"/>
      <c r="OYN66" s="3"/>
      <c r="OYO66" s="3"/>
      <c r="OYP66" s="3"/>
      <c r="OYQ66" s="3"/>
      <c r="OYR66" s="3"/>
      <c r="OYS66" s="3"/>
      <c r="OYT66" s="3"/>
      <c r="OYU66" s="3"/>
      <c r="OYV66" s="3"/>
      <c r="OYW66" s="3"/>
      <c r="OYX66" s="3"/>
      <c r="OYY66" s="3"/>
      <c r="OYZ66" s="3"/>
      <c r="OZA66" s="3"/>
      <c r="OZB66" s="3"/>
      <c r="OZC66" s="3"/>
      <c r="OZD66" s="3"/>
      <c r="OZE66" s="3"/>
      <c r="OZF66" s="3"/>
      <c r="OZG66" s="3"/>
      <c r="OZH66" s="3"/>
      <c r="OZI66" s="3"/>
      <c r="OZJ66" s="3"/>
      <c r="OZK66" s="3"/>
      <c r="OZL66" s="3"/>
      <c r="OZM66" s="3"/>
      <c r="OZN66" s="3"/>
      <c r="OZO66" s="3"/>
      <c r="OZP66" s="3"/>
      <c r="OZQ66" s="3"/>
      <c r="OZR66" s="3"/>
      <c r="OZS66" s="3"/>
      <c r="OZT66" s="3"/>
      <c r="OZU66" s="3"/>
      <c r="OZV66" s="3"/>
      <c r="OZW66" s="3"/>
      <c r="OZX66" s="3"/>
      <c r="OZY66" s="3"/>
      <c r="OZZ66" s="3"/>
      <c r="PAA66" s="3"/>
      <c r="PAB66" s="3"/>
      <c r="PAC66" s="3"/>
      <c r="PAD66" s="3"/>
      <c r="PAE66" s="3"/>
      <c r="PAF66" s="3"/>
      <c r="PAG66" s="3"/>
      <c r="PAH66" s="3"/>
      <c r="PAI66" s="3"/>
      <c r="PAJ66" s="3"/>
      <c r="PAK66" s="3"/>
      <c r="PAL66" s="3"/>
      <c r="PAM66" s="3"/>
      <c r="PAN66" s="3"/>
      <c r="PAO66" s="3"/>
      <c r="PAP66" s="3"/>
      <c r="PAQ66" s="3"/>
      <c r="PAR66" s="3"/>
      <c r="PAS66" s="3"/>
      <c r="PAT66" s="3"/>
      <c r="PAU66" s="3"/>
      <c r="PAV66" s="3"/>
      <c r="PAW66" s="3"/>
      <c r="PAX66" s="3"/>
      <c r="PAY66" s="3"/>
      <c r="PAZ66" s="3"/>
      <c r="PBA66" s="3"/>
      <c r="PBB66" s="3"/>
      <c r="PBC66" s="3"/>
      <c r="PBD66" s="3"/>
      <c r="PBE66" s="3"/>
      <c r="PBF66" s="3"/>
      <c r="PBG66" s="3"/>
      <c r="PBH66" s="3"/>
      <c r="PBI66" s="3"/>
      <c r="PBJ66" s="3"/>
      <c r="PBK66" s="3"/>
      <c r="PBL66" s="3"/>
      <c r="PBM66" s="3"/>
      <c r="PBN66" s="3"/>
      <c r="PBO66" s="3"/>
      <c r="PBP66" s="3"/>
      <c r="PBQ66" s="3"/>
      <c r="PBR66" s="3"/>
      <c r="PBS66" s="3"/>
      <c r="PBT66" s="3"/>
      <c r="PBU66" s="3"/>
      <c r="PBV66" s="3"/>
      <c r="PBW66" s="3"/>
      <c r="PBX66" s="3"/>
      <c r="PBY66" s="3"/>
      <c r="PBZ66" s="3"/>
      <c r="PCA66" s="3"/>
      <c r="PCB66" s="3"/>
      <c r="PCC66" s="3"/>
      <c r="PCD66" s="3"/>
      <c r="PCE66" s="3"/>
      <c r="PCF66" s="3"/>
      <c r="PCG66" s="3"/>
      <c r="PCH66" s="3"/>
      <c r="PCI66" s="3"/>
      <c r="PCJ66" s="3"/>
      <c r="PCK66" s="3"/>
      <c r="PCL66" s="3"/>
      <c r="PCM66" s="3"/>
      <c r="PCN66" s="3"/>
      <c r="PCO66" s="3"/>
      <c r="PCP66" s="3"/>
      <c r="PCQ66" s="3"/>
      <c r="PCR66" s="3"/>
      <c r="PCS66" s="3"/>
      <c r="PCT66" s="3"/>
      <c r="PCU66" s="3"/>
      <c r="PCV66" s="3"/>
      <c r="PCW66" s="3"/>
      <c r="PCX66" s="3"/>
      <c r="PCY66" s="3"/>
      <c r="PCZ66" s="3"/>
      <c r="PDA66" s="3"/>
      <c r="PDB66" s="3"/>
      <c r="PDC66" s="3"/>
      <c r="PDD66" s="3"/>
      <c r="PDE66" s="3"/>
      <c r="PDF66" s="3"/>
      <c r="PDG66" s="3"/>
      <c r="PDH66" s="3"/>
      <c r="PDI66" s="3"/>
      <c r="PDJ66" s="3"/>
      <c r="PDK66" s="3"/>
      <c r="PDL66" s="3"/>
      <c r="PDM66" s="3"/>
      <c r="PDN66" s="3"/>
      <c r="PDO66" s="3"/>
      <c r="PDP66" s="3"/>
      <c r="PDQ66" s="3"/>
      <c r="PDR66" s="3"/>
      <c r="PDS66" s="3"/>
      <c r="PDT66" s="3"/>
      <c r="PDU66" s="3"/>
      <c r="PDV66" s="3"/>
      <c r="PDW66" s="3"/>
      <c r="PDX66" s="3"/>
      <c r="PDY66" s="3"/>
      <c r="PDZ66" s="3"/>
      <c r="PEA66" s="3"/>
      <c r="PEB66" s="3"/>
      <c r="PEC66" s="3"/>
      <c r="PED66" s="3"/>
      <c r="PEE66" s="3"/>
      <c r="PEF66" s="3"/>
      <c r="PEG66" s="3"/>
      <c r="PEH66" s="3"/>
      <c r="PEI66" s="3"/>
      <c r="PEJ66" s="3"/>
      <c r="PEK66" s="3"/>
      <c r="PEL66" s="3"/>
      <c r="PEM66" s="3"/>
      <c r="PEN66" s="3"/>
      <c r="PEO66" s="3"/>
      <c r="PEP66" s="3"/>
      <c r="PEQ66" s="3"/>
      <c r="PER66" s="3"/>
      <c r="PES66" s="3"/>
      <c r="PET66" s="3"/>
      <c r="PEU66" s="3"/>
      <c r="PEV66" s="3"/>
      <c r="PEW66" s="3"/>
      <c r="PEX66" s="3"/>
      <c r="PEY66" s="3"/>
      <c r="PEZ66" s="3"/>
      <c r="PFA66" s="3"/>
      <c r="PFB66" s="3"/>
      <c r="PFC66" s="3"/>
      <c r="PFD66" s="3"/>
      <c r="PFE66" s="3"/>
      <c r="PFF66" s="3"/>
      <c r="PFG66" s="3"/>
      <c r="PFH66" s="3"/>
      <c r="PFI66" s="3"/>
      <c r="PFJ66" s="3"/>
      <c r="PFK66" s="3"/>
      <c r="PFL66" s="3"/>
      <c r="PFM66" s="3"/>
      <c r="PFN66" s="3"/>
      <c r="PFO66" s="3"/>
      <c r="PFP66" s="3"/>
      <c r="PFQ66" s="3"/>
      <c r="PFR66" s="3"/>
      <c r="PFS66" s="3"/>
      <c r="PFT66" s="3"/>
      <c r="PFU66" s="3"/>
      <c r="PFV66" s="3"/>
      <c r="PFW66" s="3"/>
      <c r="PFX66" s="3"/>
      <c r="PFY66" s="3"/>
      <c r="PFZ66" s="3"/>
      <c r="PGA66" s="3"/>
      <c r="PGB66" s="3"/>
      <c r="PGC66" s="3"/>
      <c r="PGD66" s="3"/>
      <c r="PGE66" s="3"/>
      <c r="PGF66" s="3"/>
      <c r="PGG66" s="3"/>
      <c r="PGH66" s="3"/>
      <c r="PGI66" s="3"/>
      <c r="PGJ66" s="3"/>
      <c r="PGK66" s="3"/>
      <c r="PGL66" s="3"/>
      <c r="PGM66" s="3"/>
      <c r="PGN66" s="3"/>
      <c r="PGO66" s="3"/>
      <c r="PGP66" s="3"/>
      <c r="PGQ66" s="3"/>
      <c r="PGR66" s="3"/>
      <c r="PGS66" s="3"/>
      <c r="PGT66" s="3"/>
      <c r="PGU66" s="3"/>
      <c r="PGV66" s="3"/>
      <c r="PGW66" s="3"/>
      <c r="PGX66" s="3"/>
      <c r="PGY66" s="3"/>
      <c r="PGZ66" s="3"/>
      <c r="PHA66" s="3"/>
      <c r="PHB66" s="3"/>
      <c r="PHC66" s="3"/>
      <c r="PHD66" s="3"/>
      <c r="PHE66" s="3"/>
      <c r="PHF66" s="3"/>
      <c r="PHG66" s="3"/>
      <c r="PHH66" s="3"/>
      <c r="PHI66" s="3"/>
      <c r="PHJ66" s="3"/>
      <c r="PHK66" s="3"/>
      <c r="PHL66" s="3"/>
      <c r="PHM66" s="3"/>
      <c r="PHN66" s="3"/>
      <c r="PHO66" s="3"/>
      <c r="PHP66" s="3"/>
      <c r="PHQ66" s="3"/>
      <c r="PHR66" s="3"/>
      <c r="PHS66" s="3"/>
      <c r="PHT66" s="3"/>
      <c r="PHU66" s="3"/>
      <c r="PHV66" s="3"/>
      <c r="PHW66" s="3"/>
      <c r="PHX66" s="3"/>
      <c r="PHY66" s="3"/>
      <c r="PHZ66" s="3"/>
      <c r="PIA66" s="3"/>
      <c r="PIB66" s="3"/>
      <c r="PIC66" s="3"/>
      <c r="PID66" s="3"/>
      <c r="PIE66" s="3"/>
      <c r="PIF66" s="3"/>
      <c r="PIG66" s="3"/>
      <c r="PIH66" s="3"/>
      <c r="PII66" s="3"/>
      <c r="PIJ66" s="3"/>
      <c r="PIK66" s="3"/>
      <c r="PIL66" s="3"/>
      <c r="PIM66" s="3"/>
      <c r="PIN66" s="3"/>
      <c r="PIO66" s="3"/>
      <c r="PIP66" s="3"/>
      <c r="PIQ66" s="3"/>
      <c r="PIR66" s="3"/>
      <c r="PIS66" s="3"/>
      <c r="PIT66" s="3"/>
      <c r="PIU66" s="3"/>
      <c r="PIV66" s="3"/>
      <c r="PIW66" s="3"/>
      <c r="PIX66" s="3"/>
      <c r="PIY66" s="3"/>
      <c r="PIZ66" s="3"/>
      <c r="PJA66" s="3"/>
      <c r="PJB66" s="3"/>
      <c r="PJC66" s="3"/>
      <c r="PJD66" s="3"/>
      <c r="PJE66" s="3"/>
      <c r="PJF66" s="3"/>
      <c r="PJG66" s="3"/>
      <c r="PJH66" s="3"/>
      <c r="PJI66" s="3"/>
      <c r="PJJ66" s="3"/>
      <c r="PJK66" s="3"/>
      <c r="PJL66" s="3"/>
      <c r="PJM66" s="3"/>
      <c r="PJN66" s="3"/>
      <c r="PJO66" s="3"/>
      <c r="PJP66" s="3"/>
      <c r="PJQ66" s="3"/>
      <c r="PJR66" s="3"/>
      <c r="PJS66" s="3"/>
      <c r="PJT66" s="3"/>
      <c r="PJU66" s="3"/>
      <c r="PJV66" s="3"/>
      <c r="PJW66" s="3"/>
      <c r="PJX66" s="3"/>
      <c r="PJY66" s="3"/>
      <c r="PJZ66" s="3"/>
      <c r="PKA66" s="3"/>
      <c r="PKB66" s="3"/>
      <c r="PKC66" s="3"/>
      <c r="PKD66" s="3"/>
      <c r="PKE66" s="3"/>
      <c r="PKF66" s="3"/>
      <c r="PKG66" s="3"/>
      <c r="PKH66" s="3"/>
      <c r="PKI66" s="3"/>
      <c r="PKJ66" s="3"/>
      <c r="PKK66" s="3"/>
      <c r="PKL66" s="3"/>
      <c r="PKM66" s="3"/>
      <c r="PKN66" s="3"/>
      <c r="PKO66" s="3"/>
      <c r="PKP66" s="3"/>
      <c r="PKQ66" s="3"/>
      <c r="PKR66" s="3"/>
      <c r="PKS66" s="3"/>
      <c r="PKT66" s="3"/>
      <c r="PKU66" s="3"/>
      <c r="PKV66" s="3"/>
      <c r="PKW66" s="3"/>
      <c r="PKX66" s="3"/>
      <c r="PKY66" s="3"/>
      <c r="PKZ66" s="3"/>
      <c r="PLA66" s="3"/>
      <c r="PLB66" s="3"/>
      <c r="PLC66" s="3"/>
      <c r="PLD66" s="3"/>
      <c r="PLE66" s="3"/>
      <c r="PLF66" s="3"/>
      <c r="PLG66" s="3"/>
      <c r="PLH66" s="3"/>
      <c r="PLI66" s="3"/>
      <c r="PLJ66" s="3"/>
      <c r="PLK66" s="3"/>
      <c r="PLL66" s="3"/>
      <c r="PLM66" s="3"/>
      <c r="PLN66" s="3"/>
      <c r="PLO66" s="3"/>
      <c r="PLP66" s="3"/>
      <c r="PLQ66" s="3"/>
      <c r="PLR66" s="3"/>
      <c r="PLS66" s="3"/>
      <c r="PLT66" s="3"/>
      <c r="PLU66" s="3"/>
      <c r="PLV66" s="3"/>
      <c r="PLW66" s="3"/>
      <c r="PLX66" s="3"/>
      <c r="PLY66" s="3"/>
      <c r="PLZ66" s="3"/>
      <c r="PMA66" s="3"/>
      <c r="PMB66" s="3"/>
      <c r="PMC66" s="3"/>
      <c r="PMD66" s="3"/>
      <c r="PME66" s="3"/>
      <c r="PMF66" s="3"/>
      <c r="PMG66" s="3"/>
      <c r="PMH66" s="3"/>
      <c r="PMI66" s="3"/>
      <c r="PMJ66" s="3"/>
      <c r="PMK66" s="3"/>
      <c r="PML66" s="3"/>
      <c r="PMM66" s="3"/>
      <c r="PMN66" s="3"/>
      <c r="PMO66" s="3"/>
      <c r="PMP66" s="3"/>
      <c r="PMQ66" s="3"/>
      <c r="PMR66" s="3"/>
      <c r="PMS66" s="3"/>
      <c r="PMT66" s="3"/>
      <c r="PMU66" s="3"/>
      <c r="PMV66" s="3"/>
      <c r="PMW66" s="3"/>
      <c r="PMX66" s="3"/>
      <c r="PMY66" s="3"/>
      <c r="PMZ66" s="3"/>
      <c r="PNA66" s="3"/>
      <c r="PNB66" s="3"/>
      <c r="PNC66" s="3"/>
      <c r="PND66" s="3"/>
      <c r="PNE66" s="3"/>
      <c r="PNF66" s="3"/>
      <c r="PNG66" s="3"/>
      <c r="PNH66" s="3"/>
      <c r="PNI66" s="3"/>
      <c r="PNJ66" s="3"/>
      <c r="PNK66" s="3"/>
      <c r="PNL66" s="3"/>
      <c r="PNM66" s="3"/>
      <c r="PNN66" s="3"/>
      <c r="PNO66" s="3"/>
      <c r="PNP66" s="3"/>
      <c r="PNQ66" s="3"/>
      <c r="PNR66" s="3"/>
      <c r="PNS66" s="3"/>
      <c r="PNT66" s="3"/>
      <c r="PNU66" s="3"/>
      <c r="PNV66" s="3"/>
      <c r="PNW66" s="3"/>
      <c r="PNX66" s="3"/>
      <c r="PNY66" s="3"/>
      <c r="PNZ66" s="3"/>
      <c r="POA66" s="3"/>
      <c r="POB66" s="3"/>
      <c r="POC66" s="3"/>
      <c r="POD66" s="3"/>
      <c r="POE66" s="3"/>
      <c r="POF66" s="3"/>
      <c r="POG66" s="3"/>
      <c r="POH66" s="3"/>
      <c r="POI66" s="3"/>
      <c r="POJ66" s="3"/>
      <c r="POK66" s="3"/>
      <c r="POL66" s="3"/>
      <c r="POM66" s="3"/>
      <c r="PON66" s="3"/>
      <c r="POO66" s="3"/>
      <c r="POP66" s="3"/>
      <c r="POQ66" s="3"/>
      <c r="POR66" s="3"/>
      <c r="POS66" s="3"/>
      <c r="POT66" s="3"/>
      <c r="POU66" s="3"/>
      <c r="POV66" s="3"/>
      <c r="POW66" s="3"/>
      <c r="POX66" s="3"/>
      <c r="POY66" s="3"/>
      <c r="POZ66" s="3"/>
      <c r="PPA66" s="3"/>
      <c r="PPB66" s="3"/>
      <c r="PPC66" s="3"/>
      <c r="PPD66" s="3"/>
      <c r="PPE66" s="3"/>
      <c r="PPF66" s="3"/>
      <c r="PPG66" s="3"/>
      <c r="PPH66" s="3"/>
      <c r="PPI66" s="3"/>
      <c r="PPJ66" s="3"/>
      <c r="PPK66" s="3"/>
      <c r="PPL66" s="3"/>
      <c r="PPM66" s="3"/>
      <c r="PPN66" s="3"/>
      <c r="PPO66" s="3"/>
      <c r="PPP66" s="3"/>
      <c r="PPQ66" s="3"/>
      <c r="PPR66" s="3"/>
      <c r="PPS66" s="3"/>
      <c r="PPT66" s="3"/>
      <c r="PPU66" s="3"/>
      <c r="PPV66" s="3"/>
      <c r="PPW66" s="3"/>
      <c r="PPX66" s="3"/>
      <c r="PPY66" s="3"/>
      <c r="PPZ66" s="3"/>
      <c r="PQA66" s="3"/>
      <c r="PQB66" s="3"/>
      <c r="PQC66" s="3"/>
      <c r="PQD66" s="3"/>
      <c r="PQE66" s="3"/>
      <c r="PQF66" s="3"/>
      <c r="PQG66" s="3"/>
      <c r="PQH66" s="3"/>
      <c r="PQI66" s="3"/>
      <c r="PQJ66" s="3"/>
      <c r="PQK66" s="3"/>
      <c r="PQL66" s="3"/>
      <c r="PQM66" s="3"/>
      <c r="PQN66" s="3"/>
      <c r="PQO66" s="3"/>
      <c r="PQP66" s="3"/>
      <c r="PQQ66" s="3"/>
      <c r="PQR66" s="3"/>
      <c r="PQS66" s="3"/>
      <c r="PQT66" s="3"/>
      <c r="PQU66" s="3"/>
      <c r="PQV66" s="3"/>
      <c r="PQW66" s="3"/>
      <c r="PQX66" s="3"/>
      <c r="PQY66" s="3"/>
      <c r="PQZ66" s="3"/>
      <c r="PRA66" s="3"/>
      <c r="PRB66" s="3"/>
      <c r="PRC66" s="3"/>
      <c r="PRD66" s="3"/>
      <c r="PRE66" s="3"/>
      <c r="PRF66" s="3"/>
      <c r="PRG66" s="3"/>
      <c r="PRH66" s="3"/>
      <c r="PRI66" s="3"/>
      <c r="PRJ66" s="3"/>
      <c r="PRK66" s="3"/>
      <c r="PRL66" s="3"/>
      <c r="PRM66" s="3"/>
      <c r="PRN66" s="3"/>
      <c r="PRO66" s="3"/>
      <c r="PRP66" s="3"/>
      <c r="PRQ66" s="3"/>
      <c r="PRR66" s="3"/>
      <c r="PRS66" s="3"/>
      <c r="PRT66" s="3"/>
      <c r="PRU66" s="3"/>
      <c r="PRV66" s="3"/>
      <c r="PRW66" s="3"/>
      <c r="PRX66" s="3"/>
      <c r="PRY66" s="3"/>
      <c r="PRZ66" s="3"/>
      <c r="PSA66" s="3"/>
      <c r="PSB66" s="3"/>
      <c r="PSC66" s="3"/>
      <c r="PSD66" s="3"/>
      <c r="PSE66" s="3"/>
      <c r="PSF66" s="3"/>
      <c r="PSG66" s="3"/>
      <c r="PSH66" s="3"/>
      <c r="PSI66" s="3"/>
      <c r="PSJ66" s="3"/>
      <c r="PSK66" s="3"/>
      <c r="PSL66" s="3"/>
      <c r="PSM66" s="3"/>
      <c r="PSN66" s="3"/>
      <c r="PSO66" s="3"/>
      <c r="PSP66" s="3"/>
      <c r="PSQ66" s="3"/>
      <c r="PSR66" s="3"/>
      <c r="PSS66" s="3"/>
      <c r="PST66" s="3"/>
      <c r="PSU66" s="3"/>
      <c r="PSV66" s="3"/>
      <c r="PSW66" s="3"/>
      <c r="PSX66" s="3"/>
      <c r="PSY66" s="3"/>
      <c r="PSZ66" s="3"/>
      <c r="PTA66" s="3"/>
      <c r="PTB66" s="3"/>
      <c r="PTC66" s="3"/>
      <c r="PTD66" s="3"/>
      <c r="PTE66" s="3"/>
      <c r="PTF66" s="3"/>
      <c r="PTG66" s="3"/>
      <c r="PTH66" s="3"/>
      <c r="PTI66" s="3"/>
      <c r="PTJ66" s="3"/>
      <c r="PTK66" s="3"/>
      <c r="PTL66" s="3"/>
      <c r="PTM66" s="3"/>
      <c r="PTN66" s="3"/>
      <c r="PTO66" s="3"/>
      <c r="PTP66" s="3"/>
      <c r="PTQ66" s="3"/>
      <c r="PTR66" s="3"/>
      <c r="PTS66" s="3"/>
      <c r="PTT66" s="3"/>
      <c r="PTU66" s="3"/>
      <c r="PTV66" s="3"/>
      <c r="PTW66" s="3"/>
      <c r="PTX66" s="3"/>
      <c r="PTY66" s="3"/>
      <c r="PTZ66" s="3"/>
      <c r="PUA66" s="3"/>
      <c r="PUB66" s="3"/>
      <c r="PUC66" s="3"/>
      <c r="PUD66" s="3"/>
      <c r="PUE66" s="3"/>
      <c r="PUF66" s="3"/>
      <c r="PUG66" s="3"/>
      <c r="PUH66" s="3"/>
      <c r="PUI66" s="3"/>
      <c r="PUJ66" s="3"/>
      <c r="PUK66" s="3"/>
      <c r="PUL66" s="3"/>
      <c r="PUM66" s="3"/>
      <c r="PUN66" s="3"/>
      <c r="PUO66" s="3"/>
      <c r="PUP66" s="3"/>
      <c r="PUQ66" s="3"/>
      <c r="PUR66" s="3"/>
      <c r="PUS66" s="3"/>
      <c r="PUT66" s="3"/>
      <c r="PUU66" s="3"/>
      <c r="PUV66" s="3"/>
      <c r="PUW66" s="3"/>
      <c r="PUX66" s="3"/>
      <c r="PUY66" s="3"/>
      <c r="PUZ66" s="3"/>
      <c r="PVA66" s="3"/>
      <c r="PVB66" s="3"/>
      <c r="PVC66" s="3"/>
      <c r="PVD66" s="3"/>
      <c r="PVE66" s="3"/>
      <c r="PVF66" s="3"/>
      <c r="PVG66" s="3"/>
      <c r="PVH66" s="3"/>
      <c r="PVI66" s="3"/>
      <c r="PVJ66" s="3"/>
      <c r="PVK66" s="3"/>
      <c r="PVL66" s="3"/>
      <c r="PVM66" s="3"/>
      <c r="PVN66" s="3"/>
      <c r="PVO66" s="3"/>
      <c r="PVP66" s="3"/>
      <c r="PVQ66" s="3"/>
      <c r="PVR66" s="3"/>
      <c r="PVS66" s="3"/>
      <c r="PVT66" s="3"/>
      <c r="PVU66" s="3"/>
      <c r="PVV66" s="3"/>
      <c r="PVW66" s="3"/>
      <c r="PVX66" s="3"/>
      <c r="PVY66" s="3"/>
      <c r="PVZ66" s="3"/>
      <c r="PWA66" s="3"/>
      <c r="PWB66" s="3"/>
      <c r="PWC66" s="3"/>
      <c r="PWD66" s="3"/>
      <c r="PWE66" s="3"/>
      <c r="PWF66" s="3"/>
      <c r="PWG66" s="3"/>
      <c r="PWH66" s="3"/>
      <c r="PWI66" s="3"/>
      <c r="PWJ66" s="3"/>
      <c r="PWK66" s="3"/>
      <c r="PWL66" s="3"/>
      <c r="PWM66" s="3"/>
      <c r="PWN66" s="3"/>
      <c r="PWO66" s="3"/>
      <c r="PWP66" s="3"/>
      <c r="PWQ66" s="3"/>
      <c r="PWR66" s="3"/>
      <c r="PWS66" s="3"/>
      <c r="PWT66" s="3"/>
      <c r="PWU66" s="3"/>
      <c r="PWV66" s="3"/>
      <c r="PWW66" s="3"/>
      <c r="PWX66" s="3"/>
      <c r="PWY66" s="3"/>
      <c r="PWZ66" s="3"/>
      <c r="PXA66" s="3"/>
      <c r="PXB66" s="3"/>
      <c r="PXC66" s="3"/>
      <c r="PXD66" s="3"/>
      <c r="PXE66" s="3"/>
      <c r="PXF66" s="3"/>
      <c r="PXG66" s="3"/>
      <c r="PXH66" s="3"/>
      <c r="PXI66" s="3"/>
      <c r="PXJ66" s="3"/>
      <c r="PXK66" s="3"/>
      <c r="PXL66" s="3"/>
      <c r="PXM66" s="3"/>
      <c r="PXN66" s="3"/>
      <c r="PXO66" s="3"/>
      <c r="PXP66" s="3"/>
      <c r="PXQ66" s="3"/>
      <c r="PXR66" s="3"/>
      <c r="PXS66" s="3"/>
      <c r="PXT66" s="3"/>
      <c r="PXU66" s="3"/>
      <c r="PXV66" s="3"/>
      <c r="PXW66" s="3"/>
      <c r="PXX66" s="3"/>
      <c r="PXY66" s="3"/>
      <c r="PXZ66" s="3"/>
      <c r="PYA66" s="3"/>
      <c r="PYB66" s="3"/>
      <c r="PYC66" s="3"/>
      <c r="PYD66" s="3"/>
      <c r="PYE66" s="3"/>
      <c r="PYF66" s="3"/>
      <c r="PYG66" s="3"/>
      <c r="PYH66" s="3"/>
      <c r="PYI66" s="3"/>
      <c r="PYJ66" s="3"/>
      <c r="PYK66" s="3"/>
      <c r="PYL66" s="3"/>
      <c r="PYM66" s="3"/>
      <c r="PYN66" s="3"/>
      <c r="PYO66" s="3"/>
      <c r="PYP66" s="3"/>
      <c r="PYQ66" s="3"/>
      <c r="PYR66" s="3"/>
      <c r="PYS66" s="3"/>
      <c r="PYT66" s="3"/>
      <c r="PYU66" s="3"/>
      <c r="PYV66" s="3"/>
      <c r="PYW66" s="3"/>
      <c r="PYX66" s="3"/>
      <c r="PYY66" s="3"/>
      <c r="PYZ66" s="3"/>
      <c r="PZA66" s="3"/>
      <c r="PZB66" s="3"/>
      <c r="PZC66" s="3"/>
      <c r="PZD66" s="3"/>
      <c r="PZE66" s="3"/>
      <c r="PZF66" s="3"/>
      <c r="PZG66" s="3"/>
      <c r="PZH66" s="3"/>
      <c r="PZI66" s="3"/>
      <c r="PZJ66" s="3"/>
      <c r="PZK66" s="3"/>
      <c r="PZL66" s="3"/>
      <c r="PZM66" s="3"/>
      <c r="PZN66" s="3"/>
      <c r="PZO66" s="3"/>
      <c r="PZP66" s="3"/>
      <c r="PZQ66" s="3"/>
      <c r="PZR66" s="3"/>
      <c r="PZS66" s="3"/>
      <c r="PZT66" s="3"/>
      <c r="PZU66" s="3"/>
      <c r="PZV66" s="3"/>
      <c r="PZW66" s="3"/>
      <c r="PZX66" s="3"/>
      <c r="PZY66" s="3"/>
      <c r="PZZ66" s="3"/>
      <c r="QAA66" s="3"/>
      <c r="QAB66" s="3"/>
      <c r="QAC66" s="3"/>
      <c r="QAD66" s="3"/>
      <c r="QAE66" s="3"/>
      <c r="QAF66" s="3"/>
      <c r="QAG66" s="3"/>
      <c r="QAH66" s="3"/>
      <c r="QAI66" s="3"/>
      <c r="QAJ66" s="3"/>
      <c r="QAK66" s="3"/>
      <c r="QAL66" s="3"/>
      <c r="QAM66" s="3"/>
      <c r="QAN66" s="3"/>
      <c r="QAO66" s="3"/>
      <c r="QAP66" s="3"/>
      <c r="QAQ66" s="3"/>
      <c r="QAR66" s="3"/>
      <c r="QAS66" s="3"/>
      <c r="QAT66" s="3"/>
      <c r="QAU66" s="3"/>
      <c r="QAV66" s="3"/>
      <c r="QAW66" s="3"/>
      <c r="QAX66" s="3"/>
      <c r="QAY66" s="3"/>
      <c r="QAZ66" s="3"/>
      <c r="QBA66" s="3"/>
      <c r="QBB66" s="3"/>
      <c r="QBC66" s="3"/>
      <c r="QBD66" s="3"/>
      <c r="QBE66" s="3"/>
      <c r="QBF66" s="3"/>
      <c r="QBG66" s="3"/>
      <c r="QBH66" s="3"/>
      <c r="QBI66" s="3"/>
      <c r="QBJ66" s="3"/>
      <c r="QBK66" s="3"/>
      <c r="QBL66" s="3"/>
      <c r="QBM66" s="3"/>
      <c r="QBN66" s="3"/>
      <c r="QBO66" s="3"/>
      <c r="QBP66" s="3"/>
      <c r="QBQ66" s="3"/>
      <c r="QBR66" s="3"/>
      <c r="QBS66" s="3"/>
      <c r="QBT66" s="3"/>
      <c r="QBU66" s="3"/>
      <c r="QBV66" s="3"/>
      <c r="QBW66" s="3"/>
      <c r="QBX66" s="3"/>
      <c r="QBY66" s="3"/>
      <c r="QBZ66" s="3"/>
      <c r="QCA66" s="3"/>
      <c r="QCB66" s="3"/>
      <c r="QCC66" s="3"/>
      <c r="QCD66" s="3"/>
      <c r="QCE66" s="3"/>
      <c r="QCF66" s="3"/>
      <c r="QCG66" s="3"/>
      <c r="QCH66" s="3"/>
      <c r="QCI66" s="3"/>
      <c r="QCJ66" s="3"/>
      <c r="QCK66" s="3"/>
      <c r="QCL66" s="3"/>
      <c r="QCM66" s="3"/>
      <c r="QCN66" s="3"/>
      <c r="QCO66" s="3"/>
      <c r="QCP66" s="3"/>
      <c r="QCQ66" s="3"/>
      <c r="QCR66" s="3"/>
      <c r="QCS66" s="3"/>
      <c r="QCT66" s="3"/>
      <c r="QCU66" s="3"/>
      <c r="QCV66" s="3"/>
      <c r="QCW66" s="3"/>
      <c r="QCX66" s="3"/>
      <c r="QCY66" s="3"/>
      <c r="QCZ66" s="3"/>
      <c r="QDA66" s="3"/>
      <c r="QDB66" s="3"/>
      <c r="QDC66" s="3"/>
      <c r="QDD66" s="3"/>
      <c r="QDE66" s="3"/>
      <c r="QDF66" s="3"/>
      <c r="QDG66" s="3"/>
      <c r="QDH66" s="3"/>
      <c r="QDI66" s="3"/>
      <c r="QDJ66" s="3"/>
      <c r="QDK66" s="3"/>
      <c r="QDL66" s="3"/>
      <c r="QDM66" s="3"/>
      <c r="QDN66" s="3"/>
      <c r="QDO66" s="3"/>
      <c r="QDP66" s="3"/>
      <c r="QDQ66" s="3"/>
      <c r="QDR66" s="3"/>
      <c r="QDS66" s="3"/>
      <c r="QDT66" s="3"/>
      <c r="QDU66" s="3"/>
      <c r="QDV66" s="3"/>
      <c r="QDW66" s="3"/>
      <c r="QDX66" s="3"/>
      <c r="QDY66" s="3"/>
      <c r="QDZ66" s="3"/>
      <c r="QEA66" s="3"/>
      <c r="QEB66" s="3"/>
      <c r="QEC66" s="3"/>
      <c r="QED66" s="3"/>
      <c r="QEE66" s="3"/>
      <c r="QEF66" s="3"/>
      <c r="QEG66" s="3"/>
      <c r="QEH66" s="3"/>
      <c r="QEI66" s="3"/>
      <c r="QEJ66" s="3"/>
      <c r="QEK66" s="3"/>
      <c r="QEL66" s="3"/>
      <c r="QEM66" s="3"/>
      <c r="QEN66" s="3"/>
      <c r="QEO66" s="3"/>
      <c r="QEP66" s="3"/>
      <c r="QEQ66" s="3"/>
      <c r="QER66" s="3"/>
      <c r="QES66" s="3"/>
      <c r="QET66" s="3"/>
      <c r="QEU66" s="3"/>
      <c r="QEV66" s="3"/>
      <c r="QEW66" s="3"/>
      <c r="QEX66" s="3"/>
      <c r="QEY66" s="3"/>
      <c r="QEZ66" s="3"/>
      <c r="QFA66" s="3"/>
      <c r="QFB66" s="3"/>
      <c r="QFC66" s="3"/>
      <c r="QFD66" s="3"/>
      <c r="QFE66" s="3"/>
      <c r="QFF66" s="3"/>
      <c r="QFG66" s="3"/>
      <c r="QFH66" s="3"/>
      <c r="QFI66" s="3"/>
      <c r="QFJ66" s="3"/>
      <c r="QFK66" s="3"/>
      <c r="QFL66" s="3"/>
      <c r="QFM66" s="3"/>
      <c r="QFN66" s="3"/>
      <c r="QFO66" s="3"/>
      <c r="QFP66" s="3"/>
      <c r="QFQ66" s="3"/>
      <c r="QFR66" s="3"/>
      <c r="QFS66" s="3"/>
      <c r="QFT66" s="3"/>
      <c r="QFU66" s="3"/>
      <c r="QFV66" s="3"/>
      <c r="QFW66" s="3"/>
      <c r="QFX66" s="3"/>
      <c r="QFY66" s="3"/>
      <c r="QFZ66" s="3"/>
      <c r="QGA66" s="3"/>
      <c r="QGB66" s="3"/>
      <c r="QGC66" s="3"/>
      <c r="QGD66" s="3"/>
      <c r="QGE66" s="3"/>
      <c r="QGF66" s="3"/>
      <c r="QGG66" s="3"/>
      <c r="QGH66" s="3"/>
      <c r="QGI66" s="3"/>
      <c r="QGJ66" s="3"/>
      <c r="QGK66" s="3"/>
      <c r="QGL66" s="3"/>
      <c r="QGM66" s="3"/>
      <c r="QGN66" s="3"/>
      <c r="QGO66" s="3"/>
      <c r="QGP66" s="3"/>
      <c r="QGQ66" s="3"/>
      <c r="QGR66" s="3"/>
      <c r="QGS66" s="3"/>
      <c r="QGT66" s="3"/>
      <c r="QGU66" s="3"/>
      <c r="QGV66" s="3"/>
      <c r="QGW66" s="3"/>
      <c r="QGX66" s="3"/>
      <c r="QGY66" s="3"/>
      <c r="QGZ66" s="3"/>
      <c r="QHA66" s="3"/>
      <c r="QHB66" s="3"/>
      <c r="QHC66" s="3"/>
      <c r="QHD66" s="3"/>
      <c r="QHE66" s="3"/>
      <c r="QHF66" s="3"/>
      <c r="QHG66" s="3"/>
      <c r="QHH66" s="3"/>
      <c r="QHI66" s="3"/>
      <c r="QHJ66" s="3"/>
      <c r="QHK66" s="3"/>
      <c r="QHL66" s="3"/>
      <c r="QHM66" s="3"/>
      <c r="QHN66" s="3"/>
      <c r="QHO66" s="3"/>
      <c r="QHP66" s="3"/>
      <c r="QHQ66" s="3"/>
      <c r="QHR66" s="3"/>
      <c r="QHS66" s="3"/>
      <c r="QHT66" s="3"/>
      <c r="QHU66" s="3"/>
      <c r="QHV66" s="3"/>
      <c r="QHW66" s="3"/>
      <c r="QHX66" s="3"/>
      <c r="QHY66" s="3"/>
      <c r="QHZ66" s="3"/>
      <c r="QIA66" s="3"/>
      <c r="QIB66" s="3"/>
      <c r="QIC66" s="3"/>
      <c r="QID66" s="3"/>
      <c r="QIE66" s="3"/>
      <c r="QIF66" s="3"/>
      <c r="QIG66" s="3"/>
      <c r="QIH66" s="3"/>
      <c r="QII66" s="3"/>
      <c r="QIJ66" s="3"/>
      <c r="QIK66" s="3"/>
      <c r="QIL66" s="3"/>
      <c r="QIM66" s="3"/>
      <c r="QIN66" s="3"/>
      <c r="QIO66" s="3"/>
      <c r="QIP66" s="3"/>
      <c r="QIQ66" s="3"/>
      <c r="QIR66" s="3"/>
      <c r="QIS66" s="3"/>
      <c r="QIT66" s="3"/>
      <c r="QIU66" s="3"/>
      <c r="QIV66" s="3"/>
      <c r="QIW66" s="3"/>
      <c r="QIX66" s="3"/>
      <c r="QIY66" s="3"/>
      <c r="QIZ66" s="3"/>
      <c r="QJA66" s="3"/>
      <c r="QJB66" s="3"/>
      <c r="QJC66" s="3"/>
      <c r="QJD66" s="3"/>
      <c r="QJE66" s="3"/>
      <c r="QJF66" s="3"/>
      <c r="QJG66" s="3"/>
      <c r="QJH66" s="3"/>
      <c r="QJI66" s="3"/>
      <c r="QJJ66" s="3"/>
      <c r="QJK66" s="3"/>
      <c r="QJL66" s="3"/>
      <c r="QJM66" s="3"/>
      <c r="QJN66" s="3"/>
      <c r="QJO66" s="3"/>
      <c r="QJP66" s="3"/>
      <c r="QJQ66" s="3"/>
      <c r="QJR66" s="3"/>
      <c r="QJS66" s="3"/>
      <c r="QJT66" s="3"/>
      <c r="QJU66" s="3"/>
      <c r="QJV66" s="3"/>
      <c r="QJW66" s="3"/>
      <c r="QJX66" s="3"/>
      <c r="QJY66" s="3"/>
      <c r="QJZ66" s="3"/>
      <c r="QKA66" s="3"/>
      <c r="QKB66" s="3"/>
      <c r="QKC66" s="3"/>
      <c r="QKD66" s="3"/>
      <c r="QKE66" s="3"/>
      <c r="QKF66" s="3"/>
      <c r="QKG66" s="3"/>
      <c r="QKH66" s="3"/>
      <c r="QKI66" s="3"/>
      <c r="QKJ66" s="3"/>
      <c r="QKK66" s="3"/>
      <c r="QKL66" s="3"/>
      <c r="QKM66" s="3"/>
      <c r="QKN66" s="3"/>
      <c r="QKO66" s="3"/>
      <c r="QKP66" s="3"/>
      <c r="QKQ66" s="3"/>
      <c r="QKR66" s="3"/>
      <c r="QKS66" s="3"/>
      <c r="QKT66" s="3"/>
      <c r="QKU66" s="3"/>
      <c r="QKV66" s="3"/>
      <c r="QKW66" s="3"/>
      <c r="QKX66" s="3"/>
      <c r="QKY66" s="3"/>
      <c r="QKZ66" s="3"/>
      <c r="QLA66" s="3"/>
      <c r="QLB66" s="3"/>
      <c r="QLC66" s="3"/>
      <c r="QLD66" s="3"/>
      <c r="QLE66" s="3"/>
      <c r="QLF66" s="3"/>
      <c r="QLG66" s="3"/>
      <c r="QLH66" s="3"/>
      <c r="QLI66" s="3"/>
      <c r="QLJ66" s="3"/>
      <c r="QLK66" s="3"/>
      <c r="QLL66" s="3"/>
      <c r="QLM66" s="3"/>
      <c r="QLN66" s="3"/>
      <c r="QLO66" s="3"/>
      <c r="QLP66" s="3"/>
      <c r="QLQ66" s="3"/>
      <c r="QLR66" s="3"/>
      <c r="QLS66" s="3"/>
      <c r="QLT66" s="3"/>
      <c r="QLU66" s="3"/>
      <c r="QLV66" s="3"/>
      <c r="QLW66" s="3"/>
      <c r="QLX66" s="3"/>
      <c r="QLY66" s="3"/>
      <c r="QLZ66" s="3"/>
      <c r="QMA66" s="3"/>
      <c r="QMB66" s="3"/>
      <c r="QMC66" s="3"/>
      <c r="QMD66" s="3"/>
      <c r="QME66" s="3"/>
      <c r="QMF66" s="3"/>
      <c r="QMG66" s="3"/>
      <c r="QMH66" s="3"/>
      <c r="QMI66" s="3"/>
      <c r="QMJ66" s="3"/>
      <c r="QMK66" s="3"/>
      <c r="QML66" s="3"/>
      <c r="QMM66" s="3"/>
      <c r="QMN66" s="3"/>
      <c r="QMO66" s="3"/>
      <c r="QMP66" s="3"/>
      <c r="QMQ66" s="3"/>
      <c r="QMR66" s="3"/>
      <c r="QMS66" s="3"/>
      <c r="QMT66" s="3"/>
      <c r="QMU66" s="3"/>
      <c r="QMV66" s="3"/>
      <c r="QMW66" s="3"/>
      <c r="QMX66" s="3"/>
      <c r="QMY66" s="3"/>
      <c r="QMZ66" s="3"/>
      <c r="QNA66" s="3"/>
      <c r="QNB66" s="3"/>
      <c r="QNC66" s="3"/>
      <c r="QND66" s="3"/>
      <c r="QNE66" s="3"/>
      <c r="QNF66" s="3"/>
      <c r="QNG66" s="3"/>
      <c r="QNH66" s="3"/>
      <c r="QNI66" s="3"/>
      <c r="QNJ66" s="3"/>
      <c r="QNK66" s="3"/>
      <c r="QNL66" s="3"/>
      <c r="QNM66" s="3"/>
      <c r="QNN66" s="3"/>
      <c r="QNO66" s="3"/>
      <c r="QNP66" s="3"/>
      <c r="QNQ66" s="3"/>
      <c r="QNR66" s="3"/>
      <c r="QNS66" s="3"/>
      <c r="QNT66" s="3"/>
      <c r="QNU66" s="3"/>
      <c r="QNV66" s="3"/>
      <c r="QNW66" s="3"/>
      <c r="QNX66" s="3"/>
      <c r="QNY66" s="3"/>
      <c r="QNZ66" s="3"/>
      <c r="QOA66" s="3"/>
      <c r="QOB66" s="3"/>
      <c r="QOC66" s="3"/>
      <c r="QOD66" s="3"/>
      <c r="QOE66" s="3"/>
      <c r="QOF66" s="3"/>
      <c r="QOG66" s="3"/>
      <c r="QOH66" s="3"/>
      <c r="QOI66" s="3"/>
      <c r="QOJ66" s="3"/>
      <c r="QOK66" s="3"/>
      <c r="QOL66" s="3"/>
      <c r="QOM66" s="3"/>
      <c r="QON66" s="3"/>
      <c r="QOO66" s="3"/>
      <c r="QOP66" s="3"/>
      <c r="QOQ66" s="3"/>
      <c r="QOR66" s="3"/>
      <c r="QOS66" s="3"/>
      <c r="QOT66" s="3"/>
      <c r="QOU66" s="3"/>
      <c r="QOV66" s="3"/>
      <c r="QOW66" s="3"/>
      <c r="QOX66" s="3"/>
      <c r="QOY66" s="3"/>
      <c r="QOZ66" s="3"/>
      <c r="QPA66" s="3"/>
      <c r="QPB66" s="3"/>
      <c r="QPC66" s="3"/>
      <c r="QPD66" s="3"/>
      <c r="QPE66" s="3"/>
      <c r="QPF66" s="3"/>
      <c r="QPG66" s="3"/>
      <c r="QPH66" s="3"/>
      <c r="QPI66" s="3"/>
      <c r="QPJ66" s="3"/>
      <c r="QPK66" s="3"/>
      <c r="QPL66" s="3"/>
      <c r="QPM66" s="3"/>
      <c r="QPN66" s="3"/>
      <c r="QPO66" s="3"/>
      <c r="QPP66" s="3"/>
      <c r="QPQ66" s="3"/>
      <c r="QPR66" s="3"/>
      <c r="QPS66" s="3"/>
      <c r="QPT66" s="3"/>
      <c r="QPU66" s="3"/>
      <c r="QPV66" s="3"/>
      <c r="QPW66" s="3"/>
      <c r="QPX66" s="3"/>
      <c r="QPY66" s="3"/>
      <c r="QPZ66" s="3"/>
      <c r="QQA66" s="3"/>
      <c r="QQB66" s="3"/>
      <c r="QQC66" s="3"/>
      <c r="QQD66" s="3"/>
      <c r="QQE66" s="3"/>
      <c r="QQF66" s="3"/>
      <c r="QQG66" s="3"/>
      <c r="QQH66" s="3"/>
      <c r="QQI66" s="3"/>
      <c r="QQJ66" s="3"/>
      <c r="QQK66" s="3"/>
      <c r="QQL66" s="3"/>
      <c r="QQM66" s="3"/>
      <c r="QQN66" s="3"/>
      <c r="QQO66" s="3"/>
      <c r="QQP66" s="3"/>
      <c r="QQQ66" s="3"/>
      <c r="QQR66" s="3"/>
      <c r="QQS66" s="3"/>
      <c r="QQT66" s="3"/>
      <c r="QQU66" s="3"/>
      <c r="QQV66" s="3"/>
      <c r="QQW66" s="3"/>
      <c r="QQX66" s="3"/>
      <c r="QQY66" s="3"/>
      <c r="QQZ66" s="3"/>
      <c r="QRA66" s="3"/>
      <c r="QRB66" s="3"/>
      <c r="QRC66" s="3"/>
      <c r="QRD66" s="3"/>
      <c r="QRE66" s="3"/>
      <c r="QRF66" s="3"/>
      <c r="QRG66" s="3"/>
      <c r="QRH66" s="3"/>
      <c r="QRI66" s="3"/>
      <c r="QRJ66" s="3"/>
      <c r="QRK66" s="3"/>
      <c r="QRL66" s="3"/>
      <c r="QRM66" s="3"/>
      <c r="QRN66" s="3"/>
      <c r="QRO66" s="3"/>
      <c r="QRP66" s="3"/>
      <c r="QRQ66" s="3"/>
      <c r="QRR66" s="3"/>
      <c r="QRS66" s="3"/>
      <c r="QRT66" s="3"/>
      <c r="QRU66" s="3"/>
      <c r="QRV66" s="3"/>
      <c r="QRW66" s="3"/>
      <c r="QRX66" s="3"/>
      <c r="QRY66" s="3"/>
      <c r="QRZ66" s="3"/>
      <c r="QSA66" s="3"/>
      <c r="QSB66" s="3"/>
      <c r="QSC66" s="3"/>
      <c r="QSD66" s="3"/>
      <c r="QSE66" s="3"/>
      <c r="QSF66" s="3"/>
      <c r="QSG66" s="3"/>
      <c r="QSH66" s="3"/>
      <c r="QSI66" s="3"/>
      <c r="QSJ66" s="3"/>
      <c r="QSK66" s="3"/>
      <c r="QSL66" s="3"/>
      <c r="QSM66" s="3"/>
      <c r="QSN66" s="3"/>
      <c r="QSO66" s="3"/>
      <c r="QSP66" s="3"/>
      <c r="QSQ66" s="3"/>
      <c r="QSR66" s="3"/>
      <c r="QSS66" s="3"/>
      <c r="QST66" s="3"/>
      <c r="QSU66" s="3"/>
      <c r="QSV66" s="3"/>
      <c r="QSW66" s="3"/>
      <c r="QSX66" s="3"/>
      <c r="QSY66" s="3"/>
      <c r="QSZ66" s="3"/>
      <c r="QTA66" s="3"/>
      <c r="QTB66" s="3"/>
      <c r="QTC66" s="3"/>
      <c r="QTD66" s="3"/>
      <c r="QTE66" s="3"/>
      <c r="QTF66" s="3"/>
      <c r="QTG66" s="3"/>
      <c r="QTH66" s="3"/>
      <c r="QTI66" s="3"/>
      <c r="QTJ66" s="3"/>
      <c r="QTK66" s="3"/>
      <c r="QTL66" s="3"/>
      <c r="QTM66" s="3"/>
      <c r="QTN66" s="3"/>
      <c r="QTO66" s="3"/>
      <c r="QTP66" s="3"/>
      <c r="QTQ66" s="3"/>
      <c r="QTR66" s="3"/>
      <c r="QTS66" s="3"/>
      <c r="QTT66" s="3"/>
      <c r="QTU66" s="3"/>
      <c r="QTV66" s="3"/>
      <c r="QTW66" s="3"/>
      <c r="QTX66" s="3"/>
      <c r="QTY66" s="3"/>
      <c r="QTZ66" s="3"/>
      <c r="QUA66" s="3"/>
      <c r="QUB66" s="3"/>
      <c r="QUC66" s="3"/>
      <c r="QUD66" s="3"/>
      <c r="QUE66" s="3"/>
      <c r="QUF66" s="3"/>
      <c r="QUG66" s="3"/>
      <c r="QUH66" s="3"/>
      <c r="QUI66" s="3"/>
      <c r="QUJ66" s="3"/>
      <c r="QUK66" s="3"/>
      <c r="QUL66" s="3"/>
      <c r="QUM66" s="3"/>
      <c r="QUN66" s="3"/>
      <c r="QUO66" s="3"/>
      <c r="QUP66" s="3"/>
      <c r="QUQ66" s="3"/>
      <c r="QUR66" s="3"/>
      <c r="QUS66" s="3"/>
      <c r="QUT66" s="3"/>
      <c r="QUU66" s="3"/>
      <c r="QUV66" s="3"/>
      <c r="QUW66" s="3"/>
      <c r="QUX66" s="3"/>
      <c r="QUY66" s="3"/>
      <c r="QUZ66" s="3"/>
      <c r="QVA66" s="3"/>
      <c r="QVB66" s="3"/>
      <c r="QVC66" s="3"/>
      <c r="QVD66" s="3"/>
      <c r="QVE66" s="3"/>
      <c r="QVF66" s="3"/>
      <c r="QVG66" s="3"/>
      <c r="QVH66" s="3"/>
      <c r="QVI66" s="3"/>
      <c r="QVJ66" s="3"/>
      <c r="QVK66" s="3"/>
      <c r="QVL66" s="3"/>
      <c r="QVM66" s="3"/>
      <c r="QVN66" s="3"/>
      <c r="QVO66" s="3"/>
      <c r="QVP66" s="3"/>
      <c r="QVQ66" s="3"/>
      <c r="QVR66" s="3"/>
      <c r="QVS66" s="3"/>
      <c r="QVT66" s="3"/>
      <c r="QVU66" s="3"/>
      <c r="QVV66" s="3"/>
      <c r="QVW66" s="3"/>
      <c r="QVX66" s="3"/>
      <c r="QVY66" s="3"/>
      <c r="QVZ66" s="3"/>
      <c r="QWA66" s="3"/>
      <c r="QWB66" s="3"/>
      <c r="QWC66" s="3"/>
      <c r="QWD66" s="3"/>
      <c r="QWE66" s="3"/>
      <c r="QWF66" s="3"/>
      <c r="QWG66" s="3"/>
      <c r="QWH66" s="3"/>
      <c r="QWI66" s="3"/>
      <c r="QWJ66" s="3"/>
      <c r="QWK66" s="3"/>
      <c r="QWL66" s="3"/>
      <c r="QWM66" s="3"/>
      <c r="QWN66" s="3"/>
      <c r="QWO66" s="3"/>
      <c r="QWP66" s="3"/>
      <c r="QWQ66" s="3"/>
      <c r="QWR66" s="3"/>
      <c r="QWS66" s="3"/>
      <c r="QWT66" s="3"/>
      <c r="QWU66" s="3"/>
      <c r="QWV66" s="3"/>
      <c r="QWW66" s="3"/>
      <c r="QWX66" s="3"/>
      <c r="QWY66" s="3"/>
      <c r="QWZ66" s="3"/>
      <c r="QXA66" s="3"/>
      <c r="QXB66" s="3"/>
      <c r="QXC66" s="3"/>
      <c r="QXD66" s="3"/>
      <c r="QXE66" s="3"/>
      <c r="QXF66" s="3"/>
      <c r="QXG66" s="3"/>
      <c r="QXH66" s="3"/>
      <c r="QXI66" s="3"/>
      <c r="QXJ66" s="3"/>
      <c r="QXK66" s="3"/>
      <c r="QXL66" s="3"/>
      <c r="QXM66" s="3"/>
      <c r="QXN66" s="3"/>
      <c r="QXO66" s="3"/>
      <c r="QXP66" s="3"/>
      <c r="QXQ66" s="3"/>
      <c r="QXR66" s="3"/>
      <c r="QXS66" s="3"/>
      <c r="QXT66" s="3"/>
      <c r="QXU66" s="3"/>
      <c r="QXV66" s="3"/>
      <c r="QXW66" s="3"/>
      <c r="QXX66" s="3"/>
      <c r="QXY66" s="3"/>
      <c r="QXZ66" s="3"/>
      <c r="QYA66" s="3"/>
      <c r="QYB66" s="3"/>
      <c r="QYC66" s="3"/>
      <c r="QYD66" s="3"/>
      <c r="QYE66" s="3"/>
      <c r="QYF66" s="3"/>
      <c r="QYG66" s="3"/>
      <c r="QYH66" s="3"/>
      <c r="QYI66" s="3"/>
      <c r="QYJ66" s="3"/>
      <c r="QYK66" s="3"/>
      <c r="QYL66" s="3"/>
      <c r="QYM66" s="3"/>
      <c r="QYN66" s="3"/>
      <c r="QYO66" s="3"/>
      <c r="QYP66" s="3"/>
      <c r="QYQ66" s="3"/>
      <c r="QYR66" s="3"/>
      <c r="QYS66" s="3"/>
      <c r="QYT66" s="3"/>
      <c r="QYU66" s="3"/>
      <c r="QYV66" s="3"/>
      <c r="QYW66" s="3"/>
      <c r="QYX66" s="3"/>
      <c r="QYY66" s="3"/>
      <c r="QYZ66" s="3"/>
      <c r="QZA66" s="3"/>
      <c r="QZB66" s="3"/>
      <c r="QZC66" s="3"/>
      <c r="QZD66" s="3"/>
      <c r="QZE66" s="3"/>
      <c r="QZF66" s="3"/>
      <c r="QZG66" s="3"/>
      <c r="QZH66" s="3"/>
      <c r="QZI66" s="3"/>
      <c r="QZJ66" s="3"/>
      <c r="QZK66" s="3"/>
      <c r="QZL66" s="3"/>
      <c r="QZM66" s="3"/>
      <c r="QZN66" s="3"/>
      <c r="QZO66" s="3"/>
      <c r="QZP66" s="3"/>
      <c r="QZQ66" s="3"/>
      <c r="QZR66" s="3"/>
      <c r="QZS66" s="3"/>
      <c r="QZT66" s="3"/>
      <c r="QZU66" s="3"/>
      <c r="QZV66" s="3"/>
      <c r="QZW66" s="3"/>
      <c r="QZX66" s="3"/>
      <c r="QZY66" s="3"/>
      <c r="QZZ66" s="3"/>
      <c r="RAA66" s="3"/>
      <c r="RAB66" s="3"/>
      <c r="RAC66" s="3"/>
      <c r="RAD66" s="3"/>
      <c r="RAE66" s="3"/>
      <c r="RAF66" s="3"/>
      <c r="RAG66" s="3"/>
      <c r="RAH66" s="3"/>
      <c r="RAI66" s="3"/>
      <c r="RAJ66" s="3"/>
      <c r="RAK66" s="3"/>
      <c r="RAL66" s="3"/>
      <c r="RAM66" s="3"/>
      <c r="RAN66" s="3"/>
      <c r="RAO66" s="3"/>
      <c r="RAP66" s="3"/>
      <c r="RAQ66" s="3"/>
      <c r="RAR66" s="3"/>
      <c r="RAS66" s="3"/>
      <c r="RAT66" s="3"/>
      <c r="RAU66" s="3"/>
      <c r="RAV66" s="3"/>
      <c r="RAW66" s="3"/>
      <c r="RAX66" s="3"/>
      <c r="RAY66" s="3"/>
      <c r="RAZ66" s="3"/>
      <c r="RBA66" s="3"/>
      <c r="RBB66" s="3"/>
      <c r="RBC66" s="3"/>
      <c r="RBD66" s="3"/>
      <c r="RBE66" s="3"/>
      <c r="RBF66" s="3"/>
      <c r="RBG66" s="3"/>
      <c r="RBH66" s="3"/>
      <c r="RBI66" s="3"/>
      <c r="RBJ66" s="3"/>
      <c r="RBK66" s="3"/>
      <c r="RBL66" s="3"/>
      <c r="RBM66" s="3"/>
      <c r="RBN66" s="3"/>
      <c r="RBO66" s="3"/>
      <c r="RBP66" s="3"/>
      <c r="RBQ66" s="3"/>
      <c r="RBR66" s="3"/>
      <c r="RBS66" s="3"/>
      <c r="RBT66" s="3"/>
      <c r="RBU66" s="3"/>
      <c r="RBV66" s="3"/>
      <c r="RBW66" s="3"/>
      <c r="RBX66" s="3"/>
      <c r="RBY66" s="3"/>
      <c r="RBZ66" s="3"/>
      <c r="RCA66" s="3"/>
      <c r="RCB66" s="3"/>
      <c r="RCC66" s="3"/>
      <c r="RCD66" s="3"/>
      <c r="RCE66" s="3"/>
      <c r="RCF66" s="3"/>
      <c r="RCG66" s="3"/>
      <c r="RCH66" s="3"/>
      <c r="RCI66" s="3"/>
      <c r="RCJ66" s="3"/>
      <c r="RCK66" s="3"/>
      <c r="RCL66" s="3"/>
      <c r="RCM66" s="3"/>
      <c r="RCN66" s="3"/>
      <c r="RCO66" s="3"/>
      <c r="RCP66" s="3"/>
      <c r="RCQ66" s="3"/>
      <c r="RCR66" s="3"/>
      <c r="RCS66" s="3"/>
      <c r="RCT66" s="3"/>
      <c r="RCU66" s="3"/>
      <c r="RCV66" s="3"/>
      <c r="RCW66" s="3"/>
      <c r="RCX66" s="3"/>
      <c r="RCY66" s="3"/>
      <c r="RCZ66" s="3"/>
      <c r="RDA66" s="3"/>
      <c r="RDB66" s="3"/>
      <c r="RDC66" s="3"/>
      <c r="RDD66" s="3"/>
      <c r="RDE66" s="3"/>
      <c r="RDF66" s="3"/>
      <c r="RDG66" s="3"/>
      <c r="RDH66" s="3"/>
      <c r="RDI66" s="3"/>
      <c r="RDJ66" s="3"/>
      <c r="RDK66" s="3"/>
      <c r="RDL66" s="3"/>
      <c r="RDM66" s="3"/>
      <c r="RDN66" s="3"/>
      <c r="RDO66" s="3"/>
      <c r="RDP66" s="3"/>
      <c r="RDQ66" s="3"/>
      <c r="RDR66" s="3"/>
      <c r="RDS66" s="3"/>
      <c r="RDT66" s="3"/>
      <c r="RDU66" s="3"/>
      <c r="RDV66" s="3"/>
      <c r="RDW66" s="3"/>
      <c r="RDX66" s="3"/>
      <c r="RDY66" s="3"/>
      <c r="RDZ66" s="3"/>
      <c r="REA66" s="3"/>
      <c r="REB66" s="3"/>
      <c r="REC66" s="3"/>
      <c r="RED66" s="3"/>
      <c r="REE66" s="3"/>
      <c r="REF66" s="3"/>
      <c r="REG66" s="3"/>
      <c r="REH66" s="3"/>
      <c r="REI66" s="3"/>
      <c r="REJ66" s="3"/>
      <c r="REK66" s="3"/>
      <c r="REL66" s="3"/>
      <c r="REM66" s="3"/>
      <c r="REN66" s="3"/>
      <c r="REO66" s="3"/>
      <c r="REP66" s="3"/>
      <c r="REQ66" s="3"/>
      <c r="RER66" s="3"/>
      <c r="RES66" s="3"/>
      <c r="RET66" s="3"/>
      <c r="REU66" s="3"/>
      <c r="REV66" s="3"/>
      <c r="REW66" s="3"/>
      <c r="REX66" s="3"/>
      <c r="REY66" s="3"/>
      <c r="REZ66" s="3"/>
      <c r="RFA66" s="3"/>
      <c r="RFB66" s="3"/>
      <c r="RFC66" s="3"/>
      <c r="RFD66" s="3"/>
      <c r="RFE66" s="3"/>
      <c r="RFF66" s="3"/>
      <c r="RFG66" s="3"/>
      <c r="RFH66" s="3"/>
      <c r="RFI66" s="3"/>
      <c r="RFJ66" s="3"/>
      <c r="RFK66" s="3"/>
      <c r="RFL66" s="3"/>
      <c r="RFM66" s="3"/>
      <c r="RFN66" s="3"/>
      <c r="RFO66" s="3"/>
      <c r="RFP66" s="3"/>
      <c r="RFQ66" s="3"/>
      <c r="RFR66" s="3"/>
      <c r="RFS66" s="3"/>
      <c r="RFT66" s="3"/>
      <c r="RFU66" s="3"/>
      <c r="RFV66" s="3"/>
      <c r="RFW66" s="3"/>
      <c r="RFX66" s="3"/>
      <c r="RFY66" s="3"/>
      <c r="RFZ66" s="3"/>
      <c r="RGA66" s="3"/>
      <c r="RGB66" s="3"/>
      <c r="RGC66" s="3"/>
      <c r="RGD66" s="3"/>
      <c r="RGE66" s="3"/>
      <c r="RGF66" s="3"/>
      <c r="RGG66" s="3"/>
      <c r="RGH66" s="3"/>
      <c r="RGI66" s="3"/>
      <c r="RGJ66" s="3"/>
      <c r="RGK66" s="3"/>
      <c r="RGL66" s="3"/>
      <c r="RGM66" s="3"/>
      <c r="RGN66" s="3"/>
      <c r="RGO66" s="3"/>
      <c r="RGP66" s="3"/>
      <c r="RGQ66" s="3"/>
      <c r="RGR66" s="3"/>
      <c r="RGS66" s="3"/>
      <c r="RGT66" s="3"/>
      <c r="RGU66" s="3"/>
      <c r="RGV66" s="3"/>
      <c r="RGW66" s="3"/>
      <c r="RGX66" s="3"/>
      <c r="RGY66" s="3"/>
      <c r="RGZ66" s="3"/>
      <c r="RHA66" s="3"/>
      <c r="RHB66" s="3"/>
      <c r="RHC66" s="3"/>
      <c r="RHD66" s="3"/>
      <c r="RHE66" s="3"/>
      <c r="RHF66" s="3"/>
      <c r="RHG66" s="3"/>
      <c r="RHH66" s="3"/>
      <c r="RHI66" s="3"/>
      <c r="RHJ66" s="3"/>
      <c r="RHK66" s="3"/>
      <c r="RHL66" s="3"/>
      <c r="RHM66" s="3"/>
      <c r="RHN66" s="3"/>
      <c r="RHO66" s="3"/>
      <c r="RHP66" s="3"/>
      <c r="RHQ66" s="3"/>
      <c r="RHR66" s="3"/>
      <c r="RHS66" s="3"/>
      <c r="RHT66" s="3"/>
      <c r="RHU66" s="3"/>
      <c r="RHV66" s="3"/>
      <c r="RHW66" s="3"/>
      <c r="RHX66" s="3"/>
      <c r="RHY66" s="3"/>
      <c r="RHZ66" s="3"/>
      <c r="RIA66" s="3"/>
      <c r="RIB66" s="3"/>
      <c r="RIC66" s="3"/>
      <c r="RID66" s="3"/>
      <c r="RIE66" s="3"/>
      <c r="RIF66" s="3"/>
      <c r="RIG66" s="3"/>
      <c r="RIH66" s="3"/>
      <c r="RII66" s="3"/>
      <c r="RIJ66" s="3"/>
      <c r="RIK66" s="3"/>
      <c r="RIL66" s="3"/>
      <c r="RIM66" s="3"/>
      <c r="RIN66" s="3"/>
      <c r="RIO66" s="3"/>
      <c r="RIP66" s="3"/>
      <c r="RIQ66" s="3"/>
      <c r="RIR66" s="3"/>
      <c r="RIS66" s="3"/>
      <c r="RIT66" s="3"/>
      <c r="RIU66" s="3"/>
      <c r="RIV66" s="3"/>
      <c r="RIW66" s="3"/>
      <c r="RIX66" s="3"/>
      <c r="RIY66" s="3"/>
      <c r="RIZ66" s="3"/>
      <c r="RJA66" s="3"/>
      <c r="RJB66" s="3"/>
      <c r="RJC66" s="3"/>
      <c r="RJD66" s="3"/>
      <c r="RJE66" s="3"/>
      <c r="RJF66" s="3"/>
      <c r="RJG66" s="3"/>
      <c r="RJH66" s="3"/>
      <c r="RJI66" s="3"/>
      <c r="RJJ66" s="3"/>
      <c r="RJK66" s="3"/>
      <c r="RJL66" s="3"/>
      <c r="RJM66" s="3"/>
      <c r="RJN66" s="3"/>
      <c r="RJO66" s="3"/>
      <c r="RJP66" s="3"/>
      <c r="RJQ66" s="3"/>
      <c r="RJR66" s="3"/>
      <c r="RJS66" s="3"/>
      <c r="RJT66" s="3"/>
      <c r="RJU66" s="3"/>
      <c r="RJV66" s="3"/>
      <c r="RJW66" s="3"/>
      <c r="RJX66" s="3"/>
      <c r="RJY66" s="3"/>
      <c r="RJZ66" s="3"/>
      <c r="RKA66" s="3"/>
      <c r="RKB66" s="3"/>
      <c r="RKC66" s="3"/>
      <c r="RKD66" s="3"/>
      <c r="RKE66" s="3"/>
      <c r="RKF66" s="3"/>
      <c r="RKG66" s="3"/>
      <c r="RKH66" s="3"/>
      <c r="RKI66" s="3"/>
      <c r="RKJ66" s="3"/>
      <c r="RKK66" s="3"/>
      <c r="RKL66" s="3"/>
      <c r="RKM66" s="3"/>
      <c r="RKN66" s="3"/>
      <c r="RKO66" s="3"/>
      <c r="RKP66" s="3"/>
      <c r="RKQ66" s="3"/>
      <c r="RKR66" s="3"/>
      <c r="RKS66" s="3"/>
      <c r="RKT66" s="3"/>
      <c r="RKU66" s="3"/>
      <c r="RKV66" s="3"/>
      <c r="RKW66" s="3"/>
      <c r="RKX66" s="3"/>
      <c r="RKY66" s="3"/>
      <c r="RKZ66" s="3"/>
      <c r="RLA66" s="3"/>
      <c r="RLB66" s="3"/>
      <c r="RLC66" s="3"/>
      <c r="RLD66" s="3"/>
      <c r="RLE66" s="3"/>
      <c r="RLF66" s="3"/>
      <c r="RLG66" s="3"/>
      <c r="RLH66" s="3"/>
      <c r="RLI66" s="3"/>
      <c r="RLJ66" s="3"/>
      <c r="RLK66" s="3"/>
      <c r="RLL66" s="3"/>
      <c r="RLM66" s="3"/>
      <c r="RLN66" s="3"/>
      <c r="RLO66" s="3"/>
      <c r="RLP66" s="3"/>
      <c r="RLQ66" s="3"/>
      <c r="RLR66" s="3"/>
      <c r="RLS66" s="3"/>
      <c r="RLT66" s="3"/>
      <c r="RLU66" s="3"/>
      <c r="RLV66" s="3"/>
      <c r="RLW66" s="3"/>
      <c r="RLX66" s="3"/>
      <c r="RLY66" s="3"/>
      <c r="RLZ66" s="3"/>
      <c r="RMA66" s="3"/>
      <c r="RMB66" s="3"/>
      <c r="RMC66" s="3"/>
      <c r="RMD66" s="3"/>
      <c r="RME66" s="3"/>
      <c r="RMF66" s="3"/>
      <c r="RMG66" s="3"/>
      <c r="RMH66" s="3"/>
      <c r="RMI66" s="3"/>
      <c r="RMJ66" s="3"/>
      <c r="RMK66" s="3"/>
      <c r="RML66" s="3"/>
      <c r="RMM66" s="3"/>
      <c r="RMN66" s="3"/>
      <c r="RMO66" s="3"/>
      <c r="RMP66" s="3"/>
      <c r="RMQ66" s="3"/>
      <c r="RMR66" s="3"/>
      <c r="RMS66" s="3"/>
      <c r="RMT66" s="3"/>
      <c r="RMU66" s="3"/>
      <c r="RMV66" s="3"/>
      <c r="RMW66" s="3"/>
      <c r="RMX66" s="3"/>
      <c r="RMY66" s="3"/>
      <c r="RMZ66" s="3"/>
      <c r="RNA66" s="3"/>
      <c r="RNB66" s="3"/>
      <c r="RNC66" s="3"/>
      <c r="RND66" s="3"/>
      <c r="RNE66" s="3"/>
      <c r="RNF66" s="3"/>
      <c r="RNG66" s="3"/>
      <c r="RNH66" s="3"/>
      <c r="RNI66" s="3"/>
      <c r="RNJ66" s="3"/>
      <c r="RNK66" s="3"/>
      <c r="RNL66" s="3"/>
      <c r="RNM66" s="3"/>
      <c r="RNN66" s="3"/>
      <c r="RNO66" s="3"/>
      <c r="RNP66" s="3"/>
      <c r="RNQ66" s="3"/>
      <c r="RNR66" s="3"/>
      <c r="RNS66" s="3"/>
      <c r="RNT66" s="3"/>
      <c r="RNU66" s="3"/>
      <c r="RNV66" s="3"/>
      <c r="RNW66" s="3"/>
      <c r="RNX66" s="3"/>
      <c r="RNY66" s="3"/>
      <c r="RNZ66" s="3"/>
      <c r="ROA66" s="3"/>
      <c r="ROB66" s="3"/>
      <c r="ROC66" s="3"/>
      <c r="ROD66" s="3"/>
      <c r="ROE66" s="3"/>
      <c r="ROF66" s="3"/>
      <c r="ROG66" s="3"/>
      <c r="ROH66" s="3"/>
      <c r="ROI66" s="3"/>
      <c r="ROJ66" s="3"/>
      <c r="ROK66" s="3"/>
      <c r="ROL66" s="3"/>
      <c r="ROM66" s="3"/>
      <c r="RON66" s="3"/>
      <c r="ROO66" s="3"/>
      <c r="ROP66" s="3"/>
      <c r="ROQ66" s="3"/>
      <c r="ROR66" s="3"/>
      <c r="ROS66" s="3"/>
      <c r="ROT66" s="3"/>
      <c r="ROU66" s="3"/>
      <c r="ROV66" s="3"/>
      <c r="ROW66" s="3"/>
      <c r="ROX66" s="3"/>
      <c r="ROY66" s="3"/>
      <c r="ROZ66" s="3"/>
      <c r="RPA66" s="3"/>
      <c r="RPB66" s="3"/>
      <c r="RPC66" s="3"/>
      <c r="RPD66" s="3"/>
      <c r="RPE66" s="3"/>
      <c r="RPF66" s="3"/>
      <c r="RPG66" s="3"/>
      <c r="RPH66" s="3"/>
      <c r="RPI66" s="3"/>
      <c r="RPJ66" s="3"/>
      <c r="RPK66" s="3"/>
      <c r="RPL66" s="3"/>
      <c r="RPM66" s="3"/>
      <c r="RPN66" s="3"/>
      <c r="RPO66" s="3"/>
      <c r="RPP66" s="3"/>
      <c r="RPQ66" s="3"/>
      <c r="RPR66" s="3"/>
      <c r="RPS66" s="3"/>
      <c r="RPT66" s="3"/>
      <c r="RPU66" s="3"/>
      <c r="RPV66" s="3"/>
      <c r="RPW66" s="3"/>
      <c r="RPX66" s="3"/>
      <c r="RPY66" s="3"/>
      <c r="RPZ66" s="3"/>
      <c r="RQA66" s="3"/>
      <c r="RQB66" s="3"/>
      <c r="RQC66" s="3"/>
      <c r="RQD66" s="3"/>
      <c r="RQE66" s="3"/>
      <c r="RQF66" s="3"/>
      <c r="RQG66" s="3"/>
      <c r="RQH66" s="3"/>
      <c r="RQI66" s="3"/>
      <c r="RQJ66" s="3"/>
      <c r="RQK66" s="3"/>
      <c r="RQL66" s="3"/>
      <c r="RQM66" s="3"/>
      <c r="RQN66" s="3"/>
      <c r="RQO66" s="3"/>
      <c r="RQP66" s="3"/>
      <c r="RQQ66" s="3"/>
      <c r="RQR66" s="3"/>
      <c r="RQS66" s="3"/>
      <c r="RQT66" s="3"/>
      <c r="RQU66" s="3"/>
      <c r="RQV66" s="3"/>
      <c r="RQW66" s="3"/>
      <c r="RQX66" s="3"/>
      <c r="RQY66" s="3"/>
      <c r="RQZ66" s="3"/>
      <c r="RRA66" s="3"/>
      <c r="RRB66" s="3"/>
      <c r="RRC66" s="3"/>
      <c r="RRD66" s="3"/>
      <c r="RRE66" s="3"/>
      <c r="RRF66" s="3"/>
      <c r="RRG66" s="3"/>
      <c r="RRH66" s="3"/>
      <c r="RRI66" s="3"/>
      <c r="RRJ66" s="3"/>
      <c r="RRK66" s="3"/>
      <c r="RRL66" s="3"/>
      <c r="RRM66" s="3"/>
      <c r="RRN66" s="3"/>
      <c r="RRO66" s="3"/>
      <c r="RRP66" s="3"/>
      <c r="RRQ66" s="3"/>
      <c r="RRR66" s="3"/>
      <c r="RRS66" s="3"/>
      <c r="RRT66" s="3"/>
      <c r="RRU66" s="3"/>
      <c r="RRV66" s="3"/>
      <c r="RRW66" s="3"/>
      <c r="RRX66" s="3"/>
      <c r="RRY66" s="3"/>
      <c r="RRZ66" s="3"/>
      <c r="RSA66" s="3"/>
      <c r="RSB66" s="3"/>
      <c r="RSC66" s="3"/>
      <c r="RSD66" s="3"/>
      <c r="RSE66" s="3"/>
      <c r="RSF66" s="3"/>
      <c r="RSG66" s="3"/>
      <c r="RSH66" s="3"/>
      <c r="RSI66" s="3"/>
      <c r="RSJ66" s="3"/>
      <c r="RSK66" s="3"/>
      <c r="RSL66" s="3"/>
      <c r="RSM66" s="3"/>
      <c r="RSN66" s="3"/>
      <c r="RSO66" s="3"/>
      <c r="RSP66" s="3"/>
      <c r="RSQ66" s="3"/>
      <c r="RSR66" s="3"/>
      <c r="RSS66" s="3"/>
      <c r="RST66" s="3"/>
      <c r="RSU66" s="3"/>
      <c r="RSV66" s="3"/>
      <c r="RSW66" s="3"/>
      <c r="RSX66" s="3"/>
      <c r="RSY66" s="3"/>
      <c r="RSZ66" s="3"/>
      <c r="RTA66" s="3"/>
      <c r="RTB66" s="3"/>
      <c r="RTC66" s="3"/>
      <c r="RTD66" s="3"/>
      <c r="RTE66" s="3"/>
      <c r="RTF66" s="3"/>
      <c r="RTG66" s="3"/>
      <c r="RTH66" s="3"/>
      <c r="RTI66" s="3"/>
      <c r="RTJ66" s="3"/>
      <c r="RTK66" s="3"/>
      <c r="RTL66" s="3"/>
      <c r="RTM66" s="3"/>
      <c r="RTN66" s="3"/>
      <c r="RTO66" s="3"/>
      <c r="RTP66" s="3"/>
      <c r="RTQ66" s="3"/>
      <c r="RTR66" s="3"/>
      <c r="RTS66" s="3"/>
      <c r="RTT66" s="3"/>
      <c r="RTU66" s="3"/>
      <c r="RTV66" s="3"/>
      <c r="RTW66" s="3"/>
      <c r="RTX66" s="3"/>
      <c r="RTY66" s="3"/>
      <c r="RTZ66" s="3"/>
      <c r="RUA66" s="3"/>
      <c r="RUB66" s="3"/>
      <c r="RUC66" s="3"/>
      <c r="RUD66" s="3"/>
      <c r="RUE66" s="3"/>
      <c r="RUF66" s="3"/>
      <c r="RUG66" s="3"/>
      <c r="RUH66" s="3"/>
      <c r="RUI66" s="3"/>
      <c r="RUJ66" s="3"/>
      <c r="RUK66" s="3"/>
      <c r="RUL66" s="3"/>
      <c r="RUM66" s="3"/>
      <c r="RUN66" s="3"/>
      <c r="RUO66" s="3"/>
      <c r="RUP66" s="3"/>
      <c r="RUQ66" s="3"/>
      <c r="RUR66" s="3"/>
      <c r="RUS66" s="3"/>
      <c r="RUT66" s="3"/>
      <c r="RUU66" s="3"/>
      <c r="RUV66" s="3"/>
      <c r="RUW66" s="3"/>
      <c r="RUX66" s="3"/>
      <c r="RUY66" s="3"/>
      <c r="RUZ66" s="3"/>
      <c r="RVA66" s="3"/>
      <c r="RVB66" s="3"/>
      <c r="RVC66" s="3"/>
      <c r="RVD66" s="3"/>
      <c r="RVE66" s="3"/>
      <c r="RVF66" s="3"/>
      <c r="RVG66" s="3"/>
      <c r="RVH66" s="3"/>
      <c r="RVI66" s="3"/>
      <c r="RVJ66" s="3"/>
      <c r="RVK66" s="3"/>
      <c r="RVL66" s="3"/>
      <c r="RVM66" s="3"/>
      <c r="RVN66" s="3"/>
      <c r="RVO66" s="3"/>
      <c r="RVP66" s="3"/>
      <c r="RVQ66" s="3"/>
      <c r="RVR66" s="3"/>
      <c r="RVS66" s="3"/>
      <c r="RVT66" s="3"/>
      <c r="RVU66" s="3"/>
      <c r="RVV66" s="3"/>
      <c r="RVW66" s="3"/>
      <c r="RVX66" s="3"/>
      <c r="RVY66" s="3"/>
      <c r="RVZ66" s="3"/>
      <c r="RWA66" s="3"/>
      <c r="RWB66" s="3"/>
      <c r="RWC66" s="3"/>
      <c r="RWD66" s="3"/>
      <c r="RWE66" s="3"/>
      <c r="RWF66" s="3"/>
      <c r="RWG66" s="3"/>
      <c r="RWH66" s="3"/>
      <c r="RWI66" s="3"/>
      <c r="RWJ66" s="3"/>
      <c r="RWK66" s="3"/>
      <c r="RWL66" s="3"/>
      <c r="RWM66" s="3"/>
      <c r="RWN66" s="3"/>
      <c r="RWO66" s="3"/>
      <c r="RWP66" s="3"/>
      <c r="RWQ66" s="3"/>
      <c r="RWR66" s="3"/>
      <c r="RWS66" s="3"/>
      <c r="RWT66" s="3"/>
      <c r="RWU66" s="3"/>
      <c r="RWV66" s="3"/>
      <c r="RWW66" s="3"/>
      <c r="RWX66" s="3"/>
      <c r="RWY66" s="3"/>
      <c r="RWZ66" s="3"/>
      <c r="RXA66" s="3"/>
      <c r="RXB66" s="3"/>
      <c r="RXC66" s="3"/>
      <c r="RXD66" s="3"/>
      <c r="RXE66" s="3"/>
      <c r="RXF66" s="3"/>
      <c r="RXG66" s="3"/>
      <c r="RXH66" s="3"/>
      <c r="RXI66" s="3"/>
      <c r="RXJ66" s="3"/>
      <c r="RXK66" s="3"/>
      <c r="RXL66" s="3"/>
      <c r="RXM66" s="3"/>
      <c r="RXN66" s="3"/>
      <c r="RXO66" s="3"/>
      <c r="RXP66" s="3"/>
      <c r="RXQ66" s="3"/>
      <c r="RXR66" s="3"/>
      <c r="RXS66" s="3"/>
      <c r="RXT66" s="3"/>
      <c r="RXU66" s="3"/>
      <c r="RXV66" s="3"/>
      <c r="RXW66" s="3"/>
      <c r="RXX66" s="3"/>
      <c r="RXY66" s="3"/>
      <c r="RXZ66" s="3"/>
      <c r="RYA66" s="3"/>
      <c r="RYB66" s="3"/>
      <c r="RYC66" s="3"/>
      <c r="RYD66" s="3"/>
      <c r="RYE66" s="3"/>
      <c r="RYF66" s="3"/>
      <c r="RYG66" s="3"/>
      <c r="RYH66" s="3"/>
      <c r="RYI66" s="3"/>
      <c r="RYJ66" s="3"/>
      <c r="RYK66" s="3"/>
      <c r="RYL66" s="3"/>
      <c r="RYM66" s="3"/>
      <c r="RYN66" s="3"/>
      <c r="RYO66" s="3"/>
      <c r="RYP66" s="3"/>
      <c r="RYQ66" s="3"/>
      <c r="RYR66" s="3"/>
      <c r="RYS66" s="3"/>
      <c r="RYT66" s="3"/>
      <c r="RYU66" s="3"/>
      <c r="RYV66" s="3"/>
      <c r="RYW66" s="3"/>
      <c r="RYX66" s="3"/>
      <c r="RYY66" s="3"/>
      <c r="RYZ66" s="3"/>
      <c r="RZA66" s="3"/>
      <c r="RZB66" s="3"/>
      <c r="RZC66" s="3"/>
      <c r="RZD66" s="3"/>
      <c r="RZE66" s="3"/>
      <c r="RZF66" s="3"/>
      <c r="RZG66" s="3"/>
      <c r="RZH66" s="3"/>
      <c r="RZI66" s="3"/>
      <c r="RZJ66" s="3"/>
      <c r="RZK66" s="3"/>
      <c r="RZL66" s="3"/>
      <c r="RZM66" s="3"/>
      <c r="RZN66" s="3"/>
      <c r="RZO66" s="3"/>
      <c r="RZP66" s="3"/>
      <c r="RZQ66" s="3"/>
      <c r="RZR66" s="3"/>
      <c r="RZS66" s="3"/>
      <c r="RZT66" s="3"/>
      <c r="RZU66" s="3"/>
      <c r="RZV66" s="3"/>
      <c r="RZW66" s="3"/>
      <c r="RZX66" s="3"/>
      <c r="RZY66" s="3"/>
      <c r="RZZ66" s="3"/>
      <c r="SAA66" s="3"/>
      <c r="SAB66" s="3"/>
      <c r="SAC66" s="3"/>
      <c r="SAD66" s="3"/>
      <c r="SAE66" s="3"/>
      <c r="SAF66" s="3"/>
      <c r="SAG66" s="3"/>
      <c r="SAH66" s="3"/>
      <c r="SAI66" s="3"/>
      <c r="SAJ66" s="3"/>
      <c r="SAK66" s="3"/>
      <c r="SAL66" s="3"/>
      <c r="SAM66" s="3"/>
      <c r="SAN66" s="3"/>
      <c r="SAO66" s="3"/>
      <c r="SAP66" s="3"/>
      <c r="SAQ66" s="3"/>
      <c r="SAR66" s="3"/>
      <c r="SAS66" s="3"/>
      <c r="SAT66" s="3"/>
      <c r="SAU66" s="3"/>
      <c r="SAV66" s="3"/>
      <c r="SAW66" s="3"/>
      <c r="SAX66" s="3"/>
      <c r="SAY66" s="3"/>
      <c r="SAZ66" s="3"/>
      <c r="SBA66" s="3"/>
      <c r="SBB66" s="3"/>
      <c r="SBC66" s="3"/>
      <c r="SBD66" s="3"/>
      <c r="SBE66" s="3"/>
      <c r="SBF66" s="3"/>
      <c r="SBG66" s="3"/>
      <c r="SBH66" s="3"/>
      <c r="SBI66" s="3"/>
      <c r="SBJ66" s="3"/>
      <c r="SBK66" s="3"/>
      <c r="SBL66" s="3"/>
      <c r="SBM66" s="3"/>
      <c r="SBN66" s="3"/>
      <c r="SBO66" s="3"/>
      <c r="SBP66" s="3"/>
      <c r="SBQ66" s="3"/>
      <c r="SBR66" s="3"/>
      <c r="SBS66" s="3"/>
      <c r="SBT66" s="3"/>
      <c r="SBU66" s="3"/>
      <c r="SBV66" s="3"/>
      <c r="SBW66" s="3"/>
      <c r="SBX66" s="3"/>
      <c r="SBY66" s="3"/>
      <c r="SBZ66" s="3"/>
      <c r="SCA66" s="3"/>
      <c r="SCB66" s="3"/>
      <c r="SCC66" s="3"/>
      <c r="SCD66" s="3"/>
      <c r="SCE66" s="3"/>
      <c r="SCF66" s="3"/>
      <c r="SCG66" s="3"/>
      <c r="SCH66" s="3"/>
      <c r="SCI66" s="3"/>
      <c r="SCJ66" s="3"/>
      <c r="SCK66" s="3"/>
      <c r="SCL66" s="3"/>
      <c r="SCM66" s="3"/>
      <c r="SCN66" s="3"/>
      <c r="SCO66" s="3"/>
      <c r="SCP66" s="3"/>
      <c r="SCQ66" s="3"/>
      <c r="SCR66" s="3"/>
      <c r="SCS66" s="3"/>
      <c r="SCT66" s="3"/>
      <c r="SCU66" s="3"/>
      <c r="SCV66" s="3"/>
      <c r="SCW66" s="3"/>
      <c r="SCX66" s="3"/>
      <c r="SCY66" s="3"/>
      <c r="SCZ66" s="3"/>
      <c r="SDA66" s="3"/>
      <c r="SDB66" s="3"/>
      <c r="SDC66" s="3"/>
      <c r="SDD66" s="3"/>
      <c r="SDE66" s="3"/>
      <c r="SDF66" s="3"/>
      <c r="SDG66" s="3"/>
      <c r="SDH66" s="3"/>
      <c r="SDI66" s="3"/>
      <c r="SDJ66" s="3"/>
      <c r="SDK66" s="3"/>
      <c r="SDL66" s="3"/>
      <c r="SDM66" s="3"/>
      <c r="SDN66" s="3"/>
      <c r="SDO66" s="3"/>
      <c r="SDP66" s="3"/>
      <c r="SDQ66" s="3"/>
      <c r="SDR66" s="3"/>
      <c r="SDS66" s="3"/>
      <c r="SDT66" s="3"/>
      <c r="SDU66" s="3"/>
      <c r="SDV66" s="3"/>
      <c r="SDW66" s="3"/>
      <c r="SDX66" s="3"/>
      <c r="SDY66" s="3"/>
      <c r="SDZ66" s="3"/>
      <c r="SEA66" s="3"/>
      <c r="SEB66" s="3"/>
      <c r="SEC66" s="3"/>
      <c r="SED66" s="3"/>
      <c r="SEE66" s="3"/>
      <c r="SEF66" s="3"/>
      <c r="SEG66" s="3"/>
      <c r="SEH66" s="3"/>
      <c r="SEI66" s="3"/>
      <c r="SEJ66" s="3"/>
      <c r="SEK66" s="3"/>
      <c r="SEL66" s="3"/>
      <c r="SEM66" s="3"/>
      <c r="SEN66" s="3"/>
      <c r="SEO66" s="3"/>
      <c r="SEP66" s="3"/>
      <c r="SEQ66" s="3"/>
      <c r="SER66" s="3"/>
      <c r="SES66" s="3"/>
      <c r="SET66" s="3"/>
      <c r="SEU66" s="3"/>
      <c r="SEV66" s="3"/>
      <c r="SEW66" s="3"/>
      <c r="SEX66" s="3"/>
      <c r="SEY66" s="3"/>
      <c r="SEZ66" s="3"/>
      <c r="SFA66" s="3"/>
      <c r="SFB66" s="3"/>
      <c r="SFC66" s="3"/>
      <c r="SFD66" s="3"/>
      <c r="SFE66" s="3"/>
      <c r="SFF66" s="3"/>
      <c r="SFG66" s="3"/>
      <c r="SFH66" s="3"/>
      <c r="SFI66" s="3"/>
      <c r="SFJ66" s="3"/>
      <c r="SFK66" s="3"/>
      <c r="SFL66" s="3"/>
      <c r="SFM66" s="3"/>
      <c r="SFN66" s="3"/>
      <c r="SFO66" s="3"/>
      <c r="SFP66" s="3"/>
      <c r="SFQ66" s="3"/>
      <c r="SFR66" s="3"/>
      <c r="SFS66" s="3"/>
      <c r="SFT66" s="3"/>
      <c r="SFU66" s="3"/>
      <c r="SFV66" s="3"/>
      <c r="SFW66" s="3"/>
      <c r="SFX66" s="3"/>
      <c r="SFY66" s="3"/>
      <c r="SFZ66" s="3"/>
      <c r="SGA66" s="3"/>
      <c r="SGB66" s="3"/>
      <c r="SGC66" s="3"/>
      <c r="SGD66" s="3"/>
      <c r="SGE66" s="3"/>
      <c r="SGF66" s="3"/>
      <c r="SGG66" s="3"/>
      <c r="SGH66" s="3"/>
      <c r="SGI66" s="3"/>
      <c r="SGJ66" s="3"/>
      <c r="SGK66" s="3"/>
      <c r="SGL66" s="3"/>
      <c r="SGM66" s="3"/>
      <c r="SGN66" s="3"/>
      <c r="SGO66" s="3"/>
      <c r="SGP66" s="3"/>
      <c r="SGQ66" s="3"/>
      <c r="SGR66" s="3"/>
      <c r="SGS66" s="3"/>
      <c r="SGT66" s="3"/>
      <c r="SGU66" s="3"/>
      <c r="SGV66" s="3"/>
      <c r="SGW66" s="3"/>
      <c r="SGX66" s="3"/>
      <c r="SGY66" s="3"/>
      <c r="SGZ66" s="3"/>
      <c r="SHA66" s="3"/>
      <c r="SHB66" s="3"/>
      <c r="SHC66" s="3"/>
      <c r="SHD66" s="3"/>
      <c r="SHE66" s="3"/>
      <c r="SHF66" s="3"/>
      <c r="SHG66" s="3"/>
      <c r="SHH66" s="3"/>
      <c r="SHI66" s="3"/>
      <c r="SHJ66" s="3"/>
      <c r="SHK66" s="3"/>
      <c r="SHL66" s="3"/>
      <c r="SHM66" s="3"/>
      <c r="SHN66" s="3"/>
      <c r="SHO66" s="3"/>
      <c r="SHP66" s="3"/>
      <c r="SHQ66" s="3"/>
      <c r="SHR66" s="3"/>
      <c r="SHS66" s="3"/>
      <c r="SHT66" s="3"/>
      <c r="SHU66" s="3"/>
      <c r="SHV66" s="3"/>
      <c r="SHW66" s="3"/>
      <c r="SHX66" s="3"/>
      <c r="SHY66" s="3"/>
      <c r="SHZ66" s="3"/>
      <c r="SIA66" s="3"/>
      <c r="SIB66" s="3"/>
      <c r="SIC66" s="3"/>
      <c r="SID66" s="3"/>
      <c r="SIE66" s="3"/>
      <c r="SIF66" s="3"/>
      <c r="SIG66" s="3"/>
      <c r="SIH66" s="3"/>
      <c r="SII66" s="3"/>
      <c r="SIJ66" s="3"/>
      <c r="SIK66" s="3"/>
      <c r="SIL66" s="3"/>
      <c r="SIM66" s="3"/>
      <c r="SIN66" s="3"/>
      <c r="SIO66" s="3"/>
      <c r="SIP66" s="3"/>
      <c r="SIQ66" s="3"/>
      <c r="SIR66" s="3"/>
      <c r="SIS66" s="3"/>
      <c r="SIT66" s="3"/>
      <c r="SIU66" s="3"/>
      <c r="SIV66" s="3"/>
      <c r="SIW66" s="3"/>
      <c r="SIX66" s="3"/>
      <c r="SIY66" s="3"/>
      <c r="SIZ66" s="3"/>
      <c r="SJA66" s="3"/>
      <c r="SJB66" s="3"/>
      <c r="SJC66" s="3"/>
      <c r="SJD66" s="3"/>
      <c r="SJE66" s="3"/>
      <c r="SJF66" s="3"/>
      <c r="SJG66" s="3"/>
      <c r="SJH66" s="3"/>
      <c r="SJI66" s="3"/>
      <c r="SJJ66" s="3"/>
      <c r="SJK66" s="3"/>
      <c r="SJL66" s="3"/>
      <c r="SJM66" s="3"/>
      <c r="SJN66" s="3"/>
      <c r="SJO66" s="3"/>
      <c r="SJP66" s="3"/>
      <c r="SJQ66" s="3"/>
      <c r="SJR66" s="3"/>
      <c r="SJS66" s="3"/>
      <c r="SJT66" s="3"/>
      <c r="SJU66" s="3"/>
      <c r="SJV66" s="3"/>
      <c r="SJW66" s="3"/>
      <c r="SJX66" s="3"/>
      <c r="SJY66" s="3"/>
      <c r="SJZ66" s="3"/>
      <c r="SKA66" s="3"/>
      <c r="SKB66" s="3"/>
      <c r="SKC66" s="3"/>
      <c r="SKD66" s="3"/>
      <c r="SKE66" s="3"/>
      <c r="SKF66" s="3"/>
      <c r="SKG66" s="3"/>
      <c r="SKH66" s="3"/>
      <c r="SKI66" s="3"/>
      <c r="SKJ66" s="3"/>
      <c r="SKK66" s="3"/>
      <c r="SKL66" s="3"/>
      <c r="SKM66" s="3"/>
      <c r="SKN66" s="3"/>
      <c r="SKO66" s="3"/>
      <c r="SKP66" s="3"/>
      <c r="SKQ66" s="3"/>
      <c r="SKR66" s="3"/>
      <c r="SKS66" s="3"/>
      <c r="SKT66" s="3"/>
      <c r="SKU66" s="3"/>
      <c r="SKV66" s="3"/>
      <c r="SKW66" s="3"/>
      <c r="SKX66" s="3"/>
      <c r="SKY66" s="3"/>
      <c r="SKZ66" s="3"/>
      <c r="SLA66" s="3"/>
      <c r="SLB66" s="3"/>
      <c r="SLC66" s="3"/>
      <c r="SLD66" s="3"/>
      <c r="SLE66" s="3"/>
      <c r="SLF66" s="3"/>
      <c r="SLG66" s="3"/>
      <c r="SLH66" s="3"/>
      <c r="SLI66" s="3"/>
      <c r="SLJ66" s="3"/>
      <c r="SLK66" s="3"/>
      <c r="SLL66" s="3"/>
      <c r="SLM66" s="3"/>
      <c r="SLN66" s="3"/>
      <c r="SLO66" s="3"/>
      <c r="SLP66" s="3"/>
      <c r="SLQ66" s="3"/>
      <c r="SLR66" s="3"/>
      <c r="SLS66" s="3"/>
      <c r="SLT66" s="3"/>
      <c r="SLU66" s="3"/>
      <c r="SLV66" s="3"/>
      <c r="SLW66" s="3"/>
      <c r="SLX66" s="3"/>
      <c r="SLY66" s="3"/>
      <c r="SLZ66" s="3"/>
      <c r="SMA66" s="3"/>
      <c r="SMB66" s="3"/>
      <c r="SMC66" s="3"/>
      <c r="SMD66" s="3"/>
      <c r="SME66" s="3"/>
      <c r="SMF66" s="3"/>
      <c r="SMG66" s="3"/>
      <c r="SMH66" s="3"/>
      <c r="SMI66" s="3"/>
      <c r="SMJ66" s="3"/>
      <c r="SMK66" s="3"/>
      <c r="SML66" s="3"/>
      <c r="SMM66" s="3"/>
      <c r="SMN66" s="3"/>
      <c r="SMO66" s="3"/>
      <c r="SMP66" s="3"/>
      <c r="SMQ66" s="3"/>
      <c r="SMR66" s="3"/>
      <c r="SMS66" s="3"/>
      <c r="SMT66" s="3"/>
      <c r="SMU66" s="3"/>
      <c r="SMV66" s="3"/>
      <c r="SMW66" s="3"/>
      <c r="SMX66" s="3"/>
      <c r="SMY66" s="3"/>
      <c r="SMZ66" s="3"/>
      <c r="SNA66" s="3"/>
      <c r="SNB66" s="3"/>
      <c r="SNC66" s="3"/>
      <c r="SND66" s="3"/>
      <c r="SNE66" s="3"/>
      <c r="SNF66" s="3"/>
      <c r="SNG66" s="3"/>
      <c r="SNH66" s="3"/>
      <c r="SNI66" s="3"/>
      <c r="SNJ66" s="3"/>
      <c r="SNK66" s="3"/>
      <c r="SNL66" s="3"/>
      <c r="SNM66" s="3"/>
      <c r="SNN66" s="3"/>
      <c r="SNO66" s="3"/>
      <c r="SNP66" s="3"/>
      <c r="SNQ66" s="3"/>
      <c r="SNR66" s="3"/>
      <c r="SNS66" s="3"/>
      <c r="SNT66" s="3"/>
      <c r="SNU66" s="3"/>
      <c r="SNV66" s="3"/>
      <c r="SNW66" s="3"/>
      <c r="SNX66" s="3"/>
      <c r="SNY66" s="3"/>
      <c r="SNZ66" s="3"/>
      <c r="SOA66" s="3"/>
      <c r="SOB66" s="3"/>
      <c r="SOC66" s="3"/>
      <c r="SOD66" s="3"/>
      <c r="SOE66" s="3"/>
      <c r="SOF66" s="3"/>
      <c r="SOG66" s="3"/>
      <c r="SOH66" s="3"/>
      <c r="SOI66" s="3"/>
      <c r="SOJ66" s="3"/>
      <c r="SOK66" s="3"/>
      <c r="SOL66" s="3"/>
      <c r="SOM66" s="3"/>
      <c r="SON66" s="3"/>
      <c r="SOO66" s="3"/>
      <c r="SOP66" s="3"/>
      <c r="SOQ66" s="3"/>
      <c r="SOR66" s="3"/>
      <c r="SOS66" s="3"/>
      <c r="SOT66" s="3"/>
      <c r="SOU66" s="3"/>
      <c r="SOV66" s="3"/>
      <c r="SOW66" s="3"/>
      <c r="SOX66" s="3"/>
      <c r="SOY66" s="3"/>
      <c r="SOZ66" s="3"/>
      <c r="SPA66" s="3"/>
      <c r="SPB66" s="3"/>
      <c r="SPC66" s="3"/>
      <c r="SPD66" s="3"/>
      <c r="SPE66" s="3"/>
      <c r="SPF66" s="3"/>
      <c r="SPG66" s="3"/>
      <c r="SPH66" s="3"/>
      <c r="SPI66" s="3"/>
      <c r="SPJ66" s="3"/>
      <c r="SPK66" s="3"/>
      <c r="SPL66" s="3"/>
      <c r="SPM66" s="3"/>
      <c r="SPN66" s="3"/>
      <c r="SPO66" s="3"/>
      <c r="SPP66" s="3"/>
      <c r="SPQ66" s="3"/>
      <c r="SPR66" s="3"/>
      <c r="SPS66" s="3"/>
      <c r="SPT66" s="3"/>
      <c r="SPU66" s="3"/>
      <c r="SPV66" s="3"/>
      <c r="SPW66" s="3"/>
      <c r="SPX66" s="3"/>
      <c r="SPY66" s="3"/>
      <c r="SPZ66" s="3"/>
      <c r="SQA66" s="3"/>
      <c r="SQB66" s="3"/>
      <c r="SQC66" s="3"/>
      <c r="SQD66" s="3"/>
      <c r="SQE66" s="3"/>
      <c r="SQF66" s="3"/>
      <c r="SQG66" s="3"/>
      <c r="SQH66" s="3"/>
      <c r="SQI66" s="3"/>
      <c r="SQJ66" s="3"/>
      <c r="SQK66" s="3"/>
      <c r="SQL66" s="3"/>
      <c r="SQM66" s="3"/>
      <c r="SQN66" s="3"/>
      <c r="SQO66" s="3"/>
      <c r="SQP66" s="3"/>
      <c r="SQQ66" s="3"/>
      <c r="SQR66" s="3"/>
      <c r="SQS66" s="3"/>
      <c r="SQT66" s="3"/>
      <c r="SQU66" s="3"/>
      <c r="SQV66" s="3"/>
      <c r="SQW66" s="3"/>
      <c r="SQX66" s="3"/>
      <c r="SQY66" s="3"/>
      <c r="SQZ66" s="3"/>
      <c r="SRA66" s="3"/>
      <c r="SRB66" s="3"/>
      <c r="SRC66" s="3"/>
      <c r="SRD66" s="3"/>
      <c r="SRE66" s="3"/>
      <c r="SRF66" s="3"/>
      <c r="SRG66" s="3"/>
      <c r="SRH66" s="3"/>
      <c r="SRI66" s="3"/>
      <c r="SRJ66" s="3"/>
      <c r="SRK66" s="3"/>
      <c r="SRL66" s="3"/>
      <c r="SRM66" s="3"/>
      <c r="SRN66" s="3"/>
      <c r="SRO66" s="3"/>
      <c r="SRP66" s="3"/>
      <c r="SRQ66" s="3"/>
      <c r="SRR66" s="3"/>
      <c r="SRS66" s="3"/>
      <c r="SRT66" s="3"/>
      <c r="SRU66" s="3"/>
      <c r="SRV66" s="3"/>
      <c r="SRW66" s="3"/>
      <c r="SRX66" s="3"/>
      <c r="SRY66" s="3"/>
      <c r="SRZ66" s="3"/>
      <c r="SSA66" s="3"/>
      <c r="SSB66" s="3"/>
      <c r="SSC66" s="3"/>
      <c r="SSD66" s="3"/>
      <c r="SSE66" s="3"/>
      <c r="SSF66" s="3"/>
      <c r="SSG66" s="3"/>
      <c r="SSH66" s="3"/>
      <c r="SSI66" s="3"/>
      <c r="SSJ66" s="3"/>
      <c r="SSK66" s="3"/>
      <c r="SSL66" s="3"/>
      <c r="SSM66" s="3"/>
      <c r="SSN66" s="3"/>
      <c r="SSO66" s="3"/>
      <c r="SSP66" s="3"/>
      <c r="SSQ66" s="3"/>
      <c r="SSR66" s="3"/>
      <c r="SSS66" s="3"/>
      <c r="SST66" s="3"/>
      <c r="SSU66" s="3"/>
      <c r="SSV66" s="3"/>
      <c r="SSW66" s="3"/>
      <c r="SSX66" s="3"/>
      <c r="SSY66" s="3"/>
      <c r="SSZ66" s="3"/>
      <c r="STA66" s="3"/>
      <c r="STB66" s="3"/>
      <c r="STC66" s="3"/>
      <c r="STD66" s="3"/>
      <c r="STE66" s="3"/>
      <c r="STF66" s="3"/>
      <c r="STG66" s="3"/>
      <c r="STH66" s="3"/>
      <c r="STI66" s="3"/>
      <c r="STJ66" s="3"/>
      <c r="STK66" s="3"/>
      <c r="STL66" s="3"/>
      <c r="STM66" s="3"/>
      <c r="STN66" s="3"/>
      <c r="STO66" s="3"/>
      <c r="STP66" s="3"/>
      <c r="STQ66" s="3"/>
      <c r="STR66" s="3"/>
      <c r="STS66" s="3"/>
      <c r="STT66" s="3"/>
      <c r="STU66" s="3"/>
      <c r="STV66" s="3"/>
      <c r="STW66" s="3"/>
      <c r="STX66" s="3"/>
      <c r="STY66" s="3"/>
      <c r="STZ66" s="3"/>
      <c r="SUA66" s="3"/>
      <c r="SUB66" s="3"/>
      <c r="SUC66" s="3"/>
      <c r="SUD66" s="3"/>
      <c r="SUE66" s="3"/>
      <c r="SUF66" s="3"/>
      <c r="SUG66" s="3"/>
      <c r="SUH66" s="3"/>
      <c r="SUI66" s="3"/>
      <c r="SUJ66" s="3"/>
      <c r="SUK66" s="3"/>
      <c r="SUL66" s="3"/>
      <c r="SUM66" s="3"/>
      <c r="SUN66" s="3"/>
      <c r="SUO66" s="3"/>
      <c r="SUP66" s="3"/>
      <c r="SUQ66" s="3"/>
      <c r="SUR66" s="3"/>
      <c r="SUS66" s="3"/>
      <c r="SUT66" s="3"/>
      <c r="SUU66" s="3"/>
      <c r="SUV66" s="3"/>
      <c r="SUW66" s="3"/>
      <c r="SUX66" s="3"/>
      <c r="SUY66" s="3"/>
      <c r="SUZ66" s="3"/>
      <c r="SVA66" s="3"/>
      <c r="SVB66" s="3"/>
      <c r="SVC66" s="3"/>
      <c r="SVD66" s="3"/>
      <c r="SVE66" s="3"/>
      <c r="SVF66" s="3"/>
      <c r="SVG66" s="3"/>
      <c r="SVH66" s="3"/>
      <c r="SVI66" s="3"/>
      <c r="SVJ66" s="3"/>
      <c r="SVK66" s="3"/>
      <c r="SVL66" s="3"/>
      <c r="SVM66" s="3"/>
      <c r="SVN66" s="3"/>
      <c r="SVO66" s="3"/>
      <c r="SVP66" s="3"/>
      <c r="SVQ66" s="3"/>
      <c r="SVR66" s="3"/>
      <c r="SVS66" s="3"/>
      <c r="SVT66" s="3"/>
      <c r="SVU66" s="3"/>
      <c r="SVV66" s="3"/>
      <c r="SVW66" s="3"/>
      <c r="SVX66" s="3"/>
      <c r="SVY66" s="3"/>
      <c r="SVZ66" s="3"/>
      <c r="SWA66" s="3"/>
      <c r="SWB66" s="3"/>
      <c r="SWC66" s="3"/>
      <c r="SWD66" s="3"/>
      <c r="SWE66" s="3"/>
      <c r="SWF66" s="3"/>
      <c r="SWG66" s="3"/>
      <c r="SWH66" s="3"/>
      <c r="SWI66" s="3"/>
      <c r="SWJ66" s="3"/>
      <c r="SWK66" s="3"/>
      <c r="SWL66" s="3"/>
      <c r="SWM66" s="3"/>
      <c r="SWN66" s="3"/>
      <c r="SWO66" s="3"/>
      <c r="SWP66" s="3"/>
      <c r="SWQ66" s="3"/>
      <c r="SWR66" s="3"/>
      <c r="SWS66" s="3"/>
      <c r="SWT66" s="3"/>
      <c r="SWU66" s="3"/>
      <c r="SWV66" s="3"/>
      <c r="SWW66" s="3"/>
      <c r="SWX66" s="3"/>
      <c r="SWY66" s="3"/>
      <c r="SWZ66" s="3"/>
      <c r="SXA66" s="3"/>
      <c r="SXB66" s="3"/>
      <c r="SXC66" s="3"/>
      <c r="SXD66" s="3"/>
      <c r="SXE66" s="3"/>
      <c r="SXF66" s="3"/>
      <c r="SXG66" s="3"/>
      <c r="SXH66" s="3"/>
      <c r="SXI66" s="3"/>
      <c r="SXJ66" s="3"/>
      <c r="SXK66" s="3"/>
      <c r="SXL66" s="3"/>
      <c r="SXM66" s="3"/>
      <c r="SXN66" s="3"/>
      <c r="SXO66" s="3"/>
      <c r="SXP66" s="3"/>
      <c r="SXQ66" s="3"/>
      <c r="SXR66" s="3"/>
      <c r="SXS66" s="3"/>
      <c r="SXT66" s="3"/>
      <c r="SXU66" s="3"/>
      <c r="SXV66" s="3"/>
      <c r="SXW66" s="3"/>
      <c r="SXX66" s="3"/>
      <c r="SXY66" s="3"/>
      <c r="SXZ66" s="3"/>
      <c r="SYA66" s="3"/>
      <c r="SYB66" s="3"/>
      <c r="SYC66" s="3"/>
      <c r="SYD66" s="3"/>
      <c r="SYE66" s="3"/>
      <c r="SYF66" s="3"/>
      <c r="SYG66" s="3"/>
      <c r="SYH66" s="3"/>
      <c r="SYI66" s="3"/>
      <c r="SYJ66" s="3"/>
      <c r="SYK66" s="3"/>
      <c r="SYL66" s="3"/>
      <c r="SYM66" s="3"/>
      <c r="SYN66" s="3"/>
      <c r="SYO66" s="3"/>
      <c r="SYP66" s="3"/>
      <c r="SYQ66" s="3"/>
      <c r="SYR66" s="3"/>
      <c r="SYS66" s="3"/>
      <c r="SYT66" s="3"/>
      <c r="SYU66" s="3"/>
      <c r="SYV66" s="3"/>
      <c r="SYW66" s="3"/>
      <c r="SYX66" s="3"/>
      <c r="SYY66" s="3"/>
      <c r="SYZ66" s="3"/>
      <c r="SZA66" s="3"/>
      <c r="SZB66" s="3"/>
      <c r="SZC66" s="3"/>
      <c r="SZD66" s="3"/>
      <c r="SZE66" s="3"/>
      <c r="SZF66" s="3"/>
      <c r="SZG66" s="3"/>
      <c r="SZH66" s="3"/>
      <c r="SZI66" s="3"/>
      <c r="SZJ66" s="3"/>
      <c r="SZK66" s="3"/>
      <c r="SZL66" s="3"/>
      <c r="SZM66" s="3"/>
      <c r="SZN66" s="3"/>
      <c r="SZO66" s="3"/>
      <c r="SZP66" s="3"/>
      <c r="SZQ66" s="3"/>
      <c r="SZR66" s="3"/>
      <c r="SZS66" s="3"/>
      <c r="SZT66" s="3"/>
      <c r="SZU66" s="3"/>
      <c r="SZV66" s="3"/>
      <c r="SZW66" s="3"/>
      <c r="SZX66" s="3"/>
      <c r="SZY66" s="3"/>
      <c r="SZZ66" s="3"/>
      <c r="TAA66" s="3"/>
      <c r="TAB66" s="3"/>
      <c r="TAC66" s="3"/>
      <c r="TAD66" s="3"/>
      <c r="TAE66" s="3"/>
      <c r="TAF66" s="3"/>
      <c r="TAG66" s="3"/>
      <c r="TAH66" s="3"/>
      <c r="TAI66" s="3"/>
      <c r="TAJ66" s="3"/>
      <c r="TAK66" s="3"/>
      <c r="TAL66" s="3"/>
      <c r="TAM66" s="3"/>
      <c r="TAN66" s="3"/>
      <c r="TAO66" s="3"/>
      <c r="TAP66" s="3"/>
      <c r="TAQ66" s="3"/>
      <c r="TAR66" s="3"/>
      <c r="TAS66" s="3"/>
      <c r="TAT66" s="3"/>
      <c r="TAU66" s="3"/>
      <c r="TAV66" s="3"/>
      <c r="TAW66" s="3"/>
      <c r="TAX66" s="3"/>
      <c r="TAY66" s="3"/>
      <c r="TAZ66" s="3"/>
      <c r="TBA66" s="3"/>
      <c r="TBB66" s="3"/>
      <c r="TBC66" s="3"/>
      <c r="TBD66" s="3"/>
      <c r="TBE66" s="3"/>
      <c r="TBF66" s="3"/>
      <c r="TBG66" s="3"/>
      <c r="TBH66" s="3"/>
      <c r="TBI66" s="3"/>
      <c r="TBJ66" s="3"/>
      <c r="TBK66" s="3"/>
      <c r="TBL66" s="3"/>
      <c r="TBM66" s="3"/>
      <c r="TBN66" s="3"/>
      <c r="TBO66" s="3"/>
      <c r="TBP66" s="3"/>
      <c r="TBQ66" s="3"/>
      <c r="TBR66" s="3"/>
      <c r="TBS66" s="3"/>
      <c r="TBT66" s="3"/>
      <c r="TBU66" s="3"/>
      <c r="TBV66" s="3"/>
      <c r="TBW66" s="3"/>
      <c r="TBX66" s="3"/>
      <c r="TBY66" s="3"/>
      <c r="TBZ66" s="3"/>
      <c r="TCA66" s="3"/>
      <c r="TCB66" s="3"/>
      <c r="TCC66" s="3"/>
      <c r="TCD66" s="3"/>
      <c r="TCE66" s="3"/>
      <c r="TCF66" s="3"/>
      <c r="TCG66" s="3"/>
      <c r="TCH66" s="3"/>
      <c r="TCI66" s="3"/>
      <c r="TCJ66" s="3"/>
      <c r="TCK66" s="3"/>
      <c r="TCL66" s="3"/>
      <c r="TCM66" s="3"/>
      <c r="TCN66" s="3"/>
      <c r="TCO66" s="3"/>
      <c r="TCP66" s="3"/>
      <c r="TCQ66" s="3"/>
      <c r="TCR66" s="3"/>
      <c r="TCS66" s="3"/>
      <c r="TCT66" s="3"/>
      <c r="TCU66" s="3"/>
      <c r="TCV66" s="3"/>
      <c r="TCW66" s="3"/>
      <c r="TCX66" s="3"/>
      <c r="TCY66" s="3"/>
      <c r="TCZ66" s="3"/>
      <c r="TDA66" s="3"/>
      <c r="TDB66" s="3"/>
      <c r="TDC66" s="3"/>
      <c r="TDD66" s="3"/>
      <c r="TDE66" s="3"/>
      <c r="TDF66" s="3"/>
      <c r="TDG66" s="3"/>
      <c r="TDH66" s="3"/>
      <c r="TDI66" s="3"/>
      <c r="TDJ66" s="3"/>
      <c r="TDK66" s="3"/>
      <c r="TDL66" s="3"/>
      <c r="TDM66" s="3"/>
      <c r="TDN66" s="3"/>
      <c r="TDO66" s="3"/>
      <c r="TDP66" s="3"/>
      <c r="TDQ66" s="3"/>
      <c r="TDR66" s="3"/>
      <c r="TDS66" s="3"/>
      <c r="TDT66" s="3"/>
      <c r="TDU66" s="3"/>
      <c r="TDV66" s="3"/>
      <c r="TDW66" s="3"/>
      <c r="TDX66" s="3"/>
      <c r="TDY66" s="3"/>
      <c r="TDZ66" s="3"/>
      <c r="TEA66" s="3"/>
      <c r="TEB66" s="3"/>
      <c r="TEC66" s="3"/>
      <c r="TED66" s="3"/>
      <c r="TEE66" s="3"/>
      <c r="TEF66" s="3"/>
      <c r="TEG66" s="3"/>
      <c r="TEH66" s="3"/>
      <c r="TEI66" s="3"/>
      <c r="TEJ66" s="3"/>
      <c r="TEK66" s="3"/>
      <c r="TEL66" s="3"/>
      <c r="TEM66" s="3"/>
      <c r="TEN66" s="3"/>
      <c r="TEO66" s="3"/>
      <c r="TEP66" s="3"/>
      <c r="TEQ66" s="3"/>
      <c r="TER66" s="3"/>
      <c r="TES66" s="3"/>
      <c r="TET66" s="3"/>
      <c r="TEU66" s="3"/>
      <c r="TEV66" s="3"/>
      <c r="TEW66" s="3"/>
      <c r="TEX66" s="3"/>
      <c r="TEY66" s="3"/>
      <c r="TEZ66" s="3"/>
      <c r="TFA66" s="3"/>
      <c r="TFB66" s="3"/>
      <c r="TFC66" s="3"/>
      <c r="TFD66" s="3"/>
      <c r="TFE66" s="3"/>
      <c r="TFF66" s="3"/>
      <c r="TFG66" s="3"/>
      <c r="TFH66" s="3"/>
      <c r="TFI66" s="3"/>
      <c r="TFJ66" s="3"/>
      <c r="TFK66" s="3"/>
      <c r="TFL66" s="3"/>
      <c r="TFM66" s="3"/>
      <c r="TFN66" s="3"/>
      <c r="TFO66" s="3"/>
      <c r="TFP66" s="3"/>
      <c r="TFQ66" s="3"/>
      <c r="TFR66" s="3"/>
      <c r="TFS66" s="3"/>
      <c r="TFT66" s="3"/>
      <c r="TFU66" s="3"/>
      <c r="TFV66" s="3"/>
      <c r="TFW66" s="3"/>
      <c r="TFX66" s="3"/>
      <c r="TFY66" s="3"/>
      <c r="TFZ66" s="3"/>
      <c r="TGA66" s="3"/>
      <c r="TGB66" s="3"/>
      <c r="TGC66" s="3"/>
      <c r="TGD66" s="3"/>
      <c r="TGE66" s="3"/>
      <c r="TGF66" s="3"/>
      <c r="TGG66" s="3"/>
      <c r="TGH66" s="3"/>
      <c r="TGI66" s="3"/>
      <c r="TGJ66" s="3"/>
      <c r="TGK66" s="3"/>
      <c r="TGL66" s="3"/>
      <c r="TGM66" s="3"/>
      <c r="TGN66" s="3"/>
      <c r="TGO66" s="3"/>
      <c r="TGP66" s="3"/>
      <c r="TGQ66" s="3"/>
      <c r="TGR66" s="3"/>
      <c r="TGS66" s="3"/>
      <c r="TGT66" s="3"/>
      <c r="TGU66" s="3"/>
      <c r="TGV66" s="3"/>
      <c r="TGW66" s="3"/>
      <c r="TGX66" s="3"/>
      <c r="TGY66" s="3"/>
      <c r="TGZ66" s="3"/>
      <c r="THA66" s="3"/>
      <c r="THB66" s="3"/>
      <c r="THC66" s="3"/>
      <c r="THD66" s="3"/>
      <c r="THE66" s="3"/>
      <c r="THF66" s="3"/>
      <c r="THG66" s="3"/>
      <c r="THH66" s="3"/>
      <c r="THI66" s="3"/>
      <c r="THJ66" s="3"/>
      <c r="THK66" s="3"/>
      <c r="THL66" s="3"/>
      <c r="THM66" s="3"/>
      <c r="THN66" s="3"/>
      <c r="THO66" s="3"/>
      <c r="THP66" s="3"/>
      <c r="THQ66" s="3"/>
      <c r="THR66" s="3"/>
      <c r="THS66" s="3"/>
      <c r="THT66" s="3"/>
      <c r="THU66" s="3"/>
      <c r="THV66" s="3"/>
      <c r="THW66" s="3"/>
      <c r="THX66" s="3"/>
      <c r="THY66" s="3"/>
      <c r="THZ66" s="3"/>
      <c r="TIA66" s="3"/>
      <c r="TIB66" s="3"/>
      <c r="TIC66" s="3"/>
      <c r="TID66" s="3"/>
      <c r="TIE66" s="3"/>
      <c r="TIF66" s="3"/>
      <c r="TIG66" s="3"/>
      <c r="TIH66" s="3"/>
      <c r="TII66" s="3"/>
      <c r="TIJ66" s="3"/>
      <c r="TIK66" s="3"/>
      <c r="TIL66" s="3"/>
      <c r="TIM66" s="3"/>
      <c r="TIN66" s="3"/>
      <c r="TIO66" s="3"/>
      <c r="TIP66" s="3"/>
      <c r="TIQ66" s="3"/>
      <c r="TIR66" s="3"/>
      <c r="TIS66" s="3"/>
      <c r="TIT66" s="3"/>
      <c r="TIU66" s="3"/>
      <c r="TIV66" s="3"/>
      <c r="TIW66" s="3"/>
      <c r="TIX66" s="3"/>
      <c r="TIY66" s="3"/>
      <c r="TIZ66" s="3"/>
      <c r="TJA66" s="3"/>
      <c r="TJB66" s="3"/>
      <c r="TJC66" s="3"/>
      <c r="TJD66" s="3"/>
      <c r="TJE66" s="3"/>
      <c r="TJF66" s="3"/>
      <c r="TJG66" s="3"/>
      <c r="TJH66" s="3"/>
      <c r="TJI66" s="3"/>
      <c r="TJJ66" s="3"/>
      <c r="TJK66" s="3"/>
      <c r="TJL66" s="3"/>
      <c r="TJM66" s="3"/>
      <c r="TJN66" s="3"/>
      <c r="TJO66" s="3"/>
      <c r="TJP66" s="3"/>
      <c r="TJQ66" s="3"/>
      <c r="TJR66" s="3"/>
      <c r="TJS66" s="3"/>
      <c r="TJT66" s="3"/>
      <c r="TJU66" s="3"/>
      <c r="TJV66" s="3"/>
      <c r="TJW66" s="3"/>
      <c r="TJX66" s="3"/>
      <c r="TJY66" s="3"/>
      <c r="TJZ66" s="3"/>
      <c r="TKA66" s="3"/>
      <c r="TKB66" s="3"/>
      <c r="TKC66" s="3"/>
      <c r="TKD66" s="3"/>
      <c r="TKE66" s="3"/>
      <c r="TKF66" s="3"/>
      <c r="TKG66" s="3"/>
      <c r="TKH66" s="3"/>
      <c r="TKI66" s="3"/>
      <c r="TKJ66" s="3"/>
      <c r="TKK66" s="3"/>
      <c r="TKL66" s="3"/>
      <c r="TKM66" s="3"/>
      <c r="TKN66" s="3"/>
      <c r="TKO66" s="3"/>
      <c r="TKP66" s="3"/>
      <c r="TKQ66" s="3"/>
      <c r="TKR66" s="3"/>
      <c r="TKS66" s="3"/>
      <c r="TKT66" s="3"/>
      <c r="TKU66" s="3"/>
      <c r="TKV66" s="3"/>
      <c r="TKW66" s="3"/>
      <c r="TKX66" s="3"/>
      <c r="TKY66" s="3"/>
      <c r="TKZ66" s="3"/>
      <c r="TLA66" s="3"/>
      <c r="TLB66" s="3"/>
      <c r="TLC66" s="3"/>
      <c r="TLD66" s="3"/>
      <c r="TLE66" s="3"/>
      <c r="TLF66" s="3"/>
      <c r="TLG66" s="3"/>
      <c r="TLH66" s="3"/>
      <c r="TLI66" s="3"/>
      <c r="TLJ66" s="3"/>
      <c r="TLK66" s="3"/>
      <c r="TLL66" s="3"/>
      <c r="TLM66" s="3"/>
      <c r="TLN66" s="3"/>
      <c r="TLO66" s="3"/>
      <c r="TLP66" s="3"/>
      <c r="TLQ66" s="3"/>
      <c r="TLR66" s="3"/>
      <c r="TLS66" s="3"/>
      <c r="TLT66" s="3"/>
      <c r="TLU66" s="3"/>
      <c r="TLV66" s="3"/>
      <c r="TLW66" s="3"/>
      <c r="TLX66" s="3"/>
      <c r="TLY66" s="3"/>
      <c r="TLZ66" s="3"/>
      <c r="TMA66" s="3"/>
      <c r="TMB66" s="3"/>
      <c r="TMC66" s="3"/>
      <c r="TMD66" s="3"/>
      <c r="TME66" s="3"/>
      <c r="TMF66" s="3"/>
      <c r="TMG66" s="3"/>
      <c r="TMH66" s="3"/>
      <c r="TMI66" s="3"/>
      <c r="TMJ66" s="3"/>
      <c r="TMK66" s="3"/>
      <c r="TML66" s="3"/>
      <c r="TMM66" s="3"/>
      <c r="TMN66" s="3"/>
      <c r="TMO66" s="3"/>
      <c r="TMP66" s="3"/>
      <c r="TMQ66" s="3"/>
      <c r="TMR66" s="3"/>
      <c r="TMS66" s="3"/>
      <c r="TMT66" s="3"/>
      <c r="TMU66" s="3"/>
      <c r="TMV66" s="3"/>
      <c r="TMW66" s="3"/>
      <c r="TMX66" s="3"/>
      <c r="TMY66" s="3"/>
      <c r="TMZ66" s="3"/>
      <c r="TNA66" s="3"/>
      <c r="TNB66" s="3"/>
      <c r="TNC66" s="3"/>
      <c r="TND66" s="3"/>
      <c r="TNE66" s="3"/>
      <c r="TNF66" s="3"/>
      <c r="TNG66" s="3"/>
      <c r="TNH66" s="3"/>
      <c r="TNI66" s="3"/>
      <c r="TNJ66" s="3"/>
      <c r="TNK66" s="3"/>
      <c r="TNL66" s="3"/>
      <c r="TNM66" s="3"/>
      <c r="TNN66" s="3"/>
      <c r="TNO66" s="3"/>
      <c r="TNP66" s="3"/>
      <c r="TNQ66" s="3"/>
      <c r="TNR66" s="3"/>
      <c r="TNS66" s="3"/>
      <c r="TNT66" s="3"/>
      <c r="TNU66" s="3"/>
      <c r="TNV66" s="3"/>
      <c r="TNW66" s="3"/>
      <c r="TNX66" s="3"/>
      <c r="TNY66" s="3"/>
      <c r="TNZ66" s="3"/>
      <c r="TOA66" s="3"/>
      <c r="TOB66" s="3"/>
      <c r="TOC66" s="3"/>
      <c r="TOD66" s="3"/>
      <c r="TOE66" s="3"/>
      <c r="TOF66" s="3"/>
      <c r="TOG66" s="3"/>
      <c r="TOH66" s="3"/>
      <c r="TOI66" s="3"/>
      <c r="TOJ66" s="3"/>
      <c r="TOK66" s="3"/>
      <c r="TOL66" s="3"/>
      <c r="TOM66" s="3"/>
      <c r="TON66" s="3"/>
      <c r="TOO66" s="3"/>
      <c r="TOP66" s="3"/>
      <c r="TOQ66" s="3"/>
      <c r="TOR66" s="3"/>
      <c r="TOS66" s="3"/>
      <c r="TOT66" s="3"/>
      <c r="TOU66" s="3"/>
      <c r="TOV66" s="3"/>
      <c r="TOW66" s="3"/>
      <c r="TOX66" s="3"/>
      <c r="TOY66" s="3"/>
      <c r="TOZ66" s="3"/>
      <c r="TPA66" s="3"/>
      <c r="TPB66" s="3"/>
      <c r="TPC66" s="3"/>
      <c r="TPD66" s="3"/>
      <c r="TPE66" s="3"/>
      <c r="TPF66" s="3"/>
      <c r="TPG66" s="3"/>
      <c r="TPH66" s="3"/>
      <c r="TPI66" s="3"/>
      <c r="TPJ66" s="3"/>
      <c r="TPK66" s="3"/>
      <c r="TPL66" s="3"/>
      <c r="TPM66" s="3"/>
      <c r="TPN66" s="3"/>
      <c r="TPO66" s="3"/>
      <c r="TPP66" s="3"/>
      <c r="TPQ66" s="3"/>
      <c r="TPR66" s="3"/>
      <c r="TPS66" s="3"/>
      <c r="TPT66" s="3"/>
      <c r="TPU66" s="3"/>
      <c r="TPV66" s="3"/>
      <c r="TPW66" s="3"/>
      <c r="TPX66" s="3"/>
      <c r="TPY66" s="3"/>
      <c r="TPZ66" s="3"/>
      <c r="TQA66" s="3"/>
      <c r="TQB66" s="3"/>
      <c r="TQC66" s="3"/>
      <c r="TQD66" s="3"/>
      <c r="TQE66" s="3"/>
      <c r="TQF66" s="3"/>
      <c r="TQG66" s="3"/>
      <c r="TQH66" s="3"/>
      <c r="TQI66" s="3"/>
      <c r="TQJ66" s="3"/>
      <c r="TQK66" s="3"/>
      <c r="TQL66" s="3"/>
      <c r="TQM66" s="3"/>
      <c r="TQN66" s="3"/>
      <c r="TQO66" s="3"/>
      <c r="TQP66" s="3"/>
      <c r="TQQ66" s="3"/>
      <c r="TQR66" s="3"/>
      <c r="TQS66" s="3"/>
      <c r="TQT66" s="3"/>
      <c r="TQU66" s="3"/>
      <c r="TQV66" s="3"/>
      <c r="TQW66" s="3"/>
      <c r="TQX66" s="3"/>
      <c r="TQY66" s="3"/>
      <c r="TQZ66" s="3"/>
      <c r="TRA66" s="3"/>
      <c r="TRB66" s="3"/>
      <c r="TRC66" s="3"/>
      <c r="TRD66" s="3"/>
      <c r="TRE66" s="3"/>
      <c r="TRF66" s="3"/>
      <c r="TRG66" s="3"/>
      <c r="TRH66" s="3"/>
      <c r="TRI66" s="3"/>
      <c r="TRJ66" s="3"/>
      <c r="TRK66" s="3"/>
      <c r="TRL66" s="3"/>
      <c r="TRM66" s="3"/>
      <c r="TRN66" s="3"/>
      <c r="TRO66" s="3"/>
      <c r="TRP66" s="3"/>
      <c r="TRQ66" s="3"/>
      <c r="TRR66" s="3"/>
      <c r="TRS66" s="3"/>
      <c r="TRT66" s="3"/>
      <c r="TRU66" s="3"/>
      <c r="TRV66" s="3"/>
      <c r="TRW66" s="3"/>
      <c r="TRX66" s="3"/>
      <c r="TRY66" s="3"/>
      <c r="TRZ66" s="3"/>
      <c r="TSA66" s="3"/>
      <c r="TSB66" s="3"/>
      <c r="TSC66" s="3"/>
      <c r="TSD66" s="3"/>
      <c r="TSE66" s="3"/>
      <c r="TSF66" s="3"/>
      <c r="TSG66" s="3"/>
      <c r="TSH66" s="3"/>
      <c r="TSI66" s="3"/>
      <c r="TSJ66" s="3"/>
      <c r="TSK66" s="3"/>
      <c r="TSL66" s="3"/>
      <c r="TSM66" s="3"/>
      <c r="TSN66" s="3"/>
      <c r="TSO66" s="3"/>
      <c r="TSP66" s="3"/>
      <c r="TSQ66" s="3"/>
      <c r="TSR66" s="3"/>
      <c r="TSS66" s="3"/>
      <c r="TST66" s="3"/>
      <c r="TSU66" s="3"/>
      <c r="TSV66" s="3"/>
      <c r="TSW66" s="3"/>
      <c r="TSX66" s="3"/>
      <c r="TSY66" s="3"/>
      <c r="TSZ66" s="3"/>
      <c r="TTA66" s="3"/>
      <c r="TTB66" s="3"/>
      <c r="TTC66" s="3"/>
      <c r="TTD66" s="3"/>
      <c r="TTE66" s="3"/>
      <c r="TTF66" s="3"/>
      <c r="TTG66" s="3"/>
      <c r="TTH66" s="3"/>
      <c r="TTI66" s="3"/>
      <c r="TTJ66" s="3"/>
      <c r="TTK66" s="3"/>
      <c r="TTL66" s="3"/>
      <c r="TTM66" s="3"/>
      <c r="TTN66" s="3"/>
      <c r="TTO66" s="3"/>
      <c r="TTP66" s="3"/>
      <c r="TTQ66" s="3"/>
      <c r="TTR66" s="3"/>
      <c r="TTS66" s="3"/>
      <c r="TTT66" s="3"/>
      <c r="TTU66" s="3"/>
      <c r="TTV66" s="3"/>
      <c r="TTW66" s="3"/>
      <c r="TTX66" s="3"/>
      <c r="TTY66" s="3"/>
      <c r="TTZ66" s="3"/>
      <c r="TUA66" s="3"/>
      <c r="TUB66" s="3"/>
      <c r="TUC66" s="3"/>
      <c r="TUD66" s="3"/>
      <c r="TUE66" s="3"/>
      <c r="TUF66" s="3"/>
      <c r="TUG66" s="3"/>
      <c r="TUH66" s="3"/>
      <c r="TUI66" s="3"/>
      <c r="TUJ66" s="3"/>
      <c r="TUK66" s="3"/>
      <c r="TUL66" s="3"/>
      <c r="TUM66" s="3"/>
      <c r="TUN66" s="3"/>
      <c r="TUO66" s="3"/>
      <c r="TUP66" s="3"/>
      <c r="TUQ66" s="3"/>
      <c r="TUR66" s="3"/>
      <c r="TUS66" s="3"/>
      <c r="TUT66" s="3"/>
      <c r="TUU66" s="3"/>
      <c r="TUV66" s="3"/>
      <c r="TUW66" s="3"/>
      <c r="TUX66" s="3"/>
      <c r="TUY66" s="3"/>
      <c r="TUZ66" s="3"/>
      <c r="TVA66" s="3"/>
      <c r="TVB66" s="3"/>
      <c r="TVC66" s="3"/>
      <c r="TVD66" s="3"/>
      <c r="TVE66" s="3"/>
      <c r="TVF66" s="3"/>
      <c r="TVG66" s="3"/>
      <c r="TVH66" s="3"/>
      <c r="TVI66" s="3"/>
      <c r="TVJ66" s="3"/>
      <c r="TVK66" s="3"/>
      <c r="TVL66" s="3"/>
      <c r="TVM66" s="3"/>
      <c r="TVN66" s="3"/>
      <c r="TVO66" s="3"/>
      <c r="TVP66" s="3"/>
      <c r="TVQ66" s="3"/>
      <c r="TVR66" s="3"/>
      <c r="TVS66" s="3"/>
      <c r="TVT66" s="3"/>
      <c r="TVU66" s="3"/>
      <c r="TVV66" s="3"/>
      <c r="TVW66" s="3"/>
      <c r="TVX66" s="3"/>
      <c r="TVY66" s="3"/>
      <c r="TVZ66" s="3"/>
      <c r="TWA66" s="3"/>
      <c r="TWB66" s="3"/>
      <c r="TWC66" s="3"/>
      <c r="TWD66" s="3"/>
      <c r="TWE66" s="3"/>
      <c r="TWF66" s="3"/>
      <c r="TWG66" s="3"/>
      <c r="TWH66" s="3"/>
      <c r="TWI66" s="3"/>
      <c r="TWJ66" s="3"/>
      <c r="TWK66" s="3"/>
      <c r="TWL66" s="3"/>
      <c r="TWM66" s="3"/>
      <c r="TWN66" s="3"/>
      <c r="TWO66" s="3"/>
      <c r="TWP66" s="3"/>
      <c r="TWQ66" s="3"/>
      <c r="TWR66" s="3"/>
      <c r="TWS66" s="3"/>
      <c r="TWT66" s="3"/>
      <c r="TWU66" s="3"/>
      <c r="TWV66" s="3"/>
      <c r="TWW66" s="3"/>
      <c r="TWX66" s="3"/>
      <c r="TWY66" s="3"/>
      <c r="TWZ66" s="3"/>
      <c r="TXA66" s="3"/>
      <c r="TXB66" s="3"/>
      <c r="TXC66" s="3"/>
      <c r="TXD66" s="3"/>
      <c r="TXE66" s="3"/>
      <c r="TXF66" s="3"/>
      <c r="TXG66" s="3"/>
      <c r="TXH66" s="3"/>
      <c r="TXI66" s="3"/>
      <c r="TXJ66" s="3"/>
      <c r="TXK66" s="3"/>
      <c r="TXL66" s="3"/>
      <c r="TXM66" s="3"/>
      <c r="TXN66" s="3"/>
      <c r="TXO66" s="3"/>
      <c r="TXP66" s="3"/>
      <c r="TXQ66" s="3"/>
      <c r="TXR66" s="3"/>
      <c r="TXS66" s="3"/>
      <c r="TXT66" s="3"/>
      <c r="TXU66" s="3"/>
      <c r="TXV66" s="3"/>
      <c r="TXW66" s="3"/>
      <c r="TXX66" s="3"/>
      <c r="TXY66" s="3"/>
      <c r="TXZ66" s="3"/>
      <c r="TYA66" s="3"/>
      <c r="TYB66" s="3"/>
      <c r="TYC66" s="3"/>
      <c r="TYD66" s="3"/>
      <c r="TYE66" s="3"/>
      <c r="TYF66" s="3"/>
      <c r="TYG66" s="3"/>
      <c r="TYH66" s="3"/>
      <c r="TYI66" s="3"/>
      <c r="TYJ66" s="3"/>
      <c r="TYK66" s="3"/>
      <c r="TYL66" s="3"/>
      <c r="TYM66" s="3"/>
      <c r="TYN66" s="3"/>
      <c r="TYO66" s="3"/>
      <c r="TYP66" s="3"/>
      <c r="TYQ66" s="3"/>
      <c r="TYR66" s="3"/>
      <c r="TYS66" s="3"/>
      <c r="TYT66" s="3"/>
      <c r="TYU66" s="3"/>
      <c r="TYV66" s="3"/>
      <c r="TYW66" s="3"/>
      <c r="TYX66" s="3"/>
      <c r="TYY66" s="3"/>
      <c r="TYZ66" s="3"/>
      <c r="TZA66" s="3"/>
      <c r="TZB66" s="3"/>
      <c r="TZC66" s="3"/>
      <c r="TZD66" s="3"/>
      <c r="TZE66" s="3"/>
      <c r="TZF66" s="3"/>
      <c r="TZG66" s="3"/>
      <c r="TZH66" s="3"/>
      <c r="TZI66" s="3"/>
      <c r="TZJ66" s="3"/>
      <c r="TZK66" s="3"/>
      <c r="TZL66" s="3"/>
      <c r="TZM66" s="3"/>
      <c r="TZN66" s="3"/>
      <c r="TZO66" s="3"/>
      <c r="TZP66" s="3"/>
      <c r="TZQ66" s="3"/>
      <c r="TZR66" s="3"/>
      <c r="TZS66" s="3"/>
      <c r="TZT66" s="3"/>
      <c r="TZU66" s="3"/>
      <c r="TZV66" s="3"/>
      <c r="TZW66" s="3"/>
      <c r="TZX66" s="3"/>
      <c r="TZY66" s="3"/>
      <c r="TZZ66" s="3"/>
      <c r="UAA66" s="3"/>
      <c r="UAB66" s="3"/>
      <c r="UAC66" s="3"/>
      <c r="UAD66" s="3"/>
      <c r="UAE66" s="3"/>
      <c r="UAF66" s="3"/>
      <c r="UAG66" s="3"/>
      <c r="UAH66" s="3"/>
      <c r="UAI66" s="3"/>
      <c r="UAJ66" s="3"/>
      <c r="UAK66" s="3"/>
      <c r="UAL66" s="3"/>
      <c r="UAM66" s="3"/>
      <c r="UAN66" s="3"/>
      <c r="UAO66" s="3"/>
      <c r="UAP66" s="3"/>
      <c r="UAQ66" s="3"/>
      <c r="UAR66" s="3"/>
      <c r="UAS66" s="3"/>
      <c r="UAT66" s="3"/>
      <c r="UAU66" s="3"/>
      <c r="UAV66" s="3"/>
      <c r="UAW66" s="3"/>
      <c r="UAX66" s="3"/>
      <c r="UAY66" s="3"/>
      <c r="UAZ66" s="3"/>
      <c r="UBA66" s="3"/>
      <c r="UBB66" s="3"/>
      <c r="UBC66" s="3"/>
      <c r="UBD66" s="3"/>
      <c r="UBE66" s="3"/>
      <c r="UBF66" s="3"/>
      <c r="UBG66" s="3"/>
      <c r="UBH66" s="3"/>
      <c r="UBI66" s="3"/>
      <c r="UBJ66" s="3"/>
      <c r="UBK66" s="3"/>
      <c r="UBL66" s="3"/>
      <c r="UBM66" s="3"/>
      <c r="UBN66" s="3"/>
      <c r="UBO66" s="3"/>
      <c r="UBP66" s="3"/>
      <c r="UBQ66" s="3"/>
      <c r="UBR66" s="3"/>
      <c r="UBS66" s="3"/>
      <c r="UBT66" s="3"/>
      <c r="UBU66" s="3"/>
      <c r="UBV66" s="3"/>
      <c r="UBW66" s="3"/>
      <c r="UBX66" s="3"/>
      <c r="UBY66" s="3"/>
      <c r="UBZ66" s="3"/>
      <c r="UCA66" s="3"/>
      <c r="UCB66" s="3"/>
      <c r="UCC66" s="3"/>
      <c r="UCD66" s="3"/>
      <c r="UCE66" s="3"/>
      <c r="UCF66" s="3"/>
      <c r="UCG66" s="3"/>
      <c r="UCH66" s="3"/>
      <c r="UCI66" s="3"/>
      <c r="UCJ66" s="3"/>
      <c r="UCK66" s="3"/>
      <c r="UCL66" s="3"/>
      <c r="UCM66" s="3"/>
      <c r="UCN66" s="3"/>
      <c r="UCO66" s="3"/>
      <c r="UCP66" s="3"/>
      <c r="UCQ66" s="3"/>
      <c r="UCR66" s="3"/>
      <c r="UCS66" s="3"/>
      <c r="UCT66" s="3"/>
      <c r="UCU66" s="3"/>
      <c r="UCV66" s="3"/>
      <c r="UCW66" s="3"/>
      <c r="UCX66" s="3"/>
      <c r="UCY66" s="3"/>
      <c r="UCZ66" s="3"/>
      <c r="UDA66" s="3"/>
      <c r="UDB66" s="3"/>
      <c r="UDC66" s="3"/>
      <c r="UDD66" s="3"/>
      <c r="UDE66" s="3"/>
      <c r="UDF66" s="3"/>
      <c r="UDG66" s="3"/>
      <c r="UDH66" s="3"/>
      <c r="UDI66" s="3"/>
      <c r="UDJ66" s="3"/>
      <c r="UDK66" s="3"/>
      <c r="UDL66" s="3"/>
      <c r="UDM66" s="3"/>
      <c r="UDN66" s="3"/>
      <c r="UDO66" s="3"/>
      <c r="UDP66" s="3"/>
      <c r="UDQ66" s="3"/>
      <c r="UDR66" s="3"/>
      <c r="UDS66" s="3"/>
      <c r="UDT66" s="3"/>
      <c r="UDU66" s="3"/>
      <c r="UDV66" s="3"/>
      <c r="UDW66" s="3"/>
      <c r="UDX66" s="3"/>
      <c r="UDY66" s="3"/>
      <c r="UDZ66" s="3"/>
      <c r="UEA66" s="3"/>
      <c r="UEB66" s="3"/>
      <c r="UEC66" s="3"/>
      <c r="UED66" s="3"/>
      <c r="UEE66" s="3"/>
      <c r="UEF66" s="3"/>
      <c r="UEG66" s="3"/>
      <c r="UEH66" s="3"/>
      <c r="UEI66" s="3"/>
      <c r="UEJ66" s="3"/>
      <c r="UEK66" s="3"/>
      <c r="UEL66" s="3"/>
      <c r="UEM66" s="3"/>
      <c r="UEN66" s="3"/>
      <c r="UEO66" s="3"/>
      <c r="UEP66" s="3"/>
      <c r="UEQ66" s="3"/>
      <c r="UER66" s="3"/>
      <c r="UES66" s="3"/>
      <c r="UET66" s="3"/>
      <c r="UEU66" s="3"/>
      <c r="UEV66" s="3"/>
      <c r="UEW66" s="3"/>
      <c r="UEX66" s="3"/>
      <c r="UEY66" s="3"/>
      <c r="UEZ66" s="3"/>
      <c r="UFA66" s="3"/>
      <c r="UFB66" s="3"/>
      <c r="UFC66" s="3"/>
      <c r="UFD66" s="3"/>
      <c r="UFE66" s="3"/>
      <c r="UFF66" s="3"/>
      <c r="UFG66" s="3"/>
      <c r="UFH66" s="3"/>
      <c r="UFI66" s="3"/>
      <c r="UFJ66" s="3"/>
      <c r="UFK66" s="3"/>
      <c r="UFL66" s="3"/>
      <c r="UFM66" s="3"/>
      <c r="UFN66" s="3"/>
      <c r="UFO66" s="3"/>
      <c r="UFP66" s="3"/>
      <c r="UFQ66" s="3"/>
      <c r="UFR66" s="3"/>
      <c r="UFS66" s="3"/>
      <c r="UFT66" s="3"/>
      <c r="UFU66" s="3"/>
      <c r="UFV66" s="3"/>
      <c r="UFW66" s="3"/>
      <c r="UFX66" s="3"/>
      <c r="UFY66" s="3"/>
      <c r="UFZ66" s="3"/>
      <c r="UGA66" s="3"/>
      <c r="UGB66" s="3"/>
      <c r="UGC66" s="3"/>
      <c r="UGD66" s="3"/>
      <c r="UGE66" s="3"/>
      <c r="UGF66" s="3"/>
      <c r="UGG66" s="3"/>
      <c r="UGH66" s="3"/>
      <c r="UGI66" s="3"/>
      <c r="UGJ66" s="3"/>
      <c r="UGK66" s="3"/>
      <c r="UGL66" s="3"/>
      <c r="UGM66" s="3"/>
      <c r="UGN66" s="3"/>
      <c r="UGO66" s="3"/>
      <c r="UGP66" s="3"/>
      <c r="UGQ66" s="3"/>
      <c r="UGR66" s="3"/>
      <c r="UGS66" s="3"/>
      <c r="UGT66" s="3"/>
      <c r="UGU66" s="3"/>
      <c r="UGV66" s="3"/>
      <c r="UGW66" s="3"/>
      <c r="UGX66" s="3"/>
      <c r="UGY66" s="3"/>
      <c r="UGZ66" s="3"/>
      <c r="UHA66" s="3"/>
      <c r="UHB66" s="3"/>
      <c r="UHC66" s="3"/>
      <c r="UHD66" s="3"/>
      <c r="UHE66" s="3"/>
      <c r="UHF66" s="3"/>
      <c r="UHG66" s="3"/>
      <c r="UHH66" s="3"/>
      <c r="UHI66" s="3"/>
      <c r="UHJ66" s="3"/>
      <c r="UHK66" s="3"/>
      <c r="UHL66" s="3"/>
      <c r="UHM66" s="3"/>
      <c r="UHN66" s="3"/>
      <c r="UHO66" s="3"/>
      <c r="UHP66" s="3"/>
      <c r="UHQ66" s="3"/>
      <c r="UHR66" s="3"/>
      <c r="UHS66" s="3"/>
      <c r="UHT66" s="3"/>
      <c r="UHU66" s="3"/>
      <c r="UHV66" s="3"/>
      <c r="UHW66" s="3"/>
      <c r="UHX66" s="3"/>
      <c r="UHY66" s="3"/>
      <c r="UHZ66" s="3"/>
      <c r="UIA66" s="3"/>
      <c r="UIB66" s="3"/>
      <c r="UIC66" s="3"/>
      <c r="UID66" s="3"/>
      <c r="UIE66" s="3"/>
      <c r="UIF66" s="3"/>
      <c r="UIG66" s="3"/>
      <c r="UIH66" s="3"/>
      <c r="UII66" s="3"/>
      <c r="UIJ66" s="3"/>
      <c r="UIK66" s="3"/>
      <c r="UIL66" s="3"/>
      <c r="UIM66" s="3"/>
      <c r="UIN66" s="3"/>
      <c r="UIO66" s="3"/>
      <c r="UIP66" s="3"/>
      <c r="UIQ66" s="3"/>
      <c r="UIR66" s="3"/>
      <c r="UIS66" s="3"/>
      <c r="UIT66" s="3"/>
      <c r="UIU66" s="3"/>
      <c r="UIV66" s="3"/>
      <c r="UIW66" s="3"/>
      <c r="UIX66" s="3"/>
      <c r="UIY66" s="3"/>
      <c r="UIZ66" s="3"/>
      <c r="UJA66" s="3"/>
      <c r="UJB66" s="3"/>
      <c r="UJC66" s="3"/>
      <c r="UJD66" s="3"/>
      <c r="UJE66" s="3"/>
      <c r="UJF66" s="3"/>
      <c r="UJG66" s="3"/>
      <c r="UJH66" s="3"/>
      <c r="UJI66" s="3"/>
      <c r="UJJ66" s="3"/>
      <c r="UJK66" s="3"/>
      <c r="UJL66" s="3"/>
      <c r="UJM66" s="3"/>
      <c r="UJN66" s="3"/>
      <c r="UJO66" s="3"/>
      <c r="UJP66" s="3"/>
      <c r="UJQ66" s="3"/>
      <c r="UJR66" s="3"/>
      <c r="UJS66" s="3"/>
      <c r="UJT66" s="3"/>
      <c r="UJU66" s="3"/>
      <c r="UJV66" s="3"/>
      <c r="UJW66" s="3"/>
      <c r="UJX66" s="3"/>
      <c r="UJY66" s="3"/>
      <c r="UJZ66" s="3"/>
      <c r="UKA66" s="3"/>
      <c r="UKB66" s="3"/>
      <c r="UKC66" s="3"/>
      <c r="UKD66" s="3"/>
      <c r="UKE66" s="3"/>
      <c r="UKF66" s="3"/>
      <c r="UKG66" s="3"/>
      <c r="UKH66" s="3"/>
      <c r="UKI66" s="3"/>
      <c r="UKJ66" s="3"/>
      <c r="UKK66" s="3"/>
      <c r="UKL66" s="3"/>
      <c r="UKM66" s="3"/>
      <c r="UKN66" s="3"/>
      <c r="UKO66" s="3"/>
      <c r="UKP66" s="3"/>
      <c r="UKQ66" s="3"/>
      <c r="UKR66" s="3"/>
      <c r="UKS66" s="3"/>
      <c r="UKT66" s="3"/>
      <c r="UKU66" s="3"/>
      <c r="UKV66" s="3"/>
      <c r="UKW66" s="3"/>
      <c r="UKX66" s="3"/>
      <c r="UKY66" s="3"/>
      <c r="UKZ66" s="3"/>
      <c r="ULA66" s="3"/>
      <c r="ULB66" s="3"/>
      <c r="ULC66" s="3"/>
      <c r="ULD66" s="3"/>
      <c r="ULE66" s="3"/>
      <c r="ULF66" s="3"/>
      <c r="ULG66" s="3"/>
      <c r="ULH66" s="3"/>
      <c r="ULI66" s="3"/>
      <c r="ULJ66" s="3"/>
      <c r="ULK66" s="3"/>
      <c r="ULL66" s="3"/>
      <c r="ULM66" s="3"/>
      <c r="ULN66" s="3"/>
      <c r="ULO66" s="3"/>
      <c r="ULP66" s="3"/>
      <c r="ULQ66" s="3"/>
      <c r="ULR66" s="3"/>
      <c r="ULS66" s="3"/>
      <c r="ULT66" s="3"/>
      <c r="ULU66" s="3"/>
      <c r="ULV66" s="3"/>
      <c r="ULW66" s="3"/>
      <c r="ULX66" s="3"/>
      <c r="ULY66" s="3"/>
      <c r="ULZ66" s="3"/>
      <c r="UMA66" s="3"/>
      <c r="UMB66" s="3"/>
      <c r="UMC66" s="3"/>
      <c r="UMD66" s="3"/>
      <c r="UME66" s="3"/>
      <c r="UMF66" s="3"/>
      <c r="UMG66" s="3"/>
      <c r="UMH66" s="3"/>
      <c r="UMI66" s="3"/>
      <c r="UMJ66" s="3"/>
      <c r="UMK66" s="3"/>
      <c r="UML66" s="3"/>
      <c r="UMM66" s="3"/>
      <c r="UMN66" s="3"/>
      <c r="UMO66" s="3"/>
      <c r="UMP66" s="3"/>
      <c r="UMQ66" s="3"/>
      <c r="UMR66" s="3"/>
      <c r="UMS66" s="3"/>
      <c r="UMT66" s="3"/>
      <c r="UMU66" s="3"/>
      <c r="UMV66" s="3"/>
      <c r="UMW66" s="3"/>
      <c r="UMX66" s="3"/>
      <c r="UMY66" s="3"/>
      <c r="UMZ66" s="3"/>
      <c r="UNA66" s="3"/>
      <c r="UNB66" s="3"/>
      <c r="UNC66" s="3"/>
      <c r="UND66" s="3"/>
      <c r="UNE66" s="3"/>
      <c r="UNF66" s="3"/>
      <c r="UNG66" s="3"/>
      <c r="UNH66" s="3"/>
      <c r="UNI66" s="3"/>
      <c r="UNJ66" s="3"/>
      <c r="UNK66" s="3"/>
      <c r="UNL66" s="3"/>
      <c r="UNM66" s="3"/>
      <c r="UNN66" s="3"/>
      <c r="UNO66" s="3"/>
      <c r="UNP66" s="3"/>
      <c r="UNQ66" s="3"/>
      <c r="UNR66" s="3"/>
      <c r="UNS66" s="3"/>
      <c r="UNT66" s="3"/>
      <c r="UNU66" s="3"/>
      <c r="UNV66" s="3"/>
      <c r="UNW66" s="3"/>
      <c r="UNX66" s="3"/>
      <c r="UNY66" s="3"/>
      <c r="UNZ66" s="3"/>
      <c r="UOA66" s="3"/>
      <c r="UOB66" s="3"/>
      <c r="UOC66" s="3"/>
      <c r="UOD66" s="3"/>
      <c r="UOE66" s="3"/>
      <c r="UOF66" s="3"/>
      <c r="UOG66" s="3"/>
      <c r="UOH66" s="3"/>
      <c r="UOI66" s="3"/>
      <c r="UOJ66" s="3"/>
      <c r="UOK66" s="3"/>
      <c r="UOL66" s="3"/>
      <c r="UOM66" s="3"/>
      <c r="UON66" s="3"/>
      <c r="UOO66" s="3"/>
      <c r="UOP66" s="3"/>
      <c r="UOQ66" s="3"/>
      <c r="UOR66" s="3"/>
      <c r="UOS66" s="3"/>
      <c r="UOT66" s="3"/>
      <c r="UOU66" s="3"/>
      <c r="UOV66" s="3"/>
      <c r="UOW66" s="3"/>
      <c r="UOX66" s="3"/>
      <c r="UOY66" s="3"/>
      <c r="UOZ66" s="3"/>
      <c r="UPA66" s="3"/>
      <c r="UPB66" s="3"/>
      <c r="UPC66" s="3"/>
      <c r="UPD66" s="3"/>
      <c r="UPE66" s="3"/>
      <c r="UPF66" s="3"/>
      <c r="UPG66" s="3"/>
      <c r="UPH66" s="3"/>
      <c r="UPI66" s="3"/>
      <c r="UPJ66" s="3"/>
      <c r="UPK66" s="3"/>
      <c r="UPL66" s="3"/>
      <c r="UPM66" s="3"/>
      <c r="UPN66" s="3"/>
      <c r="UPO66" s="3"/>
      <c r="UPP66" s="3"/>
      <c r="UPQ66" s="3"/>
      <c r="UPR66" s="3"/>
      <c r="UPS66" s="3"/>
      <c r="UPT66" s="3"/>
      <c r="UPU66" s="3"/>
      <c r="UPV66" s="3"/>
      <c r="UPW66" s="3"/>
      <c r="UPX66" s="3"/>
      <c r="UPY66" s="3"/>
      <c r="UPZ66" s="3"/>
      <c r="UQA66" s="3"/>
      <c r="UQB66" s="3"/>
      <c r="UQC66" s="3"/>
      <c r="UQD66" s="3"/>
      <c r="UQE66" s="3"/>
      <c r="UQF66" s="3"/>
      <c r="UQG66" s="3"/>
      <c r="UQH66" s="3"/>
      <c r="UQI66" s="3"/>
      <c r="UQJ66" s="3"/>
      <c r="UQK66" s="3"/>
      <c r="UQL66" s="3"/>
      <c r="UQM66" s="3"/>
      <c r="UQN66" s="3"/>
      <c r="UQO66" s="3"/>
      <c r="UQP66" s="3"/>
      <c r="UQQ66" s="3"/>
      <c r="UQR66" s="3"/>
      <c r="UQS66" s="3"/>
      <c r="UQT66" s="3"/>
      <c r="UQU66" s="3"/>
      <c r="UQV66" s="3"/>
      <c r="UQW66" s="3"/>
      <c r="UQX66" s="3"/>
      <c r="UQY66" s="3"/>
      <c r="UQZ66" s="3"/>
      <c r="URA66" s="3"/>
      <c r="URB66" s="3"/>
      <c r="URC66" s="3"/>
      <c r="URD66" s="3"/>
      <c r="URE66" s="3"/>
      <c r="URF66" s="3"/>
      <c r="URG66" s="3"/>
      <c r="URH66" s="3"/>
      <c r="URI66" s="3"/>
      <c r="URJ66" s="3"/>
      <c r="URK66" s="3"/>
      <c r="URL66" s="3"/>
      <c r="URM66" s="3"/>
      <c r="URN66" s="3"/>
      <c r="URO66" s="3"/>
      <c r="URP66" s="3"/>
      <c r="URQ66" s="3"/>
      <c r="URR66" s="3"/>
      <c r="URS66" s="3"/>
      <c r="URT66" s="3"/>
      <c r="URU66" s="3"/>
      <c r="URV66" s="3"/>
      <c r="URW66" s="3"/>
      <c r="URX66" s="3"/>
      <c r="URY66" s="3"/>
      <c r="URZ66" s="3"/>
      <c r="USA66" s="3"/>
      <c r="USB66" s="3"/>
      <c r="USC66" s="3"/>
      <c r="USD66" s="3"/>
      <c r="USE66" s="3"/>
      <c r="USF66" s="3"/>
      <c r="USG66" s="3"/>
      <c r="USH66" s="3"/>
      <c r="USI66" s="3"/>
      <c r="USJ66" s="3"/>
      <c r="USK66" s="3"/>
      <c r="USL66" s="3"/>
      <c r="USM66" s="3"/>
      <c r="USN66" s="3"/>
      <c r="USO66" s="3"/>
      <c r="USP66" s="3"/>
      <c r="USQ66" s="3"/>
      <c r="USR66" s="3"/>
      <c r="USS66" s="3"/>
      <c r="UST66" s="3"/>
      <c r="USU66" s="3"/>
      <c r="USV66" s="3"/>
      <c r="USW66" s="3"/>
      <c r="USX66" s="3"/>
      <c r="USY66" s="3"/>
      <c r="USZ66" s="3"/>
      <c r="UTA66" s="3"/>
      <c r="UTB66" s="3"/>
      <c r="UTC66" s="3"/>
      <c r="UTD66" s="3"/>
      <c r="UTE66" s="3"/>
      <c r="UTF66" s="3"/>
      <c r="UTG66" s="3"/>
      <c r="UTH66" s="3"/>
      <c r="UTI66" s="3"/>
      <c r="UTJ66" s="3"/>
      <c r="UTK66" s="3"/>
      <c r="UTL66" s="3"/>
      <c r="UTM66" s="3"/>
      <c r="UTN66" s="3"/>
      <c r="UTO66" s="3"/>
      <c r="UTP66" s="3"/>
      <c r="UTQ66" s="3"/>
      <c r="UTR66" s="3"/>
      <c r="UTS66" s="3"/>
      <c r="UTT66" s="3"/>
      <c r="UTU66" s="3"/>
      <c r="UTV66" s="3"/>
      <c r="UTW66" s="3"/>
      <c r="UTX66" s="3"/>
      <c r="UTY66" s="3"/>
      <c r="UTZ66" s="3"/>
      <c r="UUA66" s="3"/>
      <c r="UUB66" s="3"/>
      <c r="UUC66" s="3"/>
      <c r="UUD66" s="3"/>
      <c r="UUE66" s="3"/>
      <c r="UUF66" s="3"/>
      <c r="UUG66" s="3"/>
      <c r="UUH66" s="3"/>
      <c r="UUI66" s="3"/>
      <c r="UUJ66" s="3"/>
      <c r="UUK66" s="3"/>
      <c r="UUL66" s="3"/>
      <c r="UUM66" s="3"/>
      <c r="UUN66" s="3"/>
      <c r="UUO66" s="3"/>
      <c r="UUP66" s="3"/>
      <c r="UUQ66" s="3"/>
      <c r="UUR66" s="3"/>
      <c r="UUS66" s="3"/>
      <c r="UUT66" s="3"/>
      <c r="UUU66" s="3"/>
      <c r="UUV66" s="3"/>
      <c r="UUW66" s="3"/>
      <c r="UUX66" s="3"/>
      <c r="UUY66" s="3"/>
      <c r="UUZ66" s="3"/>
      <c r="UVA66" s="3"/>
      <c r="UVB66" s="3"/>
      <c r="UVC66" s="3"/>
      <c r="UVD66" s="3"/>
      <c r="UVE66" s="3"/>
      <c r="UVF66" s="3"/>
      <c r="UVG66" s="3"/>
      <c r="UVH66" s="3"/>
      <c r="UVI66" s="3"/>
      <c r="UVJ66" s="3"/>
      <c r="UVK66" s="3"/>
      <c r="UVL66" s="3"/>
      <c r="UVM66" s="3"/>
      <c r="UVN66" s="3"/>
      <c r="UVO66" s="3"/>
      <c r="UVP66" s="3"/>
      <c r="UVQ66" s="3"/>
      <c r="UVR66" s="3"/>
      <c r="UVS66" s="3"/>
      <c r="UVT66" s="3"/>
      <c r="UVU66" s="3"/>
      <c r="UVV66" s="3"/>
      <c r="UVW66" s="3"/>
      <c r="UVX66" s="3"/>
      <c r="UVY66" s="3"/>
      <c r="UVZ66" s="3"/>
      <c r="UWA66" s="3"/>
      <c r="UWB66" s="3"/>
      <c r="UWC66" s="3"/>
      <c r="UWD66" s="3"/>
      <c r="UWE66" s="3"/>
      <c r="UWF66" s="3"/>
      <c r="UWG66" s="3"/>
      <c r="UWH66" s="3"/>
      <c r="UWI66" s="3"/>
      <c r="UWJ66" s="3"/>
      <c r="UWK66" s="3"/>
      <c r="UWL66" s="3"/>
      <c r="UWM66" s="3"/>
      <c r="UWN66" s="3"/>
      <c r="UWO66" s="3"/>
      <c r="UWP66" s="3"/>
      <c r="UWQ66" s="3"/>
      <c r="UWR66" s="3"/>
      <c r="UWS66" s="3"/>
      <c r="UWT66" s="3"/>
      <c r="UWU66" s="3"/>
      <c r="UWV66" s="3"/>
      <c r="UWW66" s="3"/>
      <c r="UWX66" s="3"/>
      <c r="UWY66" s="3"/>
      <c r="UWZ66" s="3"/>
      <c r="UXA66" s="3"/>
      <c r="UXB66" s="3"/>
      <c r="UXC66" s="3"/>
      <c r="UXD66" s="3"/>
      <c r="UXE66" s="3"/>
      <c r="UXF66" s="3"/>
      <c r="UXG66" s="3"/>
      <c r="UXH66" s="3"/>
      <c r="UXI66" s="3"/>
      <c r="UXJ66" s="3"/>
      <c r="UXK66" s="3"/>
      <c r="UXL66" s="3"/>
      <c r="UXM66" s="3"/>
      <c r="UXN66" s="3"/>
      <c r="UXO66" s="3"/>
      <c r="UXP66" s="3"/>
      <c r="UXQ66" s="3"/>
      <c r="UXR66" s="3"/>
      <c r="UXS66" s="3"/>
      <c r="UXT66" s="3"/>
      <c r="UXU66" s="3"/>
      <c r="UXV66" s="3"/>
      <c r="UXW66" s="3"/>
      <c r="UXX66" s="3"/>
      <c r="UXY66" s="3"/>
      <c r="UXZ66" s="3"/>
      <c r="UYA66" s="3"/>
      <c r="UYB66" s="3"/>
      <c r="UYC66" s="3"/>
      <c r="UYD66" s="3"/>
      <c r="UYE66" s="3"/>
      <c r="UYF66" s="3"/>
      <c r="UYG66" s="3"/>
      <c r="UYH66" s="3"/>
      <c r="UYI66" s="3"/>
      <c r="UYJ66" s="3"/>
      <c r="UYK66" s="3"/>
      <c r="UYL66" s="3"/>
      <c r="UYM66" s="3"/>
      <c r="UYN66" s="3"/>
      <c r="UYO66" s="3"/>
      <c r="UYP66" s="3"/>
      <c r="UYQ66" s="3"/>
      <c r="UYR66" s="3"/>
      <c r="UYS66" s="3"/>
      <c r="UYT66" s="3"/>
      <c r="UYU66" s="3"/>
      <c r="UYV66" s="3"/>
      <c r="UYW66" s="3"/>
      <c r="UYX66" s="3"/>
      <c r="UYY66" s="3"/>
      <c r="UYZ66" s="3"/>
      <c r="UZA66" s="3"/>
      <c r="UZB66" s="3"/>
      <c r="UZC66" s="3"/>
      <c r="UZD66" s="3"/>
      <c r="UZE66" s="3"/>
      <c r="UZF66" s="3"/>
      <c r="UZG66" s="3"/>
      <c r="UZH66" s="3"/>
      <c r="UZI66" s="3"/>
      <c r="UZJ66" s="3"/>
      <c r="UZK66" s="3"/>
      <c r="UZL66" s="3"/>
      <c r="UZM66" s="3"/>
      <c r="UZN66" s="3"/>
      <c r="UZO66" s="3"/>
      <c r="UZP66" s="3"/>
      <c r="UZQ66" s="3"/>
      <c r="UZR66" s="3"/>
      <c r="UZS66" s="3"/>
      <c r="UZT66" s="3"/>
      <c r="UZU66" s="3"/>
      <c r="UZV66" s="3"/>
      <c r="UZW66" s="3"/>
      <c r="UZX66" s="3"/>
      <c r="UZY66" s="3"/>
      <c r="UZZ66" s="3"/>
      <c r="VAA66" s="3"/>
      <c r="VAB66" s="3"/>
      <c r="VAC66" s="3"/>
      <c r="VAD66" s="3"/>
      <c r="VAE66" s="3"/>
      <c r="VAF66" s="3"/>
      <c r="VAG66" s="3"/>
      <c r="VAH66" s="3"/>
      <c r="VAI66" s="3"/>
      <c r="VAJ66" s="3"/>
      <c r="VAK66" s="3"/>
      <c r="VAL66" s="3"/>
      <c r="VAM66" s="3"/>
      <c r="VAN66" s="3"/>
      <c r="VAO66" s="3"/>
      <c r="VAP66" s="3"/>
      <c r="VAQ66" s="3"/>
      <c r="VAR66" s="3"/>
      <c r="VAS66" s="3"/>
      <c r="VAT66" s="3"/>
      <c r="VAU66" s="3"/>
      <c r="VAV66" s="3"/>
      <c r="VAW66" s="3"/>
      <c r="VAX66" s="3"/>
      <c r="VAY66" s="3"/>
      <c r="VAZ66" s="3"/>
      <c r="VBA66" s="3"/>
      <c r="VBB66" s="3"/>
      <c r="VBC66" s="3"/>
      <c r="VBD66" s="3"/>
      <c r="VBE66" s="3"/>
      <c r="VBF66" s="3"/>
      <c r="VBG66" s="3"/>
      <c r="VBH66" s="3"/>
      <c r="VBI66" s="3"/>
      <c r="VBJ66" s="3"/>
      <c r="VBK66" s="3"/>
      <c r="VBL66" s="3"/>
      <c r="VBM66" s="3"/>
      <c r="VBN66" s="3"/>
      <c r="VBO66" s="3"/>
      <c r="VBP66" s="3"/>
      <c r="VBQ66" s="3"/>
      <c r="VBR66" s="3"/>
      <c r="VBS66" s="3"/>
      <c r="VBT66" s="3"/>
      <c r="VBU66" s="3"/>
      <c r="VBV66" s="3"/>
      <c r="VBW66" s="3"/>
      <c r="VBX66" s="3"/>
      <c r="VBY66" s="3"/>
      <c r="VBZ66" s="3"/>
      <c r="VCA66" s="3"/>
      <c r="VCB66" s="3"/>
      <c r="VCC66" s="3"/>
      <c r="VCD66" s="3"/>
      <c r="VCE66" s="3"/>
      <c r="VCF66" s="3"/>
      <c r="VCG66" s="3"/>
      <c r="VCH66" s="3"/>
      <c r="VCI66" s="3"/>
      <c r="VCJ66" s="3"/>
      <c r="VCK66" s="3"/>
      <c r="VCL66" s="3"/>
      <c r="VCM66" s="3"/>
      <c r="VCN66" s="3"/>
      <c r="VCO66" s="3"/>
      <c r="VCP66" s="3"/>
      <c r="VCQ66" s="3"/>
      <c r="VCR66" s="3"/>
      <c r="VCS66" s="3"/>
      <c r="VCT66" s="3"/>
      <c r="VCU66" s="3"/>
      <c r="VCV66" s="3"/>
      <c r="VCW66" s="3"/>
      <c r="VCX66" s="3"/>
      <c r="VCY66" s="3"/>
      <c r="VCZ66" s="3"/>
      <c r="VDA66" s="3"/>
      <c r="VDB66" s="3"/>
      <c r="VDC66" s="3"/>
      <c r="VDD66" s="3"/>
      <c r="VDE66" s="3"/>
      <c r="VDF66" s="3"/>
      <c r="VDG66" s="3"/>
      <c r="VDH66" s="3"/>
      <c r="VDI66" s="3"/>
      <c r="VDJ66" s="3"/>
      <c r="VDK66" s="3"/>
      <c r="VDL66" s="3"/>
      <c r="VDM66" s="3"/>
      <c r="VDN66" s="3"/>
      <c r="VDO66" s="3"/>
      <c r="VDP66" s="3"/>
      <c r="VDQ66" s="3"/>
      <c r="VDR66" s="3"/>
      <c r="VDS66" s="3"/>
      <c r="VDT66" s="3"/>
      <c r="VDU66" s="3"/>
      <c r="VDV66" s="3"/>
      <c r="VDW66" s="3"/>
      <c r="VDX66" s="3"/>
      <c r="VDY66" s="3"/>
      <c r="VDZ66" s="3"/>
      <c r="VEA66" s="3"/>
      <c r="VEB66" s="3"/>
      <c r="VEC66" s="3"/>
      <c r="VED66" s="3"/>
      <c r="VEE66" s="3"/>
      <c r="VEF66" s="3"/>
      <c r="VEG66" s="3"/>
      <c r="VEH66" s="3"/>
      <c r="VEI66" s="3"/>
      <c r="VEJ66" s="3"/>
      <c r="VEK66" s="3"/>
      <c r="VEL66" s="3"/>
      <c r="VEM66" s="3"/>
      <c r="VEN66" s="3"/>
      <c r="VEO66" s="3"/>
      <c r="VEP66" s="3"/>
      <c r="VEQ66" s="3"/>
      <c r="VER66" s="3"/>
      <c r="VES66" s="3"/>
      <c r="VET66" s="3"/>
      <c r="VEU66" s="3"/>
      <c r="VEV66" s="3"/>
      <c r="VEW66" s="3"/>
      <c r="VEX66" s="3"/>
      <c r="VEY66" s="3"/>
      <c r="VEZ66" s="3"/>
      <c r="VFA66" s="3"/>
      <c r="VFB66" s="3"/>
      <c r="VFC66" s="3"/>
      <c r="VFD66" s="3"/>
      <c r="VFE66" s="3"/>
      <c r="VFF66" s="3"/>
      <c r="VFG66" s="3"/>
      <c r="VFH66" s="3"/>
      <c r="VFI66" s="3"/>
      <c r="VFJ66" s="3"/>
      <c r="VFK66" s="3"/>
      <c r="VFL66" s="3"/>
      <c r="VFM66" s="3"/>
      <c r="VFN66" s="3"/>
      <c r="VFO66" s="3"/>
      <c r="VFP66" s="3"/>
      <c r="VFQ66" s="3"/>
      <c r="VFR66" s="3"/>
      <c r="VFS66" s="3"/>
      <c r="VFT66" s="3"/>
      <c r="VFU66" s="3"/>
      <c r="VFV66" s="3"/>
      <c r="VFW66" s="3"/>
      <c r="VFX66" s="3"/>
      <c r="VFY66" s="3"/>
      <c r="VFZ66" s="3"/>
      <c r="VGA66" s="3"/>
      <c r="VGB66" s="3"/>
      <c r="VGC66" s="3"/>
      <c r="VGD66" s="3"/>
      <c r="VGE66" s="3"/>
      <c r="VGF66" s="3"/>
      <c r="VGG66" s="3"/>
      <c r="VGH66" s="3"/>
      <c r="VGI66" s="3"/>
      <c r="VGJ66" s="3"/>
      <c r="VGK66" s="3"/>
      <c r="VGL66" s="3"/>
      <c r="VGM66" s="3"/>
      <c r="VGN66" s="3"/>
      <c r="VGO66" s="3"/>
      <c r="VGP66" s="3"/>
      <c r="VGQ66" s="3"/>
      <c r="VGR66" s="3"/>
      <c r="VGS66" s="3"/>
      <c r="VGT66" s="3"/>
      <c r="VGU66" s="3"/>
      <c r="VGV66" s="3"/>
      <c r="VGW66" s="3"/>
      <c r="VGX66" s="3"/>
      <c r="VGY66" s="3"/>
      <c r="VGZ66" s="3"/>
      <c r="VHA66" s="3"/>
      <c r="VHB66" s="3"/>
      <c r="VHC66" s="3"/>
      <c r="VHD66" s="3"/>
      <c r="VHE66" s="3"/>
      <c r="VHF66" s="3"/>
      <c r="VHG66" s="3"/>
      <c r="VHH66" s="3"/>
      <c r="VHI66" s="3"/>
      <c r="VHJ66" s="3"/>
      <c r="VHK66" s="3"/>
      <c r="VHL66" s="3"/>
      <c r="VHM66" s="3"/>
      <c r="VHN66" s="3"/>
      <c r="VHO66" s="3"/>
      <c r="VHP66" s="3"/>
      <c r="VHQ66" s="3"/>
      <c r="VHR66" s="3"/>
      <c r="VHS66" s="3"/>
      <c r="VHT66" s="3"/>
      <c r="VHU66" s="3"/>
      <c r="VHV66" s="3"/>
      <c r="VHW66" s="3"/>
      <c r="VHX66" s="3"/>
      <c r="VHY66" s="3"/>
      <c r="VHZ66" s="3"/>
      <c r="VIA66" s="3"/>
      <c r="VIB66" s="3"/>
      <c r="VIC66" s="3"/>
      <c r="VID66" s="3"/>
      <c r="VIE66" s="3"/>
      <c r="VIF66" s="3"/>
      <c r="VIG66" s="3"/>
      <c r="VIH66" s="3"/>
      <c r="VII66" s="3"/>
      <c r="VIJ66" s="3"/>
      <c r="VIK66" s="3"/>
      <c r="VIL66" s="3"/>
      <c r="VIM66" s="3"/>
      <c r="VIN66" s="3"/>
      <c r="VIO66" s="3"/>
      <c r="VIP66" s="3"/>
      <c r="VIQ66" s="3"/>
      <c r="VIR66" s="3"/>
      <c r="VIS66" s="3"/>
      <c r="VIT66" s="3"/>
      <c r="VIU66" s="3"/>
      <c r="VIV66" s="3"/>
      <c r="VIW66" s="3"/>
      <c r="VIX66" s="3"/>
      <c r="VIY66" s="3"/>
      <c r="VIZ66" s="3"/>
      <c r="VJA66" s="3"/>
      <c r="VJB66" s="3"/>
      <c r="VJC66" s="3"/>
      <c r="VJD66" s="3"/>
      <c r="VJE66" s="3"/>
      <c r="VJF66" s="3"/>
      <c r="VJG66" s="3"/>
      <c r="VJH66" s="3"/>
      <c r="VJI66" s="3"/>
      <c r="VJJ66" s="3"/>
      <c r="VJK66" s="3"/>
      <c r="VJL66" s="3"/>
      <c r="VJM66" s="3"/>
      <c r="VJN66" s="3"/>
      <c r="VJO66" s="3"/>
      <c r="VJP66" s="3"/>
      <c r="VJQ66" s="3"/>
      <c r="VJR66" s="3"/>
      <c r="VJS66" s="3"/>
      <c r="VJT66" s="3"/>
      <c r="VJU66" s="3"/>
      <c r="VJV66" s="3"/>
      <c r="VJW66" s="3"/>
      <c r="VJX66" s="3"/>
      <c r="VJY66" s="3"/>
      <c r="VJZ66" s="3"/>
      <c r="VKA66" s="3"/>
      <c r="VKB66" s="3"/>
      <c r="VKC66" s="3"/>
      <c r="VKD66" s="3"/>
      <c r="VKE66" s="3"/>
      <c r="VKF66" s="3"/>
      <c r="VKG66" s="3"/>
      <c r="VKH66" s="3"/>
      <c r="VKI66" s="3"/>
      <c r="VKJ66" s="3"/>
      <c r="VKK66" s="3"/>
      <c r="VKL66" s="3"/>
      <c r="VKM66" s="3"/>
      <c r="VKN66" s="3"/>
      <c r="VKO66" s="3"/>
      <c r="VKP66" s="3"/>
      <c r="VKQ66" s="3"/>
      <c r="VKR66" s="3"/>
      <c r="VKS66" s="3"/>
      <c r="VKT66" s="3"/>
      <c r="VKU66" s="3"/>
      <c r="VKV66" s="3"/>
      <c r="VKW66" s="3"/>
      <c r="VKX66" s="3"/>
      <c r="VKY66" s="3"/>
      <c r="VKZ66" s="3"/>
      <c r="VLA66" s="3"/>
      <c r="VLB66" s="3"/>
      <c r="VLC66" s="3"/>
      <c r="VLD66" s="3"/>
      <c r="VLE66" s="3"/>
      <c r="VLF66" s="3"/>
      <c r="VLG66" s="3"/>
      <c r="VLH66" s="3"/>
      <c r="VLI66" s="3"/>
      <c r="VLJ66" s="3"/>
      <c r="VLK66" s="3"/>
      <c r="VLL66" s="3"/>
      <c r="VLM66" s="3"/>
      <c r="VLN66" s="3"/>
      <c r="VLO66" s="3"/>
      <c r="VLP66" s="3"/>
      <c r="VLQ66" s="3"/>
      <c r="VLR66" s="3"/>
      <c r="VLS66" s="3"/>
      <c r="VLT66" s="3"/>
      <c r="VLU66" s="3"/>
      <c r="VLV66" s="3"/>
      <c r="VLW66" s="3"/>
      <c r="VLX66" s="3"/>
      <c r="VLY66" s="3"/>
      <c r="VLZ66" s="3"/>
      <c r="VMA66" s="3"/>
      <c r="VMB66" s="3"/>
      <c r="VMC66" s="3"/>
      <c r="VMD66" s="3"/>
      <c r="VME66" s="3"/>
      <c r="VMF66" s="3"/>
      <c r="VMG66" s="3"/>
      <c r="VMH66" s="3"/>
      <c r="VMI66" s="3"/>
      <c r="VMJ66" s="3"/>
      <c r="VMK66" s="3"/>
      <c r="VML66" s="3"/>
      <c r="VMM66" s="3"/>
      <c r="VMN66" s="3"/>
      <c r="VMO66" s="3"/>
      <c r="VMP66" s="3"/>
      <c r="VMQ66" s="3"/>
      <c r="VMR66" s="3"/>
      <c r="VMS66" s="3"/>
      <c r="VMT66" s="3"/>
      <c r="VMU66" s="3"/>
      <c r="VMV66" s="3"/>
      <c r="VMW66" s="3"/>
      <c r="VMX66" s="3"/>
      <c r="VMY66" s="3"/>
      <c r="VMZ66" s="3"/>
      <c r="VNA66" s="3"/>
      <c r="VNB66" s="3"/>
      <c r="VNC66" s="3"/>
      <c r="VND66" s="3"/>
      <c r="VNE66" s="3"/>
      <c r="VNF66" s="3"/>
      <c r="VNG66" s="3"/>
      <c r="VNH66" s="3"/>
      <c r="VNI66" s="3"/>
      <c r="VNJ66" s="3"/>
      <c r="VNK66" s="3"/>
      <c r="VNL66" s="3"/>
      <c r="VNM66" s="3"/>
      <c r="VNN66" s="3"/>
      <c r="VNO66" s="3"/>
      <c r="VNP66" s="3"/>
      <c r="VNQ66" s="3"/>
      <c r="VNR66" s="3"/>
      <c r="VNS66" s="3"/>
      <c r="VNT66" s="3"/>
      <c r="VNU66" s="3"/>
      <c r="VNV66" s="3"/>
      <c r="VNW66" s="3"/>
      <c r="VNX66" s="3"/>
      <c r="VNY66" s="3"/>
      <c r="VNZ66" s="3"/>
      <c r="VOA66" s="3"/>
      <c r="VOB66" s="3"/>
      <c r="VOC66" s="3"/>
      <c r="VOD66" s="3"/>
      <c r="VOE66" s="3"/>
      <c r="VOF66" s="3"/>
      <c r="VOG66" s="3"/>
      <c r="VOH66" s="3"/>
      <c r="VOI66" s="3"/>
      <c r="VOJ66" s="3"/>
      <c r="VOK66" s="3"/>
      <c r="VOL66" s="3"/>
      <c r="VOM66" s="3"/>
      <c r="VON66" s="3"/>
      <c r="VOO66" s="3"/>
      <c r="VOP66" s="3"/>
      <c r="VOQ66" s="3"/>
      <c r="VOR66" s="3"/>
      <c r="VOS66" s="3"/>
      <c r="VOT66" s="3"/>
      <c r="VOU66" s="3"/>
      <c r="VOV66" s="3"/>
      <c r="VOW66" s="3"/>
      <c r="VOX66" s="3"/>
      <c r="VOY66" s="3"/>
      <c r="VOZ66" s="3"/>
      <c r="VPA66" s="3"/>
      <c r="VPB66" s="3"/>
      <c r="VPC66" s="3"/>
      <c r="VPD66" s="3"/>
      <c r="VPE66" s="3"/>
      <c r="VPF66" s="3"/>
      <c r="VPG66" s="3"/>
      <c r="VPH66" s="3"/>
      <c r="VPI66" s="3"/>
      <c r="VPJ66" s="3"/>
      <c r="VPK66" s="3"/>
      <c r="VPL66" s="3"/>
      <c r="VPM66" s="3"/>
      <c r="VPN66" s="3"/>
      <c r="VPO66" s="3"/>
      <c r="VPP66" s="3"/>
      <c r="VPQ66" s="3"/>
      <c r="VPR66" s="3"/>
      <c r="VPS66" s="3"/>
      <c r="VPT66" s="3"/>
      <c r="VPU66" s="3"/>
      <c r="VPV66" s="3"/>
      <c r="VPW66" s="3"/>
      <c r="VPX66" s="3"/>
      <c r="VPY66" s="3"/>
      <c r="VPZ66" s="3"/>
      <c r="VQA66" s="3"/>
      <c r="VQB66" s="3"/>
      <c r="VQC66" s="3"/>
      <c r="VQD66" s="3"/>
      <c r="VQE66" s="3"/>
      <c r="VQF66" s="3"/>
      <c r="VQG66" s="3"/>
      <c r="VQH66" s="3"/>
      <c r="VQI66" s="3"/>
      <c r="VQJ66" s="3"/>
      <c r="VQK66" s="3"/>
      <c r="VQL66" s="3"/>
      <c r="VQM66" s="3"/>
      <c r="VQN66" s="3"/>
      <c r="VQO66" s="3"/>
      <c r="VQP66" s="3"/>
      <c r="VQQ66" s="3"/>
      <c r="VQR66" s="3"/>
      <c r="VQS66" s="3"/>
      <c r="VQT66" s="3"/>
      <c r="VQU66" s="3"/>
      <c r="VQV66" s="3"/>
      <c r="VQW66" s="3"/>
      <c r="VQX66" s="3"/>
      <c r="VQY66" s="3"/>
      <c r="VQZ66" s="3"/>
      <c r="VRA66" s="3"/>
      <c r="VRB66" s="3"/>
      <c r="VRC66" s="3"/>
      <c r="VRD66" s="3"/>
      <c r="VRE66" s="3"/>
      <c r="VRF66" s="3"/>
      <c r="VRG66" s="3"/>
      <c r="VRH66" s="3"/>
      <c r="VRI66" s="3"/>
      <c r="VRJ66" s="3"/>
      <c r="VRK66" s="3"/>
      <c r="VRL66" s="3"/>
      <c r="VRM66" s="3"/>
      <c r="VRN66" s="3"/>
      <c r="VRO66" s="3"/>
      <c r="VRP66" s="3"/>
      <c r="VRQ66" s="3"/>
      <c r="VRR66" s="3"/>
      <c r="VRS66" s="3"/>
      <c r="VRT66" s="3"/>
      <c r="VRU66" s="3"/>
      <c r="VRV66" s="3"/>
      <c r="VRW66" s="3"/>
      <c r="VRX66" s="3"/>
      <c r="VRY66" s="3"/>
      <c r="VRZ66" s="3"/>
      <c r="VSA66" s="3"/>
      <c r="VSB66" s="3"/>
      <c r="VSC66" s="3"/>
      <c r="VSD66" s="3"/>
      <c r="VSE66" s="3"/>
      <c r="VSF66" s="3"/>
      <c r="VSG66" s="3"/>
      <c r="VSH66" s="3"/>
      <c r="VSI66" s="3"/>
      <c r="VSJ66" s="3"/>
      <c r="VSK66" s="3"/>
      <c r="VSL66" s="3"/>
      <c r="VSM66" s="3"/>
      <c r="VSN66" s="3"/>
      <c r="VSO66" s="3"/>
      <c r="VSP66" s="3"/>
      <c r="VSQ66" s="3"/>
      <c r="VSR66" s="3"/>
      <c r="VSS66" s="3"/>
      <c r="VST66" s="3"/>
      <c r="VSU66" s="3"/>
      <c r="VSV66" s="3"/>
      <c r="VSW66" s="3"/>
      <c r="VSX66" s="3"/>
      <c r="VSY66" s="3"/>
      <c r="VSZ66" s="3"/>
      <c r="VTA66" s="3"/>
      <c r="VTB66" s="3"/>
      <c r="VTC66" s="3"/>
      <c r="VTD66" s="3"/>
      <c r="VTE66" s="3"/>
      <c r="VTF66" s="3"/>
      <c r="VTG66" s="3"/>
      <c r="VTH66" s="3"/>
      <c r="VTI66" s="3"/>
      <c r="VTJ66" s="3"/>
      <c r="VTK66" s="3"/>
      <c r="VTL66" s="3"/>
      <c r="VTM66" s="3"/>
      <c r="VTN66" s="3"/>
      <c r="VTO66" s="3"/>
      <c r="VTP66" s="3"/>
      <c r="VTQ66" s="3"/>
      <c r="VTR66" s="3"/>
      <c r="VTS66" s="3"/>
      <c r="VTT66" s="3"/>
      <c r="VTU66" s="3"/>
      <c r="VTV66" s="3"/>
      <c r="VTW66" s="3"/>
      <c r="VTX66" s="3"/>
      <c r="VTY66" s="3"/>
      <c r="VTZ66" s="3"/>
      <c r="VUA66" s="3"/>
      <c r="VUB66" s="3"/>
      <c r="VUC66" s="3"/>
      <c r="VUD66" s="3"/>
      <c r="VUE66" s="3"/>
      <c r="VUF66" s="3"/>
      <c r="VUG66" s="3"/>
      <c r="VUH66" s="3"/>
      <c r="VUI66" s="3"/>
      <c r="VUJ66" s="3"/>
      <c r="VUK66" s="3"/>
      <c r="VUL66" s="3"/>
      <c r="VUM66" s="3"/>
      <c r="VUN66" s="3"/>
      <c r="VUO66" s="3"/>
      <c r="VUP66" s="3"/>
      <c r="VUQ66" s="3"/>
      <c r="VUR66" s="3"/>
      <c r="VUS66" s="3"/>
      <c r="VUT66" s="3"/>
      <c r="VUU66" s="3"/>
      <c r="VUV66" s="3"/>
      <c r="VUW66" s="3"/>
      <c r="VUX66" s="3"/>
      <c r="VUY66" s="3"/>
      <c r="VUZ66" s="3"/>
      <c r="VVA66" s="3"/>
      <c r="VVB66" s="3"/>
      <c r="VVC66" s="3"/>
      <c r="VVD66" s="3"/>
      <c r="VVE66" s="3"/>
      <c r="VVF66" s="3"/>
      <c r="VVG66" s="3"/>
      <c r="VVH66" s="3"/>
      <c r="VVI66" s="3"/>
      <c r="VVJ66" s="3"/>
      <c r="VVK66" s="3"/>
      <c r="VVL66" s="3"/>
      <c r="VVM66" s="3"/>
      <c r="VVN66" s="3"/>
      <c r="VVO66" s="3"/>
      <c r="VVP66" s="3"/>
      <c r="VVQ66" s="3"/>
      <c r="VVR66" s="3"/>
      <c r="VVS66" s="3"/>
      <c r="VVT66" s="3"/>
      <c r="VVU66" s="3"/>
      <c r="VVV66" s="3"/>
      <c r="VVW66" s="3"/>
      <c r="VVX66" s="3"/>
      <c r="VVY66" s="3"/>
      <c r="VVZ66" s="3"/>
      <c r="VWA66" s="3"/>
      <c r="VWB66" s="3"/>
      <c r="VWC66" s="3"/>
      <c r="VWD66" s="3"/>
      <c r="VWE66" s="3"/>
      <c r="VWF66" s="3"/>
      <c r="VWG66" s="3"/>
      <c r="VWH66" s="3"/>
      <c r="VWI66" s="3"/>
      <c r="VWJ66" s="3"/>
      <c r="VWK66" s="3"/>
      <c r="VWL66" s="3"/>
      <c r="VWM66" s="3"/>
      <c r="VWN66" s="3"/>
      <c r="VWO66" s="3"/>
      <c r="VWP66" s="3"/>
      <c r="VWQ66" s="3"/>
      <c r="VWR66" s="3"/>
      <c r="VWS66" s="3"/>
      <c r="VWT66" s="3"/>
      <c r="VWU66" s="3"/>
      <c r="VWV66" s="3"/>
      <c r="VWW66" s="3"/>
      <c r="VWX66" s="3"/>
      <c r="VWY66" s="3"/>
      <c r="VWZ66" s="3"/>
      <c r="VXA66" s="3"/>
      <c r="VXB66" s="3"/>
      <c r="VXC66" s="3"/>
      <c r="VXD66" s="3"/>
      <c r="VXE66" s="3"/>
      <c r="VXF66" s="3"/>
      <c r="VXG66" s="3"/>
      <c r="VXH66" s="3"/>
      <c r="VXI66" s="3"/>
      <c r="VXJ66" s="3"/>
      <c r="VXK66" s="3"/>
      <c r="VXL66" s="3"/>
      <c r="VXM66" s="3"/>
      <c r="VXN66" s="3"/>
      <c r="VXO66" s="3"/>
      <c r="VXP66" s="3"/>
      <c r="VXQ66" s="3"/>
      <c r="VXR66" s="3"/>
      <c r="VXS66" s="3"/>
      <c r="VXT66" s="3"/>
      <c r="VXU66" s="3"/>
      <c r="VXV66" s="3"/>
      <c r="VXW66" s="3"/>
      <c r="VXX66" s="3"/>
      <c r="VXY66" s="3"/>
      <c r="VXZ66" s="3"/>
      <c r="VYA66" s="3"/>
      <c r="VYB66" s="3"/>
      <c r="VYC66" s="3"/>
      <c r="VYD66" s="3"/>
      <c r="VYE66" s="3"/>
      <c r="VYF66" s="3"/>
      <c r="VYG66" s="3"/>
      <c r="VYH66" s="3"/>
      <c r="VYI66" s="3"/>
      <c r="VYJ66" s="3"/>
      <c r="VYK66" s="3"/>
      <c r="VYL66" s="3"/>
      <c r="VYM66" s="3"/>
      <c r="VYN66" s="3"/>
      <c r="VYO66" s="3"/>
      <c r="VYP66" s="3"/>
      <c r="VYQ66" s="3"/>
      <c r="VYR66" s="3"/>
      <c r="VYS66" s="3"/>
      <c r="VYT66" s="3"/>
      <c r="VYU66" s="3"/>
      <c r="VYV66" s="3"/>
      <c r="VYW66" s="3"/>
      <c r="VYX66" s="3"/>
      <c r="VYY66" s="3"/>
      <c r="VYZ66" s="3"/>
      <c r="VZA66" s="3"/>
      <c r="VZB66" s="3"/>
      <c r="VZC66" s="3"/>
      <c r="VZD66" s="3"/>
      <c r="VZE66" s="3"/>
      <c r="VZF66" s="3"/>
      <c r="VZG66" s="3"/>
      <c r="VZH66" s="3"/>
      <c r="VZI66" s="3"/>
      <c r="VZJ66" s="3"/>
      <c r="VZK66" s="3"/>
      <c r="VZL66" s="3"/>
      <c r="VZM66" s="3"/>
      <c r="VZN66" s="3"/>
      <c r="VZO66" s="3"/>
      <c r="VZP66" s="3"/>
      <c r="VZQ66" s="3"/>
      <c r="VZR66" s="3"/>
      <c r="VZS66" s="3"/>
      <c r="VZT66" s="3"/>
      <c r="VZU66" s="3"/>
      <c r="VZV66" s="3"/>
      <c r="VZW66" s="3"/>
      <c r="VZX66" s="3"/>
      <c r="VZY66" s="3"/>
      <c r="VZZ66" s="3"/>
      <c r="WAA66" s="3"/>
      <c r="WAB66" s="3"/>
      <c r="WAC66" s="3"/>
      <c r="WAD66" s="3"/>
      <c r="WAE66" s="3"/>
      <c r="WAF66" s="3"/>
      <c r="WAG66" s="3"/>
      <c r="WAH66" s="3"/>
      <c r="WAI66" s="3"/>
      <c r="WAJ66" s="3"/>
      <c r="WAK66" s="3"/>
      <c r="WAL66" s="3"/>
      <c r="WAM66" s="3"/>
      <c r="WAN66" s="3"/>
      <c r="WAO66" s="3"/>
      <c r="WAP66" s="3"/>
      <c r="WAQ66" s="3"/>
      <c r="WAR66" s="3"/>
      <c r="WAS66" s="3"/>
      <c r="WAT66" s="3"/>
      <c r="WAU66" s="3"/>
      <c r="WAV66" s="3"/>
      <c r="WAW66" s="3"/>
      <c r="WAX66" s="3"/>
      <c r="WAY66" s="3"/>
      <c r="WAZ66" s="3"/>
      <c r="WBA66" s="3"/>
      <c r="WBB66" s="3"/>
      <c r="WBC66" s="3"/>
      <c r="WBD66" s="3"/>
      <c r="WBE66" s="3"/>
      <c r="WBF66" s="3"/>
      <c r="WBG66" s="3"/>
      <c r="WBH66" s="3"/>
      <c r="WBI66" s="3"/>
      <c r="WBJ66" s="3"/>
      <c r="WBK66" s="3"/>
      <c r="WBL66" s="3"/>
      <c r="WBM66" s="3"/>
      <c r="WBN66" s="3"/>
      <c r="WBO66" s="3"/>
      <c r="WBP66" s="3"/>
      <c r="WBQ66" s="3"/>
      <c r="WBR66" s="3"/>
      <c r="WBS66" s="3"/>
      <c r="WBT66" s="3"/>
      <c r="WBU66" s="3"/>
      <c r="WBV66" s="3"/>
      <c r="WBW66" s="3"/>
      <c r="WBX66" s="3"/>
      <c r="WBY66" s="3"/>
      <c r="WBZ66" s="3"/>
      <c r="WCA66" s="3"/>
      <c r="WCB66" s="3"/>
      <c r="WCC66" s="3"/>
      <c r="WCD66" s="3"/>
      <c r="WCE66" s="3"/>
      <c r="WCF66" s="3"/>
      <c r="WCG66" s="3"/>
      <c r="WCH66" s="3"/>
      <c r="WCI66" s="3"/>
      <c r="WCJ66" s="3"/>
      <c r="WCK66" s="3"/>
      <c r="WCL66" s="3"/>
      <c r="WCM66" s="3"/>
      <c r="WCN66" s="3"/>
      <c r="WCO66" s="3"/>
      <c r="WCP66" s="3"/>
      <c r="WCQ66" s="3"/>
      <c r="WCR66" s="3"/>
      <c r="WCS66" s="3"/>
      <c r="WCT66" s="3"/>
      <c r="WCU66" s="3"/>
      <c r="WCV66" s="3"/>
      <c r="WCW66" s="3"/>
      <c r="WCX66" s="3"/>
      <c r="WCY66" s="3"/>
      <c r="WCZ66" s="3"/>
      <c r="WDA66" s="3"/>
      <c r="WDB66" s="3"/>
      <c r="WDC66" s="3"/>
      <c r="WDD66" s="3"/>
      <c r="WDE66" s="3"/>
      <c r="WDF66" s="3"/>
      <c r="WDG66" s="3"/>
      <c r="WDH66" s="3"/>
      <c r="WDI66" s="3"/>
      <c r="WDJ66" s="3"/>
      <c r="WDK66" s="3"/>
      <c r="WDL66" s="3"/>
      <c r="WDM66" s="3"/>
      <c r="WDN66" s="3"/>
      <c r="WDO66" s="3"/>
      <c r="WDP66" s="3"/>
      <c r="WDQ66" s="3"/>
      <c r="WDR66" s="3"/>
      <c r="WDS66" s="3"/>
      <c r="WDT66" s="3"/>
      <c r="WDU66" s="3"/>
      <c r="WDV66" s="3"/>
      <c r="WDW66" s="3"/>
      <c r="WDX66" s="3"/>
      <c r="WDY66" s="3"/>
      <c r="WDZ66" s="3"/>
      <c r="WEA66" s="3"/>
      <c r="WEB66" s="3"/>
      <c r="WEC66" s="3"/>
      <c r="WED66" s="3"/>
      <c r="WEE66" s="3"/>
      <c r="WEF66" s="3"/>
      <c r="WEG66" s="3"/>
      <c r="WEH66" s="3"/>
      <c r="WEI66" s="3"/>
      <c r="WEJ66" s="3"/>
      <c r="WEK66" s="3"/>
      <c r="WEL66" s="3"/>
      <c r="WEM66" s="3"/>
      <c r="WEN66" s="3"/>
      <c r="WEO66" s="3"/>
      <c r="WEP66" s="3"/>
      <c r="WEQ66" s="3"/>
      <c r="WER66" s="3"/>
      <c r="WES66" s="3"/>
      <c r="WET66" s="3"/>
      <c r="WEU66" s="3"/>
      <c r="WEV66" s="3"/>
      <c r="WEW66" s="3"/>
      <c r="WEX66" s="3"/>
      <c r="WEY66" s="3"/>
      <c r="WEZ66" s="3"/>
      <c r="WFA66" s="3"/>
      <c r="WFB66" s="3"/>
      <c r="WFC66" s="3"/>
      <c r="WFD66" s="3"/>
      <c r="WFE66" s="3"/>
      <c r="WFF66" s="3"/>
      <c r="WFG66" s="3"/>
      <c r="WFH66" s="3"/>
      <c r="WFI66" s="3"/>
      <c r="WFJ66" s="3"/>
      <c r="WFK66" s="3"/>
      <c r="WFL66" s="3"/>
      <c r="WFM66" s="3"/>
      <c r="WFN66" s="3"/>
      <c r="WFO66" s="3"/>
      <c r="WFP66" s="3"/>
      <c r="WFQ66" s="3"/>
      <c r="WFR66" s="3"/>
      <c r="WFS66" s="3"/>
      <c r="WFT66" s="3"/>
      <c r="WFU66" s="3"/>
      <c r="WFV66" s="3"/>
      <c r="WFW66" s="3"/>
      <c r="WFX66" s="3"/>
      <c r="WFY66" s="3"/>
      <c r="WFZ66" s="3"/>
      <c r="WGA66" s="3"/>
      <c r="WGB66" s="3"/>
      <c r="WGC66" s="3"/>
      <c r="WGD66" s="3"/>
      <c r="WGE66" s="3"/>
      <c r="WGF66" s="3"/>
      <c r="WGG66" s="3"/>
      <c r="WGH66" s="3"/>
      <c r="WGI66" s="3"/>
      <c r="WGJ66" s="3"/>
      <c r="WGK66" s="3"/>
      <c r="WGL66" s="3"/>
      <c r="WGM66" s="3"/>
      <c r="WGN66" s="3"/>
      <c r="WGO66" s="3"/>
      <c r="WGP66" s="3"/>
      <c r="WGQ66" s="3"/>
      <c r="WGR66" s="3"/>
      <c r="WGS66" s="3"/>
      <c r="WGT66" s="3"/>
      <c r="WGU66" s="3"/>
      <c r="WGV66" s="3"/>
      <c r="WGW66" s="3"/>
      <c r="WGX66" s="3"/>
      <c r="WGY66" s="3"/>
      <c r="WGZ66" s="3"/>
      <c r="WHA66" s="3"/>
      <c r="WHB66" s="3"/>
      <c r="WHC66" s="3"/>
      <c r="WHD66" s="3"/>
      <c r="WHE66" s="3"/>
      <c r="WHF66" s="3"/>
      <c r="WHG66" s="3"/>
      <c r="WHH66" s="3"/>
      <c r="WHI66" s="3"/>
      <c r="WHJ66" s="3"/>
      <c r="WHK66" s="3"/>
      <c r="WHL66" s="3"/>
      <c r="WHM66" s="3"/>
      <c r="WHN66" s="3"/>
      <c r="WHO66" s="3"/>
      <c r="WHP66" s="3"/>
      <c r="WHQ66" s="3"/>
      <c r="WHR66" s="3"/>
      <c r="WHS66" s="3"/>
      <c r="WHT66" s="3"/>
      <c r="WHU66" s="3"/>
      <c r="WHV66" s="3"/>
      <c r="WHW66" s="3"/>
      <c r="WHX66" s="3"/>
      <c r="WHY66" s="3"/>
      <c r="WHZ66" s="3"/>
      <c r="WIA66" s="3"/>
      <c r="WIB66" s="3"/>
      <c r="WIC66" s="3"/>
      <c r="WID66" s="3"/>
      <c r="WIE66" s="3"/>
      <c r="WIF66" s="3"/>
      <c r="WIG66" s="3"/>
      <c r="WIH66" s="3"/>
      <c r="WII66" s="3"/>
      <c r="WIJ66" s="3"/>
      <c r="WIK66" s="3"/>
      <c r="WIL66" s="3"/>
      <c r="WIM66" s="3"/>
      <c r="WIN66" s="3"/>
      <c r="WIO66" s="3"/>
      <c r="WIP66" s="3"/>
      <c r="WIQ66" s="3"/>
      <c r="WIR66" s="3"/>
      <c r="WIS66" s="3"/>
      <c r="WIT66" s="3"/>
      <c r="WIU66" s="3"/>
      <c r="WIV66" s="3"/>
      <c r="WIW66" s="3"/>
      <c r="WIX66" s="3"/>
      <c r="WIY66" s="3"/>
      <c r="WIZ66" s="3"/>
      <c r="WJA66" s="3"/>
      <c r="WJB66" s="3"/>
      <c r="WJC66" s="3"/>
      <c r="WJD66" s="3"/>
      <c r="WJE66" s="3"/>
      <c r="WJF66" s="3"/>
      <c r="WJG66" s="3"/>
      <c r="WJH66" s="3"/>
      <c r="WJI66" s="3"/>
      <c r="WJJ66" s="3"/>
      <c r="WJK66" s="3"/>
      <c r="WJL66" s="3"/>
      <c r="WJM66" s="3"/>
      <c r="WJN66" s="3"/>
      <c r="WJO66" s="3"/>
      <c r="WJP66" s="3"/>
      <c r="WJQ66" s="3"/>
      <c r="WJR66" s="3"/>
      <c r="WJS66" s="3"/>
      <c r="WJT66" s="3"/>
      <c r="WJU66" s="3"/>
      <c r="WJV66" s="3"/>
      <c r="WJW66" s="3"/>
      <c r="WJX66" s="3"/>
      <c r="WJY66" s="3"/>
      <c r="WJZ66" s="3"/>
      <c r="WKA66" s="3"/>
      <c r="WKB66" s="3"/>
      <c r="WKC66" s="3"/>
      <c r="WKD66" s="3"/>
      <c r="WKE66" s="3"/>
      <c r="WKF66" s="3"/>
      <c r="WKG66" s="3"/>
      <c r="WKH66" s="3"/>
      <c r="WKI66" s="3"/>
      <c r="WKJ66" s="3"/>
      <c r="WKK66" s="3"/>
      <c r="WKL66" s="3"/>
      <c r="WKM66" s="3"/>
      <c r="WKN66" s="3"/>
      <c r="WKO66" s="3"/>
      <c r="WKP66" s="3"/>
      <c r="WKQ66" s="3"/>
      <c r="WKR66" s="3"/>
      <c r="WKS66" s="3"/>
      <c r="WKT66" s="3"/>
      <c r="WKU66" s="3"/>
      <c r="WKV66" s="3"/>
      <c r="WKW66" s="3"/>
      <c r="WKX66" s="3"/>
      <c r="WKY66" s="3"/>
      <c r="WKZ66" s="3"/>
      <c r="WLA66" s="3"/>
      <c r="WLB66" s="3"/>
      <c r="WLC66" s="3"/>
      <c r="WLD66" s="3"/>
      <c r="WLE66" s="3"/>
      <c r="WLF66" s="3"/>
      <c r="WLG66" s="3"/>
      <c r="WLH66" s="3"/>
      <c r="WLI66" s="3"/>
      <c r="WLJ66" s="3"/>
      <c r="WLK66" s="3"/>
      <c r="WLL66" s="3"/>
      <c r="WLM66" s="3"/>
      <c r="WLN66" s="3"/>
      <c r="WLO66" s="3"/>
      <c r="WLP66" s="3"/>
      <c r="WLQ66" s="3"/>
      <c r="WLR66" s="3"/>
      <c r="WLS66" s="3"/>
      <c r="WLT66" s="3"/>
      <c r="WLU66" s="3"/>
      <c r="WLV66" s="3"/>
      <c r="WLW66" s="3"/>
      <c r="WLX66" s="3"/>
      <c r="WLY66" s="3"/>
      <c r="WLZ66" s="3"/>
      <c r="WMA66" s="3"/>
      <c r="WMB66" s="3"/>
      <c r="WMC66" s="3"/>
      <c r="WMD66" s="3"/>
      <c r="WME66" s="3"/>
      <c r="WMF66" s="3"/>
      <c r="WMG66" s="3"/>
      <c r="WMH66" s="3"/>
      <c r="WMI66" s="3"/>
      <c r="WMJ66" s="3"/>
      <c r="WMK66" s="3"/>
      <c r="WML66" s="3"/>
      <c r="WMM66" s="3"/>
      <c r="WMN66" s="3"/>
      <c r="WMO66" s="3"/>
      <c r="WMP66" s="3"/>
      <c r="WMQ66" s="3"/>
      <c r="WMR66" s="3"/>
      <c r="WMS66" s="3"/>
      <c r="WMT66" s="3"/>
      <c r="WMU66" s="3"/>
      <c r="WMV66" s="3"/>
      <c r="WMW66" s="3"/>
      <c r="WMX66" s="3"/>
      <c r="WMY66" s="3"/>
      <c r="WMZ66" s="3"/>
      <c r="WNA66" s="3"/>
      <c r="WNB66" s="3"/>
      <c r="WNC66" s="3"/>
      <c r="WND66" s="3"/>
      <c r="WNE66" s="3"/>
      <c r="WNF66" s="3"/>
      <c r="WNG66" s="3"/>
      <c r="WNH66" s="3"/>
      <c r="WNI66" s="3"/>
      <c r="WNJ66" s="3"/>
      <c r="WNK66" s="3"/>
      <c r="WNL66" s="3"/>
      <c r="WNM66" s="3"/>
      <c r="WNN66" s="3"/>
      <c r="WNO66" s="3"/>
      <c r="WNP66" s="3"/>
      <c r="WNQ66" s="3"/>
      <c r="WNR66" s="3"/>
      <c r="WNS66" s="3"/>
      <c r="WNT66" s="3"/>
      <c r="WNU66" s="3"/>
      <c r="WNV66" s="3"/>
      <c r="WNW66" s="3"/>
      <c r="WNX66" s="3"/>
      <c r="WNY66" s="3"/>
      <c r="WNZ66" s="3"/>
      <c r="WOA66" s="3"/>
      <c r="WOB66" s="3"/>
      <c r="WOC66" s="3"/>
      <c r="WOD66" s="3"/>
      <c r="WOE66" s="3"/>
      <c r="WOF66" s="3"/>
      <c r="WOG66" s="3"/>
      <c r="WOH66" s="3"/>
      <c r="WOI66" s="3"/>
      <c r="WOJ66" s="3"/>
      <c r="WOK66" s="3"/>
      <c r="WOL66" s="3"/>
      <c r="WOM66" s="3"/>
      <c r="WON66" s="3"/>
      <c r="WOO66" s="3"/>
      <c r="WOP66" s="3"/>
      <c r="WOQ66" s="3"/>
      <c r="WOR66" s="3"/>
      <c r="WOS66" s="3"/>
      <c r="WOT66" s="3"/>
      <c r="WOU66" s="3"/>
      <c r="WOV66" s="3"/>
      <c r="WOW66" s="3"/>
      <c r="WOX66" s="3"/>
      <c r="WOY66" s="3"/>
      <c r="WOZ66" s="3"/>
      <c r="WPA66" s="3"/>
      <c r="WPB66" s="3"/>
      <c r="WPC66" s="3"/>
      <c r="WPD66" s="3"/>
      <c r="WPE66" s="3"/>
      <c r="WPF66" s="3"/>
      <c r="WPG66" s="3"/>
      <c r="WPH66" s="3"/>
      <c r="WPI66" s="3"/>
      <c r="WPJ66" s="3"/>
      <c r="WPK66" s="3"/>
      <c r="WPL66" s="3"/>
      <c r="WPM66" s="3"/>
      <c r="WPN66" s="3"/>
      <c r="WPO66" s="3"/>
      <c r="WPP66" s="3"/>
      <c r="WPQ66" s="3"/>
      <c r="WPR66" s="3"/>
      <c r="WPS66" s="3"/>
      <c r="WPT66" s="3"/>
      <c r="WPU66" s="3"/>
      <c r="WPV66" s="3"/>
      <c r="WPW66" s="3"/>
      <c r="WPX66" s="3"/>
      <c r="WPY66" s="3"/>
      <c r="WPZ66" s="3"/>
      <c r="WQA66" s="3"/>
      <c r="WQB66" s="3"/>
      <c r="WQC66" s="3"/>
      <c r="WQD66" s="3"/>
      <c r="WQE66" s="3"/>
      <c r="WQF66" s="3"/>
      <c r="WQG66" s="3"/>
      <c r="WQH66" s="3"/>
      <c r="WQI66" s="3"/>
      <c r="WQJ66" s="3"/>
      <c r="WQK66" s="3"/>
      <c r="WQL66" s="3"/>
      <c r="WQM66" s="3"/>
      <c r="WQN66" s="3"/>
      <c r="WQO66" s="3"/>
      <c r="WQP66" s="3"/>
      <c r="WQQ66" s="3"/>
      <c r="WQR66" s="3"/>
      <c r="WQS66" s="3"/>
      <c r="WQT66" s="3"/>
      <c r="WQU66" s="3"/>
      <c r="WQV66" s="3"/>
      <c r="WQW66" s="3"/>
      <c r="WQX66" s="3"/>
      <c r="WQY66" s="3"/>
      <c r="WQZ66" s="3"/>
      <c r="WRA66" s="3"/>
      <c r="WRB66" s="3"/>
      <c r="WRC66" s="3"/>
      <c r="WRD66" s="3"/>
      <c r="WRE66" s="3"/>
      <c r="WRF66" s="3"/>
      <c r="WRG66" s="3"/>
      <c r="WRH66" s="3"/>
      <c r="WRI66" s="3"/>
      <c r="WRJ66" s="3"/>
      <c r="WRK66" s="3"/>
      <c r="WRL66" s="3"/>
      <c r="WRM66" s="3"/>
      <c r="WRN66" s="3"/>
      <c r="WRO66" s="3"/>
      <c r="WRP66" s="3"/>
      <c r="WRQ66" s="3"/>
      <c r="WRR66" s="3"/>
      <c r="WRS66" s="3"/>
      <c r="WRT66" s="3"/>
      <c r="WRU66" s="3"/>
      <c r="WRV66" s="3"/>
      <c r="WRW66" s="3"/>
      <c r="WRX66" s="3"/>
      <c r="WRY66" s="3"/>
      <c r="WRZ66" s="3"/>
      <c r="WSA66" s="3"/>
      <c r="WSB66" s="3"/>
      <c r="WSC66" s="3"/>
      <c r="WSD66" s="3"/>
      <c r="WSE66" s="3"/>
      <c r="WSF66" s="3"/>
      <c r="WSG66" s="3"/>
      <c r="WSH66" s="3"/>
      <c r="WSI66" s="3"/>
      <c r="WSJ66" s="3"/>
      <c r="WSK66" s="3"/>
      <c r="WSL66" s="3"/>
      <c r="WSM66" s="3"/>
      <c r="WSN66" s="3"/>
      <c r="WSO66" s="3"/>
      <c r="WSP66" s="3"/>
      <c r="WSQ66" s="3"/>
      <c r="WSR66" s="3"/>
      <c r="WSS66" s="3"/>
      <c r="WST66" s="3"/>
      <c r="WSU66" s="3"/>
      <c r="WSV66" s="3"/>
      <c r="WSW66" s="3"/>
      <c r="WSX66" s="3"/>
      <c r="WSY66" s="3"/>
      <c r="WSZ66" s="3"/>
      <c r="WTA66" s="3"/>
      <c r="WTB66" s="3"/>
      <c r="WTC66" s="3"/>
      <c r="WTD66" s="3"/>
      <c r="WTE66" s="3"/>
      <c r="WTF66" s="3"/>
      <c r="WTG66" s="3"/>
      <c r="WTH66" s="3"/>
      <c r="WTI66" s="3"/>
      <c r="WTJ66" s="3"/>
      <c r="WTK66" s="3"/>
      <c r="WTL66" s="3"/>
      <c r="WTM66" s="3"/>
      <c r="WTN66" s="3"/>
      <c r="WTO66" s="3"/>
      <c r="WTP66" s="3"/>
      <c r="WTQ66" s="3"/>
      <c r="WTR66" s="3"/>
      <c r="WTS66" s="3"/>
      <c r="WTT66" s="3"/>
      <c r="WTU66" s="3"/>
      <c r="WTV66" s="3"/>
      <c r="WTW66" s="3"/>
      <c r="WTX66" s="3"/>
      <c r="WTY66" s="3"/>
      <c r="WTZ66" s="3"/>
      <c r="WUA66" s="3"/>
      <c r="WUB66" s="3"/>
      <c r="WUC66" s="3"/>
      <c r="WUD66" s="3"/>
      <c r="WUE66" s="3"/>
      <c r="WUF66" s="3"/>
      <c r="WUG66" s="3"/>
      <c r="WUH66" s="3"/>
      <c r="WUI66" s="3"/>
      <c r="WUJ66" s="3"/>
      <c r="WUK66" s="3"/>
      <c r="WUL66" s="3"/>
      <c r="WUM66" s="3"/>
      <c r="WUN66" s="3"/>
      <c r="WUO66" s="3"/>
      <c r="WUP66" s="3"/>
      <c r="WUQ66" s="3"/>
      <c r="WUR66" s="3"/>
      <c r="WUS66" s="3"/>
      <c r="WUT66" s="3"/>
      <c r="WUU66" s="3"/>
      <c r="WUV66" s="3"/>
      <c r="WUW66" s="3"/>
      <c r="WUX66" s="3"/>
      <c r="WUY66" s="3"/>
      <c r="WUZ66" s="3"/>
      <c r="WVA66" s="3"/>
      <c r="WVB66" s="3"/>
      <c r="WVC66" s="3"/>
      <c r="WVD66" s="3"/>
      <c r="WVE66" s="3"/>
      <c r="WVF66" s="3"/>
      <c r="WVG66" s="3"/>
      <c r="WVH66" s="3"/>
      <c r="WVI66" s="3"/>
      <c r="WVJ66" s="3"/>
      <c r="WVK66" s="3"/>
      <c r="WVL66" s="3"/>
      <c r="WVM66" s="3"/>
      <c r="WVN66" s="3"/>
      <c r="WVO66" s="3"/>
      <c r="WVP66" s="3"/>
      <c r="WVQ66" s="3"/>
      <c r="WVR66" s="3"/>
      <c r="WVS66" s="3"/>
      <c r="WVT66" s="3"/>
      <c r="WVU66" s="3"/>
      <c r="WVV66" s="3"/>
      <c r="WVW66" s="3"/>
      <c r="WVX66" s="3"/>
      <c r="WVY66" s="3"/>
      <c r="WVZ66" s="3"/>
      <c r="WWA66" s="3"/>
      <c r="WWB66" s="3"/>
      <c r="WWC66" s="3"/>
      <c r="WWD66" s="3"/>
      <c r="WWE66" s="3"/>
      <c r="WWF66" s="3"/>
      <c r="WWG66" s="3"/>
      <c r="WWH66" s="3"/>
      <c r="WWI66" s="3"/>
      <c r="WWJ66" s="3"/>
      <c r="WWK66" s="3"/>
      <c r="WWL66" s="3"/>
      <c r="WWM66" s="3"/>
      <c r="WWN66" s="3"/>
      <c r="WWO66" s="3"/>
      <c r="WWP66" s="3"/>
      <c r="WWQ66" s="3"/>
      <c r="WWR66" s="3"/>
      <c r="WWS66" s="3"/>
      <c r="WWT66" s="3"/>
      <c r="WWU66" s="3"/>
      <c r="WWV66" s="3"/>
      <c r="WWW66" s="3"/>
      <c r="WWX66" s="3"/>
      <c r="WWY66" s="3"/>
      <c r="WWZ66" s="3"/>
      <c r="WXA66" s="3"/>
      <c r="WXB66" s="3"/>
      <c r="WXC66" s="3"/>
      <c r="WXD66" s="3"/>
      <c r="WXE66" s="3"/>
      <c r="WXF66" s="3"/>
      <c r="WXG66" s="3"/>
      <c r="WXH66" s="3"/>
      <c r="WXI66" s="3"/>
      <c r="WXJ66" s="3"/>
      <c r="WXK66" s="3"/>
      <c r="WXL66" s="3"/>
      <c r="WXM66" s="3"/>
      <c r="WXN66" s="3"/>
      <c r="WXO66" s="3"/>
      <c r="WXP66" s="3"/>
      <c r="WXQ66" s="3"/>
      <c r="WXR66" s="3"/>
      <c r="WXS66" s="3"/>
      <c r="WXT66" s="3"/>
      <c r="WXU66" s="3"/>
      <c r="WXV66" s="3"/>
      <c r="WXW66" s="3"/>
      <c r="WXX66" s="3"/>
      <c r="WXY66" s="3"/>
      <c r="WXZ66" s="3"/>
      <c r="WYA66" s="3"/>
      <c r="WYB66" s="3"/>
      <c r="WYC66" s="3"/>
      <c r="WYD66" s="3"/>
      <c r="WYE66" s="3"/>
      <c r="WYF66" s="3"/>
      <c r="WYG66" s="3"/>
      <c r="WYH66" s="3"/>
      <c r="WYI66" s="3"/>
      <c r="WYJ66" s="3"/>
      <c r="WYK66" s="3"/>
      <c r="WYL66" s="3"/>
      <c r="WYM66" s="3"/>
      <c r="WYN66" s="3"/>
      <c r="WYO66" s="3"/>
      <c r="WYP66" s="3"/>
      <c r="WYQ66" s="3"/>
      <c r="WYR66" s="3"/>
      <c r="WYS66" s="3"/>
      <c r="WYT66" s="3"/>
      <c r="WYU66" s="3"/>
      <c r="WYV66" s="3"/>
      <c r="WYW66" s="3"/>
      <c r="WYX66" s="3"/>
      <c r="WYY66" s="3"/>
      <c r="WYZ66" s="3"/>
      <c r="WZA66" s="3"/>
      <c r="WZB66" s="3"/>
      <c r="WZC66" s="3"/>
      <c r="WZD66" s="3"/>
      <c r="WZE66" s="3"/>
      <c r="WZF66" s="3"/>
      <c r="WZG66" s="3"/>
      <c r="WZH66" s="3"/>
      <c r="WZI66" s="3"/>
      <c r="WZJ66" s="3"/>
      <c r="WZK66" s="3"/>
      <c r="WZL66" s="3"/>
      <c r="WZM66" s="3"/>
      <c r="WZN66" s="3"/>
      <c r="WZO66" s="3"/>
      <c r="WZP66" s="3"/>
      <c r="WZQ66" s="3"/>
      <c r="WZR66" s="3"/>
      <c r="WZS66" s="3"/>
      <c r="WZT66" s="3"/>
      <c r="WZU66" s="3"/>
      <c r="WZV66" s="3"/>
      <c r="WZW66" s="3"/>
      <c r="WZX66" s="3"/>
      <c r="WZY66" s="3"/>
      <c r="WZZ66" s="3"/>
      <c r="XAA66" s="3"/>
      <c r="XAB66" s="3"/>
      <c r="XAC66" s="3"/>
      <c r="XAD66" s="3"/>
      <c r="XAE66" s="3"/>
      <c r="XAF66" s="3"/>
      <c r="XAG66" s="3"/>
      <c r="XAH66" s="3"/>
      <c r="XAI66" s="3"/>
      <c r="XAJ66" s="3"/>
      <c r="XAK66" s="3"/>
      <c r="XAL66" s="3"/>
      <c r="XAM66" s="3"/>
      <c r="XAN66" s="3"/>
      <c r="XAO66" s="3"/>
      <c r="XAP66" s="3"/>
      <c r="XAQ66" s="3"/>
      <c r="XAR66" s="3"/>
      <c r="XAS66" s="3"/>
      <c r="XAT66" s="3"/>
      <c r="XAU66" s="3"/>
      <c r="XAV66" s="3"/>
      <c r="XAW66" s="3"/>
      <c r="XAX66" s="3"/>
      <c r="XAY66" s="3"/>
      <c r="XAZ66" s="3"/>
      <c r="XBA66" s="3"/>
      <c r="XBB66" s="3"/>
      <c r="XBC66" s="3"/>
      <c r="XBD66" s="3"/>
      <c r="XBE66" s="3"/>
      <c r="XBF66" s="3"/>
      <c r="XBG66" s="3"/>
      <c r="XBH66" s="3"/>
      <c r="XBI66" s="3"/>
      <c r="XBJ66" s="3"/>
      <c r="XBK66" s="3"/>
      <c r="XBL66" s="3"/>
      <c r="XBM66" s="3"/>
      <c r="XBN66" s="3"/>
      <c r="XBO66" s="3"/>
      <c r="XBP66" s="3"/>
      <c r="XBQ66" s="3"/>
      <c r="XBR66" s="3"/>
      <c r="XBS66" s="3"/>
      <c r="XBT66" s="3"/>
      <c r="XBU66" s="3"/>
      <c r="XBV66" s="3"/>
      <c r="XBW66" s="3"/>
      <c r="XBX66" s="3"/>
      <c r="XBY66" s="3"/>
      <c r="XBZ66" s="3"/>
      <c r="XCA66" s="3"/>
      <c r="XCB66" s="3"/>
      <c r="XCC66" s="3"/>
      <c r="XCD66" s="3"/>
      <c r="XCE66" s="3"/>
      <c r="XCF66" s="3"/>
      <c r="XCG66" s="3"/>
      <c r="XCH66" s="3"/>
      <c r="XCI66" s="3"/>
      <c r="XCJ66" s="3"/>
      <c r="XCK66" s="3"/>
      <c r="XCL66" s="3"/>
      <c r="XCM66" s="3"/>
      <c r="XCN66" s="3"/>
      <c r="XCO66" s="3"/>
      <c r="XCP66" s="3"/>
      <c r="XCQ66" s="3"/>
      <c r="XCR66" s="3"/>
      <c r="XCS66" s="3"/>
      <c r="XCT66" s="3"/>
      <c r="XCU66" s="3"/>
      <c r="XCV66" s="3"/>
      <c r="XCW66" s="3"/>
      <c r="XCX66" s="3"/>
      <c r="XCY66" s="3"/>
      <c r="XCZ66" s="3"/>
      <c r="XDA66" s="3"/>
      <c r="XDB66" s="3"/>
      <c r="XDC66" s="3"/>
      <c r="XDD66" s="3"/>
      <c r="XDE66" s="3"/>
      <c r="XDF66" s="3"/>
      <c r="XDG66" s="3"/>
      <c r="XDH66" s="3"/>
      <c r="XDI66" s="3"/>
      <c r="XDJ66" s="3"/>
      <c r="XDK66" s="3"/>
      <c r="XDL66" s="3"/>
      <c r="XDM66" s="3"/>
      <c r="XDN66" s="3"/>
      <c r="XDO66" s="3"/>
      <c r="XDP66" s="3"/>
      <c r="XDQ66" s="3"/>
      <c r="XDR66" s="3"/>
      <c r="XDS66" s="3"/>
      <c r="XDT66" s="3"/>
      <c r="XDU66" s="3"/>
      <c r="XDV66" s="3"/>
      <c r="XDW66" s="3"/>
      <c r="XDX66" s="3"/>
      <c r="XDY66" s="3"/>
      <c r="XDZ66" s="3"/>
      <c r="XEA66" s="3"/>
      <c r="XEB66" s="3"/>
      <c r="XEC66" s="3"/>
      <c r="XED66" s="3"/>
      <c r="XEE66" s="3"/>
      <c r="XEF66" s="3"/>
      <c r="XEG66" s="3"/>
      <c r="XEH66" s="3"/>
      <c r="XEI66" s="3"/>
      <c r="XEJ66" s="3"/>
      <c r="XEK66" s="3"/>
      <c r="XEL66" s="3"/>
      <c r="XEM66" s="3"/>
      <c r="XEN66" s="3"/>
      <c r="XEO66" s="3"/>
      <c r="XEP66" s="3"/>
      <c r="XEQ66" s="3"/>
      <c r="XER66" s="3"/>
      <c r="XES66" s="3"/>
      <c r="XET66" s="3"/>
      <c r="XEU66" s="3"/>
      <c r="XEV66" s="3"/>
      <c r="XEW66" s="3"/>
      <c r="XEX66" s="3"/>
      <c r="XEY66" s="3"/>
      <c r="XEZ66" s="3"/>
      <c r="XFA66" s="3"/>
      <c r="XFB66" s="3"/>
      <c r="XFC66" s="3"/>
    </row>
    <row r="67" spans="1:16383" s="37" customFormat="1" ht="16" x14ac:dyDescent="0.2">
      <c r="A67" s="32"/>
      <c r="B67" s="14" t="s">
        <v>2</v>
      </c>
      <c r="C67" s="15" t="s">
        <v>3</v>
      </c>
      <c r="D67" s="16">
        <v>2025</v>
      </c>
      <c r="E67" s="16">
        <v>2026</v>
      </c>
      <c r="F67" s="16">
        <v>2027</v>
      </c>
      <c r="G67" s="16">
        <v>2028</v>
      </c>
      <c r="H67" s="16">
        <v>2029</v>
      </c>
      <c r="I67" s="16">
        <v>2030</v>
      </c>
      <c r="J67" s="16">
        <v>2031</v>
      </c>
      <c r="K67" s="16">
        <v>2032</v>
      </c>
      <c r="L67" s="16">
        <v>2033</v>
      </c>
      <c r="M67" s="16">
        <v>2034</v>
      </c>
      <c r="N67" s="16">
        <v>2035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  <c r="AQF67" s="3"/>
      <c r="AQG67" s="3"/>
      <c r="AQH67" s="3"/>
      <c r="AQI67" s="3"/>
      <c r="AQJ67" s="3"/>
      <c r="AQK67" s="3"/>
      <c r="AQL67" s="3"/>
      <c r="AQM67" s="3"/>
      <c r="AQN67" s="3"/>
      <c r="AQO67" s="3"/>
      <c r="AQP67" s="3"/>
      <c r="AQQ67" s="3"/>
      <c r="AQR67" s="3"/>
      <c r="AQS67" s="3"/>
      <c r="AQT67" s="3"/>
      <c r="AQU67" s="3"/>
      <c r="AQV67" s="3"/>
      <c r="AQW67" s="3"/>
      <c r="AQX67" s="3"/>
      <c r="AQY67" s="3"/>
      <c r="AQZ67" s="3"/>
      <c r="ARA67" s="3"/>
      <c r="ARB67" s="3"/>
      <c r="ARC67" s="3"/>
      <c r="ARD67" s="3"/>
      <c r="ARE67" s="3"/>
      <c r="ARF67" s="3"/>
      <c r="ARG67" s="3"/>
      <c r="ARH67" s="3"/>
      <c r="ARI67" s="3"/>
      <c r="ARJ67" s="3"/>
      <c r="ARK67" s="3"/>
      <c r="ARL67" s="3"/>
      <c r="ARM67" s="3"/>
      <c r="ARN67" s="3"/>
      <c r="ARO67" s="3"/>
      <c r="ARP67" s="3"/>
      <c r="ARQ67" s="3"/>
      <c r="ARR67" s="3"/>
      <c r="ARS67" s="3"/>
      <c r="ART67" s="3"/>
      <c r="ARU67" s="3"/>
      <c r="ARV67" s="3"/>
      <c r="ARW67" s="3"/>
      <c r="ARX67" s="3"/>
      <c r="ARY67" s="3"/>
      <c r="ARZ67" s="3"/>
      <c r="ASA67" s="3"/>
      <c r="ASB67" s="3"/>
      <c r="ASC67" s="3"/>
      <c r="ASD67" s="3"/>
      <c r="ASE67" s="3"/>
      <c r="ASF67" s="3"/>
      <c r="ASG67" s="3"/>
      <c r="ASH67" s="3"/>
      <c r="ASI67" s="3"/>
      <c r="ASJ67" s="3"/>
      <c r="ASK67" s="3"/>
      <c r="ASL67" s="3"/>
      <c r="ASM67" s="3"/>
      <c r="ASN67" s="3"/>
      <c r="ASO67" s="3"/>
      <c r="ASP67" s="3"/>
      <c r="ASQ67" s="3"/>
      <c r="ASR67" s="3"/>
      <c r="ASS67" s="3"/>
      <c r="AST67" s="3"/>
      <c r="ASU67" s="3"/>
      <c r="ASV67" s="3"/>
      <c r="ASW67" s="3"/>
      <c r="ASX67" s="3"/>
      <c r="ASY67" s="3"/>
      <c r="ASZ67" s="3"/>
      <c r="ATA67" s="3"/>
      <c r="ATB67" s="3"/>
      <c r="ATC67" s="3"/>
      <c r="ATD67" s="3"/>
      <c r="ATE67" s="3"/>
      <c r="ATF67" s="3"/>
      <c r="ATG67" s="3"/>
      <c r="ATH67" s="3"/>
      <c r="ATI67" s="3"/>
      <c r="ATJ67" s="3"/>
      <c r="ATK67" s="3"/>
      <c r="ATL67" s="3"/>
      <c r="ATM67" s="3"/>
      <c r="ATN67" s="3"/>
      <c r="ATO67" s="3"/>
      <c r="ATP67" s="3"/>
      <c r="ATQ67" s="3"/>
      <c r="ATR67" s="3"/>
      <c r="ATS67" s="3"/>
      <c r="ATT67" s="3"/>
      <c r="ATU67" s="3"/>
      <c r="ATV67" s="3"/>
      <c r="ATW67" s="3"/>
      <c r="ATX67" s="3"/>
      <c r="ATY67" s="3"/>
      <c r="ATZ67" s="3"/>
      <c r="AUA67" s="3"/>
      <c r="AUB67" s="3"/>
      <c r="AUC67" s="3"/>
      <c r="AUD67" s="3"/>
      <c r="AUE67" s="3"/>
      <c r="AUF67" s="3"/>
      <c r="AUG67" s="3"/>
      <c r="AUH67" s="3"/>
      <c r="AUI67" s="3"/>
      <c r="AUJ67" s="3"/>
      <c r="AUK67" s="3"/>
      <c r="AUL67" s="3"/>
      <c r="AUM67" s="3"/>
      <c r="AUN67" s="3"/>
      <c r="AUO67" s="3"/>
      <c r="AUP67" s="3"/>
      <c r="AUQ67" s="3"/>
      <c r="AUR67" s="3"/>
      <c r="AUS67" s="3"/>
      <c r="AUT67" s="3"/>
      <c r="AUU67" s="3"/>
      <c r="AUV67" s="3"/>
      <c r="AUW67" s="3"/>
      <c r="AUX67" s="3"/>
      <c r="AUY67" s="3"/>
      <c r="AUZ67" s="3"/>
      <c r="AVA67" s="3"/>
      <c r="AVB67" s="3"/>
      <c r="AVC67" s="3"/>
      <c r="AVD67" s="3"/>
      <c r="AVE67" s="3"/>
      <c r="AVF67" s="3"/>
      <c r="AVG67" s="3"/>
      <c r="AVH67" s="3"/>
      <c r="AVI67" s="3"/>
      <c r="AVJ67" s="3"/>
      <c r="AVK67" s="3"/>
      <c r="AVL67" s="3"/>
      <c r="AVM67" s="3"/>
      <c r="AVN67" s="3"/>
      <c r="AVO67" s="3"/>
      <c r="AVP67" s="3"/>
      <c r="AVQ67" s="3"/>
      <c r="AVR67" s="3"/>
      <c r="AVS67" s="3"/>
      <c r="AVT67" s="3"/>
      <c r="AVU67" s="3"/>
      <c r="AVV67" s="3"/>
      <c r="AVW67" s="3"/>
      <c r="AVX67" s="3"/>
      <c r="AVY67" s="3"/>
      <c r="AVZ67" s="3"/>
      <c r="AWA67" s="3"/>
      <c r="AWB67" s="3"/>
      <c r="AWC67" s="3"/>
      <c r="AWD67" s="3"/>
      <c r="AWE67" s="3"/>
      <c r="AWF67" s="3"/>
      <c r="AWG67" s="3"/>
      <c r="AWH67" s="3"/>
      <c r="AWI67" s="3"/>
      <c r="AWJ67" s="3"/>
      <c r="AWK67" s="3"/>
      <c r="AWL67" s="3"/>
      <c r="AWM67" s="3"/>
      <c r="AWN67" s="3"/>
      <c r="AWO67" s="3"/>
      <c r="AWP67" s="3"/>
      <c r="AWQ67" s="3"/>
      <c r="AWR67" s="3"/>
      <c r="AWS67" s="3"/>
      <c r="AWT67" s="3"/>
      <c r="AWU67" s="3"/>
      <c r="AWV67" s="3"/>
      <c r="AWW67" s="3"/>
      <c r="AWX67" s="3"/>
      <c r="AWY67" s="3"/>
      <c r="AWZ67" s="3"/>
      <c r="AXA67" s="3"/>
      <c r="AXB67" s="3"/>
      <c r="AXC67" s="3"/>
      <c r="AXD67" s="3"/>
      <c r="AXE67" s="3"/>
      <c r="AXF67" s="3"/>
      <c r="AXG67" s="3"/>
      <c r="AXH67" s="3"/>
      <c r="AXI67" s="3"/>
      <c r="AXJ67" s="3"/>
      <c r="AXK67" s="3"/>
      <c r="AXL67" s="3"/>
      <c r="AXM67" s="3"/>
      <c r="AXN67" s="3"/>
      <c r="AXO67" s="3"/>
      <c r="AXP67" s="3"/>
      <c r="AXQ67" s="3"/>
      <c r="AXR67" s="3"/>
      <c r="AXS67" s="3"/>
      <c r="AXT67" s="3"/>
      <c r="AXU67" s="3"/>
      <c r="AXV67" s="3"/>
      <c r="AXW67" s="3"/>
      <c r="AXX67" s="3"/>
      <c r="AXY67" s="3"/>
      <c r="AXZ67" s="3"/>
      <c r="AYA67" s="3"/>
      <c r="AYB67" s="3"/>
      <c r="AYC67" s="3"/>
      <c r="AYD67" s="3"/>
      <c r="AYE67" s="3"/>
      <c r="AYF67" s="3"/>
      <c r="AYG67" s="3"/>
      <c r="AYH67" s="3"/>
      <c r="AYI67" s="3"/>
      <c r="AYJ67" s="3"/>
      <c r="AYK67" s="3"/>
      <c r="AYL67" s="3"/>
      <c r="AYM67" s="3"/>
      <c r="AYN67" s="3"/>
      <c r="AYO67" s="3"/>
      <c r="AYP67" s="3"/>
      <c r="AYQ67" s="3"/>
      <c r="AYR67" s="3"/>
      <c r="AYS67" s="3"/>
      <c r="AYT67" s="3"/>
      <c r="AYU67" s="3"/>
      <c r="AYV67" s="3"/>
      <c r="AYW67" s="3"/>
      <c r="AYX67" s="3"/>
      <c r="AYY67" s="3"/>
      <c r="AYZ67" s="3"/>
      <c r="AZA67" s="3"/>
      <c r="AZB67" s="3"/>
      <c r="AZC67" s="3"/>
      <c r="AZD67" s="3"/>
      <c r="AZE67" s="3"/>
      <c r="AZF67" s="3"/>
      <c r="AZG67" s="3"/>
      <c r="AZH67" s="3"/>
      <c r="AZI67" s="3"/>
      <c r="AZJ67" s="3"/>
      <c r="AZK67" s="3"/>
      <c r="AZL67" s="3"/>
      <c r="AZM67" s="3"/>
      <c r="AZN67" s="3"/>
      <c r="AZO67" s="3"/>
      <c r="AZP67" s="3"/>
      <c r="AZQ67" s="3"/>
      <c r="AZR67" s="3"/>
      <c r="AZS67" s="3"/>
      <c r="AZT67" s="3"/>
      <c r="AZU67" s="3"/>
      <c r="AZV67" s="3"/>
      <c r="AZW67" s="3"/>
      <c r="AZX67" s="3"/>
      <c r="AZY67" s="3"/>
      <c r="AZZ67" s="3"/>
      <c r="BAA67" s="3"/>
      <c r="BAB67" s="3"/>
      <c r="BAC67" s="3"/>
      <c r="BAD67" s="3"/>
      <c r="BAE67" s="3"/>
      <c r="BAF67" s="3"/>
      <c r="BAG67" s="3"/>
      <c r="BAH67" s="3"/>
      <c r="BAI67" s="3"/>
      <c r="BAJ67" s="3"/>
      <c r="BAK67" s="3"/>
      <c r="BAL67" s="3"/>
      <c r="BAM67" s="3"/>
      <c r="BAN67" s="3"/>
      <c r="BAO67" s="3"/>
      <c r="BAP67" s="3"/>
      <c r="BAQ67" s="3"/>
      <c r="BAR67" s="3"/>
      <c r="BAS67" s="3"/>
      <c r="BAT67" s="3"/>
      <c r="BAU67" s="3"/>
      <c r="BAV67" s="3"/>
      <c r="BAW67" s="3"/>
      <c r="BAX67" s="3"/>
      <c r="BAY67" s="3"/>
      <c r="BAZ67" s="3"/>
      <c r="BBA67" s="3"/>
      <c r="BBB67" s="3"/>
      <c r="BBC67" s="3"/>
      <c r="BBD67" s="3"/>
      <c r="BBE67" s="3"/>
      <c r="BBF67" s="3"/>
      <c r="BBG67" s="3"/>
      <c r="BBH67" s="3"/>
      <c r="BBI67" s="3"/>
      <c r="BBJ67" s="3"/>
      <c r="BBK67" s="3"/>
      <c r="BBL67" s="3"/>
      <c r="BBM67" s="3"/>
      <c r="BBN67" s="3"/>
      <c r="BBO67" s="3"/>
      <c r="BBP67" s="3"/>
      <c r="BBQ67" s="3"/>
      <c r="BBR67" s="3"/>
      <c r="BBS67" s="3"/>
      <c r="BBT67" s="3"/>
      <c r="BBU67" s="3"/>
      <c r="BBV67" s="3"/>
      <c r="BBW67" s="3"/>
      <c r="BBX67" s="3"/>
      <c r="BBY67" s="3"/>
      <c r="BBZ67" s="3"/>
      <c r="BCA67" s="3"/>
      <c r="BCB67" s="3"/>
      <c r="BCC67" s="3"/>
      <c r="BCD67" s="3"/>
      <c r="BCE67" s="3"/>
      <c r="BCF67" s="3"/>
      <c r="BCG67" s="3"/>
      <c r="BCH67" s="3"/>
      <c r="BCI67" s="3"/>
      <c r="BCJ67" s="3"/>
      <c r="BCK67" s="3"/>
      <c r="BCL67" s="3"/>
      <c r="BCM67" s="3"/>
      <c r="BCN67" s="3"/>
      <c r="BCO67" s="3"/>
      <c r="BCP67" s="3"/>
      <c r="BCQ67" s="3"/>
      <c r="BCR67" s="3"/>
      <c r="BCS67" s="3"/>
      <c r="BCT67" s="3"/>
      <c r="BCU67" s="3"/>
      <c r="BCV67" s="3"/>
      <c r="BCW67" s="3"/>
      <c r="BCX67" s="3"/>
      <c r="BCY67" s="3"/>
      <c r="BCZ67" s="3"/>
      <c r="BDA67" s="3"/>
      <c r="BDB67" s="3"/>
      <c r="BDC67" s="3"/>
      <c r="BDD67" s="3"/>
      <c r="BDE67" s="3"/>
      <c r="BDF67" s="3"/>
      <c r="BDG67" s="3"/>
      <c r="BDH67" s="3"/>
      <c r="BDI67" s="3"/>
      <c r="BDJ67" s="3"/>
      <c r="BDK67" s="3"/>
      <c r="BDL67" s="3"/>
      <c r="BDM67" s="3"/>
      <c r="BDN67" s="3"/>
      <c r="BDO67" s="3"/>
      <c r="BDP67" s="3"/>
      <c r="BDQ67" s="3"/>
      <c r="BDR67" s="3"/>
      <c r="BDS67" s="3"/>
      <c r="BDT67" s="3"/>
      <c r="BDU67" s="3"/>
      <c r="BDV67" s="3"/>
      <c r="BDW67" s="3"/>
      <c r="BDX67" s="3"/>
      <c r="BDY67" s="3"/>
      <c r="BDZ67" s="3"/>
      <c r="BEA67" s="3"/>
      <c r="BEB67" s="3"/>
      <c r="BEC67" s="3"/>
      <c r="BED67" s="3"/>
      <c r="BEE67" s="3"/>
      <c r="BEF67" s="3"/>
      <c r="BEG67" s="3"/>
      <c r="BEH67" s="3"/>
      <c r="BEI67" s="3"/>
      <c r="BEJ67" s="3"/>
      <c r="BEK67" s="3"/>
      <c r="BEL67" s="3"/>
      <c r="BEM67" s="3"/>
      <c r="BEN67" s="3"/>
      <c r="BEO67" s="3"/>
      <c r="BEP67" s="3"/>
      <c r="BEQ67" s="3"/>
      <c r="BER67" s="3"/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/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3"/>
      <c r="BGM67" s="3"/>
      <c r="BGN67" s="3"/>
      <c r="BGO67" s="3"/>
      <c r="BGP67" s="3"/>
      <c r="BGQ67" s="3"/>
      <c r="BGR67" s="3"/>
      <c r="BGS67" s="3"/>
      <c r="BGT67" s="3"/>
      <c r="BGU67" s="3"/>
      <c r="BGV67" s="3"/>
      <c r="BGW67" s="3"/>
      <c r="BGX67" s="3"/>
      <c r="BGY67" s="3"/>
      <c r="BGZ67" s="3"/>
      <c r="BHA67" s="3"/>
      <c r="BHB67" s="3"/>
      <c r="BHC67" s="3"/>
      <c r="BHD67" s="3"/>
      <c r="BHE67" s="3"/>
      <c r="BHF67" s="3"/>
      <c r="BHG67" s="3"/>
      <c r="BHH67" s="3"/>
      <c r="BHI67" s="3"/>
      <c r="BHJ67" s="3"/>
      <c r="BHK67" s="3"/>
      <c r="BHL67" s="3"/>
      <c r="BHM67" s="3"/>
      <c r="BHN67" s="3"/>
      <c r="BHO67" s="3"/>
      <c r="BHP67" s="3"/>
      <c r="BHQ67" s="3"/>
      <c r="BHR67" s="3"/>
      <c r="BHS67" s="3"/>
      <c r="BHT67" s="3"/>
      <c r="BHU67" s="3"/>
      <c r="BHV67" s="3"/>
      <c r="BHW67" s="3"/>
      <c r="BHX67" s="3"/>
      <c r="BHY67" s="3"/>
      <c r="BHZ67" s="3"/>
      <c r="BIA67" s="3"/>
      <c r="BIB67" s="3"/>
      <c r="BIC67" s="3"/>
      <c r="BID67" s="3"/>
      <c r="BIE67" s="3"/>
      <c r="BIF67" s="3"/>
      <c r="BIG67" s="3"/>
      <c r="BIH67" s="3"/>
      <c r="BII67" s="3"/>
      <c r="BIJ67" s="3"/>
      <c r="BIK67" s="3"/>
      <c r="BIL67" s="3"/>
      <c r="BIM67" s="3"/>
      <c r="BIN67" s="3"/>
      <c r="BIO67" s="3"/>
      <c r="BIP67" s="3"/>
      <c r="BIQ67" s="3"/>
      <c r="BIR67" s="3"/>
      <c r="BIS67" s="3"/>
      <c r="BIT67" s="3"/>
      <c r="BIU67" s="3"/>
      <c r="BIV67" s="3"/>
      <c r="BIW67" s="3"/>
      <c r="BIX67" s="3"/>
      <c r="BIY67" s="3"/>
      <c r="BIZ67" s="3"/>
      <c r="BJA67" s="3"/>
      <c r="BJB67" s="3"/>
      <c r="BJC67" s="3"/>
      <c r="BJD67" s="3"/>
      <c r="BJE67" s="3"/>
      <c r="BJF67" s="3"/>
      <c r="BJG67" s="3"/>
      <c r="BJH67" s="3"/>
      <c r="BJI67" s="3"/>
      <c r="BJJ67" s="3"/>
      <c r="BJK67" s="3"/>
      <c r="BJL67" s="3"/>
      <c r="BJM67" s="3"/>
      <c r="BJN67" s="3"/>
      <c r="BJO67" s="3"/>
      <c r="BJP67" s="3"/>
      <c r="BJQ67" s="3"/>
      <c r="BJR67" s="3"/>
      <c r="BJS67" s="3"/>
      <c r="BJT67" s="3"/>
      <c r="BJU67" s="3"/>
      <c r="BJV67" s="3"/>
      <c r="BJW67" s="3"/>
      <c r="BJX67" s="3"/>
      <c r="BJY67" s="3"/>
      <c r="BJZ67" s="3"/>
      <c r="BKA67" s="3"/>
      <c r="BKB67" s="3"/>
      <c r="BKC67" s="3"/>
      <c r="BKD67" s="3"/>
      <c r="BKE67" s="3"/>
      <c r="BKF67" s="3"/>
      <c r="BKG67" s="3"/>
      <c r="BKH67" s="3"/>
      <c r="BKI67" s="3"/>
      <c r="BKJ67" s="3"/>
      <c r="BKK67" s="3"/>
      <c r="BKL67" s="3"/>
      <c r="BKM67" s="3"/>
      <c r="BKN67" s="3"/>
      <c r="BKO67" s="3"/>
      <c r="BKP67" s="3"/>
      <c r="BKQ67" s="3"/>
      <c r="BKR67" s="3"/>
      <c r="BKS67" s="3"/>
      <c r="BKT67" s="3"/>
      <c r="BKU67" s="3"/>
      <c r="BKV67" s="3"/>
      <c r="BKW67" s="3"/>
      <c r="BKX67" s="3"/>
      <c r="BKY67" s="3"/>
      <c r="BKZ67" s="3"/>
      <c r="BLA67" s="3"/>
      <c r="BLB67" s="3"/>
      <c r="BLC67" s="3"/>
      <c r="BLD67" s="3"/>
      <c r="BLE67" s="3"/>
      <c r="BLF67" s="3"/>
      <c r="BLG67" s="3"/>
      <c r="BLH67" s="3"/>
      <c r="BLI67" s="3"/>
      <c r="BLJ67" s="3"/>
      <c r="BLK67" s="3"/>
      <c r="BLL67" s="3"/>
      <c r="BLM67" s="3"/>
      <c r="BLN67" s="3"/>
      <c r="BLO67" s="3"/>
      <c r="BLP67" s="3"/>
      <c r="BLQ67" s="3"/>
      <c r="BLR67" s="3"/>
      <c r="BLS67" s="3"/>
      <c r="BLT67" s="3"/>
      <c r="BLU67" s="3"/>
      <c r="BLV67" s="3"/>
      <c r="BLW67" s="3"/>
      <c r="BLX67" s="3"/>
      <c r="BLY67" s="3"/>
      <c r="BLZ67" s="3"/>
      <c r="BMA67" s="3"/>
      <c r="BMB67" s="3"/>
      <c r="BMC67" s="3"/>
      <c r="BMD67" s="3"/>
      <c r="BME67" s="3"/>
      <c r="BMF67" s="3"/>
      <c r="BMG67" s="3"/>
      <c r="BMH67" s="3"/>
      <c r="BMI67" s="3"/>
      <c r="BMJ67" s="3"/>
      <c r="BMK67" s="3"/>
      <c r="BML67" s="3"/>
      <c r="BMM67" s="3"/>
      <c r="BMN67" s="3"/>
      <c r="BMO67" s="3"/>
      <c r="BMP67" s="3"/>
      <c r="BMQ67" s="3"/>
      <c r="BMR67" s="3"/>
      <c r="BMS67" s="3"/>
      <c r="BMT67" s="3"/>
      <c r="BMU67" s="3"/>
      <c r="BMV67" s="3"/>
      <c r="BMW67" s="3"/>
      <c r="BMX67" s="3"/>
      <c r="BMY67" s="3"/>
      <c r="BMZ67" s="3"/>
      <c r="BNA67" s="3"/>
      <c r="BNB67" s="3"/>
      <c r="BNC67" s="3"/>
      <c r="BND67" s="3"/>
      <c r="BNE67" s="3"/>
      <c r="BNF67" s="3"/>
      <c r="BNG67" s="3"/>
      <c r="BNH67" s="3"/>
      <c r="BNI67" s="3"/>
      <c r="BNJ67" s="3"/>
      <c r="BNK67" s="3"/>
      <c r="BNL67" s="3"/>
      <c r="BNM67" s="3"/>
      <c r="BNN67" s="3"/>
      <c r="BNO67" s="3"/>
      <c r="BNP67" s="3"/>
      <c r="BNQ67" s="3"/>
      <c r="BNR67" s="3"/>
      <c r="BNS67" s="3"/>
      <c r="BNT67" s="3"/>
      <c r="BNU67" s="3"/>
      <c r="BNV67" s="3"/>
      <c r="BNW67" s="3"/>
      <c r="BNX67" s="3"/>
      <c r="BNY67" s="3"/>
      <c r="BNZ67" s="3"/>
      <c r="BOA67" s="3"/>
      <c r="BOB67" s="3"/>
      <c r="BOC67" s="3"/>
      <c r="BOD67" s="3"/>
      <c r="BOE67" s="3"/>
      <c r="BOF67" s="3"/>
      <c r="BOG67" s="3"/>
      <c r="BOH67" s="3"/>
      <c r="BOI67" s="3"/>
      <c r="BOJ67" s="3"/>
      <c r="BOK67" s="3"/>
      <c r="BOL67" s="3"/>
      <c r="BOM67" s="3"/>
      <c r="BON67" s="3"/>
      <c r="BOO67" s="3"/>
      <c r="BOP67" s="3"/>
      <c r="BOQ67" s="3"/>
      <c r="BOR67" s="3"/>
      <c r="BOS67" s="3"/>
      <c r="BOT67" s="3"/>
      <c r="BOU67" s="3"/>
      <c r="BOV67" s="3"/>
      <c r="BOW67" s="3"/>
      <c r="BOX67" s="3"/>
      <c r="BOY67" s="3"/>
      <c r="BOZ67" s="3"/>
      <c r="BPA67" s="3"/>
      <c r="BPB67" s="3"/>
      <c r="BPC67" s="3"/>
      <c r="BPD67" s="3"/>
      <c r="BPE67" s="3"/>
      <c r="BPF67" s="3"/>
      <c r="BPG67" s="3"/>
      <c r="BPH67" s="3"/>
      <c r="BPI67" s="3"/>
      <c r="BPJ67" s="3"/>
      <c r="BPK67" s="3"/>
      <c r="BPL67" s="3"/>
      <c r="BPM67" s="3"/>
      <c r="BPN67" s="3"/>
      <c r="BPO67" s="3"/>
      <c r="BPP67" s="3"/>
      <c r="BPQ67" s="3"/>
      <c r="BPR67" s="3"/>
      <c r="BPS67" s="3"/>
      <c r="BPT67" s="3"/>
      <c r="BPU67" s="3"/>
      <c r="BPV67" s="3"/>
      <c r="BPW67" s="3"/>
      <c r="BPX67" s="3"/>
      <c r="BPY67" s="3"/>
      <c r="BPZ67" s="3"/>
      <c r="BQA67" s="3"/>
      <c r="BQB67" s="3"/>
      <c r="BQC67" s="3"/>
      <c r="BQD67" s="3"/>
      <c r="BQE67" s="3"/>
      <c r="BQF67" s="3"/>
      <c r="BQG67" s="3"/>
      <c r="BQH67" s="3"/>
      <c r="BQI67" s="3"/>
      <c r="BQJ67" s="3"/>
      <c r="BQK67" s="3"/>
      <c r="BQL67" s="3"/>
      <c r="BQM67" s="3"/>
      <c r="BQN67" s="3"/>
      <c r="BQO67" s="3"/>
      <c r="BQP67" s="3"/>
      <c r="BQQ67" s="3"/>
      <c r="BQR67" s="3"/>
      <c r="BQS67" s="3"/>
      <c r="BQT67" s="3"/>
      <c r="BQU67" s="3"/>
      <c r="BQV67" s="3"/>
      <c r="BQW67" s="3"/>
      <c r="BQX67" s="3"/>
      <c r="BQY67" s="3"/>
      <c r="BQZ67" s="3"/>
      <c r="BRA67" s="3"/>
      <c r="BRB67" s="3"/>
      <c r="BRC67" s="3"/>
      <c r="BRD67" s="3"/>
      <c r="BRE67" s="3"/>
      <c r="BRF67" s="3"/>
      <c r="BRG67" s="3"/>
      <c r="BRH67" s="3"/>
      <c r="BRI67" s="3"/>
      <c r="BRJ67" s="3"/>
      <c r="BRK67" s="3"/>
      <c r="BRL67" s="3"/>
      <c r="BRM67" s="3"/>
      <c r="BRN67" s="3"/>
      <c r="BRO67" s="3"/>
      <c r="BRP67" s="3"/>
      <c r="BRQ67" s="3"/>
      <c r="BRR67" s="3"/>
      <c r="BRS67" s="3"/>
      <c r="BRT67" s="3"/>
      <c r="BRU67" s="3"/>
      <c r="BRV67" s="3"/>
      <c r="BRW67" s="3"/>
      <c r="BRX67" s="3"/>
      <c r="BRY67" s="3"/>
      <c r="BRZ67" s="3"/>
      <c r="BSA67" s="3"/>
      <c r="BSB67" s="3"/>
      <c r="BSC67" s="3"/>
      <c r="BSD67" s="3"/>
      <c r="BSE67" s="3"/>
      <c r="BSF67" s="3"/>
      <c r="BSG67" s="3"/>
      <c r="BSH67" s="3"/>
      <c r="BSI67" s="3"/>
      <c r="BSJ67" s="3"/>
      <c r="BSK67" s="3"/>
      <c r="BSL67" s="3"/>
      <c r="BSM67" s="3"/>
      <c r="BSN67" s="3"/>
      <c r="BSO67" s="3"/>
      <c r="BSP67" s="3"/>
      <c r="BSQ67" s="3"/>
      <c r="BSR67" s="3"/>
      <c r="BSS67" s="3"/>
      <c r="BST67" s="3"/>
      <c r="BSU67" s="3"/>
      <c r="BSV67" s="3"/>
      <c r="BSW67" s="3"/>
      <c r="BSX67" s="3"/>
      <c r="BSY67" s="3"/>
      <c r="BSZ67" s="3"/>
      <c r="BTA67" s="3"/>
      <c r="BTB67" s="3"/>
      <c r="BTC67" s="3"/>
      <c r="BTD67" s="3"/>
      <c r="BTE67" s="3"/>
      <c r="BTF67" s="3"/>
      <c r="BTG67" s="3"/>
      <c r="BTH67" s="3"/>
      <c r="BTI67" s="3"/>
      <c r="BTJ67" s="3"/>
      <c r="BTK67" s="3"/>
      <c r="BTL67" s="3"/>
      <c r="BTM67" s="3"/>
      <c r="BTN67" s="3"/>
      <c r="BTO67" s="3"/>
      <c r="BTP67" s="3"/>
      <c r="BTQ67" s="3"/>
      <c r="BTR67" s="3"/>
      <c r="BTS67" s="3"/>
      <c r="BTT67" s="3"/>
      <c r="BTU67" s="3"/>
      <c r="BTV67" s="3"/>
      <c r="BTW67" s="3"/>
      <c r="BTX67" s="3"/>
      <c r="BTY67" s="3"/>
      <c r="BTZ67" s="3"/>
      <c r="BUA67" s="3"/>
      <c r="BUB67" s="3"/>
      <c r="BUC67" s="3"/>
      <c r="BUD67" s="3"/>
      <c r="BUE67" s="3"/>
      <c r="BUF67" s="3"/>
      <c r="BUG67" s="3"/>
      <c r="BUH67" s="3"/>
      <c r="BUI67" s="3"/>
      <c r="BUJ67" s="3"/>
      <c r="BUK67" s="3"/>
      <c r="BUL67" s="3"/>
      <c r="BUM67" s="3"/>
      <c r="BUN67" s="3"/>
      <c r="BUO67" s="3"/>
      <c r="BUP67" s="3"/>
      <c r="BUQ67" s="3"/>
      <c r="BUR67" s="3"/>
      <c r="BUS67" s="3"/>
      <c r="BUT67" s="3"/>
      <c r="BUU67" s="3"/>
      <c r="BUV67" s="3"/>
      <c r="BUW67" s="3"/>
      <c r="BUX67" s="3"/>
      <c r="BUY67" s="3"/>
      <c r="BUZ67" s="3"/>
      <c r="BVA67" s="3"/>
      <c r="BVB67" s="3"/>
      <c r="BVC67" s="3"/>
      <c r="BVD67" s="3"/>
      <c r="BVE67" s="3"/>
      <c r="BVF67" s="3"/>
      <c r="BVG67" s="3"/>
      <c r="BVH67" s="3"/>
      <c r="BVI67" s="3"/>
      <c r="BVJ67" s="3"/>
      <c r="BVK67" s="3"/>
      <c r="BVL67" s="3"/>
      <c r="BVM67" s="3"/>
      <c r="BVN67" s="3"/>
      <c r="BVO67" s="3"/>
      <c r="BVP67" s="3"/>
      <c r="BVQ67" s="3"/>
      <c r="BVR67" s="3"/>
      <c r="BVS67" s="3"/>
      <c r="BVT67" s="3"/>
      <c r="BVU67" s="3"/>
      <c r="BVV67" s="3"/>
      <c r="BVW67" s="3"/>
      <c r="BVX67" s="3"/>
      <c r="BVY67" s="3"/>
      <c r="BVZ67" s="3"/>
      <c r="BWA67" s="3"/>
      <c r="BWB67" s="3"/>
      <c r="BWC67" s="3"/>
      <c r="BWD67" s="3"/>
      <c r="BWE67" s="3"/>
      <c r="BWF67" s="3"/>
      <c r="BWG67" s="3"/>
      <c r="BWH67" s="3"/>
      <c r="BWI67" s="3"/>
      <c r="BWJ67" s="3"/>
      <c r="BWK67" s="3"/>
      <c r="BWL67" s="3"/>
      <c r="BWM67" s="3"/>
      <c r="BWN67" s="3"/>
      <c r="BWO67" s="3"/>
      <c r="BWP67" s="3"/>
      <c r="BWQ67" s="3"/>
      <c r="BWR67" s="3"/>
      <c r="BWS67" s="3"/>
      <c r="BWT67" s="3"/>
      <c r="BWU67" s="3"/>
      <c r="BWV67" s="3"/>
      <c r="BWW67" s="3"/>
      <c r="BWX67" s="3"/>
      <c r="BWY67" s="3"/>
      <c r="BWZ67" s="3"/>
      <c r="BXA67" s="3"/>
      <c r="BXB67" s="3"/>
      <c r="BXC67" s="3"/>
      <c r="BXD67" s="3"/>
      <c r="BXE67" s="3"/>
      <c r="BXF67" s="3"/>
      <c r="BXG67" s="3"/>
      <c r="BXH67" s="3"/>
      <c r="BXI67" s="3"/>
      <c r="BXJ67" s="3"/>
      <c r="BXK67" s="3"/>
      <c r="BXL67" s="3"/>
      <c r="BXM67" s="3"/>
      <c r="BXN67" s="3"/>
      <c r="BXO67" s="3"/>
      <c r="BXP67" s="3"/>
      <c r="BXQ67" s="3"/>
      <c r="BXR67" s="3"/>
      <c r="BXS67" s="3"/>
      <c r="BXT67" s="3"/>
      <c r="BXU67" s="3"/>
      <c r="BXV67" s="3"/>
      <c r="BXW67" s="3"/>
      <c r="BXX67" s="3"/>
      <c r="BXY67" s="3"/>
      <c r="BXZ67" s="3"/>
      <c r="BYA67" s="3"/>
      <c r="BYB67" s="3"/>
      <c r="BYC67" s="3"/>
      <c r="BYD67" s="3"/>
      <c r="BYE67" s="3"/>
      <c r="BYF67" s="3"/>
      <c r="BYG67" s="3"/>
      <c r="BYH67" s="3"/>
      <c r="BYI67" s="3"/>
      <c r="BYJ67" s="3"/>
      <c r="BYK67" s="3"/>
      <c r="BYL67" s="3"/>
      <c r="BYM67" s="3"/>
      <c r="BYN67" s="3"/>
      <c r="BYO67" s="3"/>
      <c r="BYP67" s="3"/>
      <c r="BYQ67" s="3"/>
      <c r="BYR67" s="3"/>
      <c r="BYS67" s="3"/>
      <c r="BYT67" s="3"/>
      <c r="BYU67" s="3"/>
      <c r="BYV67" s="3"/>
      <c r="BYW67" s="3"/>
      <c r="BYX67" s="3"/>
      <c r="BYY67" s="3"/>
      <c r="BYZ67" s="3"/>
      <c r="BZA67" s="3"/>
      <c r="BZB67" s="3"/>
      <c r="BZC67" s="3"/>
      <c r="BZD67" s="3"/>
      <c r="BZE67" s="3"/>
      <c r="BZF67" s="3"/>
      <c r="BZG67" s="3"/>
      <c r="BZH67" s="3"/>
      <c r="BZI67" s="3"/>
      <c r="BZJ67" s="3"/>
      <c r="BZK67" s="3"/>
      <c r="BZL67" s="3"/>
      <c r="BZM67" s="3"/>
      <c r="BZN67" s="3"/>
      <c r="BZO67" s="3"/>
      <c r="BZP67" s="3"/>
      <c r="BZQ67" s="3"/>
      <c r="BZR67" s="3"/>
      <c r="BZS67" s="3"/>
      <c r="BZT67" s="3"/>
      <c r="BZU67" s="3"/>
      <c r="BZV67" s="3"/>
      <c r="BZW67" s="3"/>
      <c r="BZX67" s="3"/>
      <c r="BZY67" s="3"/>
      <c r="BZZ67" s="3"/>
      <c r="CAA67" s="3"/>
      <c r="CAB67" s="3"/>
      <c r="CAC67" s="3"/>
      <c r="CAD67" s="3"/>
      <c r="CAE67" s="3"/>
      <c r="CAF67" s="3"/>
      <c r="CAG67" s="3"/>
      <c r="CAH67" s="3"/>
      <c r="CAI67" s="3"/>
      <c r="CAJ67" s="3"/>
      <c r="CAK67" s="3"/>
      <c r="CAL67" s="3"/>
      <c r="CAM67" s="3"/>
      <c r="CAN67" s="3"/>
      <c r="CAO67" s="3"/>
      <c r="CAP67" s="3"/>
      <c r="CAQ67" s="3"/>
      <c r="CAR67" s="3"/>
      <c r="CAS67" s="3"/>
      <c r="CAT67" s="3"/>
      <c r="CAU67" s="3"/>
      <c r="CAV67" s="3"/>
      <c r="CAW67" s="3"/>
      <c r="CAX67" s="3"/>
      <c r="CAY67" s="3"/>
      <c r="CAZ67" s="3"/>
      <c r="CBA67" s="3"/>
      <c r="CBB67" s="3"/>
      <c r="CBC67" s="3"/>
      <c r="CBD67" s="3"/>
      <c r="CBE67" s="3"/>
      <c r="CBF67" s="3"/>
      <c r="CBG67" s="3"/>
      <c r="CBH67" s="3"/>
      <c r="CBI67" s="3"/>
      <c r="CBJ67" s="3"/>
      <c r="CBK67" s="3"/>
      <c r="CBL67" s="3"/>
      <c r="CBM67" s="3"/>
      <c r="CBN67" s="3"/>
      <c r="CBO67" s="3"/>
      <c r="CBP67" s="3"/>
      <c r="CBQ67" s="3"/>
      <c r="CBR67" s="3"/>
      <c r="CBS67" s="3"/>
      <c r="CBT67" s="3"/>
      <c r="CBU67" s="3"/>
      <c r="CBV67" s="3"/>
      <c r="CBW67" s="3"/>
      <c r="CBX67" s="3"/>
      <c r="CBY67" s="3"/>
      <c r="CBZ67" s="3"/>
      <c r="CCA67" s="3"/>
      <c r="CCB67" s="3"/>
      <c r="CCC67" s="3"/>
      <c r="CCD67" s="3"/>
      <c r="CCE67" s="3"/>
      <c r="CCF67" s="3"/>
      <c r="CCG67" s="3"/>
      <c r="CCH67" s="3"/>
      <c r="CCI67" s="3"/>
      <c r="CCJ67" s="3"/>
      <c r="CCK67" s="3"/>
      <c r="CCL67" s="3"/>
      <c r="CCM67" s="3"/>
      <c r="CCN67" s="3"/>
      <c r="CCO67" s="3"/>
      <c r="CCP67" s="3"/>
      <c r="CCQ67" s="3"/>
      <c r="CCR67" s="3"/>
      <c r="CCS67" s="3"/>
      <c r="CCT67" s="3"/>
      <c r="CCU67" s="3"/>
      <c r="CCV67" s="3"/>
      <c r="CCW67" s="3"/>
      <c r="CCX67" s="3"/>
      <c r="CCY67" s="3"/>
      <c r="CCZ67" s="3"/>
      <c r="CDA67" s="3"/>
      <c r="CDB67" s="3"/>
      <c r="CDC67" s="3"/>
      <c r="CDD67" s="3"/>
      <c r="CDE67" s="3"/>
      <c r="CDF67" s="3"/>
      <c r="CDG67" s="3"/>
      <c r="CDH67" s="3"/>
      <c r="CDI67" s="3"/>
      <c r="CDJ67" s="3"/>
      <c r="CDK67" s="3"/>
      <c r="CDL67" s="3"/>
      <c r="CDM67" s="3"/>
      <c r="CDN67" s="3"/>
      <c r="CDO67" s="3"/>
      <c r="CDP67" s="3"/>
      <c r="CDQ67" s="3"/>
      <c r="CDR67" s="3"/>
      <c r="CDS67" s="3"/>
      <c r="CDT67" s="3"/>
      <c r="CDU67" s="3"/>
      <c r="CDV67" s="3"/>
      <c r="CDW67" s="3"/>
      <c r="CDX67" s="3"/>
      <c r="CDY67" s="3"/>
      <c r="CDZ67" s="3"/>
      <c r="CEA67" s="3"/>
      <c r="CEB67" s="3"/>
      <c r="CEC67" s="3"/>
      <c r="CED67" s="3"/>
      <c r="CEE67" s="3"/>
      <c r="CEF67" s="3"/>
      <c r="CEG67" s="3"/>
      <c r="CEH67" s="3"/>
      <c r="CEI67" s="3"/>
      <c r="CEJ67" s="3"/>
      <c r="CEK67" s="3"/>
      <c r="CEL67" s="3"/>
      <c r="CEM67" s="3"/>
      <c r="CEN67" s="3"/>
      <c r="CEO67" s="3"/>
      <c r="CEP67" s="3"/>
      <c r="CEQ67" s="3"/>
      <c r="CER67" s="3"/>
      <c r="CES67" s="3"/>
      <c r="CET67" s="3"/>
      <c r="CEU67" s="3"/>
      <c r="CEV67" s="3"/>
      <c r="CEW67" s="3"/>
      <c r="CEX67" s="3"/>
      <c r="CEY67" s="3"/>
      <c r="CEZ67" s="3"/>
      <c r="CFA67" s="3"/>
      <c r="CFB67" s="3"/>
      <c r="CFC67" s="3"/>
      <c r="CFD67" s="3"/>
      <c r="CFE67" s="3"/>
      <c r="CFF67" s="3"/>
      <c r="CFG67" s="3"/>
      <c r="CFH67" s="3"/>
      <c r="CFI67" s="3"/>
      <c r="CFJ67" s="3"/>
      <c r="CFK67" s="3"/>
      <c r="CFL67" s="3"/>
      <c r="CFM67" s="3"/>
      <c r="CFN67" s="3"/>
      <c r="CFO67" s="3"/>
      <c r="CFP67" s="3"/>
      <c r="CFQ67" s="3"/>
      <c r="CFR67" s="3"/>
      <c r="CFS67" s="3"/>
      <c r="CFT67" s="3"/>
      <c r="CFU67" s="3"/>
      <c r="CFV67" s="3"/>
      <c r="CFW67" s="3"/>
      <c r="CFX67" s="3"/>
      <c r="CFY67" s="3"/>
      <c r="CFZ67" s="3"/>
      <c r="CGA67" s="3"/>
      <c r="CGB67" s="3"/>
      <c r="CGC67" s="3"/>
      <c r="CGD67" s="3"/>
      <c r="CGE67" s="3"/>
      <c r="CGF67" s="3"/>
      <c r="CGG67" s="3"/>
      <c r="CGH67" s="3"/>
      <c r="CGI67" s="3"/>
      <c r="CGJ67" s="3"/>
      <c r="CGK67" s="3"/>
      <c r="CGL67" s="3"/>
      <c r="CGM67" s="3"/>
      <c r="CGN67" s="3"/>
      <c r="CGO67" s="3"/>
      <c r="CGP67" s="3"/>
      <c r="CGQ67" s="3"/>
      <c r="CGR67" s="3"/>
      <c r="CGS67" s="3"/>
      <c r="CGT67" s="3"/>
      <c r="CGU67" s="3"/>
      <c r="CGV67" s="3"/>
      <c r="CGW67" s="3"/>
      <c r="CGX67" s="3"/>
      <c r="CGY67" s="3"/>
      <c r="CGZ67" s="3"/>
      <c r="CHA67" s="3"/>
      <c r="CHB67" s="3"/>
      <c r="CHC67" s="3"/>
      <c r="CHD67" s="3"/>
      <c r="CHE67" s="3"/>
      <c r="CHF67" s="3"/>
      <c r="CHG67" s="3"/>
      <c r="CHH67" s="3"/>
      <c r="CHI67" s="3"/>
      <c r="CHJ67" s="3"/>
      <c r="CHK67" s="3"/>
      <c r="CHL67" s="3"/>
      <c r="CHM67" s="3"/>
      <c r="CHN67" s="3"/>
      <c r="CHO67" s="3"/>
      <c r="CHP67" s="3"/>
      <c r="CHQ67" s="3"/>
      <c r="CHR67" s="3"/>
      <c r="CHS67" s="3"/>
      <c r="CHT67" s="3"/>
      <c r="CHU67" s="3"/>
      <c r="CHV67" s="3"/>
      <c r="CHW67" s="3"/>
      <c r="CHX67" s="3"/>
      <c r="CHY67" s="3"/>
      <c r="CHZ67" s="3"/>
      <c r="CIA67" s="3"/>
      <c r="CIB67" s="3"/>
      <c r="CIC67" s="3"/>
      <c r="CID67" s="3"/>
      <c r="CIE67" s="3"/>
      <c r="CIF67" s="3"/>
      <c r="CIG67" s="3"/>
      <c r="CIH67" s="3"/>
      <c r="CII67" s="3"/>
      <c r="CIJ67" s="3"/>
      <c r="CIK67" s="3"/>
      <c r="CIL67" s="3"/>
      <c r="CIM67" s="3"/>
      <c r="CIN67" s="3"/>
      <c r="CIO67" s="3"/>
      <c r="CIP67" s="3"/>
      <c r="CIQ67" s="3"/>
      <c r="CIR67" s="3"/>
      <c r="CIS67" s="3"/>
      <c r="CIT67" s="3"/>
      <c r="CIU67" s="3"/>
      <c r="CIV67" s="3"/>
      <c r="CIW67" s="3"/>
      <c r="CIX67" s="3"/>
      <c r="CIY67" s="3"/>
      <c r="CIZ67" s="3"/>
      <c r="CJA67" s="3"/>
      <c r="CJB67" s="3"/>
      <c r="CJC67" s="3"/>
      <c r="CJD67" s="3"/>
      <c r="CJE67" s="3"/>
      <c r="CJF67" s="3"/>
      <c r="CJG67" s="3"/>
      <c r="CJH67" s="3"/>
      <c r="CJI67" s="3"/>
      <c r="CJJ67" s="3"/>
      <c r="CJK67" s="3"/>
      <c r="CJL67" s="3"/>
      <c r="CJM67" s="3"/>
      <c r="CJN67" s="3"/>
      <c r="CJO67" s="3"/>
      <c r="CJP67" s="3"/>
      <c r="CJQ67" s="3"/>
      <c r="CJR67" s="3"/>
      <c r="CJS67" s="3"/>
      <c r="CJT67" s="3"/>
      <c r="CJU67" s="3"/>
      <c r="CJV67" s="3"/>
      <c r="CJW67" s="3"/>
      <c r="CJX67" s="3"/>
      <c r="CJY67" s="3"/>
      <c r="CJZ67" s="3"/>
      <c r="CKA67" s="3"/>
      <c r="CKB67" s="3"/>
      <c r="CKC67" s="3"/>
      <c r="CKD67" s="3"/>
      <c r="CKE67" s="3"/>
      <c r="CKF67" s="3"/>
      <c r="CKG67" s="3"/>
      <c r="CKH67" s="3"/>
      <c r="CKI67" s="3"/>
      <c r="CKJ67" s="3"/>
      <c r="CKK67" s="3"/>
      <c r="CKL67" s="3"/>
      <c r="CKM67" s="3"/>
      <c r="CKN67" s="3"/>
      <c r="CKO67" s="3"/>
      <c r="CKP67" s="3"/>
      <c r="CKQ67" s="3"/>
      <c r="CKR67" s="3"/>
      <c r="CKS67" s="3"/>
      <c r="CKT67" s="3"/>
      <c r="CKU67" s="3"/>
      <c r="CKV67" s="3"/>
      <c r="CKW67" s="3"/>
      <c r="CKX67" s="3"/>
      <c r="CKY67" s="3"/>
      <c r="CKZ67" s="3"/>
      <c r="CLA67" s="3"/>
      <c r="CLB67" s="3"/>
      <c r="CLC67" s="3"/>
      <c r="CLD67" s="3"/>
      <c r="CLE67" s="3"/>
      <c r="CLF67" s="3"/>
      <c r="CLG67" s="3"/>
      <c r="CLH67" s="3"/>
      <c r="CLI67" s="3"/>
      <c r="CLJ67" s="3"/>
      <c r="CLK67" s="3"/>
      <c r="CLL67" s="3"/>
      <c r="CLM67" s="3"/>
      <c r="CLN67" s="3"/>
      <c r="CLO67" s="3"/>
      <c r="CLP67" s="3"/>
      <c r="CLQ67" s="3"/>
      <c r="CLR67" s="3"/>
      <c r="CLS67" s="3"/>
      <c r="CLT67" s="3"/>
      <c r="CLU67" s="3"/>
      <c r="CLV67" s="3"/>
      <c r="CLW67" s="3"/>
      <c r="CLX67" s="3"/>
      <c r="CLY67" s="3"/>
      <c r="CLZ67" s="3"/>
      <c r="CMA67" s="3"/>
      <c r="CMB67" s="3"/>
      <c r="CMC67" s="3"/>
      <c r="CMD67" s="3"/>
      <c r="CME67" s="3"/>
      <c r="CMF67" s="3"/>
      <c r="CMG67" s="3"/>
      <c r="CMH67" s="3"/>
      <c r="CMI67" s="3"/>
      <c r="CMJ67" s="3"/>
      <c r="CMK67" s="3"/>
      <c r="CML67" s="3"/>
      <c r="CMM67" s="3"/>
      <c r="CMN67" s="3"/>
      <c r="CMO67" s="3"/>
      <c r="CMP67" s="3"/>
      <c r="CMQ67" s="3"/>
      <c r="CMR67" s="3"/>
      <c r="CMS67" s="3"/>
      <c r="CMT67" s="3"/>
      <c r="CMU67" s="3"/>
      <c r="CMV67" s="3"/>
      <c r="CMW67" s="3"/>
      <c r="CMX67" s="3"/>
      <c r="CMY67" s="3"/>
      <c r="CMZ67" s="3"/>
      <c r="CNA67" s="3"/>
      <c r="CNB67" s="3"/>
      <c r="CNC67" s="3"/>
      <c r="CND67" s="3"/>
      <c r="CNE67" s="3"/>
      <c r="CNF67" s="3"/>
      <c r="CNG67" s="3"/>
      <c r="CNH67" s="3"/>
      <c r="CNI67" s="3"/>
      <c r="CNJ67" s="3"/>
      <c r="CNK67" s="3"/>
      <c r="CNL67" s="3"/>
      <c r="CNM67" s="3"/>
      <c r="CNN67" s="3"/>
      <c r="CNO67" s="3"/>
      <c r="CNP67" s="3"/>
      <c r="CNQ67" s="3"/>
      <c r="CNR67" s="3"/>
      <c r="CNS67" s="3"/>
      <c r="CNT67" s="3"/>
      <c r="CNU67" s="3"/>
      <c r="CNV67" s="3"/>
      <c r="CNW67" s="3"/>
      <c r="CNX67" s="3"/>
      <c r="CNY67" s="3"/>
      <c r="CNZ67" s="3"/>
      <c r="COA67" s="3"/>
      <c r="COB67" s="3"/>
      <c r="COC67" s="3"/>
      <c r="COD67" s="3"/>
      <c r="COE67" s="3"/>
      <c r="COF67" s="3"/>
      <c r="COG67" s="3"/>
      <c r="COH67" s="3"/>
      <c r="COI67" s="3"/>
      <c r="COJ67" s="3"/>
      <c r="COK67" s="3"/>
      <c r="COL67" s="3"/>
      <c r="COM67" s="3"/>
      <c r="CON67" s="3"/>
      <c r="COO67" s="3"/>
      <c r="COP67" s="3"/>
      <c r="COQ67" s="3"/>
      <c r="COR67" s="3"/>
      <c r="COS67" s="3"/>
      <c r="COT67" s="3"/>
      <c r="COU67" s="3"/>
      <c r="COV67" s="3"/>
      <c r="COW67" s="3"/>
      <c r="COX67" s="3"/>
      <c r="COY67" s="3"/>
      <c r="COZ67" s="3"/>
      <c r="CPA67" s="3"/>
      <c r="CPB67" s="3"/>
      <c r="CPC67" s="3"/>
      <c r="CPD67" s="3"/>
      <c r="CPE67" s="3"/>
      <c r="CPF67" s="3"/>
      <c r="CPG67" s="3"/>
      <c r="CPH67" s="3"/>
      <c r="CPI67" s="3"/>
      <c r="CPJ67" s="3"/>
      <c r="CPK67" s="3"/>
      <c r="CPL67" s="3"/>
      <c r="CPM67" s="3"/>
      <c r="CPN67" s="3"/>
      <c r="CPO67" s="3"/>
      <c r="CPP67" s="3"/>
      <c r="CPQ67" s="3"/>
      <c r="CPR67" s="3"/>
      <c r="CPS67" s="3"/>
      <c r="CPT67" s="3"/>
      <c r="CPU67" s="3"/>
      <c r="CPV67" s="3"/>
      <c r="CPW67" s="3"/>
      <c r="CPX67" s="3"/>
      <c r="CPY67" s="3"/>
      <c r="CPZ67" s="3"/>
      <c r="CQA67" s="3"/>
      <c r="CQB67" s="3"/>
      <c r="CQC67" s="3"/>
      <c r="CQD67" s="3"/>
      <c r="CQE67" s="3"/>
      <c r="CQF67" s="3"/>
      <c r="CQG67" s="3"/>
      <c r="CQH67" s="3"/>
      <c r="CQI67" s="3"/>
      <c r="CQJ67" s="3"/>
      <c r="CQK67" s="3"/>
      <c r="CQL67" s="3"/>
      <c r="CQM67" s="3"/>
      <c r="CQN67" s="3"/>
      <c r="CQO67" s="3"/>
      <c r="CQP67" s="3"/>
      <c r="CQQ67" s="3"/>
      <c r="CQR67" s="3"/>
      <c r="CQS67" s="3"/>
      <c r="CQT67" s="3"/>
      <c r="CQU67" s="3"/>
      <c r="CQV67" s="3"/>
      <c r="CQW67" s="3"/>
      <c r="CQX67" s="3"/>
      <c r="CQY67" s="3"/>
      <c r="CQZ67" s="3"/>
      <c r="CRA67" s="3"/>
      <c r="CRB67" s="3"/>
      <c r="CRC67" s="3"/>
      <c r="CRD67" s="3"/>
      <c r="CRE67" s="3"/>
      <c r="CRF67" s="3"/>
      <c r="CRG67" s="3"/>
      <c r="CRH67" s="3"/>
      <c r="CRI67" s="3"/>
      <c r="CRJ67" s="3"/>
      <c r="CRK67" s="3"/>
      <c r="CRL67" s="3"/>
      <c r="CRM67" s="3"/>
      <c r="CRN67" s="3"/>
      <c r="CRO67" s="3"/>
      <c r="CRP67" s="3"/>
      <c r="CRQ67" s="3"/>
      <c r="CRR67" s="3"/>
      <c r="CRS67" s="3"/>
      <c r="CRT67" s="3"/>
      <c r="CRU67" s="3"/>
      <c r="CRV67" s="3"/>
      <c r="CRW67" s="3"/>
      <c r="CRX67" s="3"/>
      <c r="CRY67" s="3"/>
      <c r="CRZ67" s="3"/>
      <c r="CSA67" s="3"/>
      <c r="CSB67" s="3"/>
      <c r="CSC67" s="3"/>
      <c r="CSD67" s="3"/>
      <c r="CSE67" s="3"/>
      <c r="CSF67" s="3"/>
      <c r="CSG67" s="3"/>
      <c r="CSH67" s="3"/>
      <c r="CSI67" s="3"/>
      <c r="CSJ67" s="3"/>
      <c r="CSK67" s="3"/>
      <c r="CSL67" s="3"/>
      <c r="CSM67" s="3"/>
      <c r="CSN67" s="3"/>
      <c r="CSO67" s="3"/>
      <c r="CSP67" s="3"/>
      <c r="CSQ67" s="3"/>
      <c r="CSR67" s="3"/>
      <c r="CSS67" s="3"/>
      <c r="CST67" s="3"/>
      <c r="CSU67" s="3"/>
      <c r="CSV67" s="3"/>
      <c r="CSW67" s="3"/>
      <c r="CSX67" s="3"/>
      <c r="CSY67" s="3"/>
      <c r="CSZ67" s="3"/>
      <c r="CTA67" s="3"/>
      <c r="CTB67" s="3"/>
      <c r="CTC67" s="3"/>
      <c r="CTD67" s="3"/>
      <c r="CTE67" s="3"/>
      <c r="CTF67" s="3"/>
      <c r="CTG67" s="3"/>
      <c r="CTH67" s="3"/>
      <c r="CTI67" s="3"/>
      <c r="CTJ67" s="3"/>
      <c r="CTK67" s="3"/>
      <c r="CTL67" s="3"/>
      <c r="CTM67" s="3"/>
      <c r="CTN67" s="3"/>
      <c r="CTO67" s="3"/>
      <c r="CTP67" s="3"/>
      <c r="CTQ67" s="3"/>
      <c r="CTR67" s="3"/>
      <c r="CTS67" s="3"/>
      <c r="CTT67" s="3"/>
      <c r="CTU67" s="3"/>
      <c r="CTV67" s="3"/>
      <c r="CTW67" s="3"/>
      <c r="CTX67" s="3"/>
      <c r="CTY67" s="3"/>
      <c r="CTZ67" s="3"/>
      <c r="CUA67" s="3"/>
      <c r="CUB67" s="3"/>
      <c r="CUC67" s="3"/>
      <c r="CUD67" s="3"/>
      <c r="CUE67" s="3"/>
      <c r="CUF67" s="3"/>
      <c r="CUG67" s="3"/>
      <c r="CUH67" s="3"/>
      <c r="CUI67" s="3"/>
      <c r="CUJ67" s="3"/>
      <c r="CUK67" s="3"/>
      <c r="CUL67" s="3"/>
      <c r="CUM67" s="3"/>
      <c r="CUN67" s="3"/>
      <c r="CUO67" s="3"/>
      <c r="CUP67" s="3"/>
      <c r="CUQ67" s="3"/>
      <c r="CUR67" s="3"/>
      <c r="CUS67" s="3"/>
      <c r="CUT67" s="3"/>
      <c r="CUU67" s="3"/>
      <c r="CUV67" s="3"/>
      <c r="CUW67" s="3"/>
      <c r="CUX67" s="3"/>
      <c r="CUY67" s="3"/>
      <c r="CUZ67" s="3"/>
      <c r="CVA67" s="3"/>
      <c r="CVB67" s="3"/>
      <c r="CVC67" s="3"/>
      <c r="CVD67" s="3"/>
      <c r="CVE67" s="3"/>
      <c r="CVF67" s="3"/>
      <c r="CVG67" s="3"/>
      <c r="CVH67" s="3"/>
      <c r="CVI67" s="3"/>
      <c r="CVJ67" s="3"/>
      <c r="CVK67" s="3"/>
      <c r="CVL67" s="3"/>
      <c r="CVM67" s="3"/>
      <c r="CVN67" s="3"/>
      <c r="CVO67" s="3"/>
      <c r="CVP67" s="3"/>
      <c r="CVQ67" s="3"/>
      <c r="CVR67" s="3"/>
      <c r="CVS67" s="3"/>
      <c r="CVT67" s="3"/>
      <c r="CVU67" s="3"/>
      <c r="CVV67" s="3"/>
      <c r="CVW67" s="3"/>
      <c r="CVX67" s="3"/>
      <c r="CVY67" s="3"/>
      <c r="CVZ67" s="3"/>
      <c r="CWA67" s="3"/>
      <c r="CWB67" s="3"/>
      <c r="CWC67" s="3"/>
      <c r="CWD67" s="3"/>
      <c r="CWE67" s="3"/>
      <c r="CWF67" s="3"/>
      <c r="CWG67" s="3"/>
      <c r="CWH67" s="3"/>
      <c r="CWI67" s="3"/>
      <c r="CWJ67" s="3"/>
      <c r="CWK67" s="3"/>
      <c r="CWL67" s="3"/>
      <c r="CWM67" s="3"/>
      <c r="CWN67" s="3"/>
      <c r="CWO67" s="3"/>
      <c r="CWP67" s="3"/>
      <c r="CWQ67" s="3"/>
      <c r="CWR67" s="3"/>
      <c r="CWS67" s="3"/>
      <c r="CWT67" s="3"/>
      <c r="CWU67" s="3"/>
      <c r="CWV67" s="3"/>
      <c r="CWW67" s="3"/>
      <c r="CWX67" s="3"/>
      <c r="CWY67" s="3"/>
      <c r="CWZ67" s="3"/>
      <c r="CXA67" s="3"/>
      <c r="CXB67" s="3"/>
      <c r="CXC67" s="3"/>
      <c r="CXD67" s="3"/>
      <c r="CXE67" s="3"/>
      <c r="CXF67" s="3"/>
      <c r="CXG67" s="3"/>
      <c r="CXH67" s="3"/>
      <c r="CXI67" s="3"/>
      <c r="CXJ67" s="3"/>
      <c r="CXK67" s="3"/>
      <c r="CXL67" s="3"/>
      <c r="CXM67" s="3"/>
      <c r="CXN67" s="3"/>
      <c r="CXO67" s="3"/>
      <c r="CXP67" s="3"/>
      <c r="CXQ67" s="3"/>
      <c r="CXR67" s="3"/>
      <c r="CXS67" s="3"/>
      <c r="CXT67" s="3"/>
      <c r="CXU67" s="3"/>
      <c r="CXV67" s="3"/>
      <c r="CXW67" s="3"/>
      <c r="CXX67" s="3"/>
      <c r="CXY67" s="3"/>
      <c r="CXZ67" s="3"/>
      <c r="CYA67" s="3"/>
      <c r="CYB67" s="3"/>
      <c r="CYC67" s="3"/>
      <c r="CYD67" s="3"/>
      <c r="CYE67" s="3"/>
      <c r="CYF67" s="3"/>
      <c r="CYG67" s="3"/>
      <c r="CYH67" s="3"/>
      <c r="CYI67" s="3"/>
      <c r="CYJ67" s="3"/>
      <c r="CYK67" s="3"/>
      <c r="CYL67" s="3"/>
      <c r="CYM67" s="3"/>
      <c r="CYN67" s="3"/>
      <c r="CYO67" s="3"/>
      <c r="CYP67" s="3"/>
      <c r="CYQ67" s="3"/>
      <c r="CYR67" s="3"/>
      <c r="CYS67" s="3"/>
      <c r="CYT67" s="3"/>
      <c r="CYU67" s="3"/>
      <c r="CYV67" s="3"/>
      <c r="CYW67" s="3"/>
      <c r="CYX67" s="3"/>
      <c r="CYY67" s="3"/>
      <c r="CYZ67" s="3"/>
      <c r="CZA67" s="3"/>
      <c r="CZB67" s="3"/>
      <c r="CZC67" s="3"/>
      <c r="CZD67" s="3"/>
      <c r="CZE67" s="3"/>
      <c r="CZF67" s="3"/>
      <c r="CZG67" s="3"/>
      <c r="CZH67" s="3"/>
      <c r="CZI67" s="3"/>
      <c r="CZJ67" s="3"/>
      <c r="CZK67" s="3"/>
      <c r="CZL67" s="3"/>
      <c r="CZM67" s="3"/>
      <c r="CZN67" s="3"/>
      <c r="CZO67" s="3"/>
      <c r="CZP67" s="3"/>
      <c r="CZQ67" s="3"/>
      <c r="CZR67" s="3"/>
      <c r="CZS67" s="3"/>
      <c r="CZT67" s="3"/>
      <c r="CZU67" s="3"/>
      <c r="CZV67" s="3"/>
      <c r="CZW67" s="3"/>
      <c r="CZX67" s="3"/>
      <c r="CZY67" s="3"/>
      <c r="CZZ67" s="3"/>
      <c r="DAA67" s="3"/>
      <c r="DAB67" s="3"/>
      <c r="DAC67" s="3"/>
      <c r="DAD67" s="3"/>
      <c r="DAE67" s="3"/>
      <c r="DAF67" s="3"/>
      <c r="DAG67" s="3"/>
      <c r="DAH67" s="3"/>
      <c r="DAI67" s="3"/>
      <c r="DAJ67" s="3"/>
      <c r="DAK67" s="3"/>
      <c r="DAL67" s="3"/>
      <c r="DAM67" s="3"/>
      <c r="DAN67" s="3"/>
      <c r="DAO67" s="3"/>
      <c r="DAP67" s="3"/>
      <c r="DAQ67" s="3"/>
      <c r="DAR67" s="3"/>
      <c r="DAS67" s="3"/>
      <c r="DAT67" s="3"/>
      <c r="DAU67" s="3"/>
      <c r="DAV67" s="3"/>
      <c r="DAW67" s="3"/>
      <c r="DAX67" s="3"/>
      <c r="DAY67" s="3"/>
      <c r="DAZ67" s="3"/>
      <c r="DBA67" s="3"/>
      <c r="DBB67" s="3"/>
      <c r="DBC67" s="3"/>
      <c r="DBD67" s="3"/>
      <c r="DBE67" s="3"/>
      <c r="DBF67" s="3"/>
      <c r="DBG67" s="3"/>
      <c r="DBH67" s="3"/>
      <c r="DBI67" s="3"/>
      <c r="DBJ67" s="3"/>
      <c r="DBK67" s="3"/>
      <c r="DBL67" s="3"/>
      <c r="DBM67" s="3"/>
      <c r="DBN67" s="3"/>
      <c r="DBO67" s="3"/>
      <c r="DBP67" s="3"/>
      <c r="DBQ67" s="3"/>
      <c r="DBR67" s="3"/>
      <c r="DBS67" s="3"/>
      <c r="DBT67" s="3"/>
      <c r="DBU67" s="3"/>
      <c r="DBV67" s="3"/>
      <c r="DBW67" s="3"/>
      <c r="DBX67" s="3"/>
      <c r="DBY67" s="3"/>
      <c r="DBZ67" s="3"/>
      <c r="DCA67" s="3"/>
      <c r="DCB67" s="3"/>
      <c r="DCC67" s="3"/>
      <c r="DCD67" s="3"/>
      <c r="DCE67" s="3"/>
      <c r="DCF67" s="3"/>
      <c r="DCG67" s="3"/>
      <c r="DCH67" s="3"/>
      <c r="DCI67" s="3"/>
      <c r="DCJ67" s="3"/>
      <c r="DCK67" s="3"/>
      <c r="DCL67" s="3"/>
      <c r="DCM67" s="3"/>
      <c r="DCN67" s="3"/>
      <c r="DCO67" s="3"/>
      <c r="DCP67" s="3"/>
      <c r="DCQ67" s="3"/>
      <c r="DCR67" s="3"/>
      <c r="DCS67" s="3"/>
      <c r="DCT67" s="3"/>
      <c r="DCU67" s="3"/>
      <c r="DCV67" s="3"/>
      <c r="DCW67" s="3"/>
      <c r="DCX67" s="3"/>
      <c r="DCY67" s="3"/>
      <c r="DCZ67" s="3"/>
      <c r="DDA67" s="3"/>
      <c r="DDB67" s="3"/>
      <c r="DDC67" s="3"/>
      <c r="DDD67" s="3"/>
      <c r="DDE67" s="3"/>
      <c r="DDF67" s="3"/>
      <c r="DDG67" s="3"/>
      <c r="DDH67" s="3"/>
      <c r="DDI67" s="3"/>
      <c r="DDJ67" s="3"/>
      <c r="DDK67" s="3"/>
      <c r="DDL67" s="3"/>
      <c r="DDM67" s="3"/>
      <c r="DDN67" s="3"/>
      <c r="DDO67" s="3"/>
      <c r="DDP67" s="3"/>
      <c r="DDQ67" s="3"/>
      <c r="DDR67" s="3"/>
      <c r="DDS67" s="3"/>
      <c r="DDT67" s="3"/>
      <c r="DDU67" s="3"/>
      <c r="DDV67" s="3"/>
      <c r="DDW67" s="3"/>
      <c r="DDX67" s="3"/>
      <c r="DDY67" s="3"/>
      <c r="DDZ67" s="3"/>
      <c r="DEA67" s="3"/>
      <c r="DEB67" s="3"/>
      <c r="DEC67" s="3"/>
      <c r="DED67" s="3"/>
      <c r="DEE67" s="3"/>
      <c r="DEF67" s="3"/>
      <c r="DEG67" s="3"/>
      <c r="DEH67" s="3"/>
      <c r="DEI67" s="3"/>
      <c r="DEJ67" s="3"/>
      <c r="DEK67" s="3"/>
      <c r="DEL67" s="3"/>
      <c r="DEM67" s="3"/>
      <c r="DEN67" s="3"/>
      <c r="DEO67" s="3"/>
      <c r="DEP67" s="3"/>
      <c r="DEQ67" s="3"/>
      <c r="DER67" s="3"/>
      <c r="DES67" s="3"/>
      <c r="DET67" s="3"/>
      <c r="DEU67" s="3"/>
      <c r="DEV67" s="3"/>
      <c r="DEW67" s="3"/>
      <c r="DEX67" s="3"/>
      <c r="DEY67" s="3"/>
      <c r="DEZ67" s="3"/>
      <c r="DFA67" s="3"/>
      <c r="DFB67" s="3"/>
      <c r="DFC67" s="3"/>
      <c r="DFD67" s="3"/>
      <c r="DFE67" s="3"/>
      <c r="DFF67" s="3"/>
      <c r="DFG67" s="3"/>
      <c r="DFH67" s="3"/>
      <c r="DFI67" s="3"/>
      <c r="DFJ67" s="3"/>
      <c r="DFK67" s="3"/>
      <c r="DFL67" s="3"/>
      <c r="DFM67" s="3"/>
      <c r="DFN67" s="3"/>
      <c r="DFO67" s="3"/>
      <c r="DFP67" s="3"/>
      <c r="DFQ67" s="3"/>
      <c r="DFR67" s="3"/>
      <c r="DFS67" s="3"/>
      <c r="DFT67" s="3"/>
      <c r="DFU67" s="3"/>
      <c r="DFV67" s="3"/>
      <c r="DFW67" s="3"/>
      <c r="DFX67" s="3"/>
      <c r="DFY67" s="3"/>
      <c r="DFZ67" s="3"/>
      <c r="DGA67" s="3"/>
      <c r="DGB67" s="3"/>
      <c r="DGC67" s="3"/>
      <c r="DGD67" s="3"/>
      <c r="DGE67" s="3"/>
      <c r="DGF67" s="3"/>
      <c r="DGG67" s="3"/>
      <c r="DGH67" s="3"/>
      <c r="DGI67" s="3"/>
      <c r="DGJ67" s="3"/>
      <c r="DGK67" s="3"/>
      <c r="DGL67" s="3"/>
      <c r="DGM67" s="3"/>
      <c r="DGN67" s="3"/>
      <c r="DGO67" s="3"/>
      <c r="DGP67" s="3"/>
      <c r="DGQ67" s="3"/>
      <c r="DGR67" s="3"/>
      <c r="DGS67" s="3"/>
      <c r="DGT67" s="3"/>
      <c r="DGU67" s="3"/>
      <c r="DGV67" s="3"/>
      <c r="DGW67" s="3"/>
      <c r="DGX67" s="3"/>
      <c r="DGY67" s="3"/>
      <c r="DGZ67" s="3"/>
      <c r="DHA67" s="3"/>
      <c r="DHB67" s="3"/>
      <c r="DHC67" s="3"/>
      <c r="DHD67" s="3"/>
      <c r="DHE67" s="3"/>
      <c r="DHF67" s="3"/>
      <c r="DHG67" s="3"/>
      <c r="DHH67" s="3"/>
      <c r="DHI67" s="3"/>
      <c r="DHJ67" s="3"/>
      <c r="DHK67" s="3"/>
      <c r="DHL67" s="3"/>
      <c r="DHM67" s="3"/>
      <c r="DHN67" s="3"/>
      <c r="DHO67" s="3"/>
      <c r="DHP67" s="3"/>
      <c r="DHQ67" s="3"/>
      <c r="DHR67" s="3"/>
      <c r="DHS67" s="3"/>
      <c r="DHT67" s="3"/>
      <c r="DHU67" s="3"/>
      <c r="DHV67" s="3"/>
      <c r="DHW67" s="3"/>
      <c r="DHX67" s="3"/>
      <c r="DHY67" s="3"/>
      <c r="DHZ67" s="3"/>
      <c r="DIA67" s="3"/>
      <c r="DIB67" s="3"/>
      <c r="DIC67" s="3"/>
      <c r="DID67" s="3"/>
      <c r="DIE67" s="3"/>
      <c r="DIF67" s="3"/>
      <c r="DIG67" s="3"/>
      <c r="DIH67" s="3"/>
      <c r="DII67" s="3"/>
      <c r="DIJ67" s="3"/>
      <c r="DIK67" s="3"/>
      <c r="DIL67" s="3"/>
      <c r="DIM67" s="3"/>
      <c r="DIN67" s="3"/>
      <c r="DIO67" s="3"/>
      <c r="DIP67" s="3"/>
      <c r="DIQ67" s="3"/>
      <c r="DIR67" s="3"/>
      <c r="DIS67" s="3"/>
      <c r="DIT67" s="3"/>
      <c r="DIU67" s="3"/>
      <c r="DIV67" s="3"/>
      <c r="DIW67" s="3"/>
      <c r="DIX67" s="3"/>
      <c r="DIY67" s="3"/>
      <c r="DIZ67" s="3"/>
      <c r="DJA67" s="3"/>
      <c r="DJB67" s="3"/>
      <c r="DJC67" s="3"/>
      <c r="DJD67" s="3"/>
      <c r="DJE67" s="3"/>
      <c r="DJF67" s="3"/>
      <c r="DJG67" s="3"/>
      <c r="DJH67" s="3"/>
      <c r="DJI67" s="3"/>
      <c r="DJJ67" s="3"/>
      <c r="DJK67" s="3"/>
      <c r="DJL67" s="3"/>
      <c r="DJM67" s="3"/>
      <c r="DJN67" s="3"/>
      <c r="DJO67" s="3"/>
      <c r="DJP67" s="3"/>
      <c r="DJQ67" s="3"/>
      <c r="DJR67" s="3"/>
      <c r="DJS67" s="3"/>
      <c r="DJT67" s="3"/>
      <c r="DJU67" s="3"/>
      <c r="DJV67" s="3"/>
      <c r="DJW67" s="3"/>
      <c r="DJX67" s="3"/>
      <c r="DJY67" s="3"/>
      <c r="DJZ67" s="3"/>
      <c r="DKA67" s="3"/>
      <c r="DKB67" s="3"/>
      <c r="DKC67" s="3"/>
      <c r="DKD67" s="3"/>
      <c r="DKE67" s="3"/>
      <c r="DKF67" s="3"/>
      <c r="DKG67" s="3"/>
      <c r="DKH67" s="3"/>
      <c r="DKI67" s="3"/>
      <c r="DKJ67" s="3"/>
      <c r="DKK67" s="3"/>
      <c r="DKL67" s="3"/>
      <c r="DKM67" s="3"/>
      <c r="DKN67" s="3"/>
      <c r="DKO67" s="3"/>
      <c r="DKP67" s="3"/>
      <c r="DKQ67" s="3"/>
      <c r="DKR67" s="3"/>
      <c r="DKS67" s="3"/>
      <c r="DKT67" s="3"/>
      <c r="DKU67" s="3"/>
      <c r="DKV67" s="3"/>
      <c r="DKW67" s="3"/>
      <c r="DKX67" s="3"/>
      <c r="DKY67" s="3"/>
      <c r="DKZ67" s="3"/>
      <c r="DLA67" s="3"/>
      <c r="DLB67" s="3"/>
      <c r="DLC67" s="3"/>
      <c r="DLD67" s="3"/>
      <c r="DLE67" s="3"/>
      <c r="DLF67" s="3"/>
      <c r="DLG67" s="3"/>
      <c r="DLH67" s="3"/>
      <c r="DLI67" s="3"/>
      <c r="DLJ67" s="3"/>
      <c r="DLK67" s="3"/>
      <c r="DLL67" s="3"/>
      <c r="DLM67" s="3"/>
      <c r="DLN67" s="3"/>
      <c r="DLO67" s="3"/>
      <c r="DLP67" s="3"/>
      <c r="DLQ67" s="3"/>
      <c r="DLR67" s="3"/>
      <c r="DLS67" s="3"/>
      <c r="DLT67" s="3"/>
      <c r="DLU67" s="3"/>
      <c r="DLV67" s="3"/>
      <c r="DLW67" s="3"/>
      <c r="DLX67" s="3"/>
      <c r="DLY67" s="3"/>
      <c r="DLZ67" s="3"/>
      <c r="DMA67" s="3"/>
      <c r="DMB67" s="3"/>
      <c r="DMC67" s="3"/>
      <c r="DMD67" s="3"/>
      <c r="DME67" s="3"/>
      <c r="DMF67" s="3"/>
      <c r="DMG67" s="3"/>
      <c r="DMH67" s="3"/>
      <c r="DMI67" s="3"/>
      <c r="DMJ67" s="3"/>
      <c r="DMK67" s="3"/>
      <c r="DML67" s="3"/>
      <c r="DMM67" s="3"/>
      <c r="DMN67" s="3"/>
      <c r="DMO67" s="3"/>
      <c r="DMP67" s="3"/>
      <c r="DMQ67" s="3"/>
      <c r="DMR67" s="3"/>
      <c r="DMS67" s="3"/>
      <c r="DMT67" s="3"/>
      <c r="DMU67" s="3"/>
      <c r="DMV67" s="3"/>
      <c r="DMW67" s="3"/>
      <c r="DMX67" s="3"/>
      <c r="DMY67" s="3"/>
      <c r="DMZ67" s="3"/>
      <c r="DNA67" s="3"/>
      <c r="DNB67" s="3"/>
      <c r="DNC67" s="3"/>
      <c r="DND67" s="3"/>
      <c r="DNE67" s="3"/>
      <c r="DNF67" s="3"/>
      <c r="DNG67" s="3"/>
      <c r="DNH67" s="3"/>
      <c r="DNI67" s="3"/>
      <c r="DNJ67" s="3"/>
      <c r="DNK67" s="3"/>
      <c r="DNL67" s="3"/>
      <c r="DNM67" s="3"/>
      <c r="DNN67" s="3"/>
      <c r="DNO67" s="3"/>
      <c r="DNP67" s="3"/>
      <c r="DNQ67" s="3"/>
      <c r="DNR67" s="3"/>
      <c r="DNS67" s="3"/>
      <c r="DNT67" s="3"/>
      <c r="DNU67" s="3"/>
      <c r="DNV67" s="3"/>
      <c r="DNW67" s="3"/>
      <c r="DNX67" s="3"/>
      <c r="DNY67" s="3"/>
      <c r="DNZ67" s="3"/>
      <c r="DOA67" s="3"/>
      <c r="DOB67" s="3"/>
      <c r="DOC67" s="3"/>
      <c r="DOD67" s="3"/>
      <c r="DOE67" s="3"/>
      <c r="DOF67" s="3"/>
      <c r="DOG67" s="3"/>
      <c r="DOH67" s="3"/>
      <c r="DOI67" s="3"/>
      <c r="DOJ67" s="3"/>
      <c r="DOK67" s="3"/>
      <c r="DOL67" s="3"/>
      <c r="DOM67" s="3"/>
      <c r="DON67" s="3"/>
      <c r="DOO67" s="3"/>
      <c r="DOP67" s="3"/>
      <c r="DOQ67" s="3"/>
      <c r="DOR67" s="3"/>
      <c r="DOS67" s="3"/>
      <c r="DOT67" s="3"/>
      <c r="DOU67" s="3"/>
      <c r="DOV67" s="3"/>
      <c r="DOW67" s="3"/>
      <c r="DOX67" s="3"/>
      <c r="DOY67" s="3"/>
      <c r="DOZ67" s="3"/>
      <c r="DPA67" s="3"/>
      <c r="DPB67" s="3"/>
      <c r="DPC67" s="3"/>
      <c r="DPD67" s="3"/>
      <c r="DPE67" s="3"/>
      <c r="DPF67" s="3"/>
      <c r="DPG67" s="3"/>
      <c r="DPH67" s="3"/>
      <c r="DPI67" s="3"/>
      <c r="DPJ67" s="3"/>
      <c r="DPK67" s="3"/>
      <c r="DPL67" s="3"/>
      <c r="DPM67" s="3"/>
      <c r="DPN67" s="3"/>
      <c r="DPO67" s="3"/>
      <c r="DPP67" s="3"/>
      <c r="DPQ67" s="3"/>
      <c r="DPR67" s="3"/>
      <c r="DPS67" s="3"/>
      <c r="DPT67" s="3"/>
      <c r="DPU67" s="3"/>
      <c r="DPV67" s="3"/>
      <c r="DPW67" s="3"/>
      <c r="DPX67" s="3"/>
      <c r="DPY67" s="3"/>
      <c r="DPZ67" s="3"/>
      <c r="DQA67" s="3"/>
      <c r="DQB67" s="3"/>
      <c r="DQC67" s="3"/>
      <c r="DQD67" s="3"/>
      <c r="DQE67" s="3"/>
      <c r="DQF67" s="3"/>
      <c r="DQG67" s="3"/>
      <c r="DQH67" s="3"/>
      <c r="DQI67" s="3"/>
      <c r="DQJ67" s="3"/>
      <c r="DQK67" s="3"/>
      <c r="DQL67" s="3"/>
      <c r="DQM67" s="3"/>
      <c r="DQN67" s="3"/>
      <c r="DQO67" s="3"/>
      <c r="DQP67" s="3"/>
      <c r="DQQ67" s="3"/>
      <c r="DQR67" s="3"/>
      <c r="DQS67" s="3"/>
      <c r="DQT67" s="3"/>
      <c r="DQU67" s="3"/>
      <c r="DQV67" s="3"/>
      <c r="DQW67" s="3"/>
      <c r="DQX67" s="3"/>
      <c r="DQY67" s="3"/>
      <c r="DQZ67" s="3"/>
      <c r="DRA67" s="3"/>
      <c r="DRB67" s="3"/>
      <c r="DRC67" s="3"/>
      <c r="DRD67" s="3"/>
      <c r="DRE67" s="3"/>
      <c r="DRF67" s="3"/>
      <c r="DRG67" s="3"/>
      <c r="DRH67" s="3"/>
      <c r="DRI67" s="3"/>
      <c r="DRJ67" s="3"/>
      <c r="DRK67" s="3"/>
      <c r="DRL67" s="3"/>
      <c r="DRM67" s="3"/>
      <c r="DRN67" s="3"/>
      <c r="DRO67" s="3"/>
      <c r="DRP67" s="3"/>
      <c r="DRQ67" s="3"/>
      <c r="DRR67" s="3"/>
      <c r="DRS67" s="3"/>
      <c r="DRT67" s="3"/>
      <c r="DRU67" s="3"/>
      <c r="DRV67" s="3"/>
      <c r="DRW67" s="3"/>
      <c r="DRX67" s="3"/>
      <c r="DRY67" s="3"/>
      <c r="DRZ67" s="3"/>
      <c r="DSA67" s="3"/>
      <c r="DSB67" s="3"/>
      <c r="DSC67" s="3"/>
      <c r="DSD67" s="3"/>
      <c r="DSE67" s="3"/>
      <c r="DSF67" s="3"/>
      <c r="DSG67" s="3"/>
      <c r="DSH67" s="3"/>
      <c r="DSI67" s="3"/>
      <c r="DSJ67" s="3"/>
      <c r="DSK67" s="3"/>
      <c r="DSL67" s="3"/>
      <c r="DSM67" s="3"/>
      <c r="DSN67" s="3"/>
      <c r="DSO67" s="3"/>
      <c r="DSP67" s="3"/>
      <c r="DSQ67" s="3"/>
      <c r="DSR67" s="3"/>
      <c r="DSS67" s="3"/>
      <c r="DST67" s="3"/>
      <c r="DSU67" s="3"/>
      <c r="DSV67" s="3"/>
      <c r="DSW67" s="3"/>
      <c r="DSX67" s="3"/>
      <c r="DSY67" s="3"/>
      <c r="DSZ67" s="3"/>
      <c r="DTA67" s="3"/>
      <c r="DTB67" s="3"/>
      <c r="DTC67" s="3"/>
      <c r="DTD67" s="3"/>
      <c r="DTE67" s="3"/>
      <c r="DTF67" s="3"/>
      <c r="DTG67" s="3"/>
      <c r="DTH67" s="3"/>
      <c r="DTI67" s="3"/>
      <c r="DTJ67" s="3"/>
      <c r="DTK67" s="3"/>
      <c r="DTL67" s="3"/>
      <c r="DTM67" s="3"/>
      <c r="DTN67" s="3"/>
      <c r="DTO67" s="3"/>
      <c r="DTP67" s="3"/>
      <c r="DTQ67" s="3"/>
      <c r="DTR67" s="3"/>
      <c r="DTS67" s="3"/>
      <c r="DTT67" s="3"/>
      <c r="DTU67" s="3"/>
      <c r="DTV67" s="3"/>
      <c r="DTW67" s="3"/>
      <c r="DTX67" s="3"/>
      <c r="DTY67" s="3"/>
      <c r="DTZ67" s="3"/>
      <c r="DUA67" s="3"/>
      <c r="DUB67" s="3"/>
      <c r="DUC67" s="3"/>
      <c r="DUD67" s="3"/>
      <c r="DUE67" s="3"/>
      <c r="DUF67" s="3"/>
      <c r="DUG67" s="3"/>
      <c r="DUH67" s="3"/>
      <c r="DUI67" s="3"/>
      <c r="DUJ67" s="3"/>
      <c r="DUK67" s="3"/>
      <c r="DUL67" s="3"/>
      <c r="DUM67" s="3"/>
      <c r="DUN67" s="3"/>
      <c r="DUO67" s="3"/>
      <c r="DUP67" s="3"/>
      <c r="DUQ67" s="3"/>
      <c r="DUR67" s="3"/>
      <c r="DUS67" s="3"/>
      <c r="DUT67" s="3"/>
      <c r="DUU67" s="3"/>
      <c r="DUV67" s="3"/>
      <c r="DUW67" s="3"/>
      <c r="DUX67" s="3"/>
      <c r="DUY67" s="3"/>
      <c r="DUZ67" s="3"/>
      <c r="DVA67" s="3"/>
      <c r="DVB67" s="3"/>
      <c r="DVC67" s="3"/>
      <c r="DVD67" s="3"/>
      <c r="DVE67" s="3"/>
      <c r="DVF67" s="3"/>
      <c r="DVG67" s="3"/>
      <c r="DVH67" s="3"/>
      <c r="DVI67" s="3"/>
      <c r="DVJ67" s="3"/>
      <c r="DVK67" s="3"/>
      <c r="DVL67" s="3"/>
      <c r="DVM67" s="3"/>
      <c r="DVN67" s="3"/>
      <c r="DVO67" s="3"/>
      <c r="DVP67" s="3"/>
      <c r="DVQ67" s="3"/>
      <c r="DVR67" s="3"/>
      <c r="DVS67" s="3"/>
      <c r="DVT67" s="3"/>
      <c r="DVU67" s="3"/>
      <c r="DVV67" s="3"/>
      <c r="DVW67" s="3"/>
      <c r="DVX67" s="3"/>
      <c r="DVY67" s="3"/>
      <c r="DVZ67" s="3"/>
      <c r="DWA67" s="3"/>
      <c r="DWB67" s="3"/>
      <c r="DWC67" s="3"/>
      <c r="DWD67" s="3"/>
      <c r="DWE67" s="3"/>
      <c r="DWF67" s="3"/>
      <c r="DWG67" s="3"/>
      <c r="DWH67" s="3"/>
      <c r="DWI67" s="3"/>
      <c r="DWJ67" s="3"/>
      <c r="DWK67" s="3"/>
      <c r="DWL67" s="3"/>
      <c r="DWM67" s="3"/>
      <c r="DWN67" s="3"/>
      <c r="DWO67" s="3"/>
      <c r="DWP67" s="3"/>
      <c r="DWQ67" s="3"/>
      <c r="DWR67" s="3"/>
      <c r="DWS67" s="3"/>
      <c r="DWT67" s="3"/>
      <c r="DWU67" s="3"/>
      <c r="DWV67" s="3"/>
      <c r="DWW67" s="3"/>
      <c r="DWX67" s="3"/>
      <c r="DWY67" s="3"/>
      <c r="DWZ67" s="3"/>
      <c r="DXA67" s="3"/>
      <c r="DXB67" s="3"/>
      <c r="DXC67" s="3"/>
      <c r="DXD67" s="3"/>
      <c r="DXE67" s="3"/>
      <c r="DXF67" s="3"/>
      <c r="DXG67" s="3"/>
      <c r="DXH67" s="3"/>
      <c r="DXI67" s="3"/>
      <c r="DXJ67" s="3"/>
      <c r="DXK67" s="3"/>
      <c r="DXL67" s="3"/>
      <c r="DXM67" s="3"/>
      <c r="DXN67" s="3"/>
      <c r="DXO67" s="3"/>
      <c r="DXP67" s="3"/>
      <c r="DXQ67" s="3"/>
      <c r="DXR67" s="3"/>
      <c r="DXS67" s="3"/>
      <c r="DXT67" s="3"/>
      <c r="DXU67" s="3"/>
      <c r="DXV67" s="3"/>
      <c r="DXW67" s="3"/>
      <c r="DXX67" s="3"/>
      <c r="DXY67" s="3"/>
      <c r="DXZ67" s="3"/>
      <c r="DYA67" s="3"/>
      <c r="DYB67" s="3"/>
      <c r="DYC67" s="3"/>
      <c r="DYD67" s="3"/>
      <c r="DYE67" s="3"/>
      <c r="DYF67" s="3"/>
      <c r="DYG67" s="3"/>
      <c r="DYH67" s="3"/>
      <c r="DYI67" s="3"/>
      <c r="DYJ67" s="3"/>
      <c r="DYK67" s="3"/>
      <c r="DYL67" s="3"/>
      <c r="DYM67" s="3"/>
      <c r="DYN67" s="3"/>
      <c r="DYO67" s="3"/>
      <c r="DYP67" s="3"/>
      <c r="DYQ67" s="3"/>
      <c r="DYR67" s="3"/>
      <c r="DYS67" s="3"/>
      <c r="DYT67" s="3"/>
      <c r="DYU67" s="3"/>
      <c r="DYV67" s="3"/>
      <c r="DYW67" s="3"/>
      <c r="DYX67" s="3"/>
      <c r="DYY67" s="3"/>
      <c r="DYZ67" s="3"/>
      <c r="DZA67" s="3"/>
      <c r="DZB67" s="3"/>
      <c r="DZC67" s="3"/>
      <c r="DZD67" s="3"/>
      <c r="DZE67" s="3"/>
      <c r="DZF67" s="3"/>
      <c r="DZG67" s="3"/>
      <c r="DZH67" s="3"/>
      <c r="DZI67" s="3"/>
      <c r="DZJ67" s="3"/>
      <c r="DZK67" s="3"/>
      <c r="DZL67" s="3"/>
      <c r="DZM67" s="3"/>
      <c r="DZN67" s="3"/>
      <c r="DZO67" s="3"/>
      <c r="DZP67" s="3"/>
      <c r="DZQ67" s="3"/>
      <c r="DZR67" s="3"/>
      <c r="DZS67" s="3"/>
      <c r="DZT67" s="3"/>
      <c r="DZU67" s="3"/>
      <c r="DZV67" s="3"/>
      <c r="DZW67" s="3"/>
      <c r="DZX67" s="3"/>
      <c r="DZY67" s="3"/>
      <c r="DZZ67" s="3"/>
      <c r="EAA67" s="3"/>
      <c r="EAB67" s="3"/>
      <c r="EAC67" s="3"/>
      <c r="EAD67" s="3"/>
      <c r="EAE67" s="3"/>
      <c r="EAF67" s="3"/>
      <c r="EAG67" s="3"/>
      <c r="EAH67" s="3"/>
      <c r="EAI67" s="3"/>
      <c r="EAJ67" s="3"/>
      <c r="EAK67" s="3"/>
      <c r="EAL67" s="3"/>
      <c r="EAM67" s="3"/>
      <c r="EAN67" s="3"/>
      <c r="EAO67" s="3"/>
      <c r="EAP67" s="3"/>
      <c r="EAQ67" s="3"/>
      <c r="EAR67" s="3"/>
      <c r="EAS67" s="3"/>
      <c r="EAT67" s="3"/>
      <c r="EAU67" s="3"/>
      <c r="EAV67" s="3"/>
      <c r="EAW67" s="3"/>
      <c r="EAX67" s="3"/>
      <c r="EAY67" s="3"/>
      <c r="EAZ67" s="3"/>
      <c r="EBA67" s="3"/>
      <c r="EBB67" s="3"/>
      <c r="EBC67" s="3"/>
      <c r="EBD67" s="3"/>
      <c r="EBE67" s="3"/>
      <c r="EBF67" s="3"/>
      <c r="EBG67" s="3"/>
      <c r="EBH67" s="3"/>
      <c r="EBI67" s="3"/>
      <c r="EBJ67" s="3"/>
      <c r="EBK67" s="3"/>
      <c r="EBL67" s="3"/>
      <c r="EBM67" s="3"/>
      <c r="EBN67" s="3"/>
      <c r="EBO67" s="3"/>
      <c r="EBP67" s="3"/>
      <c r="EBQ67" s="3"/>
      <c r="EBR67" s="3"/>
      <c r="EBS67" s="3"/>
      <c r="EBT67" s="3"/>
      <c r="EBU67" s="3"/>
      <c r="EBV67" s="3"/>
      <c r="EBW67" s="3"/>
      <c r="EBX67" s="3"/>
      <c r="EBY67" s="3"/>
      <c r="EBZ67" s="3"/>
      <c r="ECA67" s="3"/>
      <c r="ECB67" s="3"/>
      <c r="ECC67" s="3"/>
      <c r="ECD67" s="3"/>
      <c r="ECE67" s="3"/>
      <c r="ECF67" s="3"/>
      <c r="ECG67" s="3"/>
      <c r="ECH67" s="3"/>
      <c r="ECI67" s="3"/>
      <c r="ECJ67" s="3"/>
      <c r="ECK67" s="3"/>
      <c r="ECL67" s="3"/>
      <c r="ECM67" s="3"/>
      <c r="ECN67" s="3"/>
      <c r="ECO67" s="3"/>
      <c r="ECP67" s="3"/>
      <c r="ECQ67" s="3"/>
      <c r="ECR67" s="3"/>
      <c r="ECS67" s="3"/>
      <c r="ECT67" s="3"/>
      <c r="ECU67" s="3"/>
      <c r="ECV67" s="3"/>
      <c r="ECW67" s="3"/>
      <c r="ECX67" s="3"/>
      <c r="ECY67" s="3"/>
      <c r="ECZ67" s="3"/>
      <c r="EDA67" s="3"/>
      <c r="EDB67" s="3"/>
      <c r="EDC67" s="3"/>
      <c r="EDD67" s="3"/>
      <c r="EDE67" s="3"/>
      <c r="EDF67" s="3"/>
      <c r="EDG67" s="3"/>
      <c r="EDH67" s="3"/>
      <c r="EDI67" s="3"/>
      <c r="EDJ67" s="3"/>
      <c r="EDK67" s="3"/>
      <c r="EDL67" s="3"/>
      <c r="EDM67" s="3"/>
      <c r="EDN67" s="3"/>
      <c r="EDO67" s="3"/>
      <c r="EDP67" s="3"/>
      <c r="EDQ67" s="3"/>
      <c r="EDR67" s="3"/>
      <c r="EDS67" s="3"/>
      <c r="EDT67" s="3"/>
      <c r="EDU67" s="3"/>
      <c r="EDV67" s="3"/>
      <c r="EDW67" s="3"/>
      <c r="EDX67" s="3"/>
      <c r="EDY67" s="3"/>
      <c r="EDZ67" s="3"/>
      <c r="EEA67" s="3"/>
      <c r="EEB67" s="3"/>
      <c r="EEC67" s="3"/>
      <c r="EED67" s="3"/>
      <c r="EEE67" s="3"/>
      <c r="EEF67" s="3"/>
      <c r="EEG67" s="3"/>
      <c r="EEH67" s="3"/>
      <c r="EEI67" s="3"/>
      <c r="EEJ67" s="3"/>
      <c r="EEK67" s="3"/>
      <c r="EEL67" s="3"/>
      <c r="EEM67" s="3"/>
      <c r="EEN67" s="3"/>
      <c r="EEO67" s="3"/>
      <c r="EEP67" s="3"/>
      <c r="EEQ67" s="3"/>
      <c r="EER67" s="3"/>
      <c r="EES67" s="3"/>
      <c r="EET67" s="3"/>
      <c r="EEU67" s="3"/>
      <c r="EEV67" s="3"/>
      <c r="EEW67" s="3"/>
      <c r="EEX67" s="3"/>
      <c r="EEY67" s="3"/>
      <c r="EEZ67" s="3"/>
      <c r="EFA67" s="3"/>
      <c r="EFB67" s="3"/>
      <c r="EFC67" s="3"/>
      <c r="EFD67" s="3"/>
      <c r="EFE67" s="3"/>
      <c r="EFF67" s="3"/>
      <c r="EFG67" s="3"/>
      <c r="EFH67" s="3"/>
      <c r="EFI67" s="3"/>
      <c r="EFJ67" s="3"/>
      <c r="EFK67" s="3"/>
      <c r="EFL67" s="3"/>
      <c r="EFM67" s="3"/>
      <c r="EFN67" s="3"/>
      <c r="EFO67" s="3"/>
      <c r="EFP67" s="3"/>
      <c r="EFQ67" s="3"/>
      <c r="EFR67" s="3"/>
      <c r="EFS67" s="3"/>
      <c r="EFT67" s="3"/>
      <c r="EFU67" s="3"/>
      <c r="EFV67" s="3"/>
      <c r="EFW67" s="3"/>
      <c r="EFX67" s="3"/>
      <c r="EFY67" s="3"/>
      <c r="EFZ67" s="3"/>
      <c r="EGA67" s="3"/>
      <c r="EGB67" s="3"/>
      <c r="EGC67" s="3"/>
      <c r="EGD67" s="3"/>
      <c r="EGE67" s="3"/>
      <c r="EGF67" s="3"/>
      <c r="EGG67" s="3"/>
      <c r="EGH67" s="3"/>
      <c r="EGI67" s="3"/>
      <c r="EGJ67" s="3"/>
      <c r="EGK67" s="3"/>
      <c r="EGL67" s="3"/>
      <c r="EGM67" s="3"/>
      <c r="EGN67" s="3"/>
      <c r="EGO67" s="3"/>
      <c r="EGP67" s="3"/>
      <c r="EGQ67" s="3"/>
      <c r="EGR67" s="3"/>
      <c r="EGS67" s="3"/>
      <c r="EGT67" s="3"/>
      <c r="EGU67" s="3"/>
      <c r="EGV67" s="3"/>
      <c r="EGW67" s="3"/>
      <c r="EGX67" s="3"/>
      <c r="EGY67" s="3"/>
      <c r="EGZ67" s="3"/>
      <c r="EHA67" s="3"/>
      <c r="EHB67" s="3"/>
      <c r="EHC67" s="3"/>
      <c r="EHD67" s="3"/>
      <c r="EHE67" s="3"/>
      <c r="EHF67" s="3"/>
      <c r="EHG67" s="3"/>
      <c r="EHH67" s="3"/>
      <c r="EHI67" s="3"/>
      <c r="EHJ67" s="3"/>
      <c r="EHK67" s="3"/>
      <c r="EHL67" s="3"/>
      <c r="EHM67" s="3"/>
      <c r="EHN67" s="3"/>
      <c r="EHO67" s="3"/>
      <c r="EHP67" s="3"/>
      <c r="EHQ67" s="3"/>
      <c r="EHR67" s="3"/>
      <c r="EHS67" s="3"/>
      <c r="EHT67" s="3"/>
      <c r="EHU67" s="3"/>
      <c r="EHV67" s="3"/>
      <c r="EHW67" s="3"/>
      <c r="EHX67" s="3"/>
      <c r="EHY67" s="3"/>
      <c r="EHZ67" s="3"/>
      <c r="EIA67" s="3"/>
      <c r="EIB67" s="3"/>
      <c r="EIC67" s="3"/>
      <c r="EID67" s="3"/>
      <c r="EIE67" s="3"/>
      <c r="EIF67" s="3"/>
      <c r="EIG67" s="3"/>
      <c r="EIH67" s="3"/>
      <c r="EII67" s="3"/>
      <c r="EIJ67" s="3"/>
      <c r="EIK67" s="3"/>
      <c r="EIL67" s="3"/>
      <c r="EIM67" s="3"/>
      <c r="EIN67" s="3"/>
      <c r="EIO67" s="3"/>
      <c r="EIP67" s="3"/>
      <c r="EIQ67" s="3"/>
      <c r="EIR67" s="3"/>
      <c r="EIS67" s="3"/>
      <c r="EIT67" s="3"/>
      <c r="EIU67" s="3"/>
      <c r="EIV67" s="3"/>
      <c r="EIW67" s="3"/>
      <c r="EIX67" s="3"/>
      <c r="EIY67" s="3"/>
      <c r="EIZ67" s="3"/>
      <c r="EJA67" s="3"/>
      <c r="EJB67" s="3"/>
      <c r="EJC67" s="3"/>
      <c r="EJD67" s="3"/>
      <c r="EJE67" s="3"/>
      <c r="EJF67" s="3"/>
      <c r="EJG67" s="3"/>
      <c r="EJH67" s="3"/>
      <c r="EJI67" s="3"/>
      <c r="EJJ67" s="3"/>
      <c r="EJK67" s="3"/>
      <c r="EJL67" s="3"/>
      <c r="EJM67" s="3"/>
      <c r="EJN67" s="3"/>
      <c r="EJO67" s="3"/>
      <c r="EJP67" s="3"/>
      <c r="EJQ67" s="3"/>
      <c r="EJR67" s="3"/>
      <c r="EJS67" s="3"/>
      <c r="EJT67" s="3"/>
      <c r="EJU67" s="3"/>
      <c r="EJV67" s="3"/>
      <c r="EJW67" s="3"/>
      <c r="EJX67" s="3"/>
      <c r="EJY67" s="3"/>
      <c r="EJZ67" s="3"/>
      <c r="EKA67" s="3"/>
      <c r="EKB67" s="3"/>
      <c r="EKC67" s="3"/>
      <c r="EKD67" s="3"/>
      <c r="EKE67" s="3"/>
      <c r="EKF67" s="3"/>
      <c r="EKG67" s="3"/>
      <c r="EKH67" s="3"/>
      <c r="EKI67" s="3"/>
      <c r="EKJ67" s="3"/>
      <c r="EKK67" s="3"/>
      <c r="EKL67" s="3"/>
      <c r="EKM67" s="3"/>
      <c r="EKN67" s="3"/>
      <c r="EKO67" s="3"/>
      <c r="EKP67" s="3"/>
      <c r="EKQ67" s="3"/>
      <c r="EKR67" s="3"/>
      <c r="EKS67" s="3"/>
      <c r="EKT67" s="3"/>
      <c r="EKU67" s="3"/>
      <c r="EKV67" s="3"/>
      <c r="EKW67" s="3"/>
      <c r="EKX67" s="3"/>
      <c r="EKY67" s="3"/>
      <c r="EKZ67" s="3"/>
      <c r="ELA67" s="3"/>
      <c r="ELB67" s="3"/>
      <c r="ELC67" s="3"/>
      <c r="ELD67" s="3"/>
      <c r="ELE67" s="3"/>
      <c r="ELF67" s="3"/>
      <c r="ELG67" s="3"/>
      <c r="ELH67" s="3"/>
      <c r="ELI67" s="3"/>
      <c r="ELJ67" s="3"/>
      <c r="ELK67" s="3"/>
      <c r="ELL67" s="3"/>
      <c r="ELM67" s="3"/>
      <c r="ELN67" s="3"/>
      <c r="ELO67" s="3"/>
      <c r="ELP67" s="3"/>
      <c r="ELQ67" s="3"/>
      <c r="ELR67" s="3"/>
      <c r="ELS67" s="3"/>
      <c r="ELT67" s="3"/>
      <c r="ELU67" s="3"/>
      <c r="ELV67" s="3"/>
      <c r="ELW67" s="3"/>
      <c r="ELX67" s="3"/>
      <c r="ELY67" s="3"/>
      <c r="ELZ67" s="3"/>
      <c r="EMA67" s="3"/>
      <c r="EMB67" s="3"/>
      <c r="EMC67" s="3"/>
      <c r="EMD67" s="3"/>
      <c r="EME67" s="3"/>
      <c r="EMF67" s="3"/>
      <c r="EMG67" s="3"/>
      <c r="EMH67" s="3"/>
      <c r="EMI67" s="3"/>
      <c r="EMJ67" s="3"/>
      <c r="EMK67" s="3"/>
      <c r="EML67" s="3"/>
      <c r="EMM67" s="3"/>
      <c r="EMN67" s="3"/>
      <c r="EMO67" s="3"/>
      <c r="EMP67" s="3"/>
      <c r="EMQ67" s="3"/>
      <c r="EMR67" s="3"/>
      <c r="EMS67" s="3"/>
      <c r="EMT67" s="3"/>
      <c r="EMU67" s="3"/>
      <c r="EMV67" s="3"/>
      <c r="EMW67" s="3"/>
      <c r="EMX67" s="3"/>
      <c r="EMY67" s="3"/>
      <c r="EMZ67" s="3"/>
      <c r="ENA67" s="3"/>
      <c r="ENB67" s="3"/>
      <c r="ENC67" s="3"/>
      <c r="END67" s="3"/>
      <c r="ENE67" s="3"/>
      <c r="ENF67" s="3"/>
      <c r="ENG67" s="3"/>
      <c r="ENH67" s="3"/>
      <c r="ENI67" s="3"/>
      <c r="ENJ67" s="3"/>
      <c r="ENK67" s="3"/>
      <c r="ENL67" s="3"/>
      <c r="ENM67" s="3"/>
      <c r="ENN67" s="3"/>
      <c r="ENO67" s="3"/>
      <c r="ENP67" s="3"/>
      <c r="ENQ67" s="3"/>
      <c r="ENR67" s="3"/>
      <c r="ENS67" s="3"/>
      <c r="ENT67" s="3"/>
      <c r="ENU67" s="3"/>
      <c r="ENV67" s="3"/>
      <c r="ENW67" s="3"/>
      <c r="ENX67" s="3"/>
      <c r="ENY67" s="3"/>
      <c r="ENZ67" s="3"/>
      <c r="EOA67" s="3"/>
      <c r="EOB67" s="3"/>
      <c r="EOC67" s="3"/>
      <c r="EOD67" s="3"/>
      <c r="EOE67" s="3"/>
      <c r="EOF67" s="3"/>
      <c r="EOG67" s="3"/>
      <c r="EOH67" s="3"/>
      <c r="EOI67" s="3"/>
      <c r="EOJ67" s="3"/>
      <c r="EOK67" s="3"/>
      <c r="EOL67" s="3"/>
      <c r="EOM67" s="3"/>
      <c r="EON67" s="3"/>
      <c r="EOO67" s="3"/>
      <c r="EOP67" s="3"/>
      <c r="EOQ67" s="3"/>
      <c r="EOR67" s="3"/>
      <c r="EOS67" s="3"/>
      <c r="EOT67" s="3"/>
      <c r="EOU67" s="3"/>
      <c r="EOV67" s="3"/>
      <c r="EOW67" s="3"/>
      <c r="EOX67" s="3"/>
      <c r="EOY67" s="3"/>
      <c r="EOZ67" s="3"/>
      <c r="EPA67" s="3"/>
      <c r="EPB67" s="3"/>
      <c r="EPC67" s="3"/>
      <c r="EPD67" s="3"/>
      <c r="EPE67" s="3"/>
      <c r="EPF67" s="3"/>
      <c r="EPG67" s="3"/>
      <c r="EPH67" s="3"/>
      <c r="EPI67" s="3"/>
      <c r="EPJ67" s="3"/>
      <c r="EPK67" s="3"/>
      <c r="EPL67" s="3"/>
      <c r="EPM67" s="3"/>
      <c r="EPN67" s="3"/>
      <c r="EPO67" s="3"/>
      <c r="EPP67" s="3"/>
      <c r="EPQ67" s="3"/>
      <c r="EPR67" s="3"/>
      <c r="EPS67" s="3"/>
      <c r="EPT67" s="3"/>
      <c r="EPU67" s="3"/>
      <c r="EPV67" s="3"/>
      <c r="EPW67" s="3"/>
      <c r="EPX67" s="3"/>
      <c r="EPY67" s="3"/>
      <c r="EPZ67" s="3"/>
      <c r="EQA67" s="3"/>
      <c r="EQB67" s="3"/>
      <c r="EQC67" s="3"/>
      <c r="EQD67" s="3"/>
      <c r="EQE67" s="3"/>
      <c r="EQF67" s="3"/>
      <c r="EQG67" s="3"/>
      <c r="EQH67" s="3"/>
      <c r="EQI67" s="3"/>
      <c r="EQJ67" s="3"/>
      <c r="EQK67" s="3"/>
      <c r="EQL67" s="3"/>
      <c r="EQM67" s="3"/>
      <c r="EQN67" s="3"/>
      <c r="EQO67" s="3"/>
      <c r="EQP67" s="3"/>
      <c r="EQQ67" s="3"/>
      <c r="EQR67" s="3"/>
      <c r="EQS67" s="3"/>
      <c r="EQT67" s="3"/>
      <c r="EQU67" s="3"/>
      <c r="EQV67" s="3"/>
      <c r="EQW67" s="3"/>
      <c r="EQX67" s="3"/>
      <c r="EQY67" s="3"/>
      <c r="EQZ67" s="3"/>
      <c r="ERA67" s="3"/>
      <c r="ERB67" s="3"/>
      <c r="ERC67" s="3"/>
      <c r="ERD67" s="3"/>
      <c r="ERE67" s="3"/>
      <c r="ERF67" s="3"/>
      <c r="ERG67" s="3"/>
      <c r="ERH67" s="3"/>
      <c r="ERI67" s="3"/>
      <c r="ERJ67" s="3"/>
      <c r="ERK67" s="3"/>
      <c r="ERL67" s="3"/>
      <c r="ERM67" s="3"/>
      <c r="ERN67" s="3"/>
      <c r="ERO67" s="3"/>
      <c r="ERP67" s="3"/>
      <c r="ERQ67" s="3"/>
      <c r="ERR67" s="3"/>
      <c r="ERS67" s="3"/>
      <c r="ERT67" s="3"/>
      <c r="ERU67" s="3"/>
      <c r="ERV67" s="3"/>
      <c r="ERW67" s="3"/>
      <c r="ERX67" s="3"/>
      <c r="ERY67" s="3"/>
      <c r="ERZ67" s="3"/>
      <c r="ESA67" s="3"/>
      <c r="ESB67" s="3"/>
      <c r="ESC67" s="3"/>
      <c r="ESD67" s="3"/>
      <c r="ESE67" s="3"/>
      <c r="ESF67" s="3"/>
      <c r="ESG67" s="3"/>
      <c r="ESH67" s="3"/>
      <c r="ESI67" s="3"/>
      <c r="ESJ67" s="3"/>
      <c r="ESK67" s="3"/>
      <c r="ESL67" s="3"/>
      <c r="ESM67" s="3"/>
      <c r="ESN67" s="3"/>
      <c r="ESO67" s="3"/>
      <c r="ESP67" s="3"/>
      <c r="ESQ67" s="3"/>
      <c r="ESR67" s="3"/>
      <c r="ESS67" s="3"/>
      <c r="EST67" s="3"/>
      <c r="ESU67" s="3"/>
      <c r="ESV67" s="3"/>
      <c r="ESW67" s="3"/>
      <c r="ESX67" s="3"/>
      <c r="ESY67" s="3"/>
      <c r="ESZ67" s="3"/>
      <c r="ETA67" s="3"/>
      <c r="ETB67" s="3"/>
      <c r="ETC67" s="3"/>
      <c r="ETD67" s="3"/>
      <c r="ETE67" s="3"/>
      <c r="ETF67" s="3"/>
      <c r="ETG67" s="3"/>
      <c r="ETH67" s="3"/>
      <c r="ETI67" s="3"/>
      <c r="ETJ67" s="3"/>
      <c r="ETK67" s="3"/>
      <c r="ETL67" s="3"/>
      <c r="ETM67" s="3"/>
      <c r="ETN67" s="3"/>
      <c r="ETO67" s="3"/>
      <c r="ETP67" s="3"/>
      <c r="ETQ67" s="3"/>
      <c r="ETR67" s="3"/>
      <c r="ETS67" s="3"/>
      <c r="ETT67" s="3"/>
      <c r="ETU67" s="3"/>
      <c r="ETV67" s="3"/>
      <c r="ETW67" s="3"/>
      <c r="ETX67" s="3"/>
      <c r="ETY67" s="3"/>
      <c r="ETZ67" s="3"/>
      <c r="EUA67" s="3"/>
      <c r="EUB67" s="3"/>
      <c r="EUC67" s="3"/>
      <c r="EUD67" s="3"/>
      <c r="EUE67" s="3"/>
      <c r="EUF67" s="3"/>
      <c r="EUG67" s="3"/>
      <c r="EUH67" s="3"/>
      <c r="EUI67" s="3"/>
      <c r="EUJ67" s="3"/>
      <c r="EUK67" s="3"/>
      <c r="EUL67" s="3"/>
      <c r="EUM67" s="3"/>
      <c r="EUN67" s="3"/>
      <c r="EUO67" s="3"/>
      <c r="EUP67" s="3"/>
      <c r="EUQ67" s="3"/>
      <c r="EUR67" s="3"/>
      <c r="EUS67" s="3"/>
      <c r="EUT67" s="3"/>
      <c r="EUU67" s="3"/>
      <c r="EUV67" s="3"/>
      <c r="EUW67" s="3"/>
      <c r="EUX67" s="3"/>
      <c r="EUY67" s="3"/>
      <c r="EUZ67" s="3"/>
      <c r="EVA67" s="3"/>
      <c r="EVB67" s="3"/>
      <c r="EVC67" s="3"/>
      <c r="EVD67" s="3"/>
      <c r="EVE67" s="3"/>
      <c r="EVF67" s="3"/>
      <c r="EVG67" s="3"/>
      <c r="EVH67" s="3"/>
      <c r="EVI67" s="3"/>
      <c r="EVJ67" s="3"/>
      <c r="EVK67" s="3"/>
      <c r="EVL67" s="3"/>
      <c r="EVM67" s="3"/>
      <c r="EVN67" s="3"/>
      <c r="EVO67" s="3"/>
      <c r="EVP67" s="3"/>
      <c r="EVQ67" s="3"/>
      <c r="EVR67" s="3"/>
      <c r="EVS67" s="3"/>
      <c r="EVT67" s="3"/>
      <c r="EVU67" s="3"/>
      <c r="EVV67" s="3"/>
      <c r="EVW67" s="3"/>
      <c r="EVX67" s="3"/>
      <c r="EVY67" s="3"/>
      <c r="EVZ67" s="3"/>
      <c r="EWA67" s="3"/>
      <c r="EWB67" s="3"/>
      <c r="EWC67" s="3"/>
      <c r="EWD67" s="3"/>
      <c r="EWE67" s="3"/>
      <c r="EWF67" s="3"/>
      <c r="EWG67" s="3"/>
      <c r="EWH67" s="3"/>
      <c r="EWI67" s="3"/>
      <c r="EWJ67" s="3"/>
      <c r="EWK67" s="3"/>
      <c r="EWL67" s="3"/>
      <c r="EWM67" s="3"/>
      <c r="EWN67" s="3"/>
      <c r="EWO67" s="3"/>
      <c r="EWP67" s="3"/>
      <c r="EWQ67" s="3"/>
      <c r="EWR67" s="3"/>
      <c r="EWS67" s="3"/>
      <c r="EWT67" s="3"/>
      <c r="EWU67" s="3"/>
      <c r="EWV67" s="3"/>
      <c r="EWW67" s="3"/>
      <c r="EWX67" s="3"/>
      <c r="EWY67" s="3"/>
      <c r="EWZ67" s="3"/>
      <c r="EXA67" s="3"/>
      <c r="EXB67" s="3"/>
      <c r="EXC67" s="3"/>
      <c r="EXD67" s="3"/>
      <c r="EXE67" s="3"/>
      <c r="EXF67" s="3"/>
      <c r="EXG67" s="3"/>
      <c r="EXH67" s="3"/>
      <c r="EXI67" s="3"/>
      <c r="EXJ67" s="3"/>
      <c r="EXK67" s="3"/>
      <c r="EXL67" s="3"/>
      <c r="EXM67" s="3"/>
      <c r="EXN67" s="3"/>
      <c r="EXO67" s="3"/>
      <c r="EXP67" s="3"/>
      <c r="EXQ67" s="3"/>
      <c r="EXR67" s="3"/>
      <c r="EXS67" s="3"/>
      <c r="EXT67" s="3"/>
      <c r="EXU67" s="3"/>
      <c r="EXV67" s="3"/>
      <c r="EXW67" s="3"/>
      <c r="EXX67" s="3"/>
      <c r="EXY67" s="3"/>
      <c r="EXZ67" s="3"/>
      <c r="EYA67" s="3"/>
      <c r="EYB67" s="3"/>
      <c r="EYC67" s="3"/>
      <c r="EYD67" s="3"/>
      <c r="EYE67" s="3"/>
      <c r="EYF67" s="3"/>
      <c r="EYG67" s="3"/>
      <c r="EYH67" s="3"/>
      <c r="EYI67" s="3"/>
      <c r="EYJ67" s="3"/>
      <c r="EYK67" s="3"/>
      <c r="EYL67" s="3"/>
      <c r="EYM67" s="3"/>
      <c r="EYN67" s="3"/>
      <c r="EYO67" s="3"/>
      <c r="EYP67" s="3"/>
      <c r="EYQ67" s="3"/>
      <c r="EYR67" s="3"/>
      <c r="EYS67" s="3"/>
      <c r="EYT67" s="3"/>
      <c r="EYU67" s="3"/>
      <c r="EYV67" s="3"/>
      <c r="EYW67" s="3"/>
      <c r="EYX67" s="3"/>
      <c r="EYY67" s="3"/>
      <c r="EYZ67" s="3"/>
      <c r="EZA67" s="3"/>
      <c r="EZB67" s="3"/>
      <c r="EZC67" s="3"/>
      <c r="EZD67" s="3"/>
      <c r="EZE67" s="3"/>
      <c r="EZF67" s="3"/>
      <c r="EZG67" s="3"/>
      <c r="EZH67" s="3"/>
      <c r="EZI67" s="3"/>
      <c r="EZJ67" s="3"/>
      <c r="EZK67" s="3"/>
      <c r="EZL67" s="3"/>
      <c r="EZM67" s="3"/>
      <c r="EZN67" s="3"/>
      <c r="EZO67" s="3"/>
      <c r="EZP67" s="3"/>
      <c r="EZQ67" s="3"/>
      <c r="EZR67" s="3"/>
      <c r="EZS67" s="3"/>
      <c r="EZT67" s="3"/>
      <c r="EZU67" s="3"/>
      <c r="EZV67" s="3"/>
      <c r="EZW67" s="3"/>
      <c r="EZX67" s="3"/>
      <c r="EZY67" s="3"/>
      <c r="EZZ67" s="3"/>
      <c r="FAA67" s="3"/>
      <c r="FAB67" s="3"/>
      <c r="FAC67" s="3"/>
      <c r="FAD67" s="3"/>
      <c r="FAE67" s="3"/>
      <c r="FAF67" s="3"/>
      <c r="FAG67" s="3"/>
      <c r="FAH67" s="3"/>
      <c r="FAI67" s="3"/>
      <c r="FAJ67" s="3"/>
      <c r="FAK67" s="3"/>
      <c r="FAL67" s="3"/>
      <c r="FAM67" s="3"/>
      <c r="FAN67" s="3"/>
      <c r="FAO67" s="3"/>
      <c r="FAP67" s="3"/>
      <c r="FAQ67" s="3"/>
      <c r="FAR67" s="3"/>
      <c r="FAS67" s="3"/>
      <c r="FAT67" s="3"/>
      <c r="FAU67" s="3"/>
      <c r="FAV67" s="3"/>
      <c r="FAW67" s="3"/>
      <c r="FAX67" s="3"/>
      <c r="FAY67" s="3"/>
      <c r="FAZ67" s="3"/>
      <c r="FBA67" s="3"/>
      <c r="FBB67" s="3"/>
      <c r="FBC67" s="3"/>
      <c r="FBD67" s="3"/>
      <c r="FBE67" s="3"/>
      <c r="FBF67" s="3"/>
      <c r="FBG67" s="3"/>
      <c r="FBH67" s="3"/>
      <c r="FBI67" s="3"/>
      <c r="FBJ67" s="3"/>
      <c r="FBK67" s="3"/>
      <c r="FBL67" s="3"/>
      <c r="FBM67" s="3"/>
      <c r="FBN67" s="3"/>
      <c r="FBO67" s="3"/>
      <c r="FBP67" s="3"/>
      <c r="FBQ67" s="3"/>
      <c r="FBR67" s="3"/>
      <c r="FBS67" s="3"/>
      <c r="FBT67" s="3"/>
      <c r="FBU67" s="3"/>
      <c r="FBV67" s="3"/>
      <c r="FBW67" s="3"/>
      <c r="FBX67" s="3"/>
      <c r="FBY67" s="3"/>
      <c r="FBZ67" s="3"/>
      <c r="FCA67" s="3"/>
      <c r="FCB67" s="3"/>
      <c r="FCC67" s="3"/>
      <c r="FCD67" s="3"/>
      <c r="FCE67" s="3"/>
      <c r="FCF67" s="3"/>
      <c r="FCG67" s="3"/>
      <c r="FCH67" s="3"/>
      <c r="FCI67" s="3"/>
      <c r="FCJ67" s="3"/>
      <c r="FCK67" s="3"/>
      <c r="FCL67" s="3"/>
      <c r="FCM67" s="3"/>
      <c r="FCN67" s="3"/>
      <c r="FCO67" s="3"/>
      <c r="FCP67" s="3"/>
      <c r="FCQ67" s="3"/>
      <c r="FCR67" s="3"/>
      <c r="FCS67" s="3"/>
      <c r="FCT67" s="3"/>
      <c r="FCU67" s="3"/>
      <c r="FCV67" s="3"/>
      <c r="FCW67" s="3"/>
      <c r="FCX67" s="3"/>
      <c r="FCY67" s="3"/>
      <c r="FCZ67" s="3"/>
      <c r="FDA67" s="3"/>
      <c r="FDB67" s="3"/>
      <c r="FDC67" s="3"/>
      <c r="FDD67" s="3"/>
      <c r="FDE67" s="3"/>
      <c r="FDF67" s="3"/>
      <c r="FDG67" s="3"/>
      <c r="FDH67" s="3"/>
      <c r="FDI67" s="3"/>
      <c r="FDJ67" s="3"/>
      <c r="FDK67" s="3"/>
      <c r="FDL67" s="3"/>
      <c r="FDM67" s="3"/>
      <c r="FDN67" s="3"/>
      <c r="FDO67" s="3"/>
      <c r="FDP67" s="3"/>
      <c r="FDQ67" s="3"/>
      <c r="FDR67" s="3"/>
      <c r="FDS67" s="3"/>
      <c r="FDT67" s="3"/>
      <c r="FDU67" s="3"/>
      <c r="FDV67" s="3"/>
      <c r="FDW67" s="3"/>
      <c r="FDX67" s="3"/>
      <c r="FDY67" s="3"/>
      <c r="FDZ67" s="3"/>
      <c r="FEA67" s="3"/>
      <c r="FEB67" s="3"/>
      <c r="FEC67" s="3"/>
      <c r="FED67" s="3"/>
      <c r="FEE67" s="3"/>
      <c r="FEF67" s="3"/>
      <c r="FEG67" s="3"/>
      <c r="FEH67" s="3"/>
      <c r="FEI67" s="3"/>
      <c r="FEJ67" s="3"/>
      <c r="FEK67" s="3"/>
      <c r="FEL67" s="3"/>
      <c r="FEM67" s="3"/>
      <c r="FEN67" s="3"/>
      <c r="FEO67" s="3"/>
      <c r="FEP67" s="3"/>
      <c r="FEQ67" s="3"/>
      <c r="FER67" s="3"/>
      <c r="FES67" s="3"/>
      <c r="FET67" s="3"/>
      <c r="FEU67" s="3"/>
      <c r="FEV67" s="3"/>
      <c r="FEW67" s="3"/>
      <c r="FEX67" s="3"/>
      <c r="FEY67" s="3"/>
      <c r="FEZ67" s="3"/>
      <c r="FFA67" s="3"/>
      <c r="FFB67" s="3"/>
      <c r="FFC67" s="3"/>
      <c r="FFD67" s="3"/>
      <c r="FFE67" s="3"/>
      <c r="FFF67" s="3"/>
      <c r="FFG67" s="3"/>
      <c r="FFH67" s="3"/>
      <c r="FFI67" s="3"/>
      <c r="FFJ67" s="3"/>
      <c r="FFK67" s="3"/>
      <c r="FFL67" s="3"/>
      <c r="FFM67" s="3"/>
      <c r="FFN67" s="3"/>
      <c r="FFO67" s="3"/>
      <c r="FFP67" s="3"/>
      <c r="FFQ67" s="3"/>
      <c r="FFR67" s="3"/>
      <c r="FFS67" s="3"/>
      <c r="FFT67" s="3"/>
      <c r="FFU67" s="3"/>
      <c r="FFV67" s="3"/>
      <c r="FFW67" s="3"/>
      <c r="FFX67" s="3"/>
      <c r="FFY67" s="3"/>
      <c r="FFZ67" s="3"/>
      <c r="FGA67" s="3"/>
      <c r="FGB67" s="3"/>
      <c r="FGC67" s="3"/>
      <c r="FGD67" s="3"/>
      <c r="FGE67" s="3"/>
      <c r="FGF67" s="3"/>
      <c r="FGG67" s="3"/>
      <c r="FGH67" s="3"/>
      <c r="FGI67" s="3"/>
      <c r="FGJ67" s="3"/>
      <c r="FGK67" s="3"/>
      <c r="FGL67" s="3"/>
      <c r="FGM67" s="3"/>
      <c r="FGN67" s="3"/>
      <c r="FGO67" s="3"/>
      <c r="FGP67" s="3"/>
      <c r="FGQ67" s="3"/>
      <c r="FGR67" s="3"/>
      <c r="FGS67" s="3"/>
      <c r="FGT67" s="3"/>
      <c r="FGU67" s="3"/>
      <c r="FGV67" s="3"/>
      <c r="FGW67" s="3"/>
      <c r="FGX67" s="3"/>
      <c r="FGY67" s="3"/>
      <c r="FGZ67" s="3"/>
      <c r="FHA67" s="3"/>
      <c r="FHB67" s="3"/>
      <c r="FHC67" s="3"/>
      <c r="FHD67" s="3"/>
      <c r="FHE67" s="3"/>
      <c r="FHF67" s="3"/>
      <c r="FHG67" s="3"/>
      <c r="FHH67" s="3"/>
      <c r="FHI67" s="3"/>
      <c r="FHJ67" s="3"/>
      <c r="FHK67" s="3"/>
      <c r="FHL67" s="3"/>
      <c r="FHM67" s="3"/>
      <c r="FHN67" s="3"/>
      <c r="FHO67" s="3"/>
      <c r="FHP67" s="3"/>
      <c r="FHQ67" s="3"/>
      <c r="FHR67" s="3"/>
      <c r="FHS67" s="3"/>
      <c r="FHT67" s="3"/>
      <c r="FHU67" s="3"/>
      <c r="FHV67" s="3"/>
      <c r="FHW67" s="3"/>
      <c r="FHX67" s="3"/>
      <c r="FHY67" s="3"/>
      <c r="FHZ67" s="3"/>
      <c r="FIA67" s="3"/>
      <c r="FIB67" s="3"/>
      <c r="FIC67" s="3"/>
      <c r="FID67" s="3"/>
      <c r="FIE67" s="3"/>
      <c r="FIF67" s="3"/>
      <c r="FIG67" s="3"/>
      <c r="FIH67" s="3"/>
      <c r="FII67" s="3"/>
      <c r="FIJ67" s="3"/>
      <c r="FIK67" s="3"/>
      <c r="FIL67" s="3"/>
      <c r="FIM67" s="3"/>
      <c r="FIN67" s="3"/>
      <c r="FIO67" s="3"/>
      <c r="FIP67" s="3"/>
      <c r="FIQ67" s="3"/>
      <c r="FIR67" s="3"/>
      <c r="FIS67" s="3"/>
      <c r="FIT67" s="3"/>
      <c r="FIU67" s="3"/>
      <c r="FIV67" s="3"/>
      <c r="FIW67" s="3"/>
      <c r="FIX67" s="3"/>
      <c r="FIY67" s="3"/>
      <c r="FIZ67" s="3"/>
      <c r="FJA67" s="3"/>
      <c r="FJB67" s="3"/>
      <c r="FJC67" s="3"/>
      <c r="FJD67" s="3"/>
      <c r="FJE67" s="3"/>
      <c r="FJF67" s="3"/>
      <c r="FJG67" s="3"/>
      <c r="FJH67" s="3"/>
      <c r="FJI67" s="3"/>
      <c r="FJJ67" s="3"/>
      <c r="FJK67" s="3"/>
      <c r="FJL67" s="3"/>
      <c r="FJM67" s="3"/>
      <c r="FJN67" s="3"/>
      <c r="FJO67" s="3"/>
      <c r="FJP67" s="3"/>
      <c r="FJQ67" s="3"/>
      <c r="FJR67" s="3"/>
      <c r="FJS67" s="3"/>
      <c r="FJT67" s="3"/>
      <c r="FJU67" s="3"/>
      <c r="FJV67" s="3"/>
      <c r="FJW67" s="3"/>
      <c r="FJX67" s="3"/>
      <c r="FJY67" s="3"/>
      <c r="FJZ67" s="3"/>
      <c r="FKA67" s="3"/>
      <c r="FKB67" s="3"/>
      <c r="FKC67" s="3"/>
      <c r="FKD67" s="3"/>
      <c r="FKE67" s="3"/>
      <c r="FKF67" s="3"/>
      <c r="FKG67" s="3"/>
      <c r="FKH67" s="3"/>
      <c r="FKI67" s="3"/>
      <c r="FKJ67" s="3"/>
      <c r="FKK67" s="3"/>
      <c r="FKL67" s="3"/>
      <c r="FKM67" s="3"/>
      <c r="FKN67" s="3"/>
      <c r="FKO67" s="3"/>
      <c r="FKP67" s="3"/>
      <c r="FKQ67" s="3"/>
      <c r="FKR67" s="3"/>
      <c r="FKS67" s="3"/>
      <c r="FKT67" s="3"/>
      <c r="FKU67" s="3"/>
      <c r="FKV67" s="3"/>
      <c r="FKW67" s="3"/>
      <c r="FKX67" s="3"/>
      <c r="FKY67" s="3"/>
      <c r="FKZ67" s="3"/>
      <c r="FLA67" s="3"/>
      <c r="FLB67" s="3"/>
      <c r="FLC67" s="3"/>
      <c r="FLD67" s="3"/>
      <c r="FLE67" s="3"/>
      <c r="FLF67" s="3"/>
      <c r="FLG67" s="3"/>
      <c r="FLH67" s="3"/>
      <c r="FLI67" s="3"/>
      <c r="FLJ67" s="3"/>
      <c r="FLK67" s="3"/>
      <c r="FLL67" s="3"/>
      <c r="FLM67" s="3"/>
      <c r="FLN67" s="3"/>
      <c r="FLO67" s="3"/>
      <c r="FLP67" s="3"/>
      <c r="FLQ67" s="3"/>
      <c r="FLR67" s="3"/>
      <c r="FLS67" s="3"/>
      <c r="FLT67" s="3"/>
      <c r="FLU67" s="3"/>
      <c r="FLV67" s="3"/>
      <c r="FLW67" s="3"/>
      <c r="FLX67" s="3"/>
      <c r="FLY67" s="3"/>
      <c r="FLZ67" s="3"/>
      <c r="FMA67" s="3"/>
      <c r="FMB67" s="3"/>
      <c r="FMC67" s="3"/>
      <c r="FMD67" s="3"/>
      <c r="FME67" s="3"/>
      <c r="FMF67" s="3"/>
      <c r="FMG67" s="3"/>
      <c r="FMH67" s="3"/>
      <c r="FMI67" s="3"/>
      <c r="FMJ67" s="3"/>
      <c r="FMK67" s="3"/>
      <c r="FML67" s="3"/>
      <c r="FMM67" s="3"/>
      <c r="FMN67" s="3"/>
      <c r="FMO67" s="3"/>
      <c r="FMP67" s="3"/>
      <c r="FMQ67" s="3"/>
      <c r="FMR67" s="3"/>
      <c r="FMS67" s="3"/>
      <c r="FMT67" s="3"/>
      <c r="FMU67" s="3"/>
      <c r="FMV67" s="3"/>
      <c r="FMW67" s="3"/>
      <c r="FMX67" s="3"/>
      <c r="FMY67" s="3"/>
      <c r="FMZ67" s="3"/>
      <c r="FNA67" s="3"/>
      <c r="FNB67" s="3"/>
      <c r="FNC67" s="3"/>
      <c r="FND67" s="3"/>
      <c r="FNE67" s="3"/>
      <c r="FNF67" s="3"/>
      <c r="FNG67" s="3"/>
      <c r="FNH67" s="3"/>
      <c r="FNI67" s="3"/>
      <c r="FNJ67" s="3"/>
      <c r="FNK67" s="3"/>
      <c r="FNL67" s="3"/>
      <c r="FNM67" s="3"/>
      <c r="FNN67" s="3"/>
      <c r="FNO67" s="3"/>
      <c r="FNP67" s="3"/>
      <c r="FNQ67" s="3"/>
      <c r="FNR67" s="3"/>
      <c r="FNS67" s="3"/>
      <c r="FNT67" s="3"/>
      <c r="FNU67" s="3"/>
      <c r="FNV67" s="3"/>
      <c r="FNW67" s="3"/>
      <c r="FNX67" s="3"/>
      <c r="FNY67" s="3"/>
      <c r="FNZ67" s="3"/>
      <c r="FOA67" s="3"/>
      <c r="FOB67" s="3"/>
      <c r="FOC67" s="3"/>
      <c r="FOD67" s="3"/>
      <c r="FOE67" s="3"/>
      <c r="FOF67" s="3"/>
      <c r="FOG67" s="3"/>
      <c r="FOH67" s="3"/>
      <c r="FOI67" s="3"/>
      <c r="FOJ67" s="3"/>
      <c r="FOK67" s="3"/>
      <c r="FOL67" s="3"/>
      <c r="FOM67" s="3"/>
      <c r="FON67" s="3"/>
      <c r="FOO67" s="3"/>
      <c r="FOP67" s="3"/>
      <c r="FOQ67" s="3"/>
      <c r="FOR67" s="3"/>
      <c r="FOS67" s="3"/>
      <c r="FOT67" s="3"/>
      <c r="FOU67" s="3"/>
      <c r="FOV67" s="3"/>
      <c r="FOW67" s="3"/>
      <c r="FOX67" s="3"/>
      <c r="FOY67" s="3"/>
      <c r="FOZ67" s="3"/>
      <c r="FPA67" s="3"/>
      <c r="FPB67" s="3"/>
      <c r="FPC67" s="3"/>
      <c r="FPD67" s="3"/>
      <c r="FPE67" s="3"/>
      <c r="FPF67" s="3"/>
      <c r="FPG67" s="3"/>
      <c r="FPH67" s="3"/>
      <c r="FPI67" s="3"/>
      <c r="FPJ67" s="3"/>
      <c r="FPK67" s="3"/>
      <c r="FPL67" s="3"/>
      <c r="FPM67" s="3"/>
      <c r="FPN67" s="3"/>
      <c r="FPO67" s="3"/>
      <c r="FPP67" s="3"/>
      <c r="FPQ67" s="3"/>
      <c r="FPR67" s="3"/>
      <c r="FPS67" s="3"/>
      <c r="FPT67" s="3"/>
      <c r="FPU67" s="3"/>
      <c r="FPV67" s="3"/>
      <c r="FPW67" s="3"/>
      <c r="FPX67" s="3"/>
      <c r="FPY67" s="3"/>
      <c r="FPZ67" s="3"/>
      <c r="FQA67" s="3"/>
      <c r="FQB67" s="3"/>
      <c r="FQC67" s="3"/>
      <c r="FQD67" s="3"/>
      <c r="FQE67" s="3"/>
      <c r="FQF67" s="3"/>
      <c r="FQG67" s="3"/>
      <c r="FQH67" s="3"/>
      <c r="FQI67" s="3"/>
      <c r="FQJ67" s="3"/>
      <c r="FQK67" s="3"/>
      <c r="FQL67" s="3"/>
      <c r="FQM67" s="3"/>
      <c r="FQN67" s="3"/>
      <c r="FQO67" s="3"/>
      <c r="FQP67" s="3"/>
      <c r="FQQ67" s="3"/>
      <c r="FQR67" s="3"/>
      <c r="FQS67" s="3"/>
      <c r="FQT67" s="3"/>
      <c r="FQU67" s="3"/>
      <c r="FQV67" s="3"/>
      <c r="FQW67" s="3"/>
      <c r="FQX67" s="3"/>
      <c r="FQY67" s="3"/>
      <c r="FQZ67" s="3"/>
      <c r="FRA67" s="3"/>
      <c r="FRB67" s="3"/>
      <c r="FRC67" s="3"/>
      <c r="FRD67" s="3"/>
      <c r="FRE67" s="3"/>
      <c r="FRF67" s="3"/>
      <c r="FRG67" s="3"/>
      <c r="FRH67" s="3"/>
      <c r="FRI67" s="3"/>
      <c r="FRJ67" s="3"/>
      <c r="FRK67" s="3"/>
      <c r="FRL67" s="3"/>
      <c r="FRM67" s="3"/>
      <c r="FRN67" s="3"/>
      <c r="FRO67" s="3"/>
      <c r="FRP67" s="3"/>
      <c r="FRQ67" s="3"/>
      <c r="FRR67" s="3"/>
      <c r="FRS67" s="3"/>
      <c r="FRT67" s="3"/>
      <c r="FRU67" s="3"/>
      <c r="FRV67" s="3"/>
      <c r="FRW67" s="3"/>
      <c r="FRX67" s="3"/>
      <c r="FRY67" s="3"/>
      <c r="FRZ67" s="3"/>
      <c r="FSA67" s="3"/>
      <c r="FSB67" s="3"/>
      <c r="FSC67" s="3"/>
      <c r="FSD67" s="3"/>
      <c r="FSE67" s="3"/>
      <c r="FSF67" s="3"/>
      <c r="FSG67" s="3"/>
      <c r="FSH67" s="3"/>
      <c r="FSI67" s="3"/>
      <c r="FSJ67" s="3"/>
      <c r="FSK67" s="3"/>
      <c r="FSL67" s="3"/>
      <c r="FSM67" s="3"/>
      <c r="FSN67" s="3"/>
      <c r="FSO67" s="3"/>
      <c r="FSP67" s="3"/>
      <c r="FSQ67" s="3"/>
      <c r="FSR67" s="3"/>
      <c r="FSS67" s="3"/>
      <c r="FST67" s="3"/>
      <c r="FSU67" s="3"/>
      <c r="FSV67" s="3"/>
      <c r="FSW67" s="3"/>
      <c r="FSX67" s="3"/>
      <c r="FSY67" s="3"/>
      <c r="FSZ67" s="3"/>
      <c r="FTA67" s="3"/>
      <c r="FTB67" s="3"/>
      <c r="FTC67" s="3"/>
      <c r="FTD67" s="3"/>
      <c r="FTE67" s="3"/>
      <c r="FTF67" s="3"/>
      <c r="FTG67" s="3"/>
      <c r="FTH67" s="3"/>
      <c r="FTI67" s="3"/>
      <c r="FTJ67" s="3"/>
      <c r="FTK67" s="3"/>
      <c r="FTL67" s="3"/>
      <c r="FTM67" s="3"/>
      <c r="FTN67" s="3"/>
      <c r="FTO67" s="3"/>
      <c r="FTP67" s="3"/>
      <c r="FTQ67" s="3"/>
      <c r="FTR67" s="3"/>
      <c r="FTS67" s="3"/>
      <c r="FTT67" s="3"/>
      <c r="FTU67" s="3"/>
      <c r="FTV67" s="3"/>
      <c r="FTW67" s="3"/>
      <c r="FTX67" s="3"/>
      <c r="FTY67" s="3"/>
      <c r="FTZ67" s="3"/>
      <c r="FUA67" s="3"/>
      <c r="FUB67" s="3"/>
      <c r="FUC67" s="3"/>
      <c r="FUD67" s="3"/>
      <c r="FUE67" s="3"/>
      <c r="FUF67" s="3"/>
      <c r="FUG67" s="3"/>
      <c r="FUH67" s="3"/>
      <c r="FUI67" s="3"/>
      <c r="FUJ67" s="3"/>
      <c r="FUK67" s="3"/>
      <c r="FUL67" s="3"/>
      <c r="FUM67" s="3"/>
      <c r="FUN67" s="3"/>
      <c r="FUO67" s="3"/>
      <c r="FUP67" s="3"/>
      <c r="FUQ67" s="3"/>
      <c r="FUR67" s="3"/>
      <c r="FUS67" s="3"/>
      <c r="FUT67" s="3"/>
      <c r="FUU67" s="3"/>
      <c r="FUV67" s="3"/>
      <c r="FUW67" s="3"/>
      <c r="FUX67" s="3"/>
      <c r="FUY67" s="3"/>
      <c r="FUZ67" s="3"/>
      <c r="FVA67" s="3"/>
      <c r="FVB67" s="3"/>
      <c r="FVC67" s="3"/>
      <c r="FVD67" s="3"/>
      <c r="FVE67" s="3"/>
      <c r="FVF67" s="3"/>
      <c r="FVG67" s="3"/>
      <c r="FVH67" s="3"/>
      <c r="FVI67" s="3"/>
      <c r="FVJ67" s="3"/>
      <c r="FVK67" s="3"/>
      <c r="FVL67" s="3"/>
      <c r="FVM67" s="3"/>
      <c r="FVN67" s="3"/>
      <c r="FVO67" s="3"/>
      <c r="FVP67" s="3"/>
      <c r="FVQ67" s="3"/>
      <c r="FVR67" s="3"/>
      <c r="FVS67" s="3"/>
      <c r="FVT67" s="3"/>
      <c r="FVU67" s="3"/>
      <c r="FVV67" s="3"/>
      <c r="FVW67" s="3"/>
      <c r="FVX67" s="3"/>
      <c r="FVY67" s="3"/>
      <c r="FVZ67" s="3"/>
      <c r="FWA67" s="3"/>
      <c r="FWB67" s="3"/>
      <c r="FWC67" s="3"/>
      <c r="FWD67" s="3"/>
      <c r="FWE67" s="3"/>
      <c r="FWF67" s="3"/>
      <c r="FWG67" s="3"/>
      <c r="FWH67" s="3"/>
      <c r="FWI67" s="3"/>
      <c r="FWJ67" s="3"/>
      <c r="FWK67" s="3"/>
      <c r="FWL67" s="3"/>
      <c r="FWM67" s="3"/>
      <c r="FWN67" s="3"/>
      <c r="FWO67" s="3"/>
      <c r="FWP67" s="3"/>
      <c r="FWQ67" s="3"/>
      <c r="FWR67" s="3"/>
      <c r="FWS67" s="3"/>
      <c r="FWT67" s="3"/>
      <c r="FWU67" s="3"/>
      <c r="FWV67" s="3"/>
      <c r="FWW67" s="3"/>
      <c r="FWX67" s="3"/>
      <c r="FWY67" s="3"/>
      <c r="FWZ67" s="3"/>
      <c r="FXA67" s="3"/>
      <c r="FXB67" s="3"/>
      <c r="FXC67" s="3"/>
      <c r="FXD67" s="3"/>
      <c r="FXE67" s="3"/>
      <c r="FXF67" s="3"/>
      <c r="FXG67" s="3"/>
      <c r="FXH67" s="3"/>
      <c r="FXI67" s="3"/>
      <c r="FXJ67" s="3"/>
      <c r="FXK67" s="3"/>
      <c r="FXL67" s="3"/>
      <c r="FXM67" s="3"/>
      <c r="FXN67" s="3"/>
      <c r="FXO67" s="3"/>
      <c r="FXP67" s="3"/>
      <c r="FXQ67" s="3"/>
      <c r="FXR67" s="3"/>
      <c r="FXS67" s="3"/>
      <c r="FXT67" s="3"/>
      <c r="FXU67" s="3"/>
      <c r="FXV67" s="3"/>
      <c r="FXW67" s="3"/>
      <c r="FXX67" s="3"/>
      <c r="FXY67" s="3"/>
      <c r="FXZ67" s="3"/>
      <c r="FYA67" s="3"/>
      <c r="FYB67" s="3"/>
      <c r="FYC67" s="3"/>
      <c r="FYD67" s="3"/>
      <c r="FYE67" s="3"/>
      <c r="FYF67" s="3"/>
      <c r="FYG67" s="3"/>
      <c r="FYH67" s="3"/>
      <c r="FYI67" s="3"/>
      <c r="FYJ67" s="3"/>
      <c r="FYK67" s="3"/>
      <c r="FYL67" s="3"/>
      <c r="FYM67" s="3"/>
      <c r="FYN67" s="3"/>
      <c r="FYO67" s="3"/>
      <c r="FYP67" s="3"/>
      <c r="FYQ67" s="3"/>
      <c r="FYR67" s="3"/>
      <c r="FYS67" s="3"/>
      <c r="FYT67" s="3"/>
      <c r="FYU67" s="3"/>
      <c r="FYV67" s="3"/>
      <c r="FYW67" s="3"/>
      <c r="FYX67" s="3"/>
      <c r="FYY67" s="3"/>
      <c r="FYZ67" s="3"/>
      <c r="FZA67" s="3"/>
      <c r="FZB67" s="3"/>
      <c r="FZC67" s="3"/>
      <c r="FZD67" s="3"/>
      <c r="FZE67" s="3"/>
      <c r="FZF67" s="3"/>
      <c r="FZG67" s="3"/>
      <c r="FZH67" s="3"/>
      <c r="FZI67" s="3"/>
      <c r="FZJ67" s="3"/>
      <c r="FZK67" s="3"/>
      <c r="FZL67" s="3"/>
      <c r="FZM67" s="3"/>
      <c r="FZN67" s="3"/>
      <c r="FZO67" s="3"/>
      <c r="FZP67" s="3"/>
      <c r="FZQ67" s="3"/>
      <c r="FZR67" s="3"/>
      <c r="FZS67" s="3"/>
      <c r="FZT67" s="3"/>
      <c r="FZU67" s="3"/>
      <c r="FZV67" s="3"/>
      <c r="FZW67" s="3"/>
      <c r="FZX67" s="3"/>
      <c r="FZY67" s="3"/>
      <c r="FZZ67" s="3"/>
      <c r="GAA67" s="3"/>
      <c r="GAB67" s="3"/>
      <c r="GAC67" s="3"/>
      <c r="GAD67" s="3"/>
      <c r="GAE67" s="3"/>
      <c r="GAF67" s="3"/>
      <c r="GAG67" s="3"/>
      <c r="GAH67" s="3"/>
      <c r="GAI67" s="3"/>
      <c r="GAJ67" s="3"/>
      <c r="GAK67" s="3"/>
      <c r="GAL67" s="3"/>
      <c r="GAM67" s="3"/>
      <c r="GAN67" s="3"/>
      <c r="GAO67" s="3"/>
      <c r="GAP67" s="3"/>
      <c r="GAQ67" s="3"/>
      <c r="GAR67" s="3"/>
      <c r="GAS67" s="3"/>
      <c r="GAT67" s="3"/>
      <c r="GAU67" s="3"/>
      <c r="GAV67" s="3"/>
      <c r="GAW67" s="3"/>
      <c r="GAX67" s="3"/>
      <c r="GAY67" s="3"/>
      <c r="GAZ67" s="3"/>
      <c r="GBA67" s="3"/>
      <c r="GBB67" s="3"/>
      <c r="GBC67" s="3"/>
      <c r="GBD67" s="3"/>
      <c r="GBE67" s="3"/>
      <c r="GBF67" s="3"/>
      <c r="GBG67" s="3"/>
      <c r="GBH67" s="3"/>
      <c r="GBI67" s="3"/>
      <c r="GBJ67" s="3"/>
      <c r="GBK67" s="3"/>
      <c r="GBL67" s="3"/>
      <c r="GBM67" s="3"/>
      <c r="GBN67" s="3"/>
      <c r="GBO67" s="3"/>
      <c r="GBP67" s="3"/>
      <c r="GBQ67" s="3"/>
      <c r="GBR67" s="3"/>
      <c r="GBS67" s="3"/>
      <c r="GBT67" s="3"/>
      <c r="GBU67" s="3"/>
      <c r="GBV67" s="3"/>
      <c r="GBW67" s="3"/>
      <c r="GBX67" s="3"/>
      <c r="GBY67" s="3"/>
      <c r="GBZ67" s="3"/>
      <c r="GCA67" s="3"/>
      <c r="GCB67" s="3"/>
      <c r="GCC67" s="3"/>
      <c r="GCD67" s="3"/>
      <c r="GCE67" s="3"/>
      <c r="GCF67" s="3"/>
      <c r="GCG67" s="3"/>
      <c r="GCH67" s="3"/>
      <c r="GCI67" s="3"/>
      <c r="GCJ67" s="3"/>
      <c r="GCK67" s="3"/>
      <c r="GCL67" s="3"/>
      <c r="GCM67" s="3"/>
      <c r="GCN67" s="3"/>
      <c r="GCO67" s="3"/>
      <c r="GCP67" s="3"/>
      <c r="GCQ67" s="3"/>
      <c r="GCR67" s="3"/>
      <c r="GCS67" s="3"/>
      <c r="GCT67" s="3"/>
      <c r="GCU67" s="3"/>
      <c r="GCV67" s="3"/>
      <c r="GCW67" s="3"/>
      <c r="GCX67" s="3"/>
      <c r="GCY67" s="3"/>
      <c r="GCZ67" s="3"/>
      <c r="GDA67" s="3"/>
      <c r="GDB67" s="3"/>
      <c r="GDC67" s="3"/>
      <c r="GDD67" s="3"/>
      <c r="GDE67" s="3"/>
      <c r="GDF67" s="3"/>
      <c r="GDG67" s="3"/>
      <c r="GDH67" s="3"/>
      <c r="GDI67" s="3"/>
      <c r="GDJ67" s="3"/>
      <c r="GDK67" s="3"/>
      <c r="GDL67" s="3"/>
      <c r="GDM67" s="3"/>
      <c r="GDN67" s="3"/>
      <c r="GDO67" s="3"/>
      <c r="GDP67" s="3"/>
      <c r="GDQ67" s="3"/>
      <c r="GDR67" s="3"/>
      <c r="GDS67" s="3"/>
      <c r="GDT67" s="3"/>
      <c r="GDU67" s="3"/>
      <c r="GDV67" s="3"/>
      <c r="GDW67" s="3"/>
      <c r="GDX67" s="3"/>
      <c r="GDY67" s="3"/>
      <c r="GDZ67" s="3"/>
      <c r="GEA67" s="3"/>
      <c r="GEB67" s="3"/>
      <c r="GEC67" s="3"/>
      <c r="GED67" s="3"/>
      <c r="GEE67" s="3"/>
      <c r="GEF67" s="3"/>
      <c r="GEG67" s="3"/>
      <c r="GEH67" s="3"/>
      <c r="GEI67" s="3"/>
      <c r="GEJ67" s="3"/>
      <c r="GEK67" s="3"/>
      <c r="GEL67" s="3"/>
      <c r="GEM67" s="3"/>
      <c r="GEN67" s="3"/>
      <c r="GEO67" s="3"/>
      <c r="GEP67" s="3"/>
      <c r="GEQ67" s="3"/>
      <c r="GER67" s="3"/>
      <c r="GES67" s="3"/>
      <c r="GET67" s="3"/>
      <c r="GEU67" s="3"/>
      <c r="GEV67" s="3"/>
      <c r="GEW67" s="3"/>
      <c r="GEX67" s="3"/>
      <c r="GEY67" s="3"/>
      <c r="GEZ67" s="3"/>
      <c r="GFA67" s="3"/>
      <c r="GFB67" s="3"/>
      <c r="GFC67" s="3"/>
      <c r="GFD67" s="3"/>
      <c r="GFE67" s="3"/>
      <c r="GFF67" s="3"/>
      <c r="GFG67" s="3"/>
      <c r="GFH67" s="3"/>
      <c r="GFI67" s="3"/>
      <c r="GFJ67" s="3"/>
      <c r="GFK67" s="3"/>
      <c r="GFL67" s="3"/>
      <c r="GFM67" s="3"/>
      <c r="GFN67" s="3"/>
      <c r="GFO67" s="3"/>
      <c r="GFP67" s="3"/>
      <c r="GFQ67" s="3"/>
      <c r="GFR67" s="3"/>
      <c r="GFS67" s="3"/>
      <c r="GFT67" s="3"/>
      <c r="GFU67" s="3"/>
      <c r="GFV67" s="3"/>
      <c r="GFW67" s="3"/>
      <c r="GFX67" s="3"/>
      <c r="GFY67" s="3"/>
      <c r="GFZ67" s="3"/>
      <c r="GGA67" s="3"/>
      <c r="GGB67" s="3"/>
      <c r="GGC67" s="3"/>
      <c r="GGD67" s="3"/>
      <c r="GGE67" s="3"/>
      <c r="GGF67" s="3"/>
      <c r="GGG67" s="3"/>
      <c r="GGH67" s="3"/>
      <c r="GGI67" s="3"/>
      <c r="GGJ67" s="3"/>
      <c r="GGK67" s="3"/>
      <c r="GGL67" s="3"/>
      <c r="GGM67" s="3"/>
      <c r="GGN67" s="3"/>
      <c r="GGO67" s="3"/>
      <c r="GGP67" s="3"/>
      <c r="GGQ67" s="3"/>
      <c r="GGR67" s="3"/>
      <c r="GGS67" s="3"/>
      <c r="GGT67" s="3"/>
      <c r="GGU67" s="3"/>
      <c r="GGV67" s="3"/>
      <c r="GGW67" s="3"/>
      <c r="GGX67" s="3"/>
      <c r="GGY67" s="3"/>
      <c r="GGZ67" s="3"/>
      <c r="GHA67" s="3"/>
      <c r="GHB67" s="3"/>
      <c r="GHC67" s="3"/>
      <c r="GHD67" s="3"/>
      <c r="GHE67" s="3"/>
      <c r="GHF67" s="3"/>
      <c r="GHG67" s="3"/>
      <c r="GHH67" s="3"/>
      <c r="GHI67" s="3"/>
      <c r="GHJ67" s="3"/>
      <c r="GHK67" s="3"/>
      <c r="GHL67" s="3"/>
      <c r="GHM67" s="3"/>
      <c r="GHN67" s="3"/>
      <c r="GHO67" s="3"/>
      <c r="GHP67" s="3"/>
      <c r="GHQ67" s="3"/>
      <c r="GHR67" s="3"/>
      <c r="GHS67" s="3"/>
      <c r="GHT67" s="3"/>
      <c r="GHU67" s="3"/>
      <c r="GHV67" s="3"/>
      <c r="GHW67" s="3"/>
      <c r="GHX67" s="3"/>
      <c r="GHY67" s="3"/>
      <c r="GHZ67" s="3"/>
      <c r="GIA67" s="3"/>
      <c r="GIB67" s="3"/>
      <c r="GIC67" s="3"/>
      <c r="GID67" s="3"/>
      <c r="GIE67" s="3"/>
      <c r="GIF67" s="3"/>
      <c r="GIG67" s="3"/>
      <c r="GIH67" s="3"/>
      <c r="GII67" s="3"/>
      <c r="GIJ67" s="3"/>
      <c r="GIK67" s="3"/>
      <c r="GIL67" s="3"/>
      <c r="GIM67" s="3"/>
      <c r="GIN67" s="3"/>
      <c r="GIO67" s="3"/>
      <c r="GIP67" s="3"/>
      <c r="GIQ67" s="3"/>
      <c r="GIR67" s="3"/>
      <c r="GIS67" s="3"/>
      <c r="GIT67" s="3"/>
      <c r="GIU67" s="3"/>
      <c r="GIV67" s="3"/>
      <c r="GIW67" s="3"/>
      <c r="GIX67" s="3"/>
      <c r="GIY67" s="3"/>
      <c r="GIZ67" s="3"/>
      <c r="GJA67" s="3"/>
      <c r="GJB67" s="3"/>
      <c r="GJC67" s="3"/>
      <c r="GJD67" s="3"/>
      <c r="GJE67" s="3"/>
      <c r="GJF67" s="3"/>
      <c r="GJG67" s="3"/>
      <c r="GJH67" s="3"/>
      <c r="GJI67" s="3"/>
      <c r="GJJ67" s="3"/>
      <c r="GJK67" s="3"/>
      <c r="GJL67" s="3"/>
      <c r="GJM67" s="3"/>
      <c r="GJN67" s="3"/>
      <c r="GJO67" s="3"/>
      <c r="GJP67" s="3"/>
      <c r="GJQ67" s="3"/>
      <c r="GJR67" s="3"/>
      <c r="GJS67" s="3"/>
      <c r="GJT67" s="3"/>
      <c r="GJU67" s="3"/>
      <c r="GJV67" s="3"/>
      <c r="GJW67" s="3"/>
      <c r="GJX67" s="3"/>
      <c r="GJY67" s="3"/>
      <c r="GJZ67" s="3"/>
      <c r="GKA67" s="3"/>
      <c r="GKB67" s="3"/>
      <c r="GKC67" s="3"/>
      <c r="GKD67" s="3"/>
      <c r="GKE67" s="3"/>
      <c r="GKF67" s="3"/>
      <c r="GKG67" s="3"/>
      <c r="GKH67" s="3"/>
      <c r="GKI67" s="3"/>
      <c r="GKJ67" s="3"/>
      <c r="GKK67" s="3"/>
      <c r="GKL67" s="3"/>
      <c r="GKM67" s="3"/>
      <c r="GKN67" s="3"/>
      <c r="GKO67" s="3"/>
      <c r="GKP67" s="3"/>
      <c r="GKQ67" s="3"/>
      <c r="GKR67" s="3"/>
      <c r="GKS67" s="3"/>
      <c r="GKT67" s="3"/>
      <c r="GKU67" s="3"/>
      <c r="GKV67" s="3"/>
      <c r="GKW67" s="3"/>
      <c r="GKX67" s="3"/>
      <c r="GKY67" s="3"/>
      <c r="GKZ67" s="3"/>
      <c r="GLA67" s="3"/>
      <c r="GLB67" s="3"/>
      <c r="GLC67" s="3"/>
      <c r="GLD67" s="3"/>
      <c r="GLE67" s="3"/>
      <c r="GLF67" s="3"/>
      <c r="GLG67" s="3"/>
      <c r="GLH67" s="3"/>
      <c r="GLI67" s="3"/>
      <c r="GLJ67" s="3"/>
      <c r="GLK67" s="3"/>
      <c r="GLL67" s="3"/>
      <c r="GLM67" s="3"/>
      <c r="GLN67" s="3"/>
      <c r="GLO67" s="3"/>
      <c r="GLP67" s="3"/>
      <c r="GLQ67" s="3"/>
      <c r="GLR67" s="3"/>
      <c r="GLS67" s="3"/>
      <c r="GLT67" s="3"/>
      <c r="GLU67" s="3"/>
      <c r="GLV67" s="3"/>
      <c r="GLW67" s="3"/>
      <c r="GLX67" s="3"/>
      <c r="GLY67" s="3"/>
      <c r="GLZ67" s="3"/>
      <c r="GMA67" s="3"/>
      <c r="GMB67" s="3"/>
      <c r="GMC67" s="3"/>
      <c r="GMD67" s="3"/>
      <c r="GME67" s="3"/>
      <c r="GMF67" s="3"/>
      <c r="GMG67" s="3"/>
      <c r="GMH67" s="3"/>
      <c r="GMI67" s="3"/>
      <c r="GMJ67" s="3"/>
      <c r="GMK67" s="3"/>
      <c r="GML67" s="3"/>
      <c r="GMM67" s="3"/>
      <c r="GMN67" s="3"/>
      <c r="GMO67" s="3"/>
      <c r="GMP67" s="3"/>
      <c r="GMQ67" s="3"/>
      <c r="GMR67" s="3"/>
      <c r="GMS67" s="3"/>
      <c r="GMT67" s="3"/>
      <c r="GMU67" s="3"/>
      <c r="GMV67" s="3"/>
      <c r="GMW67" s="3"/>
      <c r="GMX67" s="3"/>
      <c r="GMY67" s="3"/>
      <c r="GMZ67" s="3"/>
      <c r="GNA67" s="3"/>
      <c r="GNB67" s="3"/>
      <c r="GNC67" s="3"/>
      <c r="GND67" s="3"/>
      <c r="GNE67" s="3"/>
      <c r="GNF67" s="3"/>
      <c r="GNG67" s="3"/>
      <c r="GNH67" s="3"/>
      <c r="GNI67" s="3"/>
      <c r="GNJ67" s="3"/>
      <c r="GNK67" s="3"/>
      <c r="GNL67" s="3"/>
      <c r="GNM67" s="3"/>
      <c r="GNN67" s="3"/>
      <c r="GNO67" s="3"/>
      <c r="GNP67" s="3"/>
      <c r="GNQ67" s="3"/>
      <c r="GNR67" s="3"/>
      <c r="GNS67" s="3"/>
      <c r="GNT67" s="3"/>
      <c r="GNU67" s="3"/>
      <c r="GNV67" s="3"/>
      <c r="GNW67" s="3"/>
      <c r="GNX67" s="3"/>
      <c r="GNY67" s="3"/>
      <c r="GNZ67" s="3"/>
      <c r="GOA67" s="3"/>
      <c r="GOB67" s="3"/>
      <c r="GOC67" s="3"/>
      <c r="GOD67" s="3"/>
      <c r="GOE67" s="3"/>
      <c r="GOF67" s="3"/>
      <c r="GOG67" s="3"/>
      <c r="GOH67" s="3"/>
      <c r="GOI67" s="3"/>
      <c r="GOJ67" s="3"/>
      <c r="GOK67" s="3"/>
      <c r="GOL67" s="3"/>
      <c r="GOM67" s="3"/>
      <c r="GON67" s="3"/>
      <c r="GOO67" s="3"/>
      <c r="GOP67" s="3"/>
      <c r="GOQ67" s="3"/>
      <c r="GOR67" s="3"/>
      <c r="GOS67" s="3"/>
      <c r="GOT67" s="3"/>
      <c r="GOU67" s="3"/>
      <c r="GOV67" s="3"/>
      <c r="GOW67" s="3"/>
      <c r="GOX67" s="3"/>
      <c r="GOY67" s="3"/>
      <c r="GOZ67" s="3"/>
      <c r="GPA67" s="3"/>
      <c r="GPB67" s="3"/>
      <c r="GPC67" s="3"/>
      <c r="GPD67" s="3"/>
      <c r="GPE67" s="3"/>
      <c r="GPF67" s="3"/>
      <c r="GPG67" s="3"/>
      <c r="GPH67" s="3"/>
      <c r="GPI67" s="3"/>
      <c r="GPJ67" s="3"/>
      <c r="GPK67" s="3"/>
      <c r="GPL67" s="3"/>
      <c r="GPM67" s="3"/>
      <c r="GPN67" s="3"/>
      <c r="GPO67" s="3"/>
      <c r="GPP67" s="3"/>
      <c r="GPQ67" s="3"/>
      <c r="GPR67" s="3"/>
      <c r="GPS67" s="3"/>
      <c r="GPT67" s="3"/>
      <c r="GPU67" s="3"/>
      <c r="GPV67" s="3"/>
      <c r="GPW67" s="3"/>
      <c r="GPX67" s="3"/>
      <c r="GPY67" s="3"/>
      <c r="GPZ67" s="3"/>
      <c r="GQA67" s="3"/>
      <c r="GQB67" s="3"/>
      <c r="GQC67" s="3"/>
      <c r="GQD67" s="3"/>
      <c r="GQE67" s="3"/>
      <c r="GQF67" s="3"/>
      <c r="GQG67" s="3"/>
      <c r="GQH67" s="3"/>
      <c r="GQI67" s="3"/>
      <c r="GQJ67" s="3"/>
      <c r="GQK67" s="3"/>
      <c r="GQL67" s="3"/>
      <c r="GQM67" s="3"/>
      <c r="GQN67" s="3"/>
      <c r="GQO67" s="3"/>
      <c r="GQP67" s="3"/>
      <c r="GQQ67" s="3"/>
      <c r="GQR67" s="3"/>
      <c r="GQS67" s="3"/>
      <c r="GQT67" s="3"/>
      <c r="GQU67" s="3"/>
      <c r="GQV67" s="3"/>
      <c r="GQW67" s="3"/>
      <c r="GQX67" s="3"/>
      <c r="GQY67" s="3"/>
      <c r="GQZ67" s="3"/>
      <c r="GRA67" s="3"/>
      <c r="GRB67" s="3"/>
      <c r="GRC67" s="3"/>
      <c r="GRD67" s="3"/>
      <c r="GRE67" s="3"/>
      <c r="GRF67" s="3"/>
      <c r="GRG67" s="3"/>
      <c r="GRH67" s="3"/>
      <c r="GRI67" s="3"/>
      <c r="GRJ67" s="3"/>
      <c r="GRK67" s="3"/>
      <c r="GRL67" s="3"/>
      <c r="GRM67" s="3"/>
      <c r="GRN67" s="3"/>
      <c r="GRO67" s="3"/>
      <c r="GRP67" s="3"/>
      <c r="GRQ67" s="3"/>
      <c r="GRR67" s="3"/>
      <c r="GRS67" s="3"/>
      <c r="GRT67" s="3"/>
      <c r="GRU67" s="3"/>
      <c r="GRV67" s="3"/>
      <c r="GRW67" s="3"/>
      <c r="GRX67" s="3"/>
      <c r="GRY67" s="3"/>
      <c r="GRZ67" s="3"/>
      <c r="GSA67" s="3"/>
      <c r="GSB67" s="3"/>
      <c r="GSC67" s="3"/>
      <c r="GSD67" s="3"/>
      <c r="GSE67" s="3"/>
      <c r="GSF67" s="3"/>
      <c r="GSG67" s="3"/>
      <c r="GSH67" s="3"/>
      <c r="GSI67" s="3"/>
      <c r="GSJ67" s="3"/>
      <c r="GSK67" s="3"/>
      <c r="GSL67" s="3"/>
      <c r="GSM67" s="3"/>
      <c r="GSN67" s="3"/>
      <c r="GSO67" s="3"/>
      <c r="GSP67" s="3"/>
      <c r="GSQ67" s="3"/>
      <c r="GSR67" s="3"/>
      <c r="GSS67" s="3"/>
      <c r="GST67" s="3"/>
      <c r="GSU67" s="3"/>
      <c r="GSV67" s="3"/>
      <c r="GSW67" s="3"/>
      <c r="GSX67" s="3"/>
      <c r="GSY67" s="3"/>
      <c r="GSZ67" s="3"/>
      <c r="GTA67" s="3"/>
      <c r="GTB67" s="3"/>
      <c r="GTC67" s="3"/>
      <c r="GTD67" s="3"/>
      <c r="GTE67" s="3"/>
      <c r="GTF67" s="3"/>
      <c r="GTG67" s="3"/>
      <c r="GTH67" s="3"/>
      <c r="GTI67" s="3"/>
      <c r="GTJ67" s="3"/>
      <c r="GTK67" s="3"/>
      <c r="GTL67" s="3"/>
      <c r="GTM67" s="3"/>
      <c r="GTN67" s="3"/>
      <c r="GTO67" s="3"/>
      <c r="GTP67" s="3"/>
      <c r="GTQ67" s="3"/>
      <c r="GTR67" s="3"/>
      <c r="GTS67" s="3"/>
      <c r="GTT67" s="3"/>
      <c r="GTU67" s="3"/>
      <c r="GTV67" s="3"/>
      <c r="GTW67" s="3"/>
      <c r="GTX67" s="3"/>
      <c r="GTY67" s="3"/>
      <c r="GTZ67" s="3"/>
      <c r="GUA67" s="3"/>
      <c r="GUB67" s="3"/>
      <c r="GUC67" s="3"/>
      <c r="GUD67" s="3"/>
      <c r="GUE67" s="3"/>
      <c r="GUF67" s="3"/>
      <c r="GUG67" s="3"/>
      <c r="GUH67" s="3"/>
      <c r="GUI67" s="3"/>
      <c r="GUJ67" s="3"/>
      <c r="GUK67" s="3"/>
      <c r="GUL67" s="3"/>
      <c r="GUM67" s="3"/>
      <c r="GUN67" s="3"/>
      <c r="GUO67" s="3"/>
      <c r="GUP67" s="3"/>
      <c r="GUQ67" s="3"/>
      <c r="GUR67" s="3"/>
      <c r="GUS67" s="3"/>
      <c r="GUT67" s="3"/>
      <c r="GUU67" s="3"/>
      <c r="GUV67" s="3"/>
      <c r="GUW67" s="3"/>
      <c r="GUX67" s="3"/>
      <c r="GUY67" s="3"/>
      <c r="GUZ67" s="3"/>
      <c r="GVA67" s="3"/>
      <c r="GVB67" s="3"/>
      <c r="GVC67" s="3"/>
      <c r="GVD67" s="3"/>
      <c r="GVE67" s="3"/>
      <c r="GVF67" s="3"/>
      <c r="GVG67" s="3"/>
      <c r="GVH67" s="3"/>
      <c r="GVI67" s="3"/>
      <c r="GVJ67" s="3"/>
      <c r="GVK67" s="3"/>
      <c r="GVL67" s="3"/>
      <c r="GVM67" s="3"/>
      <c r="GVN67" s="3"/>
      <c r="GVO67" s="3"/>
      <c r="GVP67" s="3"/>
      <c r="GVQ67" s="3"/>
      <c r="GVR67" s="3"/>
      <c r="GVS67" s="3"/>
      <c r="GVT67" s="3"/>
      <c r="GVU67" s="3"/>
      <c r="GVV67" s="3"/>
      <c r="GVW67" s="3"/>
      <c r="GVX67" s="3"/>
      <c r="GVY67" s="3"/>
      <c r="GVZ67" s="3"/>
      <c r="GWA67" s="3"/>
      <c r="GWB67" s="3"/>
      <c r="GWC67" s="3"/>
      <c r="GWD67" s="3"/>
      <c r="GWE67" s="3"/>
      <c r="GWF67" s="3"/>
      <c r="GWG67" s="3"/>
      <c r="GWH67" s="3"/>
      <c r="GWI67" s="3"/>
      <c r="GWJ67" s="3"/>
      <c r="GWK67" s="3"/>
      <c r="GWL67" s="3"/>
      <c r="GWM67" s="3"/>
      <c r="GWN67" s="3"/>
      <c r="GWO67" s="3"/>
      <c r="GWP67" s="3"/>
      <c r="GWQ67" s="3"/>
      <c r="GWR67" s="3"/>
      <c r="GWS67" s="3"/>
      <c r="GWT67" s="3"/>
      <c r="GWU67" s="3"/>
      <c r="GWV67" s="3"/>
      <c r="GWW67" s="3"/>
      <c r="GWX67" s="3"/>
      <c r="GWY67" s="3"/>
      <c r="GWZ67" s="3"/>
      <c r="GXA67" s="3"/>
      <c r="GXB67" s="3"/>
      <c r="GXC67" s="3"/>
      <c r="GXD67" s="3"/>
      <c r="GXE67" s="3"/>
      <c r="GXF67" s="3"/>
      <c r="GXG67" s="3"/>
      <c r="GXH67" s="3"/>
      <c r="GXI67" s="3"/>
      <c r="GXJ67" s="3"/>
      <c r="GXK67" s="3"/>
      <c r="GXL67" s="3"/>
      <c r="GXM67" s="3"/>
      <c r="GXN67" s="3"/>
      <c r="GXO67" s="3"/>
      <c r="GXP67" s="3"/>
      <c r="GXQ67" s="3"/>
      <c r="GXR67" s="3"/>
      <c r="GXS67" s="3"/>
      <c r="GXT67" s="3"/>
      <c r="GXU67" s="3"/>
      <c r="GXV67" s="3"/>
      <c r="GXW67" s="3"/>
      <c r="GXX67" s="3"/>
      <c r="GXY67" s="3"/>
      <c r="GXZ67" s="3"/>
      <c r="GYA67" s="3"/>
      <c r="GYB67" s="3"/>
      <c r="GYC67" s="3"/>
      <c r="GYD67" s="3"/>
      <c r="GYE67" s="3"/>
      <c r="GYF67" s="3"/>
      <c r="GYG67" s="3"/>
      <c r="GYH67" s="3"/>
      <c r="GYI67" s="3"/>
      <c r="GYJ67" s="3"/>
      <c r="GYK67" s="3"/>
      <c r="GYL67" s="3"/>
      <c r="GYM67" s="3"/>
      <c r="GYN67" s="3"/>
      <c r="GYO67" s="3"/>
      <c r="GYP67" s="3"/>
      <c r="GYQ67" s="3"/>
      <c r="GYR67" s="3"/>
      <c r="GYS67" s="3"/>
      <c r="GYT67" s="3"/>
      <c r="GYU67" s="3"/>
      <c r="GYV67" s="3"/>
      <c r="GYW67" s="3"/>
      <c r="GYX67" s="3"/>
      <c r="GYY67" s="3"/>
      <c r="GYZ67" s="3"/>
      <c r="GZA67" s="3"/>
      <c r="GZB67" s="3"/>
      <c r="GZC67" s="3"/>
      <c r="GZD67" s="3"/>
      <c r="GZE67" s="3"/>
      <c r="GZF67" s="3"/>
      <c r="GZG67" s="3"/>
      <c r="GZH67" s="3"/>
      <c r="GZI67" s="3"/>
      <c r="GZJ67" s="3"/>
      <c r="GZK67" s="3"/>
      <c r="GZL67" s="3"/>
      <c r="GZM67" s="3"/>
      <c r="GZN67" s="3"/>
      <c r="GZO67" s="3"/>
      <c r="GZP67" s="3"/>
      <c r="GZQ67" s="3"/>
      <c r="GZR67" s="3"/>
      <c r="GZS67" s="3"/>
      <c r="GZT67" s="3"/>
      <c r="GZU67" s="3"/>
      <c r="GZV67" s="3"/>
      <c r="GZW67" s="3"/>
      <c r="GZX67" s="3"/>
      <c r="GZY67" s="3"/>
      <c r="GZZ67" s="3"/>
      <c r="HAA67" s="3"/>
      <c r="HAB67" s="3"/>
      <c r="HAC67" s="3"/>
      <c r="HAD67" s="3"/>
      <c r="HAE67" s="3"/>
      <c r="HAF67" s="3"/>
      <c r="HAG67" s="3"/>
      <c r="HAH67" s="3"/>
      <c r="HAI67" s="3"/>
      <c r="HAJ67" s="3"/>
      <c r="HAK67" s="3"/>
      <c r="HAL67" s="3"/>
      <c r="HAM67" s="3"/>
      <c r="HAN67" s="3"/>
      <c r="HAO67" s="3"/>
      <c r="HAP67" s="3"/>
      <c r="HAQ67" s="3"/>
      <c r="HAR67" s="3"/>
      <c r="HAS67" s="3"/>
      <c r="HAT67" s="3"/>
      <c r="HAU67" s="3"/>
      <c r="HAV67" s="3"/>
      <c r="HAW67" s="3"/>
      <c r="HAX67" s="3"/>
      <c r="HAY67" s="3"/>
      <c r="HAZ67" s="3"/>
      <c r="HBA67" s="3"/>
      <c r="HBB67" s="3"/>
      <c r="HBC67" s="3"/>
      <c r="HBD67" s="3"/>
      <c r="HBE67" s="3"/>
      <c r="HBF67" s="3"/>
      <c r="HBG67" s="3"/>
      <c r="HBH67" s="3"/>
      <c r="HBI67" s="3"/>
      <c r="HBJ67" s="3"/>
      <c r="HBK67" s="3"/>
      <c r="HBL67" s="3"/>
      <c r="HBM67" s="3"/>
      <c r="HBN67" s="3"/>
      <c r="HBO67" s="3"/>
      <c r="HBP67" s="3"/>
      <c r="HBQ67" s="3"/>
      <c r="HBR67" s="3"/>
      <c r="HBS67" s="3"/>
      <c r="HBT67" s="3"/>
      <c r="HBU67" s="3"/>
      <c r="HBV67" s="3"/>
      <c r="HBW67" s="3"/>
      <c r="HBX67" s="3"/>
      <c r="HBY67" s="3"/>
      <c r="HBZ67" s="3"/>
      <c r="HCA67" s="3"/>
      <c r="HCB67" s="3"/>
      <c r="HCC67" s="3"/>
      <c r="HCD67" s="3"/>
      <c r="HCE67" s="3"/>
      <c r="HCF67" s="3"/>
      <c r="HCG67" s="3"/>
      <c r="HCH67" s="3"/>
      <c r="HCI67" s="3"/>
      <c r="HCJ67" s="3"/>
      <c r="HCK67" s="3"/>
      <c r="HCL67" s="3"/>
      <c r="HCM67" s="3"/>
      <c r="HCN67" s="3"/>
      <c r="HCO67" s="3"/>
      <c r="HCP67" s="3"/>
      <c r="HCQ67" s="3"/>
      <c r="HCR67" s="3"/>
      <c r="HCS67" s="3"/>
      <c r="HCT67" s="3"/>
      <c r="HCU67" s="3"/>
      <c r="HCV67" s="3"/>
      <c r="HCW67" s="3"/>
      <c r="HCX67" s="3"/>
      <c r="HCY67" s="3"/>
      <c r="HCZ67" s="3"/>
      <c r="HDA67" s="3"/>
      <c r="HDB67" s="3"/>
      <c r="HDC67" s="3"/>
      <c r="HDD67" s="3"/>
      <c r="HDE67" s="3"/>
      <c r="HDF67" s="3"/>
      <c r="HDG67" s="3"/>
      <c r="HDH67" s="3"/>
      <c r="HDI67" s="3"/>
      <c r="HDJ67" s="3"/>
      <c r="HDK67" s="3"/>
      <c r="HDL67" s="3"/>
      <c r="HDM67" s="3"/>
      <c r="HDN67" s="3"/>
      <c r="HDO67" s="3"/>
      <c r="HDP67" s="3"/>
      <c r="HDQ67" s="3"/>
      <c r="HDR67" s="3"/>
      <c r="HDS67" s="3"/>
      <c r="HDT67" s="3"/>
      <c r="HDU67" s="3"/>
      <c r="HDV67" s="3"/>
      <c r="HDW67" s="3"/>
      <c r="HDX67" s="3"/>
      <c r="HDY67" s="3"/>
      <c r="HDZ67" s="3"/>
      <c r="HEA67" s="3"/>
      <c r="HEB67" s="3"/>
      <c r="HEC67" s="3"/>
      <c r="HED67" s="3"/>
      <c r="HEE67" s="3"/>
      <c r="HEF67" s="3"/>
      <c r="HEG67" s="3"/>
      <c r="HEH67" s="3"/>
      <c r="HEI67" s="3"/>
      <c r="HEJ67" s="3"/>
      <c r="HEK67" s="3"/>
      <c r="HEL67" s="3"/>
      <c r="HEM67" s="3"/>
      <c r="HEN67" s="3"/>
      <c r="HEO67" s="3"/>
      <c r="HEP67" s="3"/>
      <c r="HEQ67" s="3"/>
      <c r="HER67" s="3"/>
      <c r="HES67" s="3"/>
      <c r="HET67" s="3"/>
      <c r="HEU67" s="3"/>
      <c r="HEV67" s="3"/>
      <c r="HEW67" s="3"/>
      <c r="HEX67" s="3"/>
      <c r="HEY67" s="3"/>
      <c r="HEZ67" s="3"/>
      <c r="HFA67" s="3"/>
      <c r="HFB67" s="3"/>
      <c r="HFC67" s="3"/>
      <c r="HFD67" s="3"/>
      <c r="HFE67" s="3"/>
      <c r="HFF67" s="3"/>
      <c r="HFG67" s="3"/>
      <c r="HFH67" s="3"/>
      <c r="HFI67" s="3"/>
      <c r="HFJ67" s="3"/>
      <c r="HFK67" s="3"/>
      <c r="HFL67" s="3"/>
      <c r="HFM67" s="3"/>
      <c r="HFN67" s="3"/>
      <c r="HFO67" s="3"/>
      <c r="HFP67" s="3"/>
      <c r="HFQ67" s="3"/>
      <c r="HFR67" s="3"/>
      <c r="HFS67" s="3"/>
      <c r="HFT67" s="3"/>
      <c r="HFU67" s="3"/>
      <c r="HFV67" s="3"/>
      <c r="HFW67" s="3"/>
      <c r="HFX67" s="3"/>
      <c r="HFY67" s="3"/>
      <c r="HFZ67" s="3"/>
      <c r="HGA67" s="3"/>
      <c r="HGB67" s="3"/>
      <c r="HGC67" s="3"/>
      <c r="HGD67" s="3"/>
      <c r="HGE67" s="3"/>
      <c r="HGF67" s="3"/>
      <c r="HGG67" s="3"/>
      <c r="HGH67" s="3"/>
      <c r="HGI67" s="3"/>
      <c r="HGJ67" s="3"/>
      <c r="HGK67" s="3"/>
      <c r="HGL67" s="3"/>
      <c r="HGM67" s="3"/>
      <c r="HGN67" s="3"/>
      <c r="HGO67" s="3"/>
      <c r="HGP67" s="3"/>
      <c r="HGQ67" s="3"/>
      <c r="HGR67" s="3"/>
      <c r="HGS67" s="3"/>
      <c r="HGT67" s="3"/>
      <c r="HGU67" s="3"/>
      <c r="HGV67" s="3"/>
      <c r="HGW67" s="3"/>
      <c r="HGX67" s="3"/>
      <c r="HGY67" s="3"/>
      <c r="HGZ67" s="3"/>
      <c r="HHA67" s="3"/>
      <c r="HHB67" s="3"/>
      <c r="HHC67" s="3"/>
      <c r="HHD67" s="3"/>
      <c r="HHE67" s="3"/>
      <c r="HHF67" s="3"/>
      <c r="HHG67" s="3"/>
      <c r="HHH67" s="3"/>
      <c r="HHI67" s="3"/>
      <c r="HHJ67" s="3"/>
      <c r="HHK67" s="3"/>
      <c r="HHL67" s="3"/>
      <c r="HHM67" s="3"/>
      <c r="HHN67" s="3"/>
      <c r="HHO67" s="3"/>
      <c r="HHP67" s="3"/>
      <c r="HHQ67" s="3"/>
      <c r="HHR67" s="3"/>
      <c r="HHS67" s="3"/>
      <c r="HHT67" s="3"/>
      <c r="HHU67" s="3"/>
      <c r="HHV67" s="3"/>
      <c r="HHW67" s="3"/>
      <c r="HHX67" s="3"/>
      <c r="HHY67" s="3"/>
      <c r="HHZ67" s="3"/>
      <c r="HIA67" s="3"/>
      <c r="HIB67" s="3"/>
      <c r="HIC67" s="3"/>
      <c r="HID67" s="3"/>
      <c r="HIE67" s="3"/>
      <c r="HIF67" s="3"/>
      <c r="HIG67" s="3"/>
      <c r="HIH67" s="3"/>
      <c r="HII67" s="3"/>
      <c r="HIJ67" s="3"/>
      <c r="HIK67" s="3"/>
      <c r="HIL67" s="3"/>
      <c r="HIM67" s="3"/>
      <c r="HIN67" s="3"/>
      <c r="HIO67" s="3"/>
      <c r="HIP67" s="3"/>
      <c r="HIQ67" s="3"/>
      <c r="HIR67" s="3"/>
      <c r="HIS67" s="3"/>
      <c r="HIT67" s="3"/>
      <c r="HIU67" s="3"/>
      <c r="HIV67" s="3"/>
      <c r="HIW67" s="3"/>
      <c r="HIX67" s="3"/>
      <c r="HIY67" s="3"/>
      <c r="HIZ67" s="3"/>
      <c r="HJA67" s="3"/>
      <c r="HJB67" s="3"/>
      <c r="HJC67" s="3"/>
      <c r="HJD67" s="3"/>
      <c r="HJE67" s="3"/>
      <c r="HJF67" s="3"/>
      <c r="HJG67" s="3"/>
      <c r="HJH67" s="3"/>
      <c r="HJI67" s="3"/>
      <c r="HJJ67" s="3"/>
      <c r="HJK67" s="3"/>
      <c r="HJL67" s="3"/>
      <c r="HJM67" s="3"/>
      <c r="HJN67" s="3"/>
      <c r="HJO67" s="3"/>
      <c r="HJP67" s="3"/>
      <c r="HJQ67" s="3"/>
      <c r="HJR67" s="3"/>
      <c r="HJS67" s="3"/>
      <c r="HJT67" s="3"/>
      <c r="HJU67" s="3"/>
      <c r="HJV67" s="3"/>
      <c r="HJW67" s="3"/>
      <c r="HJX67" s="3"/>
      <c r="HJY67" s="3"/>
      <c r="HJZ67" s="3"/>
      <c r="HKA67" s="3"/>
      <c r="HKB67" s="3"/>
      <c r="HKC67" s="3"/>
      <c r="HKD67" s="3"/>
      <c r="HKE67" s="3"/>
      <c r="HKF67" s="3"/>
      <c r="HKG67" s="3"/>
      <c r="HKH67" s="3"/>
      <c r="HKI67" s="3"/>
      <c r="HKJ67" s="3"/>
      <c r="HKK67" s="3"/>
      <c r="HKL67" s="3"/>
      <c r="HKM67" s="3"/>
      <c r="HKN67" s="3"/>
      <c r="HKO67" s="3"/>
      <c r="HKP67" s="3"/>
      <c r="HKQ67" s="3"/>
      <c r="HKR67" s="3"/>
      <c r="HKS67" s="3"/>
      <c r="HKT67" s="3"/>
      <c r="HKU67" s="3"/>
      <c r="HKV67" s="3"/>
      <c r="HKW67" s="3"/>
      <c r="HKX67" s="3"/>
      <c r="HKY67" s="3"/>
      <c r="HKZ67" s="3"/>
      <c r="HLA67" s="3"/>
      <c r="HLB67" s="3"/>
      <c r="HLC67" s="3"/>
      <c r="HLD67" s="3"/>
      <c r="HLE67" s="3"/>
      <c r="HLF67" s="3"/>
      <c r="HLG67" s="3"/>
      <c r="HLH67" s="3"/>
      <c r="HLI67" s="3"/>
      <c r="HLJ67" s="3"/>
      <c r="HLK67" s="3"/>
      <c r="HLL67" s="3"/>
      <c r="HLM67" s="3"/>
      <c r="HLN67" s="3"/>
      <c r="HLO67" s="3"/>
      <c r="HLP67" s="3"/>
      <c r="HLQ67" s="3"/>
      <c r="HLR67" s="3"/>
      <c r="HLS67" s="3"/>
      <c r="HLT67" s="3"/>
      <c r="HLU67" s="3"/>
      <c r="HLV67" s="3"/>
      <c r="HLW67" s="3"/>
      <c r="HLX67" s="3"/>
      <c r="HLY67" s="3"/>
      <c r="HLZ67" s="3"/>
      <c r="HMA67" s="3"/>
      <c r="HMB67" s="3"/>
      <c r="HMC67" s="3"/>
      <c r="HMD67" s="3"/>
      <c r="HME67" s="3"/>
      <c r="HMF67" s="3"/>
      <c r="HMG67" s="3"/>
      <c r="HMH67" s="3"/>
      <c r="HMI67" s="3"/>
      <c r="HMJ67" s="3"/>
      <c r="HMK67" s="3"/>
      <c r="HML67" s="3"/>
      <c r="HMM67" s="3"/>
      <c r="HMN67" s="3"/>
      <c r="HMO67" s="3"/>
      <c r="HMP67" s="3"/>
      <c r="HMQ67" s="3"/>
      <c r="HMR67" s="3"/>
      <c r="HMS67" s="3"/>
      <c r="HMT67" s="3"/>
      <c r="HMU67" s="3"/>
      <c r="HMV67" s="3"/>
      <c r="HMW67" s="3"/>
      <c r="HMX67" s="3"/>
      <c r="HMY67" s="3"/>
      <c r="HMZ67" s="3"/>
      <c r="HNA67" s="3"/>
      <c r="HNB67" s="3"/>
      <c r="HNC67" s="3"/>
      <c r="HND67" s="3"/>
      <c r="HNE67" s="3"/>
      <c r="HNF67" s="3"/>
      <c r="HNG67" s="3"/>
      <c r="HNH67" s="3"/>
      <c r="HNI67" s="3"/>
      <c r="HNJ67" s="3"/>
      <c r="HNK67" s="3"/>
      <c r="HNL67" s="3"/>
      <c r="HNM67" s="3"/>
      <c r="HNN67" s="3"/>
      <c r="HNO67" s="3"/>
      <c r="HNP67" s="3"/>
      <c r="HNQ67" s="3"/>
      <c r="HNR67" s="3"/>
      <c r="HNS67" s="3"/>
      <c r="HNT67" s="3"/>
      <c r="HNU67" s="3"/>
      <c r="HNV67" s="3"/>
      <c r="HNW67" s="3"/>
      <c r="HNX67" s="3"/>
      <c r="HNY67" s="3"/>
      <c r="HNZ67" s="3"/>
      <c r="HOA67" s="3"/>
      <c r="HOB67" s="3"/>
      <c r="HOC67" s="3"/>
      <c r="HOD67" s="3"/>
      <c r="HOE67" s="3"/>
      <c r="HOF67" s="3"/>
      <c r="HOG67" s="3"/>
      <c r="HOH67" s="3"/>
      <c r="HOI67" s="3"/>
      <c r="HOJ67" s="3"/>
      <c r="HOK67" s="3"/>
      <c r="HOL67" s="3"/>
      <c r="HOM67" s="3"/>
      <c r="HON67" s="3"/>
      <c r="HOO67" s="3"/>
      <c r="HOP67" s="3"/>
      <c r="HOQ67" s="3"/>
      <c r="HOR67" s="3"/>
      <c r="HOS67" s="3"/>
      <c r="HOT67" s="3"/>
      <c r="HOU67" s="3"/>
      <c r="HOV67" s="3"/>
      <c r="HOW67" s="3"/>
      <c r="HOX67" s="3"/>
      <c r="HOY67" s="3"/>
      <c r="HOZ67" s="3"/>
      <c r="HPA67" s="3"/>
      <c r="HPB67" s="3"/>
      <c r="HPC67" s="3"/>
      <c r="HPD67" s="3"/>
      <c r="HPE67" s="3"/>
      <c r="HPF67" s="3"/>
      <c r="HPG67" s="3"/>
      <c r="HPH67" s="3"/>
      <c r="HPI67" s="3"/>
      <c r="HPJ67" s="3"/>
      <c r="HPK67" s="3"/>
      <c r="HPL67" s="3"/>
      <c r="HPM67" s="3"/>
      <c r="HPN67" s="3"/>
      <c r="HPO67" s="3"/>
      <c r="HPP67" s="3"/>
      <c r="HPQ67" s="3"/>
      <c r="HPR67" s="3"/>
      <c r="HPS67" s="3"/>
      <c r="HPT67" s="3"/>
      <c r="HPU67" s="3"/>
      <c r="HPV67" s="3"/>
      <c r="HPW67" s="3"/>
      <c r="HPX67" s="3"/>
      <c r="HPY67" s="3"/>
      <c r="HPZ67" s="3"/>
      <c r="HQA67" s="3"/>
      <c r="HQB67" s="3"/>
      <c r="HQC67" s="3"/>
      <c r="HQD67" s="3"/>
      <c r="HQE67" s="3"/>
      <c r="HQF67" s="3"/>
      <c r="HQG67" s="3"/>
      <c r="HQH67" s="3"/>
      <c r="HQI67" s="3"/>
      <c r="HQJ67" s="3"/>
      <c r="HQK67" s="3"/>
      <c r="HQL67" s="3"/>
      <c r="HQM67" s="3"/>
      <c r="HQN67" s="3"/>
      <c r="HQO67" s="3"/>
      <c r="HQP67" s="3"/>
      <c r="HQQ67" s="3"/>
      <c r="HQR67" s="3"/>
      <c r="HQS67" s="3"/>
      <c r="HQT67" s="3"/>
      <c r="HQU67" s="3"/>
      <c r="HQV67" s="3"/>
      <c r="HQW67" s="3"/>
      <c r="HQX67" s="3"/>
      <c r="HQY67" s="3"/>
      <c r="HQZ67" s="3"/>
      <c r="HRA67" s="3"/>
      <c r="HRB67" s="3"/>
      <c r="HRC67" s="3"/>
      <c r="HRD67" s="3"/>
      <c r="HRE67" s="3"/>
      <c r="HRF67" s="3"/>
      <c r="HRG67" s="3"/>
      <c r="HRH67" s="3"/>
      <c r="HRI67" s="3"/>
      <c r="HRJ67" s="3"/>
      <c r="HRK67" s="3"/>
      <c r="HRL67" s="3"/>
      <c r="HRM67" s="3"/>
      <c r="HRN67" s="3"/>
      <c r="HRO67" s="3"/>
      <c r="HRP67" s="3"/>
      <c r="HRQ67" s="3"/>
      <c r="HRR67" s="3"/>
      <c r="HRS67" s="3"/>
      <c r="HRT67" s="3"/>
      <c r="HRU67" s="3"/>
      <c r="HRV67" s="3"/>
      <c r="HRW67" s="3"/>
      <c r="HRX67" s="3"/>
      <c r="HRY67" s="3"/>
      <c r="HRZ67" s="3"/>
      <c r="HSA67" s="3"/>
      <c r="HSB67" s="3"/>
      <c r="HSC67" s="3"/>
      <c r="HSD67" s="3"/>
      <c r="HSE67" s="3"/>
      <c r="HSF67" s="3"/>
      <c r="HSG67" s="3"/>
      <c r="HSH67" s="3"/>
      <c r="HSI67" s="3"/>
      <c r="HSJ67" s="3"/>
      <c r="HSK67" s="3"/>
      <c r="HSL67" s="3"/>
      <c r="HSM67" s="3"/>
      <c r="HSN67" s="3"/>
      <c r="HSO67" s="3"/>
      <c r="HSP67" s="3"/>
      <c r="HSQ67" s="3"/>
      <c r="HSR67" s="3"/>
      <c r="HSS67" s="3"/>
      <c r="HST67" s="3"/>
      <c r="HSU67" s="3"/>
      <c r="HSV67" s="3"/>
      <c r="HSW67" s="3"/>
      <c r="HSX67" s="3"/>
      <c r="HSY67" s="3"/>
      <c r="HSZ67" s="3"/>
      <c r="HTA67" s="3"/>
      <c r="HTB67" s="3"/>
      <c r="HTC67" s="3"/>
      <c r="HTD67" s="3"/>
      <c r="HTE67" s="3"/>
      <c r="HTF67" s="3"/>
      <c r="HTG67" s="3"/>
      <c r="HTH67" s="3"/>
      <c r="HTI67" s="3"/>
      <c r="HTJ67" s="3"/>
      <c r="HTK67" s="3"/>
      <c r="HTL67" s="3"/>
      <c r="HTM67" s="3"/>
      <c r="HTN67" s="3"/>
      <c r="HTO67" s="3"/>
      <c r="HTP67" s="3"/>
      <c r="HTQ67" s="3"/>
      <c r="HTR67" s="3"/>
      <c r="HTS67" s="3"/>
      <c r="HTT67" s="3"/>
      <c r="HTU67" s="3"/>
      <c r="HTV67" s="3"/>
      <c r="HTW67" s="3"/>
      <c r="HTX67" s="3"/>
      <c r="HTY67" s="3"/>
      <c r="HTZ67" s="3"/>
      <c r="HUA67" s="3"/>
      <c r="HUB67" s="3"/>
      <c r="HUC67" s="3"/>
      <c r="HUD67" s="3"/>
      <c r="HUE67" s="3"/>
      <c r="HUF67" s="3"/>
      <c r="HUG67" s="3"/>
      <c r="HUH67" s="3"/>
      <c r="HUI67" s="3"/>
      <c r="HUJ67" s="3"/>
      <c r="HUK67" s="3"/>
      <c r="HUL67" s="3"/>
      <c r="HUM67" s="3"/>
      <c r="HUN67" s="3"/>
      <c r="HUO67" s="3"/>
      <c r="HUP67" s="3"/>
      <c r="HUQ67" s="3"/>
      <c r="HUR67" s="3"/>
      <c r="HUS67" s="3"/>
      <c r="HUT67" s="3"/>
      <c r="HUU67" s="3"/>
      <c r="HUV67" s="3"/>
      <c r="HUW67" s="3"/>
      <c r="HUX67" s="3"/>
      <c r="HUY67" s="3"/>
      <c r="HUZ67" s="3"/>
      <c r="HVA67" s="3"/>
      <c r="HVB67" s="3"/>
      <c r="HVC67" s="3"/>
      <c r="HVD67" s="3"/>
      <c r="HVE67" s="3"/>
      <c r="HVF67" s="3"/>
      <c r="HVG67" s="3"/>
      <c r="HVH67" s="3"/>
      <c r="HVI67" s="3"/>
      <c r="HVJ67" s="3"/>
      <c r="HVK67" s="3"/>
      <c r="HVL67" s="3"/>
      <c r="HVM67" s="3"/>
      <c r="HVN67" s="3"/>
      <c r="HVO67" s="3"/>
      <c r="HVP67" s="3"/>
      <c r="HVQ67" s="3"/>
      <c r="HVR67" s="3"/>
      <c r="HVS67" s="3"/>
      <c r="HVT67" s="3"/>
      <c r="HVU67" s="3"/>
      <c r="HVV67" s="3"/>
      <c r="HVW67" s="3"/>
      <c r="HVX67" s="3"/>
      <c r="HVY67" s="3"/>
      <c r="HVZ67" s="3"/>
      <c r="HWA67" s="3"/>
      <c r="HWB67" s="3"/>
      <c r="HWC67" s="3"/>
      <c r="HWD67" s="3"/>
      <c r="HWE67" s="3"/>
      <c r="HWF67" s="3"/>
      <c r="HWG67" s="3"/>
      <c r="HWH67" s="3"/>
      <c r="HWI67" s="3"/>
      <c r="HWJ67" s="3"/>
      <c r="HWK67" s="3"/>
      <c r="HWL67" s="3"/>
      <c r="HWM67" s="3"/>
      <c r="HWN67" s="3"/>
      <c r="HWO67" s="3"/>
      <c r="HWP67" s="3"/>
      <c r="HWQ67" s="3"/>
      <c r="HWR67" s="3"/>
      <c r="HWS67" s="3"/>
      <c r="HWT67" s="3"/>
      <c r="HWU67" s="3"/>
      <c r="HWV67" s="3"/>
      <c r="HWW67" s="3"/>
      <c r="HWX67" s="3"/>
      <c r="HWY67" s="3"/>
      <c r="HWZ67" s="3"/>
      <c r="HXA67" s="3"/>
      <c r="HXB67" s="3"/>
      <c r="HXC67" s="3"/>
      <c r="HXD67" s="3"/>
      <c r="HXE67" s="3"/>
      <c r="HXF67" s="3"/>
      <c r="HXG67" s="3"/>
      <c r="HXH67" s="3"/>
      <c r="HXI67" s="3"/>
      <c r="HXJ67" s="3"/>
      <c r="HXK67" s="3"/>
      <c r="HXL67" s="3"/>
      <c r="HXM67" s="3"/>
      <c r="HXN67" s="3"/>
      <c r="HXO67" s="3"/>
      <c r="HXP67" s="3"/>
      <c r="HXQ67" s="3"/>
      <c r="HXR67" s="3"/>
      <c r="HXS67" s="3"/>
      <c r="HXT67" s="3"/>
      <c r="HXU67" s="3"/>
      <c r="HXV67" s="3"/>
      <c r="HXW67" s="3"/>
      <c r="HXX67" s="3"/>
      <c r="HXY67" s="3"/>
      <c r="HXZ67" s="3"/>
      <c r="HYA67" s="3"/>
      <c r="HYB67" s="3"/>
      <c r="HYC67" s="3"/>
      <c r="HYD67" s="3"/>
      <c r="HYE67" s="3"/>
      <c r="HYF67" s="3"/>
      <c r="HYG67" s="3"/>
      <c r="HYH67" s="3"/>
      <c r="HYI67" s="3"/>
      <c r="HYJ67" s="3"/>
      <c r="HYK67" s="3"/>
      <c r="HYL67" s="3"/>
      <c r="HYM67" s="3"/>
      <c r="HYN67" s="3"/>
      <c r="HYO67" s="3"/>
      <c r="HYP67" s="3"/>
      <c r="HYQ67" s="3"/>
      <c r="HYR67" s="3"/>
      <c r="HYS67" s="3"/>
      <c r="HYT67" s="3"/>
      <c r="HYU67" s="3"/>
      <c r="HYV67" s="3"/>
      <c r="HYW67" s="3"/>
      <c r="HYX67" s="3"/>
      <c r="HYY67" s="3"/>
      <c r="HYZ67" s="3"/>
      <c r="HZA67" s="3"/>
      <c r="HZB67" s="3"/>
      <c r="HZC67" s="3"/>
      <c r="HZD67" s="3"/>
      <c r="HZE67" s="3"/>
      <c r="HZF67" s="3"/>
      <c r="HZG67" s="3"/>
      <c r="HZH67" s="3"/>
      <c r="HZI67" s="3"/>
      <c r="HZJ67" s="3"/>
      <c r="HZK67" s="3"/>
      <c r="HZL67" s="3"/>
      <c r="HZM67" s="3"/>
      <c r="HZN67" s="3"/>
      <c r="HZO67" s="3"/>
      <c r="HZP67" s="3"/>
      <c r="HZQ67" s="3"/>
      <c r="HZR67" s="3"/>
      <c r="HZS67" s="3"/>
      <c r="HZT67" s="3"/>
      <c r="HZU67" s="3"/>
      <c r="HZV67" s="3"/>
      <c r="HZW67" s="3"/>
      <c r="HZX67" s="3"/>
      <c r="HZY67" s="3"/>
      <c r="HZZ67" s="3"/>
      <c r="IAA67" s="3"/>
      <c r="IAB67" s="3"/>
      <c r="IAC67" s="3"/>
      <c r="IAD67" s="3"/>
      <c r="IAE67" s="3"/>
      <c r="IAF67" s="3"/>
      <c r="IAG67" s="3"/>
      <c r="IAH67" s="3"/>
      <c r="IAI67" s="3"/>
      <c r="IAJ67" s="3"/>
      <c r="IAK67" s="3"/>
      <c r="IAL67" s="3"/>
      <c r="IAM67" s="3"/>
      <c r="IAN67" s="3"/>
      <c r="IAO67" s="3"/>
      <c r="IAP67" s="3"/>
      <c r="IAQ67" s="3"/>
      <c r="IAR67" s="3"/>
      <c r="IAS67" s="3"/>
      <c r="IAT67" s="3"/>
      <c r="IAU67" s="3"/>
      <c r="IAV67" s="3"/>
      <c r="IAW67" s="3"/>
      <c r="IAX67" s="3"/>
      <c r="IAY67" s="3"/>
      <c r="IAZ67" s="3"/>
      <c r="IBA67" s="3"/>
      <c r="IBB67" s="3"/>
      <c r="IBC67" s="3"/>
      <c r="IBD67" s="3"/>
      <c r="IBE67" s="3"/>
      <c r="IBF67" s="3"/>
      <c r="IBG67" s="3"/>
      <c r="IBH67" s="3"/>
      <c r="IBI67" s="3"/>
      <c r="IBJ67" s="3"/>
      <c r="IBK67" s="3"/>
      <c r="IBL67" s="3"/>
      <c r="IBM67" s="3"/>
      <c r="IBN67" s="3"/>
      <c r="IBO67" s="3"/>
      <c r="IBP67" s="3"/>
      <c r="IBQ67" s="3"/>
      <c r="IBR67" s="3"/>
      <c r="IBS67" s="3"/>
      <c r="IBT67" s="3"/>
      <c r="IBU67" s="3"/>
      <c r="IBV67" s="3"/>
      <c r="IBW67" s="3"/>
      <c r="IBX67" s="3"/>
      <c r="IBY67" s="3"/>
      <c r="IBZ67" s="3"/>
      <c r="ICA67" s="3"/>
      <c r="ICB67" s="3"/>
      <c r="ICC67" s="3"/>
      <c r="ICD67" s="3"/>
      <c r="ICE67" s="3"/>
      <c r="ICF67" s="3"/>
      <c r="ICG67" s="3"/>
      <c r="ICH67" s="3"/>
      <c r="ICI67" s="3"/>
      <c r="ICJ67" s="3"/>
      <c r="ICK67" s="3"/>
      <c r="ICL67" s="3"/>
      <c r="ICM67" s="3"/>
      <c r="ICN67" s="3"/>
      <c r="ICO67" s="3"/>
      <c r="ICP67" s="3"/>
      <c r="ICQ67" s="3"/>
      <c r="ICR67" s="3"/>
      <c r="ICS67" s="3"/>
      <c r="ICT67" s="3"/>
      <c r="ICU67" s="3"/>
      <c r="ICV67" s="3"/>
      <c r="ICW67" s="3"/>
      <c r="ICX67" s="3"/>
      <c r="ICY67" s="3"/>
      <c r="ICZ67" s="3"/>
      <c r="IDA67" s="3"/>
      <c r="IDB67" s="3"/>
      <c r="IDC67" s="3"/>
      <c r="IDD67" s="3"/>
      <c r="IDE67" s="3"/>
      <c r="IDF67" s="3"/>
      <c r="IDG67" s="3"/>
      <c r="IDH67" s="3"/>
      <c r="IDI67" s="3"/>
      <c r="IDJ67" s="3"/>
      <c r="IDK67" s="3"/>
      <c r="IDL67" s="3"/>
      <c r="IDM67" s="3"/>
      <c r="IDN67" s="3"/>
      <c r="IDO67" s="3"/>
      <c r="IDP67" s="3"/>
      <c r="IDQ67" s="3"/>
      <c r="IDR67" s="3"/>
      <c r="IDS67" s="3"/>
      <c r="IDT67" s="3"/>
      <c r="IDU67" s="3"/>
      <c r="IDV67" s="3"/>
      <c r="IDW67" s="3"/>
      <c r="IDX67" s="3"/>
      <c r="IDY67" s="3"/>
      <c r="IDZ67" s="3"/>
      <c r="IEA67" s="3"/>
      <c r="IEB67" s="3"/>
      <c r="IEC67" s="3"/>
      <c r="IED67" s="3"/>
      <c r="IEE67" s="3"/>
      <c r="IEF67" s="3"/>
      <c r="IEG67" s="3"/>
      <c r="IEH67" s="3"/>
      <c r="IEI67" s="3"/>
      <c r="IEJ67" s="3"/>
      <c r="IEK67" s="3"/>
      <c r="IEL67" s="3"/>
      <c r="IEM67" s="3"/>
      <c r="IEN67" s="3"/>
      <c r="IEO67" s="3"/>
      <c r="IEP67" s="3"/>
      <c r="IEQ67" s="3"/>
      <c r="IER67" s="3"/>
      <c r="IES67" s="3"/>
      <c r="IET67" s="3"/>
      <c r="IEU67" s="3"/>
      <c r="IEV67" s="3"/>
      <c r="IEW67" s="3"/>
      <c r="IEX67" s="3"/>
      <c r="IEY67" s="3"/>
      <c r="IEZ67" s="3"/>
      <c r="IFA67" s="3"/>
      <c r="IFB67" s="3"/>
      <c r="IFC67" s="3"/>
      <c r="IFD67" s="3"/>
      <c r="IFE67" s="3"/>
      <c r="IFF67" s="3"/>
      <c r="IFG67" s="3"/>
      <c r="IFH67" s="3"/>
      <c r="IFI67" s="3"/>
      <c r="IFJ67" s="3"/>
      <c r="IFK67" s="3"/>
      <c r="IFL67" s="3"/>
      <c r="IFM67" s="3"/>
      <c r="IFN67" s="3"/>
      <c r="IFO67" s="3"/>
      <c r="IFP67" s="3"/>
      <c r="IFQ67" s="3"/>
      <c r="IFR67" s="3"/>
      <c r="IFS67" s="3"/>
      <c r="IFT67" s="3"/>
      <c r="IFU67" s="3"/>
      <c r="IFV67" s="3"/>
      <c r="IFW67" s="3"/>
      <c r="IFX67" s="3"/>
      <c r="IFY67" s="3"/>
      <c r="IFZ67" s="3"/>
      <c r="IGA67" s="3"/>
      <c r="IGB67" s="3"/>
      <c r="IGC67" s="3"/>
      <c r="IGD67" s="3"/>
      <c r="IGE67" s="3"/>
      <c r="IGF67" s="3"/>
      <c r="IGG67" s="3"/>
      <c r="IGH67" s="3"/>
      <c r="IGI67" s="3"/>
      <c r="IGJ67" s="3"/>
      <c r="IGK67" s="3"/>
      <c r="IGL67" s="3"/>
      <c r="IGM67" s="3"/>
      <c r="IGN67" s="3"/>
      <c r="IGO67" s="3"/>
      <c r="IGP67" s="3"/>
      <c r="IGQ67" s="3"/>
      <c r="IGR67" s="3"/>
      <c r="IGS67" s="3"/>
      <c r="IGT67" s="3"/>
      <c r="IGU67" s="3"/>
      <c r="IGV67" s="3"/>
      <c r="IGW67" s="3"/>
      <c r="IGX67" s="3"/>
      <c r="IGY67" s="3"/>
      <c r="IGZ67" s="3"/>
      <c r="IHA67" s="3"/>
      <c r="IHB67" s="3"/>
      <c r="IHC67" s="3"/>
      <c r="IHD67" s="3"/>
      <c r="IHE67" s="3"/>
      <c r="IHF67" s="3"/>
      <c r="IHG67" s="3"/>
      <c r="IHH67" s="3"/>
      <c r="IHI67" s="3"/>
      <c r="IHJ67" s="3"/>
      <c r="IHK67" s="3"/>
      <c r="IHL67" s="3"/>
      <c r="IHM67" s="3"/>
      <c r="IHN67" s="3"/>
      <c r="IHO67" s="3"/>
      <c r="IHP67" s="3"/>
      <c r="IHQ67" s="3"/>
      <c r="IHR67" s="3"/>
      <c r="IHS67" s="3"/>
      <c r="IHT67" s="3"/>
      <c r="IHU67" s="3"/>
      <c r="IHV67" s="3"/>
      <c r="IHW67" s="3"/>
      <c r="IHX67" s="3"/>
      <c r="IHY67" s="3"/>
      <c r="IHZ67" s="3"/>
      <c r="IIA67" s="3"/>
      <c r="IIB67" s="3"/>
      <c r="IIC67" s="3"/>
      <c r="IID67" s="3"/>
      <c r="IIE67" s="3"/>
      <c r="IIF67" s="3"/>
      <c r="IIG67" s="3"/>
      <c r="IIH67" s="3"/>
      <c r="III67" s="3"/>
      <c r="IIJ67" s="3"/>
      <c r="IIK67" s="3"/>
      <c r="IIL67" s="3"/>
      <c r="IIM67" s="3"/>
      <c r="IIN67" s="3"/>
      <c r="IIO67" s="3"/>
      <c r="IIP67" s="3"/>
      <c r="IIQ67" s="3"/>
      <c r="IIR67" s="3"/>
      <c r="IIS67" s="3"/>
      <c r="IIT67" s="3"/>
      <c r="IIU67" s="3"/>
      <c r="IIV67" s="3"/>
      <c r="IIW67" s="3"/>
      <c r="IIX67" s="3"/>
      <c r="IIY67" s="3"/>
      <c r="IIZ67" s="3"/>
      <c r="IJA67" s="3"/>
      <c r="IJB67" s="3"/>
      <c r="IJC67" s="3"/>
      <c r="IJD67" s="3"/>
      <c r="IJE67" s="3"/>
      <c r="IJF67" s="3"/>
      <c r="IJG67" s="3"/>
      <c r="IJH67" s="3"/>
      <c r="IJI67" s="3"/>
      <c r="IJJ67" s="3"/>
      <c r="IJK67" s="3"/>
      <c r="IJL67" s="3"/>
      <c r="IJM67" s="3"/>
      <c r="IJN67" s="3"/>
      <c r="IJO67" s="3"/>
      <c r="IJP67" s="3"/>
      <c r="IJQ67" s="3"/>
      <c r="IJR67" s="3"/>
      <c r="IJS67" s="3"/>
      <c r="IJT67" s="3"/>
      <c r="IJU67" s="3"/>
      <c r="IJV67" s="3"/>
      <c r="IJW67" s="3"/>
      <c r="IJX67" s="3"/>
      <c r="IJY67" s="3"/>
      <c r="IJZ67" s="3"/>
      <c r="IKA67" s="3"/>
      <c r="IKB67" s="3"/>
      <c r="IKC67" s="3"/>
      <c r="IKD67" s="3"/>
      <c r="IKE67" s="3"/>
      <c r="IKF67" s="3"/>
      <c r="IKG67" s="3"/>
      <c r="IKH67" s="3"/>
      <c r="IKI67" s="3"/>
      <c r="IKJ67" s="3"/>
      <c r="IKK67" s="3"/>
      <c r="IKL67" s="3"/>
      <c r="IKM67" s="3"/>
      <c r="IKN67" s="3"/>
      <c r="IKO67" s="3"/>
      <c r="IKP67" s="3"/>
      <c r="IKQ67" s="3"/>
      <c r="IKR67" s="3"/>
      <c r="IKS67" s="3"/>
      <c r="IKT67" s="3"/>
      <c r="IKU67" s="3"/>
      <c r="IKV67" s="3"/>
      <c r="IKW67" s="3"/>
      <c r="IKX67" s="3"/>
      <c r="IKY67" s="3"/>
      <c r="IKZ67" s="3"/>
      <c r="ILA67" s="3"/>
      <c r="ILB67" s="3"/>
      <c r="ILC67" s="3"/>
      <c r="ILD67" s="3"/>
      <c r="ILE67" s="3"/>
      <c r="ILF67" s="3"/>
      <c r="ILG67" s="3"/>
      <c r="ILH67" s="3"/>
      <c r="ILI67" s="3"/>
      <c r="ILJ67" s="3"/>
      <c r="ILK67" s="3"/>
      <c r="ILL67" s="3"/>
      <c r="ILM67" s="3"/>
      <c r="ILN67" s="3"/>
      <c r="ILO67" s="3"/>
      <c r="ILP67" s="3"/>
      <c r="ILQ67" s="3"/>
      <c r="ILR67" s="3"/>
      <c r="ILS67" s="3"/>
      <c r="ILT67" s="3"/>
      <c r="ILU67" s="3"/>
      <c r="ILV67" s="3"/>
      <c r="ILW67" s="3"/>
      <c r="ILX67" s="3"/>
      <c r="ILY67" s="3"/>
      <c r="ILZ67" s="3"/>
      <c r="IMA67" s="3"/>
      <c r="IMB67" s="3"/>
      <c r="IMC67" s="3"/>
      <c r="IMD67" s="3"/>
      <c r="IME67" s="3"/>
      <c r="IMF67" s="3"/>
      <c r="IMG67" s="3"/>
      <c r="IMH67" s="3"/>
      <c r="IMI67" s="3"/>
      <c r="IMJ67" s="3"/>
      <c r="IMK67" s="3"/>
      <c r="IML67" s="3"/>
      <c r="IMM67" s="3"/>
      <c r="IMN67" s="3"/>
      <c r="IMO67" s="3"/>
      <c r="IMP67" s="3"/>
      <c r="IMQ67" s="3"/>
      <c r="IMR67" s="3"/>
      <c r="IMS67" s="3"/>
      <c r="IMT67" s="3"/>
      <c r="IMU67" s="3"/>
      <c r="IMV67" s="3"/>
      <c r="IMW67" s="3"/>
      <c r="IMX67" s="3"/>
      <c r="IMY67" s="3"/>
      <c r="IMZ67" s="3"/>
      <c r="INA67" s="3"/>
      <c r="INB67" s="3"/>
      <c r="INC67" s="3"/>
      <c r="IND67" s="3"/>
      <c r="INE67" s="3"/>
      <c r="INF67" s="3"/>
      <c r="ING67" s="3"/>
      <c r="INH67" s="3"/>
      <c r="INI67" s="3"/>
      <c r="INJ67" s="3"/>
      <c r="INK67" s="3"/>
      <c r="INL67" s="3"/>
      <c r="INM67" s="3"/>
      <c r="INN67" s="3"/>
      <c r="INO67" s="3"/>
      <c r="INP67" s="3"/>
      <c r="INQ67" s="3"/>
      <c r="INR67" s="3"/>
      <c r="INS67" s="3"/>
      <c r="INT67" s="3"/>
      <c r="INU67" s="3"/>
      <c r="INV67" s="3"/>
      <c r="INW67" s="3"/>
      <c r="INX67" s="3"/>
      <c r="INY67" s="3"/>
      <c r="INZ67" s="3"/>
      <c r="IOA67" s="3"/>
      <c r="IOB67" s="3"/>
      <c r="IOC67" s="3"/>
      <c r="IOD67" s="3"/>
      <c r="IOE67" s="3"/>
      <c r="IOF67" s="3"/>
      <c r="IOG67" s="3"/>
      <c r="IOH67" s="3"/>
      <c r="IOI67" s="3"/>
      <c r="IOJ67" s="3"/>
      <c r="IOK67" s="3"/>
      <c r="IOL67" s="3"/>
      <c r="IOM67" s="3"/>
      <c r="ION67" s="3"/>
      <c r="IOO67" s="3"/>
      <c r="IOP67" s="3"/>
      <c r="IOQ67" s="3"/>
      <c r="IOR67" s="3"/>
      <c r="IOS67" s="3"/>
      <c r="IOT67" s="3"/>
      <c r="IOU67" s="3"/>
      <c r="IOV67" s="3"/>
      <c r="IOW67" s="3"/>
      <c r="IOX67" s="3"/>
      <c r="IOY67" s="3"/>
      <c r="IOZ67" s="3"/>
      <c r="IPA67" s="3"/>
      <c r="IPB67" s="3"/>
      <c r="IPC67" s="3"/>
      <c r="IPD67" s="3"/>
      <c r="IPE67" s="3"/>
      <c r="IPF67" s="3"/>
      <c r="IPG67" s="3"/>
      <c r="IPH67" s="3"/>
      <c r="IPI67" s="3"/>
      <c r="IPJ67" s="3"/>
      <c r="IPK67" s="3"/>
      <c r="IPL67" s="3"/>
      <c r="IPM67" s="3"/>
      <c r="IPN67" s="3"/>
      <c r="IPO67" s="3"/>
      <c r="IPP67" s="3"/>
      <c r="IPQ67" s="3"/>
      <c r="IPR67" s="3"/>
      <c r="IPS67" s="3"/>
      <c r="IPT67" s="3"/>
      <c r="IPU67" s="3"/>
      <c r="IPV67" s="3"/>
      <c r="IPW67" s="3"/>
      <c r="IPX67" s="3"/>
      <c r="IPY67" s="3"/>
      <c r="IPZ67" s="3"/>
      <c r="IQA67" s="3"/>
      <c r="IQB67" s="3"/>
      <c r="IQC67" s="3"/>
      <c r="IQD67" s="3"/>
      <c r="IQE67" s="3"/>
      <c r="IQF67" s="3"/>
      <c r="IQG67" s="3"/>
      <c r="IQH67" s="3"/>
      <c r="IQI67" s="3"/>
      <c r="IQJ67" s="3"/>
      <c r="IQK67" s="3"/>
      <c r="IQL67" s="3"/>
      <c r="IQM67" s="3"/>
      <c r="IQN67" s="3"/>
      <c r="IQO67" s="3"/>
      <c r="IQP67" s="3"/>
      <c r="IQQ67" s="3"/>
      <c r="IQR67" s="3"/>
      <c r="IQS67" s="3"/>
      <c r="IQT67" s="3"/>
      <c r="IQU67" s="3"/>
      <c r="IQV67" s="3"/>
      <c r="IQW67" s="3"/>
      <c r="IQX67" s="3"/>
      <c r="IQY67" s="3"/>
      <c r="IQZ67" s="3"/>
      <c r="IRA67" s="3"/>
      <c r="IRB67" s="3"/>
      <c r="IRC67" s="3"/>
      <c r="IRD67" s="3"/>
      <c r="IRE67" s="3"/>
      <c r="IRF67" s="3"/>
      <c r="IRG67" s="3"/>
      <c r="IRH67" s="3"/>
      <c r="IRI67" s="3"/>
      <c r="IRJ67" s="3"/>
      <c r="IRK67" s="3"/>
      <c r="IRL67" s="3"/>
      <c r="IRM67" s="3"/>
      <c r="IRN67" s="3"/>
      <c r="IRO67" s="3"/>
      <c r="IRP67" s="3"/>
      <c r="IRQ67" s="3"/>
      <c r="IRR67" s="3"/>
      <c r="IRS67" s="3"/>
      <c r="IRT67" s="3"/>
      <c r="IRU67" s="3"/>
      <c r="IRV67" s="3"/>
      <c r="IRW67" s="3"/>
      <c r="IRX67" s="3"/>
      <c r="IRY67" s="3"/>
      <c r="IRZ67" s="3"/>
      <c r="ISA67" s="3"/>
      <c r="ISB67" s="3"/>
      <c r="ISC67" s="3"/>
      <c r="ISD67" s="3"/>
      <c r="ISE67" s="3"/>
      <c r="ISF67" s="3"/>
      <c r="ISG67" s="3"/>
      <c r="ISH67" s="3"/>
      <c r="ISI67" s="3"/>
      <c r="ISJ67" s="3"/>
      <c r="ISK67" s="3"/>
      <c r="ISL67" s="3"/>
      <c r="ISM67" s="3"/>
      <c r="ISN67" s="3"/>
      <c r="ISO67" s="3"/>
      <c r="ISP67" s="3"/>
      <c r="ISQ67" s="3"/>
      <c r="ISR67" s="3"/>
      <c r="ISS67" s="3"/>
      <c r="IST67" s="3"/>
      <c r="ISU67" s="3"/>
      <c r="ISV67" s="3"/>
      <c r="ISW67" s="3"/>
      <c r="ISX67" s="3"/>
      <c r="ISY67" s="3"/>
      <c r="ISZ67" s="3"/>
      <c r="ITA67" s="3"/>
      <c r="ITB67" s="3"/>
      <c r="ITC67" s="3"/>
      <c r="ITD67" s="3"/>
      <c r="ITE67" s="3"/>
      <c r="ITF67" s="3"/>
      <c r="ITG67" s="3"/>
      <c r="ITH67" s="3"/>
      <c r="ITI67" s="3"/>
      <c r="ITJ67" s="3"/>
      <c r="ITK67" s="3"/>
      <c r="ITL67" s="3"/>
      <c r="ITM67" s="3"/>
      <c r="ITN67" s="3"/>
      <c r="ITO67" s="3"/>
      <c r="ITP67" s="3"/>
      <c r="ITQ67" s="3"/>
      <c r="ITR67" s="3"/>
      <c r="ITS67" s="3"/>
      <c r="ITT67" s="3"/>
      <c r="ITU67" s="3"/>
      <c r="ITV67" s="3"/>
      <c r="ITW67" s="3"/>
      <c r="ITX67" s="3"/>
      <c r="ITY67" s="3"/>
      <c r="ITZ67" s="3"/>
      <c r="IUA67" s="3"/>
      <c r="IUB67" s="3"/>
      <c r="IUC67" s="3"/>
      <c r="IUD67" s="3"/>
      <c r="IUE67" s="3"/>
      <c r="IUF67" s="3"/>
      <c r="IUG67" s="3"/>
      <c r="IUH67" s="3"/>
      <c r="IUI67" s="3"/>
      <c r="IUJ67" s="3"/>
      <c r="IUK67" s="3"/>
      <c r="IUL67" s="3"/>
      <c r="IUM67" s="3"/>
      <c r="IUN67" s="3"/>
      <c r="IUO67" s="3"/>
      <c r="IUP67" s="3"/>
      <c r="IUQ67" s="3"/>
      <c r="IUR67" s="3"/>
      <c r="IUS67" s="3"/>
      <c r="IUT67" s="3"/>
      <c r="IUU67" s="3"/>
      <c r="IUV67" s="3"/>
      <c r="IUW67" s="3"/>
      <c r="IUX67" s="3"/>
      <c r="IUY67" s="3"/>
      <c r="IUZ67" s="3"/>
      <c r="IVA67" s="3"/>
      <c r="IVB67" s="3"/>
      <c r="IVC67" s="3"/>
      <c r="IVD67" s="3"/>
      <c r="IVE67" s="3"/>
      <c r="IVF67" s="3"/>
      <c r="IVG67" s="3"/>
      <c r="IVH67" s="3"/>
      <c r="IVI67" s="3"/>
      <c r="IVJ67" s="3"/>
      <c r="IVK67" s="3"/>
      <c r="IVL67" s="3"/>
      <c r="IVM67" s="3"/>
      <c r="IVN67" s="3"/>
      <c r="IVO67" s="3"/>
      <c r="IVP67" s="3"/>
      <c r="IVQ67" s="3"/>
      <c r="IVR67" s="3"/>
      <c r="IVS67" s="3"/>
      <c r="IVT67" s="3"/>
      <c r="IVU67" s="3"/>
      <c r="IVV67" s="3"/>
      <c r="IVW67" s="3"/>
      <c r="IVX67" s="3"/>
      <c r="IVY67" s="3"/>
      <c r="IVZ67" s="3"/>
      <c r="IWA67" s="3"/>
      <c r="IWB67" s="3"/>
      <c r="IWC67" s="3"/>
      <c r="IWD67" s="3"/>
      <c r="IWE67" s="3"/>
      <c r="IWF67" s="3"/>
      <c r="IWG67" s="3"/>
      <c r="IWH67" s="3"/>
      <c r="IWI67" s="3"/>
      <c r="IWJ67" s="3"/>
      <c r="IWK67" s="3"/>
      <c r="IWL67" s="3"/>
      <c r="IWM67" s="3"/>
      <c r="IWN67" s="3"/>
      <c r="IWO67" s="3"/>
      <c r="IWP67" s="3"/>
      <c r="IWQ67" s="3"/>
      <c r="IWR67" s="3"/>
      <c r="IWS67" s="3"/>
      <c r="IWT67" s="3"/>
      <c r="IWU67" s="3"/>
      <c r="IWV67" s="3"/>
      <c r="IWW67" s="3"/>
      <c r="IWX67" s="3"/>
      <c r="IWY67" s="3"/>
      <c r="IWZ67" s="3"/>
      <c r="IXA67" s="3"/>
      <c r="IXB67" s="3"/>
      <c r="IXC67" s="3"/>
      <c r="IXD67" s="3"/>
      <c r="IXE67" s="3"/>
      <c r="IXF67" s="3"/>
      <c r="IXG67" s="3"/>
      <c r="IXH67" s="3"/>
      <c r="IXI67" s="3"/>
      <c r="IXJ67" s="3"/>
      <c r="IXK67" s="3"/>
      <c r="IXL67" s="3"/>
      <c r="IXM67" s="3"/>
      <c r="IXN67" s="3"/>
      <c r="IXO67" s="3"/>
      <c r="IXP67" s="3"/>
      <c r="IXQ67" s="3"/>
      <c r="IXR67" s="3"/>
      <c r="IXS67" s="3"/>
      <c r="IXT67" s="3"/>
      <c r="IXU67" s="3"/>
      <c r="IXV67" s="3"/>
      <c r="IXW67" s="3"/>
      <c r="IXX67" s="3"/>
      <c r="IXY67" s="3"/>
      <c r="IXZ67" s="3"/>
      <c r="IYA67" s="3"/>
      <c r="IYB67" s="3"/>
      <c r="IYC67" s="3"/>
      <c r="IYD67" s="3"/>
      <c r="IYE67" s="3"/>
      <c r="IYF67" s="3"/>
      <c r="IYG67" s="3"/>
      <c r="IYH67" s="3"/>
      <c r="IYI67" s="3"/>
      <c r="IYJ67" s="3"/>
      <c r="IYK67" s="3"/>
      <c r="IYL67" s="3"/>
      <c r="IYM67" s="3"/>
      <c r="IYN67" s="3"/>
      <c r="IYO67" s="3"/>
      <c r="IYP67" s="3"/>
      <c r="IYQ67" s="3"/>
      <c r="IYR67" s="3"/>
      <c r="IYS67" s="3"/>
      <c r="IYT67" s="3"/>
      <c r="IYU67" s="3"/>
      <c r="IYV67" s="3"/>
      <c r="IYW67" s="3"/>
      <c r="IYX67" s="3"/>
      <c r="IYY67" s="3"/>
      <c r="IYZ67" s="3"/>
      <c r="IZA67" s="3"/>
      <c r="IZB67" s="3"/>
      <c r="IZC67" s="3"/>
      <c r="IZD67" s="3"/>
      <c r="IZE67" s="3"/>
      <c r="IZF67" s="3"/>
      <c r="IZG67" s="3"/>
      <c r="IZH67" s="3"/>
      <c r="IZI67" s="3"/>
      <c r="IZJ67" s="3"/>
      <c r="IZK67" s="3"/>
      <c r="IZL67" s="3"/>
      <c r="IZM67" s="3"/>
      <c r="IZN67" s="3"/>
      <c r="IZO67" s="3"/>
      <c r="IZP67" s="3"/>
      <c r="IZQ67" s="3"/>
      <c r="IZR67" s="3"/>
      <c r="IZS67" s="3"/>
      <c r="IZT67" s="3"/>
      <c r="IZU67" s="3"/>
      <c r="IZV67" s="3"/>
      <c r="IZW67" s="3"/>
      <c r="IZX67" s="3"/>
      <c r="IZY67" s="3"/>
      <c r="IZZ67" s="3"/>
      <c r="JAA67" s="3"/>
      <c r="JAB67" s="3"/>
      <c r="JAC67" s="3"/>
      <c r="JAD67" s="3"/>
      <c r="JAE67" s="3"/>
      <c r="JAF67" s="3"/>
      <c r="JAG67" s="3"/>
      <c r="JAH67" s="3"/>
      <c r="JAI67" s="3"/>
      <c r="JAJ67" s="3"/>
      <c r="JAK67" s="3"/>
      <c r="JAL67" s="3"/>
      <c r="JAM67" s="3"/>
      <c r="JAN67" s="3"/>
      <c r="JAO67" s="3"/>
      <c r="JAP67" s="3"/>
      <c r="JAQ67" s="3"/>
      <c r="JAR67" s="3"/>
      <c r="JAS67" s="3"/>
      <c r="JAT67" s="3"/>
      <c r="JAU67" s="3"/>
      <c r="JAV67" s="3"/>
      <c r="JAW67" s="3"/>
      <c r="JAX67" s="3"/>
      <c r="JAY67" s="3"/>
      <c r="JAZ67" s="3"/>
      <c r="JBA67" s="3"/>
      <c r="JBB67" s="3"/>
      <c r="JBC67" s="3"/>
      <c r="JBD67" s="3"/>
      <c r="JBE67" s="3"/>
      <c r="JBF67" s="3"/>
      <c r="JBG67" s="3"/>
      <c r="JBH67" s="3"/>
      <c r="JBI67" s="3"/>
      <c r="JBJ67" s="3"/>
      <c r="JBK67" s="3"/>
      <c r="JBL67" s="3"/>
      <c r="JBM67" s="3"/>
      <c r="JBN67" s="3"/>
      <c r="JBO67" s="3"/>
      <c r="JBP67" s="3"/>
      <c r="JBQ67" s="3"/>
      <c r="JBR67" s="3"/>
      <c r="JBS67" s="3"/>
      <c r="JBT67" s="3"/>
      <c r="JBU67" s="3"/>
      <c r="JBV67" s="3"/>
      <c r="JBW67" s="3"/>
      <c r="JBX67" s="3"/>
      <c r="JBY67" s="3"/>
      <c r="JBZ67" s="3"/>
      <c r="JCA67" s="3"/>
      <c r="JCB67" s="3"/>
      <c r="JCC67" s="3"/>
      <c r="JCD67" s="3"/>
      <c r="JCE67" s="3"/>
      <c r="JCF67" s="3"/>
      <c r="JCG67" s="3"/>
      <c r="JCH67" s="3"/>
      <c r="JCI67" s="3"/>
      <c r="JCJ67" s="3"/>
      <c r="JCK67" s="3"/>
      <c r="JCL67" s="3"/>
      <c r="JCM67" s="3"/>
      <c r="JCN67" s="3"/>
      <c r="JCO67" s="3"/>
      <c r="JCP67" s="3"/>
      <c r="JCQ67" s="3"/>
      <c r="JCR67" s="3"/>
      <c r="JCS67" s="3"/>
      <c r="JCT67" s="3"/>
      <c r="JCU67" s="3"/>
      <c r="JCV67" s="3"/>
      <c r="JCW67" s="3"/>
      <c r="JCX67" s="3"/>
      <c r="JCY67" s="3"/>
      <c r="JCZ67" s="3"/>
      <c r="JDA67" s="3"/>
      <c r="JDB67" s="3"/>
      <c r="JDC67" s="3"/>
      <c r="JDD67" s="3"/>
      <c r="JDE67" s="3"/>
      <c r="JDF67" s="3"/>
      <c r="JDG67" s="3"/>
      <c r="JDH67" s="3"/>
      <c r="JDI67" s="3"/>
      <c r="JDJ67" s="3"/>
      <c r="JDK67" s="3"/>
      <c r="JDL67" s="3"/>
      <c r="JDM67" s="3"/>
      <c r="JDN67" s="3"/>
      <c r="JDO67" s="3"/>
      <c r="JDP67" s="3"/>
      <c r="JDQ67" s="3"/>
      <c r="JDR67" s="3"/>
      <c r="JDS67" s="3"/>
      <c r="JDT67" s="3"/>
      <c r="JDU67" s="3"/>
      <c r="JDV67" s="3"/>
      <c r="JDW67" s="3"/>
      <c r="JDX67" s="3"/>
      <c r="JDY67" s="3"/>
      <c r="JDZ67" s="3"/>
      <c r="JEA67" s="3"/>
      <c r="JEB67" s="3"/>
      <c r="JEC67" s="3"/>
      <c r="JED67" s="3"/>
      <c r="JEE67" s="3"/>
      <c r="JEF67" s="3"/>
      <c r="JEG67" s="3"/>
      <c r="JEH67" s="3"/>
      <c r="JEI67" s="3"/>
      <c r="JEJ67" s="3"/>
      <c r="JEK67" s="3"/>
      <c r="JEL67" s="3"/>
      <c r="JEM67" s="3"/>
      <c r="JEN67" s="3"/>
      <c r="JEO67" s="3"/>
      <c r="JEP67" s="3"/>
      <c r="JEQ67" s="3"/>
      <c r="JER67" s="3"/>
      <c r="JES67" s="3"/>
      <c r="JET67" s="3"/>
      <c r="JEU67" s="3"/>
      <c r="JEV67" s="3"/>
      <c r="JEW67" s="3"/>
      <c r="JEX67" s="3"/>
      <c r="JEY67" s="3"/>
      <c r="JEZ67" s="3"/>
      <c r="JFA67" s="3"/>
      <c r="JFB67" s="3"/>
      <c r="JFC67" s="3"/>
      <c r="JFD67" s="3"/>
      <c r="JFE67" s="3"/>
      <c r="JFF67" s="3"/>
      <c r="JFG67" s="3"/>
      <c r="JFH67" s="3"/>
      <c r="JFI67" s="3"/>
      <c r="JFJ67" s="3"/>
      <c r="JFK67" s="3"/>
      <c r="JFL67" s="3"/>
      <c r="JFM67" s="3"/>
      <c r="JFN67" s="3"/>
      <c r="JFO67" s="3"/>
      <c r="JFP67" s="3"/>
      <c r="JFQ67" s="3"/>
      <c r="JFR67" s="3"/>
      <c r="JFS67" s="3"/>
      <c r="JFT67" s="3"/>
      <c r="JFU67" s="3"/>
      <c r="JFV67" s="3"/>
      <c r="JFW67" s="3"/>
      <c r="JFX67" s="3"/>
      <c r="JFY67" s="3"/>
      <c r="JFZ67" s="3"/>
      <c r="JGA67" s="3"/>
      <c r="JGB67" s="3"/>
      <c r="JGC67" s="3"/>
      <c r="JGD67" s="3"/>
      <c r="JGE67" s="3"/>
      <c r="JGF67" s="3"/>
      <c r="JGG67" s="3"/>
      <c r="JGH67" s="3"/>
      <c r="JGI67" s="3"/>
      <c r="JGJ67" s="3"/>
      <c r="JGK67" s="3"/>
      <c r="JGL67" s="3"/>
      <c r="JGM67" s="3"/>
      <c r="JGN67" s="3"/>
      <c r="JGO67" s="3"/>
      <c r="JGP67" s="3"/>
      <c r="JGQ67" s="3"/>
      <c r="JGR67" s="3"/>
      <c r="JGS67" s="3"/>
      <c r="JGT67" s="3"/>
      <c r="JGU67" s="3"/>
      <c r="JGV67" s="3"/>
      <c r="JGW67" s="3"/>
      <c r="JGX67" s="3"/>
      <c r="JGY67" s="3"/>
      <c r="JGZ67" s="3"/>
      <c r="JHA67" s="3"/>
      <c r="JHB67" s="3"/>
      <c r="JHC67" s="3"/>
      <c r="JHD67" s="3"/>
      <c r="JHE67" s="3"/>
      <c r="JHF67" s="3"/>
      <c r="JHG67" s="3"/>
      <c r="JHH67" s="3"/>
      <c r="JHI67" s="3"/>
      <c r="JHJ67" s="3"/>
      <c r="JHK67" s="3"/>
      <c r="JHL67" s="3"/>
      <c r="JHM67" s="3"/>
      <c r="JHN67" s="3"/>
      <c r="JHO67" s="3"/>
      <c r="JHP67" s="3"/>
      <c r="JHQ67" s="3"/>
      <c r="JHR67" s="3"/>
      <c r="JHS67" s="3"/>
      <c r="JHT67" s="3"/>
      <c r="JHU67" s="3"/>
      <c r="JHV67" s="3"/>
      <c r="JHW67" s="3"/>
      <c r="JHX67" s="3"/>
      <c r="JHY67" s="3"/>
      <c r="JHZ67" s="3"/>
      <c r="JIA67" s="3"/>
      <c r="JIB67" s="3"/>
      <c r="JIC67" s="3"/>
      <c r="JID67" s="3"/>
      <c r="JIE67" s="3"/>
      <c r="JIF67" s="3"/>
      <c r="JIG67" s="3"/>
      <c r="JIH67" s="3"/>
      <c r="JII67" s="3"/>
      <c r="JIJ67" s="3"/>
      <c r="JIK67" s="3"/>
      <c r="JIL67" s="3"/>
      <c r="JIM67" s="3"/>
      <c r="JIN67" s="3"/>
      <c r="JIO67" s="3"/>
      <c r="JIP67" s="3"/>
      <c r="JIQ67" s="3"/>
      <c r="JIR67" s="3"/>
      <c r="JIS67" s="3"/>
      <c r="JIT67" s="3"/>
      <c r="JIU67" s="3"/>
      <c r="JIV67" s="3"/>
      <c r="JIW67" s="3"/>
      <c r="JIX67" s="3"/>
      <c r="JIY67" s="3"/>
      <c r="JIZ67" s="3"/>
      <c r="JJA67" s="3"/>
      <c r="JJB67" s="3"/>
      <c r="JJC67" s="3"/>
      <c r="JJD67" s="3"/>
      <c r="JJE67" s="3"/>
      <c r="JJF67" s="3"/>
      <c r="JJG67" s="3"/>
      <c r="JJH67" s="3"/>
      <c r="JJI67" s="3"/>
      <c r="JJJ67" s="3"/>
      <c r="JJK67" s="3"/>
      <c r="JJL67" s="3"/>
      <c r="JJM67" s="3"/>
      <c r="JJN67" s="3"/>
      <c r="JJO67" s="3"/>
      <c r="JJP67" s="3"/>
      <c r="JJQ67" s="3"/>
      <c r="JJR67" s="3"/>
      <c r="JJS67" s="3"/>
      <c r="JJT67" s="3"/>
      <c r="JJU67" s="3"/>
      <c r="JJV67" s="3"/>
      <c r="JJW67" s="3"/>
      <c r="JJX67" s="3"/>
      <c r="JJY67" s="3"/>
      <c r="JJZ67" s="3"/>
      <c r="JKA67" s="3"/>
      <c r="JKB67" s="3"/>
      <c r="JKC67" s="3"/>
      <c r="JKD67" s="3"/>
      <c r="JKE67" s="3"/>
      <c r="JKF67" s="3"/>
      <c r="JKG67" s="3"/>
      <c r="JKH67" s="3"/>
      <c r="JKI67" s="3"/>
      <c r="JKJ67" s="3"/>
      <c r="JKK67" s="3"/>
      <c r="JKL67" s="3"/>
      <c r="JKM67" s="3"/>
      <c r="JKN67" s="3"/>
      <c r="JKO67" s="3"/>
      <c r="JKP67" s="3"/>
      <c r="JKQ67" s="3"/>
      <c r="JKR67" s="3"/>
      <c r="JKS67" s="3"/>
      <c r="JKT67" s="3"/>
      <c r="JKU67" s="3"/>
      <c r="JKV67" s="3"/>
      <c r="JKW67" s="3"/>
      <c r="JKX67" s="3"/>
      <c r="JKY67" s="3"/>
      <c r="JKZ67" s="3"/>
      <c r="JLA67" s="3"/>
      <c r="JLB67" s="3"/>
      <c r="JLC67" s="3"/>
      <c r="JLD67" s="3"/>
      <c r="JLE67" s="3"/>
      <c r="JLF67" s="3"/>
      <c r="JLG67" s="3"/>
      <c r="JLH67" s="3"/>
      <c r="JLI67" s="3"/>
      <c r="JLJ67" s="3"/>
      <c r="JLK67" s="3"/>
      <c r="JLL67" s="3"/>
      <c r="JLM67" s="3"/>
      <c r="JLN67" s="3"/>
      <c r="JLO67" s="3"/>
      <c r="JLP67" s="3"/>
      <c r="JLQ67" s="3"/>
      <c r="JLR67" s="3"/>
      <c r="JLS67" s="3"/>
      <c r="JLT67" s="3"/>
      <c r="JLU67" s="3"/>
      <c r="JLV67" s="3"/>
      <c r="JLW67" s="3"/>
      <c r="JLX67" s="3"/>
      <c r="JLY67" s="3"/>
      <c r="JLZ67" s="3"/>
      <c r="JMA67" s="3"/>
      <c r="JMB67" s="3"/>
      <c r="JMC67" s="3"/>
      <c r="JMD67" s="3"/>
      <c r="JME67" s="3"/>
      <c r="JMF67" s="3"/>
      <c r="JMG67" s="3"/>
      <c r="JMH67" s="3"/>
      <c r="JMI67" s="3"/>
      <c r="JMJ67" s="3"/>
      <c r="JMK67" s="3"/>
      <c r="JML67" s="3"/>
      <c r="JMM67" s="3"/>
      <c r="JMN67" s="3"/>
      <c r="JMO67" s="3"/>
      <c r="JMP67" s="3"/>
      <c r="JMQ67" s="3"/>
      <c r="JMR67" s="3"/>
      <c r="JMS67" s="3"/>
      <c r="JMT67" s="3"/>
      <c r="JMU67" s="3"/>
      <c r="JMV67" s="3"/>
      <c r="JMW67" s="3"/>
      <c r="JMX67" s="3"/>
      <c r="JMY67" s="3"/>
      <c r="JMZ67" s="3"/>
      <c r="JNA67" s="3"/>
      <c r="JNB67" s="3"/>
      <c r="JNC67" s="3"/>
      <c r="JND67" s="3"/>
      <c r="JNE67" s="3"/>
      <c r="JNF67" s="3"/>
      <c r="JNG67" s="3"/>
      <c r="JNH67" s="3"/>
      <c r="JNI67" s="3"/>
      <c r="JNJ67" s="3"/>
      <c r="JNK67" s="3"/>
      <c r="JNL67" s="3"/>
      <c r="JNM67" s="3"/>
      <c r="JNN67" s="3"/>
      <c r="JNO67" s="3"/>
      <c r="JNP67" s="3"/>
      <c r="JNQ67" s="3"/>
      <c r="JNR67" s="3"/>
      <c r="JNS67" s="3"/>
      <c r="JNT67" s="3"/>
      <c r="JNU67" s="3"/>
      <c r="JNV67" s="3"/>
      <c r="JNW67" s="3"/>
      <c r="JNX67" s="3"/>
      <c r="JNY67" s="3"/>
      <c r="JNZ67" s="3"/>
      <c r="JOA67" s="3"/>
      <c r="JOB67" s="3"/>
      <c r="JOC67" s="3"/>
      <c r="JOD67" s="3"/>
      <c r="JOE67" s="3"/>
      <c r="JOF67" s="3"/>
      <c r="JOG67" s="3"/>
      <c r="JOH67" s="3"/>
      <c r="JOI67" s="3"/>
      <c r="JOJ67" s="3"/>
      <c r="JOK67" s="3"/>
      <c r="JOL67" s="3"/>
      <c r="JOM67" s="3"/>
      <c r="JON67" s="3"/>
      <c r="JOO67" s="3"/>
      <c r="JOP67" s="3"/>
      <c r="JOQ67" s="3"/>
      <c r="JOR67" s="3"/>
      <c r="JOS67" s="3"/>
      <c r="JOT67" s="3"/>
      <c r="JOU67" s="3"/>
      <c r="JOV67" s="3"/>
      <c r="JOW67" s="3"/>
      <c r="JOX67" s="3"/>
      <c r="JOY67" s="3"/>
      <c r="JOZ67" s="3"/>
      <c r="JPA67" s="3"/>
      <c r="JPB67" s="3"/>
      <c r="JPC67" s="3"/>
      <c r="JPD67" s="3"/>
      <c r="JPE67" s="3"/>
      <c r="JPF67" s="3"/>
      <c r="JPG67" s="3"/>
      <c r="JPH67" s="3"/>
      <c r="JPI67" s="3"/>
      <c r="JPJ67" s="3"/>
      <c r="JPK67" s="3"/>
      <c r="JPL67" s="3"/>
      <c r="JPM67" s="3"/>
      <c r="JPN67" s="3"/>
      <c r="JPO67" s="3"/>
      <c r="JPP67" s="3"/>
      <c r="JPQ67" s="3"/>
      <c r="JPR67" s="3"/>
      <c r="JPS67" s="3"/>
      <c r="JPT67" s="3"/>
      <c r="JPU67" s="3"/>
      <c r="JPV67" s="3"/>
      <c r="JPW67" s="3"/>
      <c r="JPX67" s="3"/>
      <c r="JPY67" s="3"/>
      <c r="JPZ67" s="3"/>
      <c r="JQA67" s="3"/>
      <c r="JQB67" s="3"/>
      <c r="JQC67" s="3"/>
      <c r="JQD67" s="3"/>
      <c r="JQE67" s="3"/>
      <c r="JQF67" s="3"/>
      <c r="JQG67" s="3"/>
      <c r="JQH67" s="3"/>
      <c r="JQI67" s="3"/>
      <c r="JQJ67" s="3"/>
      <c r="JQK67" s="3"/>
      <c r="JQL67" s="3"/>
      <c r="JQM67" s="3"/>
      <c r="JQN67" s="3"/>
      <c r="JQO67" s="3"/>
      <c r="JQP67" s="3"/>
      <c r="JQQ67" s="3"/>
      <c r="JQR67" s="3"/>
      <c r="JQS67" s="3"/>
      <c r="JQT67" s="3"/>
      <c r="JQU67" s="3"/>
      <c r="JQV67" s="3"/>
      <c r="JQW67" s="3"/>
      <c r="JQX67" s="3"/>
      <c r="JQY67" s="3"/>
      <c r="JQZ67" s="3"/>
      <c r="JRA67" s="3"/>
      <c r="JRB67" s="3"/>
      <c r="JRC67" s="3"/>
      <c r="JRD67" s="3"/>
      <c r="JRE67" s="3"/>
      <c r="JRF67" s="3"/>
      <c r="JRG67" s="3"/>
      <c r="JRH67" s="3"/>
      <c r="JRI67" s="3"/>
      <c r="JRJ67" s="3"/>
      <c r="JRK67" s="3"/>
      <c r="JRL67" s="3"/>
      <c r="JRM67" s="3"/>
      <c r="JRN67" s="3"/>
      <c r="JRO67" s="3"/>
      <c r="JRP67" s="3"/>
      <c r="JRQ67" s="3"/>
      <c r="JRR67" s="3"/>
      <c r="JRS67" s="3"/>
      <c r="JRT67" s="3"/>
      <c r="JRU67" s="3"/>
      <c r="JRV67" s="3"/>
      <c r="JRW67" s="3"/>
      <c r="JRX67" s="3"/>
      <c r="JRY67" s="3"/>
      <c r="JRZ67" s="3"/>
      <c r="JSA67" s="3"/>
      <c r="JSB67" s="3"/>
      <c r="JSC67" s="3"/>
      <c r="JSD67" s="3"/>
      <c r="JSE67" s="3"/>
      <c r="JSF67" s="3"/>
      <c r="JSG67" s="3"/>
      <c r="JSH67" s="3"/>
      <c r="JSI67" s="3"/>
      <c r="JSJ67" s="3"/>
      <c r="JSK67" s="3"/>
      <c r="JSL67" s="3"/>
      <c r="JSM67" s="3"/>
      <c r="JSN67" s="3"/>
      <c r="JSO67" s="3"/>
      <c r="JSP67" s="3"/>
      <c r="JSQ67" s="3"/>
      <c r="JSR67" s="3"/>
      <c r="JSS67" s="3"/>
      <c r="JST67" s="3"/>
      <c r="JSU67" s="3"/>
      <c r="JSV67" s="3"/>
      <c r="JSW67" s="3"/>
      <c r="JSX67" s="3"/>
      <c r="JSY67" s="3"/>
      <c r="JSZ67" s="3"/>
      <c r="JTA67" s="3"/>
      <c r="JTB67" s="3"/>
      <c r="JTC67" s="3"/>
      <c r="JTD67" s="3"/>
      <c r="JTE67" s="3"/>
      <c r="JTF67" s="3"/>
      <c r="JTG67" s="3"/>
      <c r="JTH67" s="3"/>
      <c r="JTI67" s="3"/>
      <c r="JTJ67" s="3"/>
      <c r="JTK67" s="3"/>
      <c r="JTL67" s="3"/>
      <c r="JTM67" s="3"/>
      <c r="JTN67" s="3"/>
      <c r="JTO67" s="3"/>
      <c r="JTP67" s="3"/>
      <c r="JTQ67" s="3"/>
      <c r="JTR67" s="3"/>
      <c r="JTS67" s="3"/>
      <c r="JTT67" s="3"/>
      <c r="JTU67" s="3"/>
      <c r="JTV67" s="3"/>
      <c r="JTW67" s="3"/>
      <c r="JTX67" s="3"/>
      <c r="JTY67" s="3"/>
      <c r="JTZ67" s="3"/>
      <c r="JUA67" s="3"/>
      <c r="JUB67" s="3"/>
      <c r="JUC67" s="3"/>
      <c r="JUD67" s="3"/>
      <c r="JUE67" s="3"/>
      <c r="JUF67" s="3"/>
      <c r="JUG67" s="3"/>
      <c r="JUH67" s="3"/>
      <c r="JUI67" s="3"/>
      <c r="JUJ67" s="3"/>
      <c r="JUK67" s="3"/>
      <c r="JUL67" s="3"/>
      <c r="JUM67" s="3"/>
      <c r="JUN67" s="3"/>
      <c r="JUO67" s="3"/>
      <c r="JUP67" s="3"/>
      <c r="JUQ67" s="3"/>
      <c r="JUR67" s="3"/>
      <c r="JUS67" s="3"/>
      <c r="JUT67" s="3"/>
      <c r="JUU67" s="3"/>
      <c r="JUV67" s="3"/>
      <c r="JUW67" s="3"/>
      <c r="JUX67" s="3"/>
      <c r="JUY67" s="3"/>
      <c r="JUZ67" s="3"/>
      <c r="JVA67" s="3"/>
      <c r="JVB67" s="3"/>
      <c r="JVC67" s="3"/>
      <c r="JVD67" s="3"/>
      <c r="JVE67" s="3"/>
      <c r="JVF67" s="3"/>
      <c r="JVG67" s="3"/>
      <c r="JVH67" s="3"/>
      <c r="JVI67" s="3"/>
      <c r="JVJ67" s="3"/>
      <c r="JVK67" s="3"/>
      <c r="JVL67" s="3"/>
      <c r="JVM67" s="3"/>
      <c r="JVN67" s="3"/>
      <c r="JVO67" s="3"/>
      <c r="JVP67" s="3"/>
      <c r="JVQ67" s="3"/>
      <c r="JVR67" s="3"/>
      <c r="JVS67" s="3"/>
      <c r="JVT67" s="3"/>
      <c r="JVU67" s="3"/>
      <c r="JVV67" s="3"/>
      <c r="JVW67" s="3"/>
      <c r="JVX67" s="3"/>
      <c r="JVY67" s="3"/>
      <c r="JVZ67" s="3"/>
      <c r="JWA67" s="3"/>
      <c r="JWB67" s="3"/>
      <c r="JWC67" s="3"/>
      <c r="JWD67" s="3"/>
      <c r="JWE67" s="3"/>
      <c r="JWF67" s="3"/>
      <c r="JWG67" s="3"/>
      <c r="JWH67" s="3"/>
      <c r="JWI67" s="3"/>
      <c r="JWJ67" s="3"/>
      <c r="JWK67" s="3"/>
      <c r="JWL67" s="3"/>
      <c r="JWM67" s="3"/>
      <c r="JWN67" s="3"/>
      <c r="JWO67" s="3"/>
      <c r="JWP67" s="3"/>
      <c r="JWQ67" s="3"/>
      <c r="JWR67" s="3"/>
      <c r="JWS67" s="3"/>
      <c r="JWT67" s="3"/>
      <c r="JWU67" s="3"/>
      <c r="JWV67" s="3"/>
      <c r="JWW67" s="3"/>
      <c r="JWX67" s="3"/>
      <c r="JWY67" s="3"/>
      <c r="JWZ67" s="3"/>
      <c r="JXA67" s="3"/>
      <c r="JXB67" s="3"/>
      <c r="JXC67" s="3"/>
      <c r="JXD67" s="3"/>
      <c r="JXE67" s="3"/>
      <c r="JXF67" s="3"/>
      <c r="JXG67" s="3"/>
      <c r="JXH67" s="3"/>
      <c r="JXI67" s="3"/>
      <c r="JXJ67" s="3"/>
      <c r="JXK67" s="3"/>
      <c r="JXL67" s="3"/>
      <c r="JXM67" s="3"/>
      <c r="JXN67" s="3"/>
      <c r="JXO67" s="3"/>
      <c r="JXP67" s="3"/>
      <c r="JXQ67" s="3"/>
      <c r="JXR67" s="3"/>
      <c r="JXS67" s="3"/>
      <c r="JXT67" s="3"/>
      <c r="JXU67" s="3"/>
      <c r="JXV67" s="3"/>
      <c r="JXW67" s="3"/>
      <c r="JXX67" s="3"/>
      <c r="JXY67" s="3"/>
      <c r="JXZ67" s="3"/>
      <c r="JYA67" s="3"/>
      <c r="JYB67" s="3"/>
      <c r="JYC67" s="3"/>
      <c r="JYD67" s="3"/>
      <c r="JYE67" s="3"/>
      <c r="JYF67" s="3"/>
      <c r="JYG67" s="3"/>
      <c r="JYH67" s="3"/>
      <c r="JYI67" s="3"/>
      <c r="JYJ67" s="3"/>
      <c r="JYK67" s="3"/>
      <c r="JYL67" s="3"/>
      <c r="JYM67" s="3"/>
      <c r="JYN67" s="3"/>
      <c r="JYO67" s="3"/>
      <c r="JYP67" s="3"/>
      <c r="JYQ67" s="3"/>
      <c r="JYR67" s="3"/>
      <c r="JYS67" s="3"/>
      <c r="JYT67" s="3"/>
      <c r="JYU67" s="3"/>
      <c r="JYV67" s="3"/>
      <c r="JYW67" s="3"/>
      <c r="JYX67" s="3"/>
      <c r="JYY67" s="3"/>
      <c r="JYZ67" s="3"/>
      <c r="JZA67" s="3"/>
      <c r="JZB67" s="3"/>
      <c r="JZC67" s="3"/>
      <c r="JZD67" s="3"/>
      <c r="JZE67" s="3"/>
      <c r="JZF67" s="3"/>
      <c r="JZG67" s="3"/>
      <c r="JZH67" s="3"/>
      <c r="JZI67" s="3"/>
      <c r="JZJ67" s="3"/>
      <c r="JZK67" s="3"/>
      <c r="JZL67" s="3"/>
      <c r="JZM67" s="3"/>
      <c r="JZN67" s="3"/>
      <c r="JZO67" s="3"/>
      <c r="JZP67" s="3"/>
      <c r="JZQ67" s="3"/>
      <c r="JZR67" s="3"/>
      <c r="JZS67" s="3"/>
      <c r="JZT67" s="3"/>
      <c r="JZU67" s="3"/>
      <c r="JZV67" s="3"/>
      <c r="JZW67" s="3"/>
      <c r="JZX67" s="3"/>
      <c r="JZY67" s="3"/>
      <c r="JZZ67" s="3"/>
      <c r="KAA67" s="3"/>
      <c r="KAB67" s="3"/>
      <c r="KAC67" s="3"/>
      <c r="KAD67" s="3"/>
      <c r="KAE67" s="3"/>
      <c r="KAF67" s="3"/>
      <c r="KAG67" s="3"/>
      <c r="KAH67" s="3"/>
      <c r="KAI67" s="3"/>
      <c r="KAJ67" s="3"/>
      <c r="KAK67" s="3"/>
      <c r="KAL67" s="3"/>
      <c r="KAM67" s="3"/>
      <c r="KAN67" s="3"/>
      <c r="KAO67" s="3"/>
      <c r="KAP67" s="3"/>
      <c r="KAQ67" s="3"/>
      <c r="KAR67" s="3"/>
      <c r="KAS67" s="3"/>
      <c r="KAT67" s="3"/>
      <c r="KAU67" s="3"/>
      <c r="KAV67" s="3"/>
      <c r="KAW67" s="3"/>
      <c r="KAX67" s="3"/>
      <c r="KAY67" s="3"/>
      <c r="KAZ67" s="3"/>
      <c r="KBA67" s="3"/>
      <c r="KBB67" s="3"/>
      <c r="KBC67" s="3"/>
      <c r="KBD67" s="3"/>
      <c r="KBE67" s="3"/>
      <c r="KBF67" s="3"/>
      <c r="KBG67" s="3"/>
      <c r="KBH67" s="3"/>
      <c r="KBI67" s="3"/>
      <c r="KBJ67" s="3"/>
      <c r="KBK67" s="3"/>
      <c r="KBL67" s="3"/>
      <c r="KBM67" s="3"/>
      <c r="KBN67" s="3"/>
      <c r="KBO67" s="3"/>
      <c r="KBP67" s="3"/>
      <c r="KBQ67" s="3"/>
      <c r="KBR67" s="3"/>
      <c r="KBS67" s="3"/>
      <c r="KBT67" s="3"/>
      <c r="KBU67" s="3"/>
      <c r="KBV67" s="3"/>
      <c r="KBW67" s="3"/>
      <c r="KBX67" s="3"/>
      <c r="KBY67" s="3"/>
      <c r="KBZ67" s="3"/>
      <c r="KCA67" s="3"/>
      <c r="KCB67" s="3"/>
      <c r="KCC67" s="3"/>
      <c r="KCD67" s="3"/>
      <c r="KCE67" s="3"/>
      <c r="KCF67" s="3"/>
      <c r="KCG67" s="3"/>
      <c r="KCH67" s="3"/>
      <c r="KCI67" s="3"/>
      <c r="KCJ67" s="3"/>
      <c r="KCK67" s="3"/>
      <c r="KCL67" s="3"/>
      <c r="KCM67" s="3"/>
      <c r="KCN67" s="3"/>
      <c r="KCO67" s="3"/>
      <c r="KCP67" s="3"/>
      <c r="KCQ67" s="3"/>
      <c r="KCR67" s="3"/>
      <c r="KCS67" s="3"/>
      <c r="KCT67" s="3"/>
      <c r="KCU67" s="3"/>
      <c r="KCV67" s="3"/>
      <c r="KCW67" s="3"/>
      <c r="KCX67" s="3"/>
      <c r="KCY67" s="3"/>
      <c r="KCZ67" s="3"/>
      <c r="KDA67" s="3"/>
      <c r="KDB67" s="3"/>
      <c r="KDC67" s="3"/>
      <c r="KDD67" s="3"/>
      <c r="KDE67" s="3"/>
      <c r="KDF67" s="3"/>
      <c r="KDG67" s="3"/>
      <c r="KDH67" s="3"/>
      <c r="KDI67" s="3"/>
      <c r="KDJ67" s="3"/>
      <c r="KDK67" s="3"/>
      <c r="KDL67" s="3"/>
      <c r="KDM67" s="3"/>
      <c r="KDN67" s="3"/>
      <c r="KDO67" s="3"/>
      <c r="KDP67" s="3"/>
      <c r="KDQ67" s="3"/>
      <c r="KDR67" s="3"/>
      <c r="KDS67" s="3"/>
      <c r="KDT67" s="3"/>
      <c r="KDU67" s="3"/>
      <c r="KDV67" s="3"/>
      <c r="KDW67" s="3"/>
      <c r="KDX67" s="3"/>
      <c r="KDY67" s="3"/>
      <c r="KDZ67" s="3"/>
      <c r="KEA67" s="3"/>
      <c r="KEB67" s="3"/>
      <c r="KEC67" s="3"/>
      <c r="KED67" s="3"/>
      <c r="KEE67" s="3"/>
      <c r="KEF67" s="3"/>
      <c r="KEG67" s="3"/>
      <c r="KEH67" s="3"/>
      <c r="KEI67" s="3"/>
      <c r="KEJ67" s="3"/>
      <c r="KEK67" s="3"/>
      <c r="KEL67" s="3"/>
      <c r="KEM67" s="3"/>
      <c r="KEN67" s="3"/>
      <c r="KEO67" s="3"/>
      <c r="KEP67" s="3"/>
      <c r="KEQ67" s="3"/>
      <c r="KER67" s="3"/>
      <c r="KES67" s="3"/>
      <c r="KET67" s="3"/>
      <c r="KEU67" s="3"/>
      <c r="KEV67" s="3"/>
      <c r="KEW67" s="3"/>
      <c r="KEX67" s="3"/>
      <c r="KEY67" s="3"/>
      <c r="KEZ67" s="3"/>
      <c r="KFA67" s="3"/>
      <c r="KFB67" s="3"/>
      <c r="KFC67" s="3"/>
      <c r="KFD67" s="3"/>
      <c r="KFE67" s="3"/>
      <c r="KFF67" s="3"/>
      <c r="KFG67" s="3"/>
      <c r="KFH67" s="3"/>
      <c r="KFI67" s="3"/>
      <c r="KFJ67" s="3"/>
      <c r="KFK67" s="3"/>
      <c r="KFL67" s="3"/>
      <c r="KFM67" s="3"/>
      <c r="KFN67" s="3"/>
      <c r="KFO67" s="3"/>
      <c r="KFP67" s="3"/>
      <c r="KFQ67" s="3"/>
      <c r="KFR67" s="3"/>
      <c r="KFS67" s="3"/>
      <c r="KFT67" s="3"/>
      <c r="KFU67" s="3"/>
      <c r="KFV67" s="3"/>
      <c r="KFW67" s="3"/>
      <c r="KFX67" s="3"/>
      <c r="KFY67" s="3"/>
      <c r="KFZ67" s="3"/>
      <c r="KGA67" s="3"/>
      <c r="KGB67" s="3"/>
      <c r="KGC67" s="3"/>
      <c r="KGD67" s="3"/>
      <c r="KGE67" s="3"/>
      <c r="KGF67" s="3"/>
      <c r="KGG67" s="3"/>
      <c r="KGH67" s="3"/>
      <c r="KGI67" s="3"/>
      <c r="KGJ67" s="3"/>
      <c r="KGK67" s="3"/>
      <c r="KGL67" s="3"/>
      <c r="KGM67" s="3"/>
      <c r="KGN67" s="3"/>
      <c r="KGO67" s="3"/>
      <c r="KGP67" s="3"/>
      <c r="KGQ67" s="3"/>
      <c r="KGR67" s="3"/>
      <c r="KGS67" s="3"/>
      <c r="KGT67" s="3"/>
      <c r="KGU67" s="3"/>
      <c r="KGV67" s="3"/>
      <c r="KGW67" s="3"/>
      <c r="KGX67" s="3"/>
      <c r="KGY67" s="3"/>
      <c r="KGZ67" s="3"/>
      <c r="KHA67" s="3"/>
      <c r="KHB67" s="3"/>
      <c r="KHC67" s="3"/>
      <c r="KHD67" s="3"/>
      <c r="KHE67" s="3"/>
      <c r="KHF67" s="3"/>
      <c r="KHG67" s="3"/>
      <c r="KHH67" s="3"/>
      <c r="KHI67" s="3"/>
      <c r="KHJ67" s="3"/>
      <c r="KHK67" s="3"/>
      <c r="KHL67" s="3"/>
      <c r="KHM67" s="3"/>
      <c r="KHN67" s="3"/>
      <c r="KHO67" s="3"/>
      <c r="KHP67" s="3"/>
      <c r="KHQ67" s="3"/>
      <c r="KHR67" s="3"/>
      <c r="KHS67" s="3"/>
      <c r="KHT67" s="3"/>
      <c r="KHU67" s="3"/>
      <c r="KHV67" s="3"/>
      <c r="KHW67" s="3"/>
      <c r="KHX67" s="3"/>
      <c r="KHY67" s="3"/>
      <c r="KHZ67" s="3"/>
      <c r="KIA67" s="3"/>
      <c r="KIB67" s="3"/>
      <c r="KIC67" s="3"/>
      <c r="KID67" s="3"/>
      <c r="KIE67" s="3"/>
      <c r="KIF67" s="3"/>
      <c r="KIG67" s="3"/>
      <c r="KIH67" s="3"/>
      <c r="KII67" s="3"/>
      <c r="KIJ67" s="3"/>
      <c r="KIK67" s="3"/>
      <c r="KIL67" s="3"/>
      <c r="KIM67" s="3"/>
      <c r="KIN67" s="3"/>
      <c r="KIO67" s="3"/>
      <c r="KIP67" s="3"/>
      <c r="KIQ67" s="3"/>
      <c r="KIR67" s="3"/>
      <c r="KIS67" s="3"/>
      <c r="KIT67" s="3"/>
      <c r="KIU67" s="3"/>
      <c r="KIV67" s="3"/>
      <c r="KIW67" s="3"/>
      <c r="KIX67" s="3"/>
      <c r="KIY67" s="3"/>
      <c r="KIZ67" s="3"/>
      <c r="KJA67" s="3"/>
      <c r="KJB67" s="3"/>
      <c r="KJC67" s="3"/>
      <c r="KJD67" s="3"/>
      <c r="KJE67" s="3"/>
      <c r="KJF67" s="3"/>
      <c r="KJG67" s="3"/>
      <c r="KJH67" s="3"/>
      <c r="KJI67" s="3"/>
      <c r="KJJ67" s="3"/>
      <c r="KJK67" s="3"/>
      <c r="KJL67" s="3"/>
      <c r="KJM67" s="3"/>
      <c r="KJN67" s="3"/>
      <c r="KJO67" s="3"/>
      <c r="KJP67" s="3"/>
      <c r="KJQ67" s="3"/>
      <c r="KJR67" s="3"/>
      <c r="KJS67" s="3"/>
      <c r="KJT67" s="3"/>
      <c r="KJU67" s="3"/>
      <c r="KJV67" s="3"/>
      <c r="KJW67" s="3"/>
      <c r="KJX67" s="3"/>
      <c r="KJY67" s="3"/>
      <c r="KJZ67" s="3"/>
      <c r="KKA67" s="3"/>
      <c r="KKB67" s="3"/>
      <c r="KKC67" s="3"/>
      <c r="KKD67" s="3"/>
      <c r="KKE67" s="3"/>
      <c r="KKF67" s="3"/>
      <c r="KKG67" s="3"/>
      <c r="KKH67" s="3"/>
      <c r="KKI67" s="3"/>
      <c r="KKJ67" s="3"/>
      <c r="KKK67" s="3"/>
      <c r="KKL67" s="3"/>
      <c r="KKM67" s="3"/>
      <c r="KKN67" s="3"/>
      <c r="KKO67" s="3"/>
      <c r="KKP67" s="3"/>
      <c r="KKQ67" s="3"/>
      <c r="KKR67" s="3"/>
      <c r="KKS67" s="3"/>
      <c r="KKT67" s="3"/>
      <c r="KKU67" s="3"/>
      <c r="KKV67" s="3"/>
      <c r="KKW67" s="3"/>
      <c r="KKX67" s="3"/>
      <c r="KKY67" s="3"/>
      <c r="KKZ67" s="3"/>
      <c r="KLA67" s="3"/>
      <c r="KLB67" s="3"/>
      <c r="KLC67" s="3"/>
      <c r="KLD67" s="3"/>
      <c r="KLE67" s="3"/>
      <c r="KLF67" s="3"/>
      <c r="KLG67" s="3"/>
      <c r="KLH67" s="3"/>
      <c r="KLI67" s="3"/>
      <c r="KLJ67" s="3"/>
      <c r="KLK67" s="3"/>
      <c r="KLL67" s="3"/>
      <c r="KLM67" s="3"/>
      <c r="KLN67" s="3"/>
      <c r="KLO67" s="3"/>
      <c r="KLP67" s="3"/>
      <c r="KLQ67" s="3"/>
      <c r="KLR67" s="3"/>
      <c r="KLS67" s="3"/>
      <c r="KLT67" s="3"/>
      <c r="KLU67" s="3"/>
      <c r="KLV67" s="3"/>
      <c r="KLW67" s="3"/>
      <c r="KLX67" s="3"/>
      <c r="KLY67" s="3"/>
      <c r="KLZ67" s="3"/>
      <c r="KMA67" s="3"/>
      <c r="KMB67" s="3"/>
      <c r="KMC67" s="3"/>
      <c r="KMD67" s="3"/>
      <c r="KME67" s="3"/>
      <c r="KMF67" s="3"/>
      <c r="KMG67" s="3"/>
      <c r="KMH67" s="3"/>
      <c r="KMI67" s="3"/>
      <c r="KMJ67" s="3"/>
      <c r="KMK67" s="3"/>
      <c r="KML67" s="3"/>
      <c r="KMM67" s="3"/>
      <c r="KMN67" s="3"/>
      <c r="KMO67" s="3"/>
      <c r="KMP67" s="3"/>
      <c r="KMQ67" s="3"/>
      <c r="KMR67" s="3"/>
      <c r="KMS67" s="3"/>
      <c r="KMT67" s="3"/>
      <c r="KMU67" s="3"/>
      <c r="KMV67" s="3"/>
      <c r="KMW67" s="3"/>
      <c r="KMX67" s="3"/>
      <c r="KMY67" s="3"/>
      <c r="KMZ67" s="3"/>
      <c r="KNA67" s="3"/>
      <c r="KNB67" s="3"/>
      <c r="KNC67" s="3"/>
      <c r="KND67" s="3"/>
      <c r="KNE67" s="3"/>
      <c r="KNF67" s="3"/>
      <c r="KNG67" s="3"/>
      <c r="KNH67" s="3"/>
      <c r="KNI67" s="3"/>
      <c r="KNJ67" s="3"/>
      <c r="KNK67" s="3"/>
      <c r="KNL67" s="3"/>
      <c r="KNM67" s="3"/>
      <c r="KNN67" s="3"/>
      <c r="KNO67" s="3"/>
      <c r="KNP67" s="3"/>
      <c r="KNQ67" s="3"/>
      <c r="KNR67" s="3"/>
      <c r="KNS67" s="3"/>
      <c r="KNT67" s="3"/>
      <c r="KNU67" s="3"/>
      <c r="KNV67" s="3"/>
      <c r="KNW67" s="3"/>
      <c r="KNX67" s="3"/>
      <c r="KNY67" s="3"/>
      <c r="KNZ67" s="3"/>
      <c r="KOA67" s="3"/>
      <c r="KOB67" s="3"/>
      <c r="KOC67" s="3"/>
      <c r="KOD67" s="3"/>
      <c r="KOE67" s="3"/>
      <c r="KOF67" s="3"/>
      <c r="KOG67" s="3"/>
      <c r="KOH67" s="3"/>
      <c r="KOI67" s="3"/>
      <c r="KOJ67" s="3"/>
      <c r="KOK67" s="3"/>
      <c r="KOL67" s="3"/>
      <c r="KOM67" s="3"/>
      <c r="KON67" s="3"/>
      <c r="KOO67" s="3"/>
      <c r="KOP67" s="3"/>
      <c r="KOQ67" s="3"/>
      <c r="KOR67" s="3"/>
      <c r="KOS67" s="3"/>
      <c r="KOT67" s="3"/>
      <c r="KOU67" s="3"/>
      <c r="KOV67" s="3"/>
      <c r="KOW67" s="3"/>
      <c r="KOX67" s="3"/>
      <c r="KOY67" s="3"/>
      <c r="KOZ67" s="3"/>
      <c r="KPA67" s="3"/>
      <c r="KPB67" s="3"/>
      <c r="KPC67" s="3"/>
      <c r="KPD67" s="3"/>
      <c r="KPE67" s="3"/>
      <c r="KPF67" s="3"/>
      <c r="KPG67" s="3"/>
      <c r="KPH67" s="3"/>
      <c r="KPI67" s="3"/>
      <c r="KPJ67" s="3"/>
      <c r="KPK67" s="3"/>
      <c r="KPL67" s="3"/>
      <c r="KPM67" s="3"/>
      <c r="KPN67" s="3"/>
      <c r="KPO67" s="3"/>
      <c r="KPP67" s="3"/>
      <c r="KPQ67" s="3"/>
      <c r="KPR67" s="3"/>
      <c r="KPS67" s="3"/>
      <c r="KPT67" s="3"/>
      <c r="KPU67" s="3"/>
      <c r="KPV67" s="3"/>
      <c r="KPW67" s="3"/>
      <c r="KPX67" s="3"/>
      <c r="KPY67" s="3"/>
      <c r="KPZ67" s="3"/>
      <c r="KQA67" s="3"/>
      <c r="KQB67" s="3"/>
      <c r="KQC67" s="3"/>
      <c r="KQD67" s="3"/>
      <c r="KQE67" s="3"/>
      <c r="KQF67" s="3"/>
      <c r="KQG67" s="3"/>
      <c r="KQH67" s="3"/>
      <c r="KQI67" s="3"/>
      <c r="KQJ67" s="3"/>
      <c r="KQK67" s="3"/>
      <c r="KQL67" s="3"/>
      <c r="KQM67" s="3"/>
      <c r="KQN67" s="3"/>
      <c r="KQO67" s="3"/>
      <c r="KQP67" s="3"/>
      <c r="KQQ67" s="3"/>
      <c r="KQR67" s="3"/>
      <c r="KQS67" s="3"/>
      <c r="KQT67" s="3"/>
      <c r="KQU67" s="3"/>
      <c r="KQV67" s="3"/>
      <c r="KQW67" s="3"/>
      <c r="KQX67" s="3"/>
      <c r="KQY67" s="3"/>
      <c r="KQZ67" s="3"/>
      <c r="KRA67" s="3"/>
      <c r="KRB67" s="3"/>
      <c r="KRC67" s="3"/>
      <c r="KRD67" s="3"/>
      <c r="KRE67" s="3"/>
      <c r="KRF67" s="3"/>
      <c r="KRG67" s="3"/>
      <c r="KRH67" s="3"/>
      <c r="KRI67" s="3"/>
      <c r="KRJ67" s="3"/>
      <c r="KRK67" s="3"/>
      <c r="KRL67" s="3"/>
      <c r="KRM67" s="3"/>
      <c r="KRN67" s="3"/>
      <c r="KRO67" s="3"/>
      <c r="KRP67" s="3"/>
      <c r="KRQ67" s="3"/>
      <c r="KRR67" s="3"/>
      <c r="KRS67" s="3"/>
      <c r="KRT67" s="3"/>
      <c r="KRU67" s="3"/>
      <c r="KRV67" s="3"/>
      <c r="KRW67" s="3"/>
      <c r="KRX67" s="3"/>
      <c r="KRY67" s="3"/>
      <c r="KRZ67" s="3"/>
      <c r="KSA67" s="3"/>
      <c r="KSB67" s="3"/>
      <c r="KSC67" s="3"/>
      <c r="KSD67" s="3"/>
      <c r="KSE67" s="3"/>
      <c r="KSF67" s="3"/>
      <c r="KSG67" s="3"/>
      <c r="KSH67" s="3"/>
      <c r="KSI67" s="3"/>
      <c r="KSJ67" s="3"/>
      <c r="KSK67" s="3"/>
      <c r="KSL67" s="3"/>
      <c r="KSM67" s="3"/>
      <c r="KSN67" s="3"/>
      <c r="KSO67" s="3"/>
      <c r="KSP67" s="3"/>
      <c r="KSQ67" s="3"/>
      <c r="KSR67" s="3"/>
      <c r="KSS67" s="3"/>
      <c r="KST67" s="3"/>
      <c r="KSU67" s="3"/>
      <c r="KSV67" s="3"/>
      <c r="KSW67" s="3"/>
      <c r="KSX67" s="3"/>
      <c r="KSY67" s="3"/>
      <c r="KSZ67" s="3"/>
      <c r="KTA67" s="3"/>
      <c r="KTB67" s="3"/>
      <c r="KTC67" s="3"/>
      <c r="KTD67" s="3"/>
      <c r="KTE67" s="3"/>
      <c r="KTF67" s="3"/>
      <c r="KTG67" s="3"/>
      <c r="KTH67" s="3"/>
      <c r="KTI67" s="3"/>
      <c r="KTJ67" s="3"/>
      <c r="KTK67" s="3"/>
      <c r="KTL67" s="3"/>
      <c r="KTM67" s="3"/>
      <c r="KTN67" s="3"/>
      <c r="KTO67" s="3"/>
      <c r="KTP67" s="3"/>
      <c r="KTQ67" s="3"/>
      <c r="KTR67" s="3"/>
      <c r="KTS67" s="3"/>
      <c r="KTT67" s="3"/>
      <c r="KTU67" s="3"/>
      <c r="KTV67" s="3"/>
      <c r="KTW67" s="3"/>
      <c r="KTX67" s="3"/>
      <c r="KTY67" s="3"/>
      <c r="KTZ67" s="3"/>
      <c r="KUA67" s="3"/>
      <c r="KUB67" s="3"/>
      <c r="KUC67" s="3"/>
      <c r="KUD67" s="3"/>
      <c r="KUE67" s="3"/>
      <c r="KUF67" s="3"/>
      <c r="KUG67" s="3"/>
      <c r="KUH67" s="3"/>
      <c r="KUI67" s="3"/>
      <c r="KUJ67" s="3"/>
      <c r="KUK67" s="3"/>
      <c r="KUL67" s="3"/>
      <c r="KUM67" s="3"/>
      <c r="KUN67" s="3"/>
      <c r="KUO67" s="3"/>
      <c r="KUP67" s="3"/>
      <c r="KUQ67" s="3"/>
      <c r="KUR67" s="3"/>
      <c r="KUS67" s="3"/>
      <c r="KUT67" s="3"/>
      <c r="KUU67" s="3"/>
      <c r="KUV67" s="3"/>
      <c r="KUW67" s="3"/>
      <c r="KUX67" s="3"/>
      <c r="KUY67" s="3"/>
      <c r="KUZ67" s="3"/>
      <c r="KVA67" s="3"/>
      <c r="KVB67" s="3"/>
      <c r="KVC67" s="3"/>
      <c r="KVD67" s="3"/>
      <c r="KVE67" s="3"/>
      <c r="KVF67" s="3"/>
      <c r="KVG67" s="3"/>
      <c r="KVH67" s="3"/>
      <c r="KVI67" s="3"/>
      <c r="KVJ67" s="3"/>
      <c r="KVK67" s="3"/>
      <c r="KVL67" s="3"/>
      <c r="KVM67" s="3"/>
      <c r="KVN67" s="3"/>
      <c r="KVO67" s="3"/>
      <c r="KVP67" s="3"/>
      <c r="KVQ67" s="3"/>
      <c r="KVR67" s="3"/>
      <c r="KVS67" s="3"/>
      <c r="KVT67" s="3"/>
      <c r="KVU67" s="3"/>
      <c r="KVV67" s="3"/>
      <c r="KVW67" s="3"/>
      <c r="KVX67" s="3"/>
      <c r="KVY67" s="3"/>
      <c r="KVZ67" s="3"/>
      <c r="KWA67" s="3"/>
      <c r="KWB67" s="3"/>
      <c r="KWC67" s="3"/>
      <c r="KWD67" s="3"/>
      <c r="KWE67" s="3"/>
      <c r="KWF67" s="3"/>
      <c r="KWG67" s="3"/>
      <c r="KWH67" s="3"/>
      <c r="KWI67" s="3"/>
      <c r="KWJ67" s="3"/>
      <c r="KWK67" s="3"/>
      <c r="KWL67" s="3"/>
      <c r="KWM67" s="3"/>
      <c r="KWN67" s="3"/>
      <c r="KWO67" s="3"/>
      <c r="KWP67" s="3"/>
      <c r="KWQ67" s="3"/>
      <c r="KWR67" s="3"/>
      <c r="KWS67" s="3"/>
      <c r="KWT67" s="3"/>
      <c r="KWU67" s="3"/>
      <c r="KWV67" s="3"/>
      <c r="KWW67" s="3"/>
      <c r="KWX67" s="3"/>
      <c r="KWY67" s="3"/>
      <c r="KWZ67" s="3"/>
      <c r="KXA67" s="3"/>
      <c r="KXB67" s="3"/>
      <c r="KXC67" s="3"/>
      <c r="KXD67" s="3"/>
      <c r="KXE67" s="3"/>
      <c r="KXF67" s="3"/>
      <c r="KXG67" s="3"/>
      <c r="KXH67" s="3"/>
      <c r="KXI67" s="3"/>
      <c r="KXJ67" s="3"/>
      <c r="KXK67" s="3"/>
      <c r="KXL67" s="3"/>
      <c r="KXM67" s="3"/>
      <c r="KXN67" s="3"/>
      <c r="KXO67" s="3"/>
      <c r="KXP67" s="3"/>
      <c r="KXQ67" s="3"/>
      <c r="KXR67" s="3"/>
      <c r="KXS67" s="3"/>
      <c r="KXT67" s="3"/>
      <c r="KXU67" s="3"/>
      <c r="KXV67" s="3"/>
      <c r="KXW67" s="3"/>
      <c r="KXX67" s="3"/>
      <c r="KXY67" s="3"/>
      <c r="KXZ67" s="3"/>
      <c r="KYA67" s="3"/>
      <c r="KYB67" s="3"/>
      <c r="KYC67" s="3"/>
      <c r="KYD67" s="3"/>
      <c r="KYE67" s="3"/>
      <c r="KYF67" s="3"/>
      <c r="KYG67" s="3"/>
      <c r="KYH67" s="3"/>
      <c r="KYI67" s="3"/>
      <c r="KYJ67" s="3"/>
      <c r="KYK67" s="3"/>
      <c r="KYL67" s="3"/>
      <c r="KYM67" s="3"/>
      <c r="KYN67" s="3"/>
      <c r="KYO67" s="3"/>
      <c r="KYP67" s="3"/>
      <c r="KYQ67" s="3"/>
      <c r="KYR67" s="3"/>
      <c r="KYS67" s="3"/>
      <c r="KYT67" s="3"/>
      <c r="KYU67" s="3"/>
      <c r="KYV67" s="3"/>
      <c r="KYW67" s="3"/>
      <c r="KYX67" s="3"/>
      <c r="KYY67" s="3"/>
      <c r="KYZ67" s="3"/>
      <c r="KZA67" s="3"/>
      <c r="KZB67" s="3"/>
      <c r="KZC67" s="3"/>
      <c r="KZD67" s="3"/>
      <c r="KZE67" s="3"/>
      <c r="KZF67" s="3"/>
      <c r="KZG67" s="3"/>
      <c r="KZH67" s="3"/>
      <c r="KZI67" s="3"/>
      <c r="KZJ67" s="3"/>
      <c r="KZK67" s="3"/>
      <c r="KZL67" s="3"/>
      <c r="KZM67" s="3"/>
      <c r="KZN67" s="3"/>
      <c r="KZO67" s="3"/>
      <c r="KZP67" s="3"/>
      <c r="KZQ67" s="3"/>
      <c r="KZR67" s="3"/>
      <c r="KZS67" s="3"/>
      <c r="KZT67" s="3"/>
      <c r="KZU67" s="3"/>
      <c r="KZV67" s="3"/>
      <c r="KZW67" s="3"/>
      <c r="KZX67" s="3"/>
      <c r="KZY67" s="3"/>
      <c r="KZZ67" s="3"/>
      <c r="LAA67" s="3"/>
      <c r="LAB67" s="3"/>
      <c r="LAC67" s="3"/>
      <c r="LAD67" s="3"/>
      <c r="LAE67" s="3"/>
      <c r="LAF67" s="3"/>
      <c r="LAG67" s="3"/>
      <c r="LAH67" s="3"/>
      <c r="LAI67" s="3"/>
      <c r="LAJ67" s="3"/>
      <c r="LAK67" s="3"/>
      <c r="LAL67" s="3"/>
      <c r="LAM67" s="3"/>
      <c r="LAN67" s="3"/>
      <c r="LAO67" s="3"/>
      <c r="LAP67" s="3"/>
      <c r="LAQ67" s="3"/>
      <c r="LAR67" s="3"/>
      <c r="LAS67" s="3"/>
      <c r="LAT67" s="3"/>
      <c r="LAU67" s="3"/>
      <c r="LAV67" s="3"/>
      <c r="LAW67" s="3"/>
      <c r="LAX67" s="3"/>
      <c r="LAY67" s="3"/>
      <c r="LAZ67" s="3"/>
      <c r="LBA67" s="3"/>
      <c r="LBB67" s="3"/>
      <c r="LBC67" s="3"/>
      <c r="LBD67" s="3"/>
      <c r="LBE67" s="3"/>
      <c r="LBF67" s="3"/>
      <c r="LBG67" s="3"/>
      <c r="LBH67" s="3"/>
      <c r="LBI67" s="3"/>
      <c r="LBJ67" s="3"/>
      <c r="LBK67" s="3"/>
      <c r="LBL67" s="3"/>
      <c r="LBM67" s="3"/>
      <c r="LBN67" s="3"/>
      <c r="LBO67" s="3"/>
      <c r="LBP67" s="3"/>
      <c r="LBQ67" s="3"/>
      <c r="LBR67" s="3"/>
      <c r="LBS67" s="3"/>
      <c r="LBT67" s="3"/>
      <c r="LBU67" s="3"/>
      <c r="LBV67" s="3"/>
      <c r="LBW67" s="3"/>
      <c r="LBX67" s="3"/>
      <c r="LBY67" s="3"/>
      <c r="LBZ67" s="3"/>
      <c r="LCA67" s="3"/>
      <c r="LCB67" s="3"/>
      <c r="LCC67" s="3"/>
      <c r="LCD67" s="3"/>
      <c r="LCE67" s="3"/>
      <c r="LCF67" s="3"/>
      <c r="LCG67" s="3"/>
      <c r="LCH67" s="3"/>
      <c r="LCI67" s="3"/>
      <c r="LCJ67" s="3"/>
      <c r="LCK67" s="3"/>
      <c r="LCL67" s="3"/>
      <c r="LCM67" s="3"/>
      <c r="LCN67" s="3"/>
      <c r="LCO67" s="3"/>
      <c r="LCP67" s="3"/>
      <c r="LCQ67" s="3"/>
      <c r="LCR67" s="3"/>
      <c r="LCS67" s="3"/>
      <c r="LCT67" s="3"/>
      <c r="LCU67" s="3"/>
      <c r="LCV67" s="3"/>
      <c r="LCW67" s="3"/>
      <c r="LCX67" s="3"/>
      <c r="LCY67" s="3"/>
      <c r="LCZ67" s="3"/>
      <c r="LDA67" s="3"/>
      <c r="LDB67" s="3"/>
      <c r="LDC67" s="3"/>
      <c r="LDD67" s="3"/>
      <c r="LDE67" s="3"/>
      <c r="LDF67" s="3"/>
      <c r="LDG67" s="3"/>
      <c r="LDH67" s="3"/>
      <c r="LDI67" s="3"/>
      <c r="LDJ67" s="3"/>
      <c r="LDK67" s="3"/>
      <c r="LDL67" s="3"/>
      <c r="LDM67" s="3"/>
      <c r="LDN67" s="3"/>
      <c r="LDO67" s="3"/>
      <c r="LDP67" s="3"/>
      <c r="LDQ67" s="3"/>
      <c r="LDR67" s="3"/>
      <c r="LDS67" s="3"/>
      <c r="LDT67" s="3"/>
      <c r="LDU67" s="3"/>
      <c r="LDV67" s="3"/>
      <c r="LDW67" s="3"/>
      <c r="LDX67" s="3"/>
      <c r="LDY67" s="3"/>
      <c r="LDZ67" s="3"/>
      <c r="LEA67" s="3"/>
      <c r="LEB67" s="3"/>
      <c r="LEC67" s="3"/>
      <c r="LED67" s="3"/>
      <c r="LEE67" s="3"/>
      <c r="LEF67" s="3"/>
      <c r="LEG67" s="3"/>
      <c r="LEH67" s="3"/>
      <c r="LEI67" s="3"/>
      <c r="LEJ67" s="3"/>
      <c r="LEK67" s="3"/>
      <c r="LEL67" s="3"/>
      <c r="LEM67" s="3"/>
      <c r="LEN67" s="3"/>
      <c r="LEO67" s="3"/>
      <c r="LEP67" s="3"/>
      <c r="LEQ67" s="3"/>
      <c r="LER67" s="3"/>
      <c r="LES67" s="3"/>
      <c r="LET67" s="3"/>
      <c r="LEU67" s="3"/>
      <c r="LEV67" s="3"/>
      <c r="LEW67" s="3"/>
      <c r="LEX67" s="3"/>
      <c r="LEY67" s="3"/>
      <c r="LEZ67" s="3"/>
      <c r="LFA67" s="3"/>
      <c r="LFB67" s="3"/>
      <c r="LFC67" s="3"/>
      <c r="LFD67" s="3"/>
      <c r="LFE67" s="3"/>
      <c r="LFF67" s="3"/>
      <c r="LFG67" s="3"/>
      <c r="LFH67" s="3"/>
      <c r="LFI67" s="3"/>
      <c r="LFJ67" s="3"/>
      <c r="LFK67" s="3"/>
      <c r="LFL67" s="3"/>
      <c r="LFM67" s="3"/>
      <c r="LFN67" s="3"/>
      <c r="LFO67" s="3"/>
      <c r="LFP67" s="3"/>
      <c r="LFQ67" s="3"/>
      <c r="LFR67" s="3"/>
      <c r="LFS67" s="3"/>
      <c r="LFT67" s="3"/>
      <c r="LFU67" s="3"/>
      <c r="LFV67" s="3"/>
      <c r="LFW67" s="3"/>
      <c r="LFX67" s="3"/>
      <c r="LFY67" s="3"/>
      <c r="LFZ67" s="3"/>
      <c r="LGA67" s="3"/>
      <c r="LGB67" s="3"/>
      <c r="LGC67" s="3"/>
      <c r="LGD67" s="3"/>
      <c r="LGE67" s="3"/>
      <c r="LGF67" s="3"/>
      <c r="LGG67" s="3"/>
      <c r="LGH67" s="3"/>
      <c r="LGI67" s="3"/>
      <c r="LGJ67" s="3"/>
      <c r="LGK67" s="3"/>
      <c r="LGL67" s="3"/>
      <c r="LGM67" s="3"/>
      <c r="LGN67" s="3"/>
      <c r="LGO67" s="3"/>
      <c r="LGP67" s="3"/>
      <c r="LGQ67" s="3"/>
      <c r="LGR67" s="3"/>
      <c r="LGS67" s="3"/>
      <c r="LGT67" s="3"/>
      <c r="LGU67" s="3"/>
      <c r="LGV67" s="3"/>
      <c r="LGW67" s="3"/>
      <c r="LGX67" s="3"/>
      <c r="LGY67" s="3"/>
      <c r="LGZ67" s="3"/>
      <c r="LHA67" s="3"/>
      <c r="LHB67" s="3"/>
      <c r="LHC67" s="3"/>
      <c r="LHD67" s="3"/>
      <c r="LHE67" s="3"/>
      <c r="LHF67" s="3"/>
      <c r="LHG67" s="3"/>
      <c r="LHH67" s="3"/>
      <c r="LHI67" s="3"/>
      <c r="LHJ67" s="3"/>
      <c r="LHK67" s="3"/>
      <c r="LHL67" s="3"/>
      <c r="LHM67" s="3"/>
      <c r="LHN67" s="3"/>
      <c r="LHO67" s="3"/>
      <c r="LHP67" s="3"/>
      <c r="LHQ67" s="3"/>
      <c r="LHR67" s="3"/>
      <c r="LHS67" s="3"/>
      <c r="LHT67" s="3"/>
      <c r="LHU67" s="3"/>
      <c r="LHV67" s="3"/>
      <c r="LHW67" s="3"/>
      <c r="LHX67" s="3"/>
      <c r="LHY67" s="3"/>
      <c r="LHZ67" s="3"/>
      <c r="LIA67" s="3"/>
      <c r="LIB67" s="3"/>
      <c r="LIC67" s="3"/>
      <c r="LID67" s="3"/>
      <c r="LIE67" s="3"/>
      <c r="LIF67" s="3"/>
      <c r="LIG67" s="3"/>
      <c r="LIH67" s="3"/>
      <c r="LII67" s="3"/>
      <c r="LIJ67" s="3"/>
      <c r="LIK67" s="3"/>
      <c r="LIL67" s="3"/>
      <c r="LIM67" s="3"/>
      <c r="LIN67" s="3"/>
      <c r="LIO67" s="3"/>
      <c r="LIP67" s="3"/>
      <c r="LIQ67" s="3"/>
      <c r="LIR67" s="3"/>
      <c r="LIS67" s="3"/>
      <c r="LIT67" s="3"/>
      <c r="LIU67" s="3"/>
      <c r="LIV67" s="3"/>
      <c r="LIW67" s="3"/>
      <c r="LIX67" s="3"/>
      <c r="LIY67" s="3"/>
      <c r="LIZ67" s="3"/>
      <c r="LJA67" s="3"/>
      <c r="LJB67" s="3"/>
      <c r="LJC67" s="3"/>
      <c r="LJD67" s="3"/>
      <c r="LJE67" s="3"/>
      <c r="LJF67" s="3"/>
      <c r="LJG67" s="3"/>
      <c r="LJH67" s="3"/>
      <c r="LJI67" s="3"/>
      <c r="LJJ67" s="3"/>
      <c r="LJK67" s="3"/>
      <c r="LJL67" s="3"/>
      <c r="LJM67" s="3"/>
      <c r="LJN67" s="3"/>
      <c r="LJO67" s="3"/>
      <c r="LJP67" s="3"/>
      <c r="LJQ67" s="3"/>
      <c r="LJR67" s="3"/>
      <c r="LJS67" s="3"/>
      <c r="LJT67" s="3"/>
      <c r="LJU67" s="3"/>
      <c r="LJV67" s="3"/>
      <c r="LJW67" s="3"/>
      <c r="LJX67" s="3"/>
      <c r="LJY67" s="3"/>
      <c r="LJZ67" s="3"/>
      <c r="LKA67" s="3"/>
      <c r="LKB67" s="3"/>
      <c r="LKC67" s="3"/>
      <c r="LKD67" s="3"/>
      <c r="LKE67" s="3"/>
      <c r="LKF67" s="3"/>
      <c r="LKG67" s="3"/>
      <c r="LKH67" s="3"/>
      <c r="LKI67" s="3"/>
      <c r="LKJ67" s="3"/>
      <c r="LKK67" s="3"/>
      <c r="LKL67" s="3"/>
      <c r="LKM67" s="3"/>
      <c r="LKN67" s="3"/>
      <c r="LKO67" s="3"/>
      <c r="LKP67" s="3"/>
      <c r="LKQ67" s="3"/>
      <c r="LKR67" s="3"/>
      <c r="LKS67" s="3"/>
      <c r="LKT67" s="3"/>
      <c r="LKU67" s="3"/>
      <c r="LKV67" s="3"/>
      <c r="LKW67" s="3"/>
      <c r="LKX67" s="3"/>
      <c r="LKY67" s="3"/>
      <c r="LKZ67" s="3"/>
      <c r="LLA67" s="3"/>
      <c r="LLB67" s="3"/>
      <c r="LLC67" s="3"/>
      <c r="LLD67" s="3"/>
      <c r="LLE67" s="3"/>
      <c r="LLF67" s="3"/>
      <c r="LLG67" s="3"/>
      <c r="LLH67" s="3"/>
      <c r="LLI67" s="3"/>
      <c r="LLJ67" s="3"/>
      <c r="LLK67" s="3"/>
      <c r="LLL67" s="3"/>
      <c r="LLM67" s="3"/>
      <c r="LLN67" s="3"/>
      <c r="LLO67" s="3"/>
      <c r="LLP67" s="3"/>
      <c r="LLQ67" s="3"/>
      <c r="LLR67" s="3"/>
      <c r="LLS67" s="3"/>
      <c r="LLT67" s="3"/>
      <c r="LLU67" s="3"/>
      <c r="LLV67" s="3"/>
      <c r="LLW67" s="3"/>
      <c r="LLX67" s="3"/>
      <c r="LLY67" s="3"/>
      <c r="LLZ67" s="3"/>
      <c r="LMA67" s="3"/>
      <c r="LMB67" s="3"/>
      <c r="LMC67" s="3"/>
      <c r="LMD67" s="3"/>
      <c r="LME67" s="3"/>
      <c r="LMF67" s="3"/>
      <c r="LMG67" s="3"/>
      <c r="LMH67" s="3"/>
      <c r="LMI67" s="3"/>
      <c r="LMJ67" s="3"/>
      <c r="LMK67" s="3"/>
      <c r="LML67" s="3"/>
      <c r="LMM67" s="3"/>
      <c r="LMN67" s="3"/>
      <c r="LMO67" s="3"/>
      <c r="LMP67" s="3"/>
      <c r="LMQ67" s="3"/>
      <c r="LMR67" s="3"/>
      <c r="LMS67" s="3"/>
      <c r="LMT67" s="3"/>
      <c r="LMU67" s="3"/>
      <c r="LMV67" s="3"/>
      <c r="LMW67" s="3"/>
      <c r="LMX67" s="3"/>
      <c r="LMY67" s="3"/>
      <c r="LMZ67" s="3"/>
      <c r="LNA67" s="3"/>
      <c r="LNB67" s="3"/>
      <c r="LNC67" s="3"/>
      <c r="LND67" s="3"/>
      <c r="LNE67" s="3"/>
      <c r="LNF67" s="3"/>
      <c r="LNG67" s="3"/>
      <c r="LNH67" s="3"/>
      <c r="LNI67" s="3"/>
      <c r="LNJ67" s="3"/>
      <c r="LNK67" s="3"/>
      <c r="LNL67" s="3"/>
      <c r="LNM67" s="3"/>
      <c r="LNN67" s="3"/>
      <c r="LNO67" s="3"/>
      <c r="LNP67" s="3"/>
      <c r="LNQ67" s="3"/>
      <c r="LNR67" s="3"/>
      <c r="LNS67" s="3"/>
      <c r="LNT67" s="3"/>
      <c r="LNU67" s="3"/>
      <c r="LNV67" s="3"/>
      <c r="LNW67" s="3"/>
      <c r="LNX67" s="3"/>
      <c r="LNY67" s="3"/>
      <c r="LNZ67" s="3"/>
      <c r="LOA67" s="3"/>
      <c r="LOB67" s="3"/>
      <c r="LOC67" s="3"/>
      <c r="LOD67" s="3"/>
      <c r="LOE67" s="3"/>
      <c r="LOF67" s="3"/>
      <c r="LOG67" s="3"/>
      <c r="LOH67" s="3"/>
      <c r="LOI67" s="3"/>
      <c r="LOJ67" s="3"/>
      <c r="LOK67" s="3"/>
      <c r="LOL67" s="3"/>
      <c r="LOM67" s="3"/>
      <c r="LON67" s="3"/>
      <c r="LOO67" s="3"/>
      <c r="LOP67" s="3"/>
      <c r="LOQ67" s="3"/>
      <c r="LOR67" s="3"/>
      <c r="LOS67" s="3"/>
      <c r="LOT67" s="3"/>
      <c r="LOU67" s="3"/>
      <c r="LOV67" s="3"/>
      <c r="LOW67" s="3"/>
      <c r="LOX67" s="3"/>
      <c r="LOY67" s="3"/>
      <c r="LOZ67" s="3"/>
      <c r="LPA67" s="3"/>
      <c r="LPB67" s="3"/>
      <c r="LPC67" s="3"/>
      <c r="LPD67" s="3"/>
      <c r="LPE67" s="3"/>
      <c r="LPF67" s="3"/>
      <c r="LPG67" s="3"/>
      <c r="LPH67" s="3"/>
      <c r="LPI67" s="3"/>
      <c r="LPJ67" s="3"/>
      <c r="LPK67" s="3"/>
      <c r="LPL67" s="3"/>
      <c r="LPM67" s="3"/>
      <c r="LPN67" s="3"/>
      <c r="LPO67" s="3"/>
      <c r="LPP67" s="3"/>
      <c r="LPQ67" s="3"/>
      <c r="LPR67" s="3"/>
      <c r="LPS67" s="3"/>
      <c r="LPT67" s="3"/>
      <c r="LPU67" s="3"/>
      <c r="LPV67" s="3"/>
      <c r="LPW67" s="3"/>
      <c r="LPX67" s="3"/>
      <c r="LPY67" s="3"/>
      <c r="LPZ67" s="3"/>
      <c r="LQA67" s="3"/>
      <c r="LQB67" s="3"/>
      <c r="LQC67" s="3"/>
      <c r="LQD67" s="3"/>
      <c r="LQE67" s="3"/>
      <c r="LQF67" s="3"/>
      <c r="LQG67" s="3"/>
      <c r="LQH67" s="3"/>
      <c r="LQI67" s="3"/>
      <c r="LQJ67" s="3"/>
      <c r="LQK67" s="3"/>
      <c r="LQL67" s="3"/>
      <c r="LQM67" s="3"/>
      <c r="LQN67" s="3"/>
      <c r="LQO67" s="3"/>
      <c r="LQP67" s="3"/>
      <c r="LQQ67" s="3"/>
      <c r="LQR67" s="3"/>
      <c r="LQS67" s="3"/>
      <c r="LQT67" s="3"/>
      <c r="LQU67" s="3"/>
      <c r="LQV67" s="3"/>
      <c r="LQW67" s="3"/>
      <c r="LQX67" s="3"/>
      <c r="LQY67" s="3"/>
      <c r="LQZ67" s="3"/>
      <c r="LRA67" s="3"/>
      <c r="LRB67" s="3"/>
      <c r="LRC67" s="3"/>
      <c r="LRD67" s="3"/>
      <c r="LRE67" s="3"/>
      <c r="LRF67" s="3"/>
      <c r="LRG67" s="3"/>
      <c r="LRH67" s="3"/>
      <c r="LRI67" s="3"/>
      <c r="LRJ67" s="3"/>
      <c r="LRK67" s="3"/>
      <c r="LRL67" s="3"/>
      <c r="LRM67" s="3"/>
      <c r="LRN67" s="3"/>
      <c r="LRO67" s="3"/>
      <c r="LRP67" s="3"/>
      <c r="LRQ67" s="3"/>
      <c r="LRR67" s="3"/>
      <c r="LRS67" s="3"/>
      <c r="LRT67" s="3"/>
      <c r="LRU67" s="3"/>
      <c r="LRV67" s="3"/>
      <c r="LRW67" s="3"/>
      <c r="LRX67" s="3"/>
      <c r="LRY67" s="3"/>
      <c r="LRZ67" s="3"/>
      <c r="LSA67" s="3"/>
      <c r="LSB67" s="3"/>
      <c r="LSC67" s="3"/>
      <c r="LSD67" s="3"/>
      <c r="LSE67" s="3"/>
      <c r="LSF67" s="3"/>
      <c r="LSG67" s="3"/>
      <c r="LSH67" s="3"/>
      <c r="LSI67" s="3"/>
      <c r="LSJ67" s="3"/>
      <c r="LSK67" s="3"/>
      <c r="LSL67" s="3"/>
      <c r="LSM67" s="3"/>
      <c r="LSN67" s="3"/>
      <c r="LSO67" s="3"/>
      <c r="LSP67" s="3"/>
      <c r="LSQ67" s="3"/>
      <c r="LSR67" s="3"/>
      <c r="LSS67" s="3"/>
      <c r="LST67" s="3"/>
      <c r="LSU67" s="3"/>
      <c r="LSV67" s="3"/>
      <c r="LSW67" s="3"/>
      <c r="LSX67" s="3"/>
      <c r="LSY67" s="3"/>
      <c r="LSZ67" s="3"/>
      <c r="LTA67" s="3"/>
      <c r="LTB67" s="3"/>
      <c r="LTC67" s="3"/>
      <c r="LTD67" s="3"/>
      <c r="LTE67" s="3"/>
      <c r="LTF67" s="3"/>
      <c r="LTG67" s="3"/>
      <c r="LTH67" s="3"/>
      <c r="LTI67" s="3"/>
      <c r="LTJ67" s="3"/>
      <c r="LTK67" s="3"/>
      <c r="LTL67" s="3"/>
      <c r="LTM67" s="3"/>
      <c r="LTN67" s="3"/>
      <c r="LTO67" s="3"/>
      <c r="LTP67" s="3"/>
      <c r="LTQ67" s="3"/>
      <c r="LTR67" s="3"/>
      <c r="LTS67" s="3"/>
      <c r="LTT67" s="3"/>
      <c r="LTU67" s="3"/>
      <c r="LTV67" s="3"/>
      <c r="LTW67" s="3"/>
      <c r="LTX67" s="3"/>
      <c r="LTY67" s="3"/>
      <c r="LTZ67" s="3"/>
      <c r="LUA67" s="3"/>
      <c r="LUB67" s="3"/>
      <c r="LUC67" s="3"/>
      <c r="LUD67" s="3"/>
      <c r="LUE67" s="3"/>
      <c r="LUF67" s="3"/>
      <c r="LUG67" s="3"/>
      <c r="LUH67" s="3"/>
      <c r="LUI67" s="3"/>
      <c r="LUJ67" s="3"/>
      <c r="LUK67" s="3"/>
      <c r="LUL67" s="3"/>
      <c r="LUM67" s="3"/>
      <c r="LUN67" s="3"/>
      <c r="LUO67" s="3"/>
      <c r="LUP67" s="3"/>
      <c r="LUQ67" s="3"/>
      <c r="LUR67" s="3"/>
      <c r="LUS67" s="3"/>
      <c r="LUT67" s="3"/>
      <c r="LUU67" s="3"/>
      <c r="LUV67" s="3"/>
      <c r="LUW67" s="3"/>
      <c r="LUX67" s="3"/>
      <c r="LUY67" s="3"/>
      <c r="LUZ67" s="3"/>
      <c r="LVA67" s="3"/>
      <c r="LVB67" s="3"/>
      <c r="LVC67" s="3"/>
      <c r="LVD67" s="3"/>
      <c r="LVE67" s="3"/>
      <c r="LVF67" s="3"/>
      <c r="LVG67" s="3"/>
      <c r="LVH67" s="3"/>
      <c r="LVI67" s="3"/>
      <c r="LVJ67" s="3"/>
      <c r="LVK67" s="3"/>
      <c r="LVL67" s="3"/>
      <c r="LVM67" s="3"/>
      <c r="LVN67" s="3"/>
      <c r="LVO67" s="3"/>
      <c r="LVP67" s="3"/>
      <c r="LVQ67" s="3"/>
      <c r="LVR67" s="3"/>
      <c r="LVS67" s="3"/>
      <c r="LVT67" s="3"/>
      <c r="LVU67" s="3"/>
      <c r="LVV67" s="3"/>
      <c r="LVW67" s="3"/>
      <c r="LVX67" s="3"/>
      <c r="LVY67" s="3"/>
      <c r="LVZ67" s="3"/>
      <c r="LWA67" s="3"/>
      <c r="LWB67" s="3"/>
      <c r="LWC67" s="3"/>
      <c r="LWD67" s="3"/>
      <c r="LWE67" s="3"/>
      <c r="LWF67" s="3"/>
      <c r="LWG67" s="3"/>
      <c r="LWH67" s="3"/>
      <c r="LWI67" s="3"/>
      <c r="LWJ67" s="3"/>
      <c r="LWK67" s="3"/>
      <c r="LWL67" s="3"/>
      <c r="LWM67" s="3"/>
      <c r="LWN67" s="3"/>
      <c r="LWO67" s="3"/>
      <c r="LWP67" s="3"/>
      <c r="LWQ67" s="3"/>
      <c r="LWR67" s="3"/>
      <c r="LWS67" s="3"/>
      <c r="LWT67" s="3"/>
      <c r="LWU67" s="3"/>
      <c r="LWV67" s="3"/>
      <c r="LWW67" s="3"/>
      <c r="LWX67" s="3"/>
      <c r="LWY67" s="3"/>
      <c r="LWZ67" s="3"/>
      <c r="LXA67" s="3"/>
      <c r="LXB67" s="3"/>
      <c r="LXC67" s="3"/>
      <c r="LXD67" s="3"/>
      <c r="LXE67" s="3"/>
      <c r="LXF67" s="3"/>
      <c r="LXG67" s="3"/>
      <c r="LXH67" s="3"/>
      <c r="LXI67" s="3"/>
      <c r="LXJ67" s="3"/>
      <c r="LXK67" s="3"/>
      <c r="LXL67" s="3"/>
      <c r="LXM67" s="3"/>
      <c r="LXN67" s="3"/>
      <c r="LXO67" s="3"/>
      <c r="LXP67" s="3"/>
      <c r="LXQ67" s="3"/>
      <c r="LXR67" s="3"/>
      <c r="LXS67" s="3"/>
      <c r="LXT67" s="3"/>
      <c r="LXU67" s="3"/>
      <c r="LXV67" s="3"/>
      <c r="LXW67" s="3"/>
      <c r="LXX67" s="3"/>
      <c r="LXY67" s="3"/>
      <c r="LXZ67" s="3"/>
      <c r="LYA67" s="3"/>
      <c r="LYB67" s="3"/>
      <c r="LYC67" s="3"/>
      <c r="LYD67" s="3"/>
      <c r="LYE67" s="3"/>
      <c r="LYF67" s="3"/>
      <c r="LYG67" s="3"/>
      <c r="LYH67" s="3"/>
      <c r="LYI67" s="3"/>
      <c r="LYJ67" s="3"/>
      <c r="LYK67" s="3"/>
      <c r="LYL67" s="3"/>
      <c r="LYM67" s="3"/>
      <c r="LYN67" s="3"/>
      <c r="LYO67" s="3"/>
      <c r="LYP67" s="3"/>
      <c r="LYQ67" s="3"/>
      <c r="LYR67" s="3"/>
      <c r="LYS67" s="3"/>
      <c r="LYT67" s="3"/>
      <c r="LYU67" s="3"/>
      <c r="LYV67" s="3"/>
      <c r="LYW67" s="3"/>
      <c r="LYX67" s="3"/>
      <c r="LYY67" s="3"/>
      <c r="LYZ67" s="3"/>
      <c r="LZA67" s="3"/>
      <c r="LZB67" s="3"/>
      <c r="LZC67" s="3"/>
      <c r="LZD67" s="3"/>
      <c r="LZE67" s="3"/>
      <c r="LZF67" s="3"/>
      <c r="LZG67" s="3"/>
      <c r="LZH67" s="3"/>
      <c r="LZI67" s="3"/>
      <c r="LZJ67" s="3"/>
      <c r="LZK67" s="3"/>
      <c r="LZL67" s="3"/>
      <c r="LZM67" s="3"/>
      <c r="LZN67" s="3"/>
      <c r="LZO67" s="3"/>
      <c r="LZP67" s="3"/>
      <c r="LZQ67" s="3"/>
      <c r="LZR67" s="3"/>
      <c r="LZS67" s="3"/>
      <c r="LZT67" s="3"/>
      <c r="LZU67" s="3"/>
      <c r="LZV67" s="3"/>
      <c r="LZW67" s="3"/>
      <c r="LZX67" s="3"/>
      <c r="LZY67" s="3"/>
      <c r="LZZ67" s="3"/>
      <c r="MAA67" s="3"/>
      <c r="MAB67" s="3"/>
      <c r="MAC67" s="3"/>
      <c r="MAD67" s="3"/>
      <c r="MAE67" s="3"/>
      <c r="MAF67" s="3"/>
      <c r="MAG67" s="3"/>
      <c r="MAH67" s="3"/>
      <c r="MAI67" s="3"/>
      <c r="MAJ67" s="3"/>
      <c r="MAK67" s="3"/>
      <c r="MAL67" s="3"/>
      <c r="MAM67" s="3"/>
      <c r="MAN67" s="3"/>
      <c r="MAO67" s="3"/>
      <c r="MAP67" s="3"/>
      <c r="MAQ67" s="3"/>
      <c r="MAR67" s="3"/>
      <c r="MAS67" s="3"/>
      <c r="MAT67" s="3"/>
      <c r="MAU67" s="3"/>
      <c r="MAV67" s="3"/>
      <c r="MAW67" s="3"/>
      <c r="MAX67" s="3"/>
      <c r="MAY67" s="3"/>
      <c r="MAZ67" s="3"/>
      <c r="MBA67" s="3"/>
      <c r="MBB67" s="3"/>
      <c r="MBC67" s="3"/>
      <c r="MBD67" s="3"/>
      <c r="MBE67" s="3"/>
      <c r="MBF67" s="3"/>
      <c r="MBG67" s="3"/>
      <c r="MBH67" s="3"/>
      <c r="MBI67" s="3"/>
      <c r="MBJ67" s="3"/>
      <c r="MBK67" s="3"/>
      <c r="MBL67" s="3"/>
      <c r="MBM67" s="3"/>
      <c r="MBN67" s="3"/>
      <c r="MBO67" s="3"/>
      <c r="MBP67" s="3"/>
      <c r="MBQ67" s="3"/>
      <c r="MBR67" s="3"/>
      <c r="MBS67" s="3"/>
      <c r="MBT67" s="3"/>
      <c r="MBU67" s="3"/>
      <c r="MBV67" s="3"/>
      <c r="MBW67" s="3"/>
      <c r="MBX67" s="3"/>
      <c r="MBY67" s="3"/>
      <c r="MBZ67" s="3"/>
      <c r="MCA67" s="3"/>
      <c r="MCB67" s="3"/>
      <c r="MCC67" s="3"/>
      <c r="MCD67" s="3"/>
      <c r="MCE67" s="3"/>
      <c r="MCF67" s="3"/>
      <c r="MCG67" s="3"/>
      <c r="MCH67" s="3"/>
      <c r="MCI67" s="3"/>
      <c r="MCJ67" s="3"/>
      <c r="MCK67" s="3"/>
      <c r="MCL67" s="3"/>
      <c r="MCM67" s="3"/>
      <c r="MCN67" s="3"/>
      <c r="MCO67" s="3"/>
      <c r="MCP67" s="3"/>
      <c r="MCQ67" s="3"/>
      <c r="MCR67" s="3"/>
      <c r="MCS67" s="3"/>
      <c r="MCT67" s="3"/>
      <c r="MCU67" s="3"/>
      <c r="MCV67" s="3"/>
      <c r="MCW67" s="3"/>
      <c r="MCX67" s="3"/>
      <c r="MCY67" s="3"/>
      <c r="MCZ67" s="3"/>
      <c r="MDA67" s="3"/>
      <c r="MDB67" s="3"/>
      <c r="MDC67" s="3"/>
      <c r="MDD67" s="3"/>
      <c r="MDE67" s="3"/>
      <c r="MDF67" s="3"/>
      <c r="MDG67" s="3"/>
      <c r="MDH67" s="3"/>
      <c r="MDI67" s="3"/>
      <c r="MDJ67" s="3"/>
      <c r="MDK67" s="3"/>
      <c r="MDL67" s="3"/>
      <c r="MDM67" s="3"/>
      <c r="MDN67" s="3"/>
      <c r="MDO67" s="3"/>
      <c r="MDP67" s="3"/>
      <c r="MDQ67" s="3"/>
      <c r="MDR67" s="3"/>
      <c r="MDS67" s="3"/>
      <c r="MDT67" s="3"/>
      <c r="MDU67" s="3"/>
      <c r="MDV67" s="3"/>
      <c r="MDW67" s="3"/>
      <c r="MDX67" s="3"/>
      <c r="MDY67" s="3"/>
      <c r="MDZ67" s="3"/>
      <c r="MEA67" s="3"/>
      <c r="MEB67" s="3"/>
      <c r="MEC67" s="3"/>
      <c r="MED67" s="3"/>
      <c r="MEE67" s="3"/>
      <c r="MEF67" s="3"/>
      <c r="MEG67" s="3"/>
      <c r="MEH67" s="3"/>
      <c r="MEI67" s="3"/>
      <c r="MEJ67" s="3"/>
      <c r="MEK67" s="3"/>
      <c r="MEL67" s="3"/>
      <c r="MEM67" s="3"/>
      <c r="MEN67" s="3"/>
      <c r="MEO67" s="3"/>
      <c r="MEP67" s="3"/>
      <c r="MEQ67" s="3"/>
      <c r="MER67" s="3"/>
      <c r="MES67" s="3"/>
      <c r="MET67" s="3"/>
      <c r="MEU67" s="3"/>
      <c r="MEV67" s="3"/>
      <c r="MEW67" s="3"/>
      <c r="MEX67" s="3"/>
      <c r="MEY67" s="3"/>
      <c r="MEZ67" s="3"/>
      <c r="MFA67" s="3"/>
      <c r="MFB67" s="3"/>
      <c r="MFC67" s="3"/>
      <c r="MFD67" s="3"/>
      <c r="MFE67" s="3"/>
      <c r="MFF67" s="3"/>
      <c r="MFG67" s="3"/>
      <c r="MFH67" s="3"/>
      <c r="MFI67" s="3"/>
      <c r="MFJ67" s="3"/>
      <c r="MFK67" s="3"/>
      <c r="MFL67" s="3"/>
      <c r="MFM67" s="3"/>
      <c r="MFN67" s="3"/>
      <c r="MFO67" s="3"/>
      <c r="MFP67" s="3"/>
      <c r="MFQ67" s="3"/>
      <c r="MFR67" s="3"/>
      <c r="MFS67" s="3"/>
      <c r="MFT67" s="3"/>
      <c r="MFU67" s="3"/>
      <c r="MFV67" s="3"/>
      <c r="MFW67" s="3"/>
      <c r="MFX67" s="3"/>
      <c r="MFY67" s="3"/>
      <c r="MFZ67" s="3"/>
      <c r="MGA67" s="3"/>
      <c r="MGB67" s="3"/>
      <c r="MGC67" s="3"/>
      <c r="MGD67" s="3"/>
      <c r="MGE67" s="3"/>
      <c r="MGF67" s="3"/>
      <c r="MGG67" s="3"/>
      <c r="MGH67" s="3"/>
      <c r="MGI67" s="3"/>
      <c r="MGJ67" s="3"/>
      <c r="MGK67" s="3"/>
      <c r="MGL67" s="3"/>
      <c r="MGM67" s="3"/>
      <c r="MGN67" s="3"/>
      <c r="MGO67" s="3"/>
      <c r="MGP67" s="3"/>
      <c r="MGQ67" s="3"/>
      <c r="MGR67" s="3"/>
      <c r="MGS67" s="3"/>
      <c r="MGT67" s="3"/>
      <c r="MGU67" s="3"/>
      <c r="MGV67" s="3"/>
      <c r="MGW67" s="3"/>
      <c r="MGX67" s="3"/>
      <c r="MGY67" s="3"/>
      <c r="MGZ67" s="3"/>
      <c r="MHA67" s="3"/>
      <c r="MHB67" s="3"/>
      <c r="MHC67" s="3"/>
      <c r="MHD67" s="3"/>
      <c r="MHE67" s="3"/>
      <c r="MHF67" s="3"/>
      <c r="MHG67" s="3"/>
      <c r="MHH67" s="3"/>
      <c r="MHI67" s="3"/>
      <c r="MHJ67" s="3"/>
      <c r="MHK67" s="3"/>
      <c r="MHL67" s="3"/>
      <c r="MHM67" s="3"/>
      <c r="MHN67" s="3"/>
      <c r="MHO67" s="3"/>
      <c r="MHP67" s="3"/>
      <c r="MHQ67" s="3"/>
      <c r="MHR67" s="3"/>
      <c r="MHS67" s="3"/>
      <c r="MHT67" s="3"/>
      <c r="MHU67" s="3"/>
      <c r="MHV67" s="3"/>
      <c r="MHW67" s="3"/>
      <c r="MHX67" s="3"/>
      <c r="MHY67" s="3"/>
      <c r="MHZ67" s="3"/>
      <c r="MIA67" s="3"/>
      <c r="MIB67" s="3"/>
      <c r="MIC67" s="3"/>
      <c r="MID67" s="3"/>
      <c r="MIE67" s="3"/>
      <c r="MIF67" s="3"/>
      <c r="MIG67" s="3"/>
      <c r="MIH67" s="3"/>
      <c r="MII67" s="3"/>
      <c r="MIJ67" s="3"/>
      <c r="MIK67" s="3"/>
      <c r="MIL67" s="3"/>
      <c r="MIM67" s="3"/>
      <c r="MIN67" s="3"/>
      <c r="MIO67" s="3"/>
      <c r="MIP67" s="3"/>
      <c r="MIQ67" s="3"/>
      <c r="MIR67" s="3"/>
      <c r="MIS67" s="3"/>
      <c r="MIT67" s="3"/>
      <c r="MIU67" s="3"/>
      <c r="MIV67" s="3"/>
      <c r="MIW67" s="3"/>
      <c r="MIX67" s="3"/>
      <c r="MIY67" s="3"/>
      <c r="MIZ67" s="3"/>
      <c r="MJA67" s="3"/>
      <c r="MJB67" s="3"/>
      <c r="MJC67" s="3"/>
      <c r="MJD67" s="3"/>
      <c r="MJE67" s="3"/>
      <c r="MJF67" s="3"/>
      <c r="MJG67" s="3"/>
      <c r="MJH67" s="3"/>
      <c r="MJI67" s="3"/>
      <c r="MJJ67" s="3"/>
      <c r="MJK67" s="3"/>
      <c r="MJL67" s="3"/>
      <c r="MJM67" s="3"/>
      <c r="MJN67" s="3"/>
      <c r="MJO67" s="3"/>
      <c r="MJP67" s="3"/>
      <c r="MJQ67" s="3"/>
      <c r="MJR67" s="3"/>
      <c r="MJS67" s="3"/>
      <c r="MJT67" s="3"/>
      <c r="MJU67" s="3"/>
      <c r="MJV67" s="3"/>
      <c r="MJW67" s="3"/>
      <c r="MJX67" s="3"/>
      <c r="MJY67" s="3"/>
      <c r="MJZ67" s="3"/>
      <c r="MKA67" s="3"/>
      <c r="MKB67" s="3"/>
      <c r="MKC67" s="3"/>
      <c r="MKD67" s="3"/>
      <c r="MKE67" s="3"/>
      <c r="MKF67" s="3"/>
      <c r="MKG67" s="3"/>
      <c r="MKH67" s="3"/>
      <c r="MKI67" s="3"/>
      <c r="MKJ67" s="3"/>
      <c r="MKK67" s="3"/>
      <c r="MKL67" s="3"/>
      <c r="MKM67" s="3"/>
      <c r="MKN67" s="3"/>
      <c r="MKO67" s="3"/>
      <c r="MKP67" s="3"/>
      <c r="MKQ67" s="3"/>
      <c r="MKR67" s="3"/>
      <c r="MKS67" s="3"/>
      <c r="MKT67" s="3"/>
      <c r="MKU67" s="3"/>
      <c r="MKV67" s="3"/>
      <c r="MKW67" s="3"/>
      <c r="MKX67" s="3"/>
      <c r="MKY67" s="3"/>
      <c r="MKZ67" s="3"/>
      <c r="MLA67" s="3"/>
      <c r="MLB67" s="3"/>
      <c r="MLC67" s="3"/>
      <c r="MLD67" s="3"/>
      <c r="MLE67" s="3"/>
      <c r="MLF67" s="3"/>
      <c r="MLG67" s="3"/>
      <c r="MLH67" s="3"/>
      <c r="MLI67" s="3"/>
      <c r="MLJ67" s="3"/>
      <c r="MLK67" s="3"/>
      <c r="MLL67" s="3"/>
      <c r="MLM67" s="3"/>
      <c r="MLN67" s="3"/>
      <c r="MLO67" s="3"/>
      <c r="MLP67" s="3"/>
      <c r="MLQ67" s="3"/>
      <c r="MLR67" s="3"/>
      <c r="MLS67" s="3"/>
      <c r="MLT67" s="3"/>
      <c r="MLU67" s="3"/>
      <c r="MLV67" s="3"/>
      <c r="MLW67" s="3"/>
      <c r="MLX67" s="3"/>
      <c r="MLY67" s="3"/>
      <c r="MLZ67" s="3"/>
      <c r="MMA67" s="3"/>
      <c r="MMB67" s="3"/>
      <c r="MMC67" s="3"/>
      <c r="MMD67" s="3"/>
      <c r="MME67" s="3"/>
      <c r="MMF67" s="3"/>
      <c r="MMG67" s="3"/>
      <c r="MMH67" s="3"/>
      <c r="MMI67" s="3"/>
      <c r="MMJ67" s="3"/>
      <c r="MMK67" s="3"/>
      <c r="MML67" s="3"/>
      <c r="MMM67" s="3"/>
      <c r="MMN67" s="3"/>
      <c r="MMO67" s="3"/>
      <c r="MMP67" s="3"/>
      <c r="MMQ67" s="3"/>
      <c r="MMR67" s="3"/>
      <c r="MMS67" s="3"/>
      <c r="MMT67" s="3"/>
      <c r="MMU67" s="3"/>
      <c r="MMV67" s="3"/>
      <c r="MMW67" s="3"/>
      <c r="MMX67" s="3"/>
      <c r="MMY67" s="3"/>
      <c r="MMZ67" s="3"/>
      <c r="MNA67" s="3"/>
      <c r="MNB67" s="3"/>
      <c r="MNC67" s="3"/>
      <c r="MND67" s="3"/>
      <c r="MNE67" s="3"/>
      <c r="MNF67" s="3"/>
      <c r="MNG67" s="3"/>
      <c r="MNH67" s="3"/>
      <c r="MNI67" s="3"/>
      <c r="MNJ67" s="3"/>
      <c r="MNK67" s="3"/>
      <c r="MNL67" s="3"/>
      <c r="MNM67" s="3"/>
      <c r="MNN67" s="3"/>
      <c r="MNO67" s="3"/>
      <c r="MNP67" s="3"/>
      <c r="MNQ67" s="3"/>
      <c r="MNR67" s="3"/>
      <c r="MNS67" s="3"/>
      <c r="MNT67" s="3"/>
      <c r="MNU67" s="3"/>
      <c r="MNV67" s="3"/>
      <c r="MNW67" s="3"/>
      <c r="MNX67" s="3"/>
      <c r="MNY67" s="3"/>
      <c r="MNZ67" s="3"/>
      <c r="MOA67" s="3"/>
      <c r="MOB67" s="3"/>
      <c r="MOC67" s="3"/>
      <c r="MOD67" s="3"/>
      <c r="MOE67" s="3"/>
      <c r="MOF67" s="3"/>
      <c r="MOG67" s="3"/>
      <c r="MOH67" s="3"/>
      <c r="MOI67" s="3"/>
      <c r="MOJ67" s="3"/>
      <c r="MOK67" s="3"/>
      <c r="MOL67" s="3"/>
      <c r="MOM67" s="3"/>
      <c r="MON67" s="3"/>
      <c r="MOO67" s="3"/>
      <c r="MOP67" s="3"/>
      <c r="MOQ67" s="3"/>
      <c r="MOR67" s="3"/>
      <c r="MOS67" s="3"/>
      <c r="MOT67" s="3"/>
      <c r="MOU67" s="3"/>
      <c r="MOV67" s="3"/>
      <c r="MOW67" s="3"/>
      <c r="MOX67" s="3"/>
      <c r="MOY67" s="3"/>
      <c r="MOZ67" s="3"/>
      <c r="MPA67" s="3"/>
      <c r="MPB67" s="3"/>
      <c r="MPC67" s="3"/>
      <c r="MPD67" s="3"/>
      <c r="MPE67" s="3"/>
      <c r="MPF67" s="3"/>
      <c r="MPG67" s="3"/>
      <c r="MPH67" s="3"/>
      <c r="MPI67" s="3"/>
      <c r="MPJ67" s="3"/>
      <c r="MPK67" s="3"/>
      <c r="MPL67" s="3"/>
      <c r="MPM67" s="3"/>
      <c r="MPN67" s="3"/>
      <c r="MPO67" s="3"/>
      <c r="MPP67" s="3"/>
      <c r="MPQ67" s="3"/>
      <c r="MPR67" s="3"/>
      <c r="MPS67" s="3"/>
      <c r="MPT67" s="3"/>
      <c r="MPU67" s="3"/>
      <c r="MPV67" s="3"/>
      <c r="MPW67" s="3"/>
      <c r="MPX67" s="3"/>
      <c r="MPY67" s="3"/>
      <c r="MPZ67" s="3"/>
      <c r="MQA67" s="3"/>
      <c r="MQB67" s="3"/>
      <c r="MQC67" s="3"/>
      <c r="MQD67" s="3"/>
      <c r="MQE67" s="3"/>
      <c r="MQF67" s="3"/>
      <c r="MQG67" s="3"/>
      <c r="MQH67" s="3"/>
      <c r="MQI67" s="3"/>
      <c r="MQJ67" s="3"/>
      <c r="MQK67" s="3"/>
      <c r="MQL67" s="3"/>
      <c r="MQM67" s="3"/>
      <c r="MQN67" s="3"/>
      <c r="MQO67" s="3"/>
      <c r="MQP67" s="3"/>
      <c r="MQQ67" s="3"/>
      <c r="MQR67" s="3"/>
      <c r="MQS67" s="3"/>
      <c r="MQT67" s="3"/>
      <c r="MQU67" s="3"/>
      <c r="MQV67" s="3"/>
      <c r="MQW67" s="3"/>
      <c r="MQX67" s="3"/>
      <c r="MQY67" s="3"/>
      <c r="MQZ67" s="3"/>
      <c r="MRA67" s="3"/>
      <c r="MRB67" s="3"/>
      <c r="MRC67" s="3"/>
      <c r="MRD67" s="3"/>
      <c r="MRE67" s="3"/>
      <c r="MRF67" s="3"/>
      <c r="MRG67" s="3"/>
      <c r="MRH67" s="3"/>
      <c r="MRI67" s="3"/>
      <c r="MRJ67" s="3"/>
      <c r="MRK67" s="3"/>
      <c r="MRL67" s="3"/>
      <c r="MRM67" s="3"/>
      <c r="MRN67" s="3"/>
      <c r="MRO67" s="3"/>
      <c r="MRP67" s="3"/>
      <c r="MRQ67" s="3"/>
      <c r="MRR67" s="3"/>
      <c r="MRS67" s="3"/>
      <c r="MRT67" s="3"/>
      <c r="MRU67" s="3"/>
      <c r="MRV67" s="3"/>
      <c r="MRW67" s="3"/>
      <c r="MRX67" s="3"/>
      <c r="MRY67" s="3"/>
      <c r="MRZ67" s="3"/>
      <c r="MSA67" s="3"/>
      <c r="MSB67" s="3"/>
      <c r="MSC67" s="3"/>
      <c r="MSD67" s="3"/>
      <c r="MSE67" s="3"/>
      <c r="MSF67" s="3"/>
      <c r="MSG67" s="3"/>
      <c r="MSH67" s="3"/>
      <c r="MSI67" s="3"/>
      <c r="MSJ67" s="3"/>
      <c r="MSK67" s="3"/>
      <c r="MSL67" s="3"/>
      <c r="MSM67" s="3"/>
      <c r="MSN67" s="3"/>
      <c r="MSO67" s="3"/>
      <c r="MSP67" s="3"/>
      <c r="MSQ67" s="3"/>
      <c r="MSR67" s="3"/>
      <c r="MSS67" s="3"/>
      <c r="MST67" s="3"/>
      <c r="MSU67" s="3"/>
      <c r="MSV67" s="3"/>
      <c r="MSW67" s="3"/>
      <c r="MSX67" s="3"/>
      <c r="MSY67" s="3"/>
      <c r="MSZ67" s="3"/>
      <c r="MTA67" s="3"/>
      <c r="MTB67" s="3"/>
      <c r="MTC67" s="3"/>
      <c r="MTD67" s="3"/>
      <c r="MTE67" s="3"/>
      <c r="MTF67" s="3"/>
      <c r="MTG67" s="3"/>
      <c r="MTH67" s="3"/>
      <c r="MTI67" s="3"/>
      <c r="MTJ67" s="3"/>
      <c r="MTK67" s="3"/>
      <c r="MTL67" s="3"/>
      <c r="MTM67" s="3"/>
      <c r="MTN67" s="3"/>
      <c r="MTO67" s="3"/>
      <c r="MTP67" s="3"/>
      <c r="MTQ67" s="3"/>
      <c r="MTR67" s="3"/>
      <c r="MTS67" s="3"/>
      <c r="MTT67" s="3"/>
      <c r="MTU67" s="3"/>
      <c r="MTV67" s="3"/>
      <c r="MTW67" s="3"/>
      <c r="MTX67" s="3"/>
      <c r="MTY67" s="3"/>
      <c r="MTZ67" s="3"/>
      <c r="MUA67" s="3"/>
      <c r="MUB67" s="3"/>
      <c r="MUC67" s="3"/>
      <c r="MUD67" s="3"/>
      <c r="MUE67" s="3"/>
      <c r="MUF67" s="3"/>
      <c r="MUG67" s="3"/>
      <c r="MUH67" s="3"/>
      <c r="MUI67" s="3"/>
      <c r="MUJ67" s="3"/>
      <c r="MUK67" s="3"/>
      <c r="MUL67" s="3"/>
      <c r="MUM67" s="3"/>
      <c r="MUN67" s="3"/>
      <c r="MUO67" s="3"/>
      <c r="MUP67" s="3"/>
      <c r="MUQ67" s="3"/>
      <c r="MUR67" s="3"/>
      <c r="MUS67" s="3"/>
      <c r="MUT67" s="3"/>
      <c r="MUU67" s="3"/>
      <c r="MUV67" s="3"/>
      <c r="MUW67" s="3"/>
      <c r="MUX67" s="3"/>
      <c r="MUY67" s="3"/>
      <c r="MUZ67" s="3"/>
      <c r="MVA67" s="3"/>
      <c r="MVB67" s="3"/>
      <c r="MVC67" s="3"/>
      <c r="MVD67" s="3"/>
      <c r="MVE67" s="3"/>
      <c r="MVF67" s="3"/>
      <c r="MVG67" s="3"/>
      <c r="MVH67" s="3"/>
      <c r="MVI67" s="3"/>
      <c r="MVJ67" s="3"/>
      <c r="MVK67" s="3"/>
      <c r="MVL67" s="3"/>
      <c r="MVM67" s="3"/>
      <c r="MVN67" s="3"/>
      <c r="MVO67" s="3"/>
      <c r="MVP67" s="3"/>
      <c r="MVQ67" s="3"/>
      <c r="MVR67" s="3"/>
      <c r="MVS67" s="3"/>
      <c r="MVT67" s="3"/>
      <c r="MVU67" s="3"/>
      <c r="MVV67" s="3"/>
      <c r="MVW67" s="3"/>
      <c r="MVX67" s="3"/>
      <c r="MVY67" s="3"/>
      <c r="MVZ67" s="3"/>
      <c r="MWA67" s="3"/>
      <c r="MWB67" s="3"/>
      <c r="MWC67" s="3"/>
      <c r="MWD67" s="3"/>
      <c r="MWE67" s="3"/>
      <c r="MWF67" s="3"/>
      <c r="MWG67" s="3"/>
      <c r="MWH67" s="3"/>
      <c r="MWI67" s="3"/>
      <c r="MWJ67" s="3"/>
      <c r="MWK67" s="3"/>
      <c r="MWL67" s="3"/>
      <c r="MWM67" s="3"/>
      <c r="MWN67" s="3"/>
      <c r="MWO67" s="3"/>
      <c r="MWP67" s="3"/>
      <c r="MWQ67" s="3"/>
      <c r="MWR67" s="3"/>
      <c r="MWS67" s="3"/>
      <c r="MWT67" s="3"/>
      <c r="MWU67" s="3"/>
      <c r="MWV67" s="3"/>
      <c r="MWW67" s="3"/>
      <c r="MWX67" s="3"/>
      <c r="MWY67" s="3"/>
      <c r="MWZ67" s="3"/>
      <c r="MXA67" s="3"/>
      <c r="MXB67" s="3"/>
      <c r="MXC67" s="3"/>
      <c r="MXD67" s="3"/>
      <c r="MXE67" s="3"/>
      <c r="MXF67" s="3"/>
      <c r="MXG67" s="3"/>
      <c r="MXH67" s="3"/>
      <c r="MXI67" s="3"/>
      <c r="MXJ67" s="3"/>
      <c r="MXK67" s="3"/>
      <c r="MXL67" s="3"/>
      <c r="MXM67" s="3"/>
      <c r="MXN67" s="3"/>
      <c r="MXO67" s="3"/>
      <c r="MXP67" s="3"/>
      <c r="MXQ67" s="3"/>
      <c r="MXR67" s="3"/>
      <c r="MXS67" s="3"/>
      <c r="MXT67" s="3"/>
      <c r="MXU67" s="3"/>
      <c r="MXV67" s="3"/>
      <c r="MXW67" s="3"/>
      <c r="MXX67" s="3"/>
      <c r="MXY67" s="3"/>
      <c r="MXZ67" s="3"/>
      <c r="MYA67" s="3"/>
      <c r="MYB67" s="3"/>
      <c r="MYC67" s="3"/>
      <c r="MYD67" s="3"/>
      <c r="MYE67" s="3"/>
      <c r="MYF67" s="3"/>
      <c r="MYG67" s="3"/>
      <c r="MYH67" s="3"/>
      <c r="MYI67" s="3"/>
      <c r="MYJ67" s="3"/>
      <c r="MYK67" s="3"/>
      <c r="MYL67" s="3"/>
      <c r="MYM67" s="3"/>
      <c r="MYN67" s="3"/>
      <c r="MYO67" s="3"/>
      <c r="MYP67" s="3"/>
      <c r="MYQ67" s="3"/>
      <c r="MYR67" s="3"/>
      <c r="MYS67" s="3"/>
      <c r="MYT67" s="3"/>
      <c r="MYU67" s="3"/>
      <c r="MYV67" s="3"/>
      <c r="MYW67" s="3"/>
      <c r="MYX67" s="3"/>
      <c r="MYY67" s="3"/>
      <c r="MYZ67" s="3"/>
      <c r="MZA67" s="3"/>
      <c r="MZB67" s="3"/>
      <c r="MZC67" s="3"/>
      <c r="MZD67" s="3"/>
      <c r="MZE67" s="3"/>
      <c r="MZF67" s="3"/>
      <c r="MZG67" s="3"/>
      <c r="MZH67" s="3"/>
      <c r="MZI67" s="3"/>
      <c r="MZJ67" s="3"/>
      <c r="MZK67" s="3"/>
      <c r="MZL67" s="3"/>
      <c r="MZM67" s="3"/>
      <c r="MZN67" s="3"/>
      <c r="MZO67" s="3"/>
      <c r="MZP67" s="3"/>
      <c r="MZQ67" s="3"/>
      <c r="MZR67" s="3"/>
      <c r="MZS67" s="3"/>
      <c r="MZT67" s="3"/>
      <c r="MZU67" s="3"/>
      <c r="MZV67" s="3"/>
      <c r="MZW67" s="3"/>
      <c r="MZX67" s="3"/>
      <c r="MZY67" s="3"/>
      <c r="MZZ67" s="3"/>
      <c r="NAA67" s="3"/>
      <c r="NAB67" s="3"/>
      <c r="NAC67" s="3"/>
      <c r="NAD67" s="3"/>
      <c r="NAE67" s="3"/>
      <c r="NAF67" s="3"/>
      <c r="NAG67" s="3"/>
      <c r="NAH67" s="3"/>
      <c r="NAI67" s="3"/>
      <c r="NAJ67" s="3"/>
      <c r="NAK67" s="3"/>
      <c r="NAL67" s="3"/>
      <c r="NAM67" s="3"/>
      <c r="NAN67" s="3"/>
      <c r="NAO67" s="3"/>
      <c r="NAP67" s="3"/>
      <c r="NAQ67" s="3"/>
      <c r="NAR67" s="3"/>
      <c r="NAS67" s="3"/>
      <c r="NAT67" s="3"/>
      <c r="NAU67" s="3"/>
      <c r="NAV67" s="3"/>
      <c r="NAW67" s="3"/>
      <c r="NAX67" s="3"/>
      <c r="NAY67" s="3"/>
      <c r="NAZ67" s="3"/>
      <c r="NBA67" s="3"/>
      <c r="NBB67" s="3"/>
      <c r="NBC67" s="3"/>
      <c r="NBD67" s="3"/>
      <c r="NBE67" s="3"/>
      <c r="NBF67" s="3"/>
      <c r="NBG67" s="3"/>
      <c r="NBH67" s="3"/>
      <c r="NBI67" s="3"/>
      <c r="NBJ67" s="3"/>
      <c r="NBK67" s="3"/>
      <c r="NBL67" s="3"/>
      <c r="NBM67" s="3"/>
      <c r="NBN67" s="3"/>
      <c r="NBO67" s="3"/>
      <c r="NBP67" s="3"/>
      <c r="NBQ67" s="3"/>
      <c r="NBR67" s="3"/>
      <c r="NBS67" s="3"/>
      <c r="NBT67" s="3"/>
      <c r="NBU67" s="3"/>
      <c r="NBV67" s="3"/>
      <c r="NBW67" s="3"/>
      <c r="NBX67" s="3"/>
      <c r="NBY67" s="3"/>
      <c r="NBZ67" s="3"/>
      <c r="NCA67" s="3"/>
      <c r="NCB67" s="3"/>
      <c r="NCC67" s="3"/>
      <c r="NCD67" s="3"/>
      <c r="NCE67" s="3"/>
      <c r="NCF67" s="3"/>
      <c r="NCG67" s="3"/>
      <c r="NCH67" s="3"/>
      <c r="NCI67" s="3"/>
      <c r="NCJ67" s="3"/>
      <c r="NCK67" s="3"/>
      <c r="NCL67" s="3"/>
      <c r="NCM67" s="3"/>
      <c r="NCN67" s="3"/>
      <c r="NCO67" s="3"/>
      <c r="NCP67" s="3"/>
      <c r="NCQ67" s="3"/>
      <c r="NCR67" s="3"/>
      <c r="NCS67" s="3"/>
      <c r="NCT67" s="3"/>
      <c r="NCU67" s="3"/>
      <c r="NCV67" s="3"/>
      <c r="NCW67" s="3"/>
      <c r="NCX67" s="3"/>
      <c r="NCY67" s="3"/>
      <c r="NCZ67" s="3"/>
      <c r="NDA67" s="3"/>
      <c r="NDB67" s="3"/>
      <c r="NDC67" s="3"/>
      <c r="NDD67" s="3"/>
      <c r="NDE67" s="3"/>
      <c r="NDF67" s="3"/>
      <c r="NDG67" s="3"/>
      <c r="NDH67" s="3"/>
      <c r="NDI67" s="3"/>
      <c r="NDJ67" s="3"/>
      <c r="NDK67" s="3"/>
      <c r="NDL67" s="3"/>
      <c r="NDM67" s="3"/>
      <c r="NDN67" s="3"/>
      <c r="NDO67" s="3"/>
      <c r="NDP67" s="3"/>
      <c r="NDQ67" s="3"/>
      <c r="NDR67" s="3"/>
      <c r="NDS67" s="3"/>
      <c r="NDT67" s="3"/>
      <c r="NDU67" s="3"/>
      <c r="NDV67" s="3"/>
      <c r="NDW67" s="3"/>
      <c r="NDX67" s="3"/>
      <c r="NDY67" s="3"/>
      <c r="NDZ67" s="3"/>
      <c r="NEA67" s="3"/>
      <c r="NEB67" s="3"/>
      <c r="NEC67" s="3"/>
      <c r="NED67" s="3"/>
      <c r="NEE67" s="3"/>
      <c r="NEF67" s="3"/>
      <c r="NEG67" s="3"/>
      <c r="NEH67" s="3"/>
      <c r="NEI67" s="3"/>
      <c r="NEJ67" s="3"/>
      <c r="NEK67" s="3"/>
      <c r="NEL67" s="3"/>
      <c r="NEM67" s="3"/>
      <c r="NEN67" s="3"/>
      <c r="NEO67" s="3"/>
      <c r="NEP67" s="3"/>
      <c r="NEQ67" s="3"/>
      <c r="NER67" s="3"/>
      <c r="NES67" s="3"/>
      <c r="NET67" s="3"/>
      <c r="NEU67" s="3"/>
      <c r="NEV67" s="3"/>
      <c r="NEW67" s="3"/>
      <c r="NEX67" s="3"/>
      <c r="NEY67" s="3"/>
      <c r="NEZ67" s="3"/>
      <c r="NFA67" s="3"/>
      <c r="NFB67" s="3"/>
      <c r="NFC67" s="3"/>
      <c r="NFD67" s="3"/>
      <c r="NFE67" s="3"/>
      <c r="NFF67" s="3"/>
      <c r="NFG67" s="3"/>
      <c r="NFH67" s="3"/>
      <c r="NFI67" s="3"/>
      <c r="NFJ67" s="3"/>
      <c r="NFK67" s="3"/>
      <c r="NFL67" s="3"/>
      <c r="NFM67" s="3"/>
      <c r="NFN67" s="3"/>
      <c r="NFO67" s="3"/>
      <c r="NFP67" s="3"/>
      <c r="NFQ67" s="3"/>
      <c r="NFR67" s="3"/>
      <c r="NFS67" s="3"/>
      <c r="NFT67" s="3"/>
      <c r="NFU67" s="3"/>
      <c r="NFV67" s="3"/>
      <c r="NFW67" s="3"/>
      <c r="NFX67" s="3"/>
      <c r="NFY67" s="3"/>
      <c r="NFZ67" s="3"/>
      <c r="NGA67" s="3"/>
      <c r="NGB67" s="3"/>
      <c r="NGC67" s="3"/>
      <c r="NGD67" s="3"/>
      <c r="NGE67" s="3"/>
      <c r="NGF67" s="3"/>
      <c r="NGG67" s="3"/>
      <c r="NGH67" s="3"/>
      <c r="NGI67" s="3"/>
      <c r="NGJ67" s="3"/>
      <c r="NGK67" s="3"/>
      <c r="NGL67" s="3"/>
      <c r="NGM67" s="3"/>
      <c r="NGN67" s="3"/>
      <c r="NGO67" s="3"/>
      <c r="NGP67" s="3"/>
      <c r="NGQ67" s="3"/>
      <c r="NGR67" s="3"/>
      <c r="NGS67" s="3"/>
      <c r="NGT67" s="3"/>
      <c r="NGU67" s="3"/>
      <c r="NGV67" s="3"/>
      <c r="NGW67" s="3"/>
      <c r="NGX67" s="3"/>
      <c r="NGY67" s="3"/>
      <c r="NGZ67" s="3"/>
      <c r="NHA67" s="3"/>
      <c r="NHB67" s="3"/>
      <c r="NHC67" s="3"/>
      <c r="NHD67" s="3"/>
      <c r="NHE67" s="3"/>
      <c r="NHF67" s="3"/>
      <c r="NHG67" s="3"/>
      <c r="NHH67" s="3"/>
      <c r="NHI67" s="3"/>
      <c r="NHJ67" s="3"/>
      <c r="NHK67" s="3"/>
      <c r="NHL67" s="3"/>
      <c r="NHM67" s="3"/>
      <c r="NHN67" s="3"/>
      <c r="NHO67" s="3"/>
      <c r="NHP67" s="3"/>
      <c r="NHQ67" s="3"/>
      <c r="NHR67" s="3"/>
      <c r="NHS67" s="3"/>
      <c r="NHT67" s="3"/>
      <c r="NHU67" s="3"/>
      <c r="NHV67" s="3"/>
      <c r="NHW67" s="3"/>
      <c r="NHX67" s="3"/>
      <c r="NHY67" s="3"/>
      <c r="NHZ67" s="3"/>
      <c r="NIA67" s="3"/>
      <c r="NIB67" s="3"/>
      <c r="NIC67" s="3"/>
      <c r="NID67" s="3"/>
      <c r="NIE67" s="3"/>
      <c r="NIF67" s="3"/>
      <c r="NIG67" s="3"/>
      <c r="NIH67" s="3"/>
      <c r="NII67" s="3"/>
      <c r="NIJ67" s="3"/>
      <c r="NIK67" s="3"/>
      <c r="NIL67" s="3"/>
      <c r="NIM67" s="3"/>
      <c r="NIN67" s="3"/>
      <c r="NIO67" s="3"/>
      <c r="NIP67" s="3"/>
      <c r="NIQ67" s="3"/>
      <c r="NIR67" s="3"/>
      <c r="NIS67" s="3"/>
      <c r="NIT67" s="3"/>
      <c r="NIU67" s="3"/>
      <c r="NIV67" s="3"/>
      <c r="NIW67" s="3"/>
      <c r="NIX67" s="3"/>
      <c r="NIY67" s="3"/>
      <c r="NIZ67" s="3"/>
      <c r="NJA67" s="3"/>
      <c r="NJB67" s="3"/>
      <c r="NJC67" s="3"/>
      <c r="NJD67" s="3"/>
      <c r="NJE67" s="3"/>
      <c r="NJF67" s="3"/>
      <c r="NJG67" s="3"/>
      <c r="NJH67" s="3"/>
      <c r="NJI67" s="3"/>
      <c r="NJJ67" s="3"/>
      <c r="NJK67" s="3"/>
      <c r="NJL67" s="3"/>
      <c r="NJM67" s="3"/>
      <c r="NJN67" s="3"/>
      <c r="NJO67" s="3"/>
      <c r="NJP67" s="3"/>
      <c r="NJQ67" s="3"/>
      <c r="NJR67" s="3"/>
      <c r="NJS67" s="3"/>
      <c r="NJT67" s="3"/>
      <c r="NJU67" s="3"/>
      <c r="NJV67" s="3"/>
      <c r="NJW67" s="3"/>
      <c r="NJX67" s="3"/>
      <c r="NJY67" s="3"/>
      <c r="NJZ67" s="3"/>
      <c r="NKA67" s="3"/>
      <c r="NKB67" s="3"/>
      <c r="NKC67" s="3"/>
      <c r="NKD67" s="3"/>
      <c r="NKE67" s="3"/>
      <c r="NKF67" s="3"/>
      <c r="NKG67" s="3"/>
      <c r="NKH67" s="3"/>
      <c r="NKI67" s="3"/>
      <c r="NKJ67" s="3"/>
      <c r="NKK67" s="3"/>
      <c r="NKL67" s="3"/>
      <c r="NKM67" s="3"/>
      <c r="NKN67" s="3"/>
      <c r="NKO67" s="3"/>
      <c r="NKP67" s="3"/>
      <c r="NKQ67" s="3"/>
      <c r="NKR67" s="3"/>
      <c r="NKS67" s="3"/>
      <c r="NKT67" s="3"/>
      <c r="NKU67" s="3"/>
      <c r="NKV67" s="3"/>
      <c r="NKW67" s="3"/>
      <c r="NKX67" s="3"/>
      <c r="NKY67" s="3"/>
      <c r="NKZ67" s="3"/>
      <c r="NLA67" s="3"/>
      <c r="NLB67" s="3"/>
      <c r="NLC67" s="3"/>
      <c r="NLD67" s="3"/>
      <c r="NLE67" s="3"/>
      <c r="NLF67" s="3"/>
      <c r="NLG67" s="3"/>
      <c r="NLH67" s="3"/>
      <c r="NLI67" s="3"/>
      <c r="NLJ67" s="3"/>
      <c r="NLK67" s="3"/>
      <c r="NLL67" s="3"/>
      <c r="NLM67" s="3"/>
      <c r="NLN67" s="3"/>
      <c r="NLO67" s="3"/>
      <c r="NLP67" s="3"/>
      <c r="NLQ67" s="3"/>
      <c r="NLR67" s="3"/>
      <c r="NLS67" s="3"/>
      <c r="NLT67" s="3"/>
      <c r="NLU67" s="3"/>
      <c r="NLV67" s="3"/>
      <c r="NLW67" s="3"/>
      <c r="NLX67" s="3"/>
      <c r="NLY67" s="3"/>
      <c r="NLZ67" s="3"/>
      <c r="NMA67" s="3"/>
      <c r="NMB67" s="3"/>
      <c r="NMC67" s="3"/>
      <c r="NMD67" s="3"/>
      <c r="NME67" s="3"/>
      <c r="NMF67" s="3"/>
      <c r="NMG67" s="3"/>
      <c r="NMH67" s="3"/>
      <c r="NMI67" s="3"/>
      <c r="NMJ67" s="3"/>
      <c r="NMK67" s="3"/>
      <c r="NML67" s="3"/>
      <c r="NMM67" s="3"/>
      <c r="NMN67" s="3"/>
      <c r="NMO67" s="3"/>
      <c r="NMP67" s="3"/>
      <c r="NMQ67" s="3"/>
      <c r="NMR67" s="3"/>
      <c r="NMS67" s="3"/>
      <c r="NMT67" s="3"/>
      <c r="NMU67" s="3"/>
      <c r="NMV67" s="3"/>
      <c r="NMW67" s="3"/>
      <c r="NMX67" s="3"/>
      <c r="NMY67" s="3"/>
      <c r="NMZ67" s="3"/>
      <c r="NNA67" s="3"/>
      <c r="NNB67" s="3"/>
      <c r="NNC67" s="3"/>
      <c r="NND67" s="3"/>
      <c r="NNE67" s="3"/>
      <c r="NNF67" s="3"/>
      <c r="NNG67" s="3"/>
      <c r="NNH67" s="3"/>
      <c r="NNI67" s="3"/>
      <c r="NNJ67" s="3"/>
      <c r="NNK67" s="3"/>
      <c r="NNL67" s="3"/>
      <c r="NNM67" s="3"/>
      <c r="NNN67" s="3"/>
      <c r="NNO67" s="3"/>
      <c r="NNP67" s="3"/>
      <c r="NNQ67" s="3"/>
      <c r="NNR67" s="3"/>
      <c r="NNS67" s="3"/>
      <c r="NNT67" s="3"/>
      <c r="NNU67" s="3"/>
      <c r="NNV67" s="3"/>
      <c r="NNW67" s="3"/>
      <c r="NNX67" s="3"/>
      <c r="NNY67" s="3"/>
      <c r="NNZ67" s="3"/>
      <c r="NOA67" s="3"/>
      <c r="NOB67" s="3"/>
      <c r="NOC67" s="3"/>
      <c r="NOD67" s="3"/>
      <c r="NOE67" s="3"/>
      <c r="NOF67" s="3"/>
      <c r="NOG67" s="3"/>
      <c r="NOH67" s="3"/>
      <c r="NOI67" s="3"/>
      <c r="NOJ67" s="3"/>
      <c r="NOK67" s="3"/>
      <c r="NOL67" s="3"/>
      <c r="NOM67" s="3"/>
      <c r="NON67" s="3"/>
      <c r="NOO67" s="3"/>
      <c r="NOP67" s="3"/>
      <c r="NOQ67" s="3"/>
      <c r="NOR67" s="3"/>
      <c r="NOS67" s="3"/>
      <c r="NOT67" s="3"/>
      <c r="NOU67" s="3"/>
      <c r="NOV67" s="3"/>
      <c r="NOW67" s="3"/>
      <c r="NOX67" s="3"/>
      <c r="NOY67" s="3"/>
      <c r="NOZ67" s="3"/>
      <c r="NPA67" s="3"/>
      <c r="NPB67" s="3"/>
      <c r="NPC67" s="3"/>
      <c r="NPD67" s="3"/>
      <c r="NPE67" s="3"/>
      <c r="NPF67" s="3"/>
      <c r="NPG67" s="3"/>
      <c r="NPH67" s="3"/>
      <c r="NPI67" s="3"/>
      <c r="NPJ67" s="3"/>
      <c r="NPK67" s="3"/>
      <c r="NPL67" s="3"/>
      <c r="NPM67" s="3"/>
      <c r="NPN67" s="3"/>
      <c r="NPO67" s="3"/>
      <c r="NPP67" s="3"/>
      <c r="NPQ67" s="3"/>
      <c r="NPR67" s="3"/>
      <c r="NPS67" s="3"/>
      <c r="NPT67" s="3"/>
      <c r="NPU67" s="3"/>
      <c r="NPV67" s="3"/>
      <c r="NPW67" s="3"/>
      <c r="NPX67" s="3"/>
      <c r="NPY67" s="3"/>
      <c r="NPZ67" s="3"/>
      <c r="NQA67" s="3"/>
      <c r="NQB67" s="3"/>
      <c r="NQC67" s="3"/>
      <c r="NQD67" s="3"/>
      <c r="NQE67" s="3"/>
      <c r="NQF67" s="3"/>
      <c r="NQG67" s="3"/>
      <c r="NQH67" s="3"/>
      <c r="NQI67" s="3"/>
      <c r="NQJ67" s="3"/>
      <c r="NQK67" s="3"/>
      <c r="NQL67" s="3"/>
      <c r="NQM67" s="3"/>
      <c r="NQN67" s="3"/>
      <c r="NQO67" s="3"/>
      <c r="NQP67" s="3"/>
      <c r="NQQ67" s="3"/>
      <c r="NQR67" s="3"/>
      <c r="NQS67" s="3"/>
      <c r="NQT67" s="3"/>
      <c r="NQU67" s="3"/>
      <c r="NQV67" s="3"/>
      <c r="NQW67" s="3"/>
      <c r="NQX67" s="3"/>
      <c r="NQY67" s="3"/>
      <c r="NQZ67" s="3"/>
      <c r="NRA67" s="3"/>
      <c r="NRB67" s="3"/>
      <c r="NRC67" s="3"/>
      <c r="NRD67" s="3"/>
      <c r="NRE67" s="3"/>
      <c r="NRF67" s="3"/>
      <c r="NRG67" s="3"/>
      <c r="NRH67" s="3"/>
      <c r="NRI67" s="3"/>
      <c r="NRJ67" s="3"/>
      <c r="NRK67" s="3"/>
      <c r="NRL67" s="3"/>
      <c r="NRM67" s="3"/>
      <c r="NRN67" s="3"/>
      <c r="NRO67" s="3"/>
      <c r="NRP67" s="3"/>
      <c r="NRQ67" s="3"/>
      <c r="NRR67" s="3"/>
      <c r="NRS67" s="3"/>
      <c r="NRT67" s="3"/>
      <c r="NRU67" s="3"/>
      <c r="NRV67" s="3"/>
      <c r="NRW67" s="3"/>
      <c r="NRX67" s="3"/>
      <c r="NRY67" s="3"/>
      <c r="NRZ67" s="3"/>
      <c r="NSA67" s="3"/>
      <c r="NSB67" s="3"/>
      <c r="NSC67" s="3"/>
      <c r="NSD67" s="3"/>
      <c r="NSE67" s="3"/>
      <c r="NSF67" s="3"/>
      <c r="NSG67" s="3"/>
      <c r="NSH67" s="3"/>
      <c r="NSI67" s="3"/>
      <c r="NSJ67" s="3"/>
      <c r="NSK67" s="3"/>
      <c r="NSL67" s="3"/>
      <c r="NSM67" s="3"/>
      <c r="NSN67" s="3"/>
      <c r="NSO67" s="3"/>
      <c r="NSP67" s="3"/>
      <c r="NSQ67" s="3"/>
      <c r="NSR67" s="3"/>
      <c r="NSS67" s="3"/>
      <c r="NST67" s="3"/>
      <c r="NSU67" s="3"/>
      <c r="NSV67" s="3"/>
      <c r="NSW67" s="3"/>
      <c r="NSX67" s="3"/>
      <c r="NSY67" s="3"/>
      <c r="NSZ67" s="3"/>
      <c r="NTA67" s="3"/>
      <c r="NTB67" s="3"/>
      <c r="NTC67" s="3"/>
      <c r="NTD67" s="3"/>
      <c r="NTE67" s="3"/>
      <c r="NTF67" s="3"/>
      <c r="NTG67" s="3"/>
      <c r="NTH67" s="3"/>
      <c r="NTI67" s="3"/>
      <c r="NTJ67" s="3"/>
      <c r="NTK67" s="3"/>
      <c r="NTL67" s="3"/>
      <c r="NTM67" s="3"/>
      <c r="NTN67" s="3"/>
      <c r="NTO67" s="3"/>
      <c r="NTP67" s="3"/>
      <c r="NTQ67" s="3"/>
      <c r="NTR67" s="3"/>
      <c r="NTS67" s="3"/>
      <c r="NTT67" s="3"/>
      <c r="NTU67" s="3"/>
      <c r="NTV67" s="3"/>
      <c r="NTW67" s="3"/>
      <c r="NTX67" s="3"/>
      <c r="NTY67" s="3"/>
      <c r="NTZ67" s="3"/>
      <c r="NUA67" s="3"/>
      <c r="NUB67" s="3"/>
      <c r="NUC67" s="3"/>
      <c r="NUD67" s="3"/>
      <c r="NUE67" s="3"/>
      <c r="NUF67" s="3"/>
      <c r="NUG67" s="3"/>
      <c r="NUH67" s="3"/>
      <c r="NUI67" s="3"/>
      <c r="NUJ67" s="3"/>
      <c r="NUK67" s="3"/>
      <c r="NUL67" s="3"/>
      <c r="NUM67" s="3"/>
      <c r="NUN67" s="3"/>
      <c r="NUO67" s="3"/>
      <c r="NUP67" s="3"/>
      <c r="NUQ67" s="3"/>
      <c r="NUR67" s="3"/>
      <c r="NUS67" s="3"/>
      <c r="NUT67" s="3"/>
      <c r="NUU67" s="3"/>
      <c r="NUV67" s="3"/>
      <c r="NUW67" s="3"/>
      <c r="NUX67" s="3"/>
      <c r="NUY67" s="3"/>
      <c r="NUZ67" s="3"/>
      <c r="NVA67" s="3"/>
      <c r="NVB67" s="3"/>
      <c r="NVC67" s="3"/>
      <c r="NVD67" s="3"/>
      <c r="NVE67" s="3"/>
      <c r="NVF67" s="3"/>
      <c r="NVG67" s="3"/>
      <c r="NVH67" s="3"/>
      <c r="NVI67" s="3"/>
      <c r="NVJ67" s="3"/>
      <c r="NVK67" s="3"/>
      <c r="NVL67" s="3"/>
      <c r="NVM67" s="3"/>
      <c r="NVN67" s="3"/>
      <c r="NVO67" s="3"/>
      <c r="NVP67" s="3"/>
      <c r="NVQ67" s="3"/>
      <c r="NVR67" s="3"/>
      <c r="NVS67" s="3"/>
      <c r="NVT67" s="3"/>
      <c r="NVU67" s="3"/>
      <c r="NVV67" s="3"/>
      <c r="NVW67" s="3"/>
      <c r="NVX67" s="3"/>
      <c r="NVY67" s="3"/>
      <c r="NVZ67" s="3"/>
      <c r="NWA67" s="3"/>
      <c r="NWB67" s="3"/>
      <c r="NWC67" s="3"/>
      <c r="NWD67" s="3"/>
      <c r="NWE67" s="3"/>
      <c r="NWF67" s="3"/>
      <c r="NWG67" s="3"/>
      <c r="NWH67" s="3"/>
      <c r="NWI67" s="3"/>
      <c r="NWJ67" s="3"/>
      <c r="NWK67" s="3"/>
      <c r="NWL67" s="3"/>
      <c r="NWM67" s="3"/>
      <c r="NWN67" s="3"/>
      <c r="NWO67" s="3"/>
      <c r="NWP67" s="3"/>
      <c r="NWQ67" s="3"/>
      <c r="NWR67" s="3"/>
      <c r="NWS67" s="3"/>
      <c r="NWT67" s="3"/>
      <c r="NWU67" s="3"/>
      <c r="NWV67" s="3"/>
      <c r="NWW67" s="3"/>
      <c r="NWX67" s="3"/>
      <c r="NWY67" s="3"/>
      <c r="NWZ67" s="3"/>
      <c r="NXA67" s="3"/>
      <c r="NXB67" s="3"/>
      <c r="NXC67" s="3"/>
      <c r="NXD67" s="3"/>
      <c r="NXE67" s="3"/>
      <c r="NXF67" s="3"/>
      <c r="NXG67" s="3"/>
      <c r="NXH67" s="3"/>
      <c r="NXI67" s="3"/>
      <c r="NXJ67" s="3"/>
      <c r="NXK67" s="3"/>
      <c r="NXL67" s="3"/>
      <c r="NXM67" s="3"/>
      <c r="NXN67" s="3"/>
      <c r="NXO67" s="3"/>
      <c r="NXP67" s="3"/>
      <c r="NXQ67" s="3"/>
      <c r="NXR67" s="3"/>
      <c r="NXS67" s="3"/>
      <c r="NXT67" s="3"/>
      <c r="NXU67" s="3"/>
      <c r="NXV67" s="3"/>
      <c r="NXW67" s="3"/>
      <c r="NXX67" s="3"/>
      <c r="NXY67" s="3"/>
      <c r="NXZ67" s="3"/>
      <c r="NYA67" s="3"/>
      <c r="NYB67" s="3"/>
      <c r="NYC67" s="3"/>
      <c r="NYD67" s="3"/>
      <c r="NYE67" s="3"/>
      <c r="NYF67" s="3"/>
      <c r="NYG67" s="3"/>
      <c r="NYH67" s="3"/>
      <c r="NYI67" s="3"/>
      <c r="NYJ67" s="3"/>
      <c r="NYK67" s="3"/>
      <c r="NYL67" s="3"/>
      <c r="NYM67" s="3"/>
      <c r="NYN67" s="3"/>
      <c r="NYO67" s="3"/>
      <c r="NYP67" s="3"/>
      <c r="NYQ67" s="3"/>
      <c r="NYR67" s="3"/>
      <c r="NYS67" s="3"/>
      <c r="NYT67" s="3"/>
      <c r="NYU67" s="3"/>
      <c r="NYV67" s="3"/>
      <c r="NYW67" s="3"/>
      <c r="NYX67" s="3"/>
      <c r="NYY67" s="3"/>
      <c r="NYZ67" s="3"/>
      <c r="NZA67" s="3"/>
      <c r="NZB67" s="3"/>
      <c r="NZC67" s="3"/>
      <c r="NZD67" s="3"/>
      <c r="NZE67" s="3"/>
      <c r="NZF67" s="3"/>
      <c r="NZG67" s="3"/>
      <c r="NZH67" s="3"/>
      <c r="NZI67" s="3"/>
      <c r="NZJ67" s="3"/>
      <c r="NZK67" s="3"/>
      <c r="NZL67" s="3"/>
      <c r="NZM67" s="3"/>
      <c r="NZN67" s="3"/>
      <c r="NZO67" s="3"/>
      <c r="NZP67" s="3"/>
      <c r="NZQ67" s="3"/>
      <c r="NZR67" s="3"/>
      <c r="NZS67" s="3"/>
      <c r="NZT67" s="3"/>
      <c r="NZU67" s="3"/>
      <c r="NZV67" s="3"/>
      <c r="NZW67" s="3"/>
      <c r="NZX67" s="3"/>
      <c r="NZY67" s="3"/>
      <c r="NZZ67" s="3"/>
      <c r="OAA67" s="3"/>
      <c r="OAB67" s="3"/>
      <c r="OAC67" s="3"/>
      <c r="OAD67" s="3"/>
      <c r="OAE67" s="3"/>
      <c r="OAF67" s="3"/>
      <c r="OAG67" s="3"/>
      <c r="OAH67" s="3"/>
      <c r="OAI67" s="3"/>
      <c r="OAJ67" s="3"/>
      <c r="OAK67" s="3"/>
      <c r="OAL67" s="3"/>
      <c r="OAM67" s="3"/>
      <c r="OAN67" s="3"/>
      <c r="OAO67" s="3"/>
      <c r="OAP67" s="3"/>
      <c r="OAQ67" s="3"/>
      <c r="OAR67" s="3"/>
      <c r="OAS67" s="3"/>
      <c r="OAT67" s="3"/>
      <c r="OAU67" s="3"/>
      <c r="OAV67" s="3"/>
      <c r="OAW67" s="3"/>
      <c r="OAX67" s="3"/>
      <c r="OAY67" s="3"/>
      <c r="OAZ67" s="3"/>
      <c r="OBA67" s="3"/>
      <c r="OBB67" s="3"/>
      <c r="OBC67" s="3"/>
      <c r="OBD67" s="3"/>
      <c r="OBE67" s="3"/>
      <c r="OBF67" s="3"/>
      <c r="OBG67" s="3"/>
      <c r="OBH67" s="3"/>
      <c r="OBI67" s="3"/>
      <c r="OBJ67" s="3"/>
      <c r="OBK67" s="3"/>
      <c r="OBL67" s="3"/>
      <c r="OBM67" s="3"/>
      <c r="OBN67" s="3"/>
      <c r="OBO67" s="3"/>
      <c r="OBP67" s="3"/>
      <c r="OBQ67" s="3"/>
      <c r="OBR67" s="3"/>
      <c r="OBS67" s="3"/>
      <c r="OBT67" s="3"/>
      <c r="OBU67" s="3"/>
      <c r="OBV67" s="3"/>
      <c r="OBW67" s="3"/>
      <c r="OBX67" s="3"/>
      <c r="OBY67" s="3"/>
      <c r="OBZ67" s="3"/>
      <c r="OCA67" s="3"/>
      <c r="OCB67" s="3"/>
      <c r="OCC67" s="3"/>
      <c r="OCD67" s="3"/>
      <c r="OCE67" s="3"/>
      <c r="OCF67" s="3"/>
      <c r="OCG67" s="3"/>
      <c r="OCH67" s="3"/>
      <c r="OCI67" s="3"/>
      <c r="OCJ67" s="3"/>
      <c r="OCK67" s="3"/>
      <c r="OCL67" s="3"/>
      <c r="OCM67" s="3"/>
      <c r="OCN67" s="3"/>
      <c r="OCO67" s="3"/>
      <c r="OCP67" s="3"/>
      <c r="OCQ67" s="3"/>
      <c r="OCR67" s="3"/>
      <c r="OCS67" s="3"/>
      <c r="OCT67" s="3"/>
      <c r="OCU67" s="3"/>
      <c r="OCV67" s="3"/>
      <c r="OCW67" s="3"/>
      <c r="OCX67" s="3"/>
      <c r="OCY67" s="3"/>
      <c r="OCZ67" s="3"/>
      <c r="ODA67" s="3"/>
      <c r="ODB67" s="3"/>
      <c r="ODC67" s="3"/>
      <c r="ODD67" s="3"/>
      <c r="ODE67" s="3"/>
      <c r="ODF67" s="3"/>
      <c r="ODG67" s="3"/>
      <c r="ODH67" s="3"/>
      <c r="ODI67" s="3"/>
      <c r="ODJ67" s="3"/>
      <c r="ODK67" s="3"/>
      <c r="ODL67" s="3"/>
      <c r="ODM67" s="3"/>
      <c r="ODN67" s="3"/>
      <c r="ODO67" s="3"/>
      <c r="ODP67" s="3"/>
      <c r="ODQ67" s="3"/>
      <c r="ODR67" s="3"/>
      <c r="ODS67" s="3"/>
      <c r="ODT67" s="3"/>
      <c r="ODU67" s="3"/>
      <c r="ODV67" s="3"/>
      <c r="ODW67" s="3"/>
      <c r="ODX67" s="3"/>
      <c r="ODY67" s="3"/>
      <c r="ODZ67" s="3"/>
      <c r="OEA67" s="3"/>
      <c r="OEB67" s="3"/>
      <c r="OEC67" s="3"/>
      <c r="OED67" s="3"/>
      <c r="OEE67" s="3"/>
      <c r="OEF67" s="3"/>
      <c r="OEG67" s="3"/>
      <c r="OEH67" s="3"/>
      <c r="OEI67" s="3"/>
      <c r="OEJ67" s="3"/>
      <c r="OEK67" s="3"/>
      <c r="OEL67" s="3"/>
      <c r="OEM67" s="3"/>
      <c r="OEN67" s="3"/>
      <c r="OEO67" s="3"/>
      <c r="OEP67" s="3"/>
      <c r="OEQ67" s="3"/>
      <c r="OER67" s="3"/>
      <c r="OES67" s="3"/>
      <c r="OET67" s="3"/>
      <c r="OEU67" s="3"/>
      <c r="OEV67" s="3"/>
      <c r="OEW67" s="3"/>
      <c r="OEX67" s="3"/>
      <c r="OEY67" s="3"/>
      <c r="OEZ67" s="3"/>
      <c r="OFA67" s="3"/>
      <c r="OFB67" s="3"/>
      <c r="OFC67" s="3"/>
      <c r="OFD67" s="3"/>
      <c r="OFE67" s="3"/>
      <c r="OFF67" s="3"/>
      <c r="OFG67" s="3"/>
      <c r="OFH67" s="3"/>
      <c r="OFI67" s="3"/>
      <c r="OFJ67" s="3"/>
      <c r="OFK67" s="3"/>
      <c r="OFL67" s="3"/>
      <c r="OFM67" s="3"/>
      <c r="OFN67" s="3"/>
      <c r="OFO67" s="3"/>
      <c r="OFP67" s="3"/>
      <c r="OFQ67" s="3"/>
      <c r="OFR67" s="3"/>
      <c r="OFS67" s="3"/>
      <c r="OFT67" s="3"/>
      <c r="OFU67" s="3"/>
      <c r="OFV67" s="3"/>
      <c r="OFW67" s="3"/>
      <c r="OFX67" s="3"/>
      <c r="OFY67" s="3"/>
      <c r="OFZ67" s="3"/>
      <c r="OGA67" s="3"/>
      <c r="OGB67" s="3"/>
      <c r="OGC67" s="3"/>
      <c r="OGD67" s="3"/>
      <c r="OGE67" s="3"/>
      <c r="OGF67" s="3"/>
      <c r="OGG67" s="3"/>
      <c r="OGH67" s="3"/>
      <c r="OGI67" s="3"/>
      <c r="OGJ67" s="3"/>
      <c r="OGK67" s="3"/>
      <c r="OGL67" s="3"/>
      <c r="OGM67" s="3"/>
      <c r="OGN67" s="3"/>
      <c r="OGO67" s="3"/>
      <c r="OGP67" s="3"/>
      <c r="OGQ67" s="3"/>
      <c r="OGR67" s="3"/>
      <c r="OGS67" s="3"/>
      <c r="OGT67" s="3"/>
      <c r="OGU67" s="3"/>
      <c r="OGV67" s="3"/>
      <c r="OGW67" s="3"/>
      <c r="OGX67" s="3"/>
      <c r="OGY67" s="3"/>
      <c r="OGZ67" s="3"/>
      <c r="OHA67" s="3"/>
      <c r="OHB67" s="3"/>
      <c r="OHC67" s="3"/>
      <c r="OHD67" s="3"/>
      <c r="OHE67" s="3"/>
      <c r="OHF67" s="3"/>
      <c r="OHG67" s="3"/>
      <c r="OHH67" s="3"/>
      <c r="OHI67" s="3"/>
      <c r="OHJ67" s="3"/>
      <c r="OHK67" s="3"/>
      <c r="OHL67" s="3"/>
      <c r="OHM67" s="3"/>
      <c r="OHN67" s="3"/>
      <c r="OHO67" s="3"/>
      <c r="OHP67" s="3"/>
      <c r="OHQ67" s="3"/>
      <c r="OHR67" s="3"/>
      <c r="OHS67" s="3"/>
      <c r="OHT67" s="3"/>
      <c r="OHU67" s="3"/>
      <c r="OHV67" s="3"/>
      <c r="OHW67" s="3"/>
      <c r="OHX67" s="3"/>
      <c r="OHY67" s="3"/>
      <c r="OHZ67" s="3"/>
      <c r="OIA67" s="3"/>
      <c r="OIB67" s="3"/>
      <c r="OIC67" s="3"/>
      <c r="OID67" s="3"/>
      <c r="OIE67" s="3"/>
      <c r="OIF67" s="3"/>
      <c r="OIG67" s="3"/>
      <c r="OIH67" s="3"/>
      <c r="OII67" s="3"/>
      <c r="OIJ67" s="3"/>
      <c r="OIK67" s="3"/>
      <c r="OIL67" s="3"/>
      <c r="OIM67" s="3"/>
      <c r="OIN67" s="3"/>
      <c r="OIO67" s="3"/>
      <c r="OIP67" s="3"/>
      <c r="OIQ67" s="3"/>
      <c r="OIR67" s="3"/>
      <c r="OIS67" s="3"/>
      <c r="OIT67" s="3"/>
      <c r="OIU67" s="3"/>
      <c r="OIV67" s="3"/>
      <c r="OIW67" s="3"/>
      <c r="OIX67" s="3"/>
      <c r="OIY67" s="3"/>
      <c r="OIZ67" s="3"/>
      <c r="OJA67" s="3"/>
      <c r="OJB67" s="3"/>
      <c r="OJC67" s="3"/>
      <c r="OJD67" s="3"/>
      <c r="OJE67" s="3"/>
      <c r="OJF67" s="3"/>
      <c r="OJG67" s="3"/>
      <c r="OJH67" s="3"/>
      <c r="OJI67" s="3"/>
      <c r="OJJ67" s="3"/>
      <c r="OJK67" s="3"/>
      <c r="OJL67" s="3"/>
      <c r="OJM67" s="3"/>
      <c r="OJN67" s="3"/>
      <c r="OJO67" s="3"/>
      <c r="OJP67" s="3"/>
      <c r="OJQ67" s="3"/>
      <c r="OJR67" s="3"/>
      <c r="OJS67" s="3"/>
      <c r="OJT67" s="3"/>
      <c r="OJU67" s="3"/>
      <c r="OJV67" s="3"/>
      <c r="OJW67" s="3"/>
      <c r="OJX67" s="3"/>
      <c r="OJY67" s="3"/>
      <c r="OJZ67" s="3"/>
      <c r="OKA67" s="3"/>
      <c r="OKB67" s="3"/>
      <c r="OKC67" s="3"/>
      <c r="OKD67" s="3"/>
      <c r="OKE67" s="3"/>
      <c r="OKF67" s="3"/>
      <c r="OKG67" s="3"/>
      <c r="OKH67" s="3"/>
      <c r="OKI67" s="3"/>
      <c r="OKJ67" s="3"/>
      <c r="OKK67" s="3"/>
      <c r="OKL67" s="3"/>
      <c r="OKM67" s="3"/>
      <c r="OKN67" s="3"/>
      <c r="OKO67" s="3"/>
      <c r="OKP67" s="3"/>
      <c r="OKQ67" s="3"/>
      <c r="OKR67" s="3"/>
      <c r="OKS67" s="3"/>
      <c r="OKT67" s="3"/>
      <c r="OKU67" s="3"/>
      <c r="OKV67" s="3"/>
      <c r="OKW67" s="3"/>
      <c r="OKX67" s="3"/>
      <c r="OKY67" s="3"/>
      <c r="OKZ67" s="3"/>
      <c r="OLA67" s="3"/>
      <c r="OLB67" s="3"/>
      <c r="OLC67" s="3"/>
      <c r="OLD67" s="3"/>
      <c r="OLE67" s="3"/>
      <c r="OLF67" s="3"/>
      <c r="OLG67" s="3"/>
      <c r="OLH67" s="3"/>
      <c r="OLI67" s="3"/>
      <c r="OLJ67" s="3"/>
      <c r="OLK67" s="3"/>
      <c r="OLL67" s="3"/>
      <c r="OLM67" s="3"/>
      <c r="OLN67" s="3"/>
      <c r="OLO67" s="3"/>
      <c r="OLP67" s="3"/>
      <c r="OLQ67" s="3"/>
      <c r="OLR67" s="3"/>
      <c r="OLS67" s="3"/>
      <c r="OLT67" s="3"/>
      <c r="OLU67" s="3"/>
      <c r="OLV67" s="3"/>
      <c r="OLW67" s="3"/>
      <c r="OLX67" s="3"/>
      <c r="OLY67" s="3"/>
      <c r="OLZ67" s="3"/>
      <c r="OMA67" s="3"/>
      <c r="OMB67" s="3"/>
      <c r="OMC67" s="3"/>
      <c r="OMD67" s="3"/>
      <c r="OME67" s="3"/>
      <c r="OMF67" s="3"/>
      <c r="OMG67" s="3"/>
      <c r="OMH67" s="3"/>
      <c r="OMI67" s="3"/>
      <c r="OMJ67" s="3"/>
      <c r="OMK67" s="3"/>
      <c r="OML67" s="3"/>
      <c r="OMM67" s="3"/>
      <c r="OMN67" s="3"/>
      <c r="OMO67" s="3"/>
      <c r="OMP67" s="3"/>
      <c r="OMQ67" s="3"/>
      <c r="OMR67" s="3"/>
      <c r="OMS67" s="3"/>
      <c r="OMT67" s="3"/>
      <c r="OMU67" s="3"/>
      <c r="OMV67" s="3"/>
      <c r="OMW67" s="3"/>
      <c r="OMX67" s="3"/>
      <c r="OMY67" s="3"/>
      <c r="OMZ67" s="3"/>
      <c r="ONA67" s="3"/>
      <c r="ONB67" s="3"/>
      <c r="ONC67" s="3"/>
      <c r="OND67" s="3"/>
      <c r="ONE67" s="3"/>
      <c r="ONF67" s="3"/>
      <c r="ONG67" s="3"/>
      <c r="ONH67" s="3"/>
      <c r="ONI67" s="3"/>
      <c r="ONJ67" s="3"/>
      <c r="ONK67" s="3"/>
      <c r="ONL67" s="3"/>
      <c r="ONM67" s="3"/>
      <c r="ONN67" s="3"/>
      <c r="ONO67" s="3"/>
      <c r="ONP67" s="3"/>
      <c r="ONQ67" s="3"/>
      <c r="ONR67" s="3"/>
      <c r="ONS67" s="3"/>
      <c r="ONT67" s="3"/>
      <c r="ONU67" s="3"/>
      <c r="ONV67" s="3"/>
      <c r="ONW67" s="3"/>
      <c r="ONX67" s="3"/>
      <c r="ONY67" s="3"/>
      <c r="ONZ67" s="3"/>
      <c r="OOA67" s="3"/>
      <c r="OOB67" s="3"/>
      <c r="OOC67" s="3"/>
      <c r="OOD67" s="3"/>
      <c r="OOE67" s="3"/>
      <c r="OOF67" s="3"/>
      <c r="OOG67" s="3"/>
      <c r="OOH67" s="3"/>
      <c r="OOI67" s="3"/>
      <c r="OOJ67" s="3"/>
      <c r="OOK67" s="3"/>
      <c r="OOL67" s="3"/>
      <c r="OOM67" s="3"/>
      <c r="OON67" s="3"/>
      <c r="OOO67" s="3"/>
      <c r="OOP67" s="3"/>
      <c r="OOQ67" s="3"/>
      <c r="OOR67" s="3"/>
      <c r="OOS67" s="3"/>
      <c r="OOT67" s="3"/>
      <c r="OOU67" s="3"/>
      <c r="OOV67" s="3"/>
      <c r="OOW67" s="3"/>
      <c r="OOX67" s="3"/>
      <c r="OOY67" s="3"/>
      <c r="OOZ67" s="3"/>
      <c r="OPA67" s="3"/>
      <c r="OPB67" s="3"/>
      <c r="OPC67" s="3"/>
      <c r="OPD67" s="3"/>
      <c r="OPE67" s="3"/>
      <c r="OPF67" s="3"/>
      <c r="OPG67" s="3"/>
      <c r="OPH67" s="3"/>
      <c r="OPI67" s="3"/>
      <c r="OPJ67" s="3"/>
      <c r="OPK67" s="3"/>
      <c r="OPL67" s="3"/>
      <c r="OPM67" s="3"/>
      <c r="OPN67" s="3"/>
      <c r="OPO67" s="3"/>
      <c r="OPP67" s="3"/>
      <c r="OPQ67" s="3"/>
      <c r="OPR67" s="3"/>
      <c r="OPS67" s="3"/>
      <c r="OPT67" s="3"/>
      <c r="OPU67" s="3"/>
      <c r="OPV67" s="3"/>
      <c r="OPW67" s="3"/>
      <c r="OPX67" s="3"/>
      <c r="OPY67" s="3"/>
      <c r="OPZ67" s="3"/>
      <c r="OQA67" s="3"/>
      <c r="OQB67" s="3"/>
      <c r="OQC67" s="3"/>
      <c r="OQD67" s="3"/>
      <c r="OQE67" s="3"/>
      <c r="OQF67" s="3"/>
      <c r="OQG67" s="3"/>
      <c r="OQH67" s="3"/>
      <c r="OQI67" s="3"/>
      <c r="OQJ67" s="3"/>
      <c r="OQK67" s="3"/>
      <c r="OQL67" s="3"/>
      <c r="OQM67" s="3"/>
      <c r="OQN67" s="3"/>
      <c r="OQO67" s="3"/>
      <c r="OQP67" s="3"/>
      <c r="OQQ67" s="3"/>
      <c r="OQR67" s="3"/>
      <c r="OQS67" s="3"/>
      <c r="OQT67" s="3"/>
      <c r="OQU67" s="3"/>
      <c r="OQV67" s="3"/>
      <c r="OQW67" s="3"/>
      <c r="OQX67" s="3"/>
      <c r="OQY67" s="3"/>
      <c r="OQZ67" s="3"/>
      <c r="ORA67" s="3"/>
      <c r="ORB67" s="3"/>
      <c r="ORC67" s="3"/>
      <c r="ORD67" s="3"/>
      <c r="ORE67" s="3"/>
      <c r="ORF67" s="3"/>
      <c r="ORG67" s="3"/>
      <c r="ORH67" s="3"/>
      <c r="ORI67" s="3"/>
      <c r="ORJ67" s="3"/>
      <c r="ORK67" s="3"/>
      <c r="ORL67" s="3"/>
      <c r="ORM67" s="3"/>
      <c r="ORN67" s="3"/>
      <c r="ORO67" s="3"/>
      <c r="ORP67" s="3"/>
      <c r="ORQ67" s="3"/>
      <c r="ORR67" s="3"/>
      <c r="ORS67" s="3"/>
      <c r="ORT67" s="3"/>
      <c r="ORU67" s="3"/>
      <c r="ORV67" s="3"/>
      <c r="ORW67" s="3"/>
      <c r="ORX67" s="3"/>
      <c r="ORY67" s="3"/>
      <c r="ORZ67" s="3"/>
      <c r="OSA67" s="3"/>
      <c r="OSB67" s="3"/>
      <c r="OSC67" s="3"/>
      <c r="OSD67" s="3"/>
      <c r="OSE67" s="3"/>
      <c r="OSF67" s="3"/>
      <c r="OSG67" s="3"/>
      <c r="OSH67" s="3"/>
      <c r="OSI67" s="3"/>
      <c r="OSJ67" s="3"/>
      <c r="OSK67" s="3"/>
      <c r="OSL67" s="3"/>
      <c r="OSM67" s="3"/>
      <c r="OSN67" s="3"/>
      <c r="OSO67" s="3"/>
      <c r="OSP67" s="3"/>
      <c r="OSQ67" s="3"/>
      <c r="OSR67" s="3"/>
      <c r="OSS67" s="3"/>
      <c r="OST67" s="3"/>
      <c r="OSU67" s="3"/>
      <c r="OSV67" s="3"/>
      <c r="OSW67" s="3"/>
      <c r="OSX67" s="3"/>
      <c r="OSY67" s="3"/>
      <c r="OSZ67" s="3"/>
      <c r="OTA67" s="3"/>
      <c r="OTB67" s="3"/>
      <c r="OTC67" s="3"/>
      <c r="OTD67" s="3"/>
      <c r="OTE67" s="3"/>
      <c r="OTF67" s="3"/>
      <c r="OTG67" s="3"/>
      <c r="OTH67" s="3"/>
      <c r="OTI67" s="3"/>
      <c r="OTJ67" s="3"/>
      <c r="OTK67" s="3"/>
      <c r="OTL67" s="3"/>
      <c r="OTM67" s="3"/>
      <c r="OTN67" s="3"/>
      <c r="OTO67" s="3"/>
      <c r="OTP67" s="3"/>
      <c r="OTQ67" s="3"/>
      <c r="OTR67" s="3"/>
      <c r="OTS67" s="3"/>
      <c r="OTT67" s="3"/>
      <c r="OTU67" s="3"/>
      <c r="OTV67" s="3"/>
      <c r="OTW67" s="3"/>
      <c r="OTX67" s="3"/>
      <c r="OTY67" s="3"/>
      <c r="OTZ67" s="3"/>
      <c r="OUA67" s="3"/>
      <c r="OUB67" s="3"/>
      <c r="OUC67" s="3"/>
      <c r="OUD67" s="3"/>
      <c r="OUE67" s="3"/>
      <c r="OUF67" s="3"/>
      <c r="OUG67" s="3"/>
      <c r="OUH67" s="3"/>
      <c r="OUI67" s="3"/>
      <c r="OUJ67" s="3"/>
      <c r="OUK67" s="3"/>
      <c r="OUL67" s="3"/>
      <c r="OUM67" s="3"/>
      <c r="OUN67" s="3"/>
      <c r="OUO67" s="3"/>
      <c r="OUP67" s="3"/>
      <c r="OUQ67" s="3"/>
      <c r="OUR67" s="3"/>
      <c r="OUS67" s="3"/>
      <c r="OUT67" s="3"/>
      <c r="OUU67" s="3"/>
      <c r="OUV67" s="3"/>
      <c r="OUW67" s="3"/>
      <c r="OUX67" s="3"/>
      <c r="OUY67" s="3"/>
      <c r="OUZ67" s="3"/>
      <c r="OVA67" s="3"/>
      <c r="OVB67" s="3"/>
      <c r="OVC67" s="3"/>
      <c r="OVD67" s="3"/>
      <c r="OVE67" s="3"/>
      <c r="OVF67" s="3"/>
      <c r="OVG67" s="3"/>
      <c r="OVH67" s="3"/>
      <c r="OVI67" s="3"/>
      <c r="OVJ67" s="3"/>
      <c r="OVK67" s="3"/>
      <c r="OVL67" s="3"/>
      <c r="OVM67" s="3"/>
      <c r="OVN67" s="3"/>
      <c r="OVO67" s="3"/>
      <c r="OVP67" s="3"/>
      <c r="OVQ67" s="3"/>
      <c r="OVR67" s="3"/>
      <c r="OVS67" s="3"/>
      <c r="OVT67" s="3"/>
      <c r="OVU67" s="3"/>
      <c r="OVV67" s="3"/>
      <c r="OVW67" s="3"/>
      <c r="OVX67" s="3"/>
      <c r="OVY67" s="3"/>
      <c r="OVZ67" s="3"/>
      <c r="OWA67" s="3"/>
      <c r="OWB67" s="3"/>
      <c r="OWC67" s="3"/>
      <c r="OWD67" s="3"/>
      <c r="OWE67" s="3"/>
      <c r="OWF67" s="3"/>
      <c r="OWG67" s="3"/>
      <c r="OWH67" s="3"/>
      <c r="OWI67" s="3"/>
      <c r="OWJ67" s="3"/>
      <c r="OWK67" s="3"/>
      <c r="OWL67" s="3"/>
      <c r="OWM67" s="3"/>
      <c r="OWN67" s="3"/>
      <c r="OWO67" s="3"/>
      <c r="OWP67" s="3"/>
      <c r="OWQ67" s="3"/>
      <c r="OWR67" s="3"/>
      <c r="OWS67" s="3"/>
      <c r="OWT67" s="3"/>
      <c r="OWU67" s="3"/>
      <c r="OWV67" s="3"/>
      <c r="OWW67" s="3"/>
      <c r="OWX67" s="3"/>
      <c r="OWY67" s="3"/>
      <c r="OWZ67" s="3"/>
      <c r="OXA67" s="3"/>
      <c r="OXB67" s="3"/>
      <c r="OXC67" s="3"/>
      <c r="OXD67" s="3"/>
      <c r="OXE67" s="3"/>
      <c r="OXF67" s="3"/>
      <c r="OXG67" s="3"/>
      <c r="OXH67" s="3"/>
      <c r="OXI67" s="3"/>
      <c r="OXJ67" s="3"/>
      <c r="OXK67" s="3"/>
      <c r="OXL67" s="3"/>
      <c r="OXM67" s="3"/>
      <c r="OXN67" s="3"/>
      <c r="OXO67" s="3"/>
      <c r="OXP67" s="3"/>
      <c r="OXQ67" s="3"/>
      <c r="OXR67" s="3"/>
      <c r="OXS67" s="3"/>
      <c r="OXT67" s="3"/>
      <c r="OXU67" s="3"/>
      <c r="OXV67" s="3"/>
      <c r="OXW67" s="3"/>
      <c r="OXX67" s="3"/>
      <c r="OXY67" s="3"/>
      <c r="OXZ67" s="3"/>
      <c r="OYA67" s="3"/>
      <c r="OYB67" s="3"/>
      <c r="OYC67" s="3"/>
      <c r="OYD67" s="3"/>
      <c r="OYE67" s="3"/>
      <c r="OYF67" s="3"/>
      <c r="OYG67" s="3"/>
      <c r="OYH67" s="3"/>
      <c r="OYI67" s="3"/>
      <c r="OYJ67" s="3"/>
      <c r="OYK67" s="3"/>
      <c r="OYL67" s="3"/>
      <c r="OYM67" s="3"/>
      <c r="OYN67" s="3"/>
      <c r="OYO67" s="3"/>
      <c r="OYP67" s="3"/>
      <c r="OYQ67" s="3"/>
      <c r="OYR67" s="3"/>
      <c r="OYS67" s="3"/>
      <c r="OYT67" s="3"/>
      <c r="OYU67" s="3"/>
      <c r="OYV67" s="3"/>
      <c r="OYW67" s="3"/>
      <c r="OYX67" s="3"/>
      <c r="OYY67" s="3"/>
      <c r="OYZ67" s="3"/>
      <c r="OZA67" s="3"/>
      <c r="OZB67" s="3"/>
      <c r="OZC67" s="3"/>
      <c r="OZD67" s="3"/>
      <c r="OZE67" s="3"/>
      <c r="OZF67" s="3"/>
      <c r="OZG67" s="3"/>
      <c r="OZH67" s="3"/>
      <c r="OZI67" s="3"/>
      <c r="OZJ67" s="3"/>
      <c r="OZK67" s="3"/>
      <c r="OZL67" s="3"/>
      <c r="OZM67" s="3"/>
      <c r="OZN67" s="3"/>
      <c r="OZO67" s="3"/>
      <c r="OZP67" s="3"/>
      <c r="OZQ67" s="3"/>
      <c r="OZR67" s="3"/>
      <c r="OZS67" s="3"/>
      <c r="OZT67" s="3"/>
      <c r="OZU67" s="3"/>
      <c r="OZV67" s="3"/>
      <c r="OZW67" s="3"/>
      <c r="OZX67" s="3"/>
      <c r="OZY67" s="3"/>
      <c r="OZZ67" s="3"/>
      <c r="PAA67" s="3"/>
      <c r="PAB67" s="3"/>
      <c r="PAC67" s="3"/>
      <c r="PAD67" s="3"/>
      <c r="PAE67" s="3"/>
      <c r="PAF67" s="3"/>
      <c r="PAG67" s="3"/>
      <c r="PAH67" s="3"/>
      <c r="PAI67" s="3"/>
      <c r="PAJ67" s="3"/>
      <c r="PAK67" s="3"/>
      <c r="PAL67" s="3"/>
      <c r="PAM67" s="3"/>
      <c r="PAN67" s="3"/>
      <c r="PAO67" s="3"/>
      <c r="PAP67" s="3"/>
      <c r="PAQ67" s="3"/>
      <c r="PAR67" s="3"/>
      <c r="PAS67" s="3"/>
      <c r="PAT67" s="3"/>
      <c r="PAU67" s="3"/>
      <c r="PAV67" s="3"/>
      <c r="PAW67" s="3"/>
      <c r="PAX67" s="3"/>
      <c r="PAY67" s="3"/>
      <c r="PAZ67" s="3"/>
      <c r="PBA67" s="3"/>
      <c r="PBB67" s="3"/>
      <c r="PBC67" s="3"/>
      <c r="PBD67" s="3"/>
      <c r="PBE67" s="3"/>
      <c r="PBF67" s="3"/>
      <c r="PBG67" s="3"/>
      <c r="PBH67" s="3"/>
      <c r="PBI67" s="3"/>
      <c r="PBJ67" s="3"/>
      <c r="PBK67" s="3"/>
      <c r="PBL67" s="3"/>
      <c r="PBM67" s="3"/>
      <c r="PBN67" s="3"/>
      <c r="PBO67" s="3"/>
      <c r="PBP67" s="3"/>
      <c r="PBQ67" s="3"/>
      <c r="PBR67" s="3"/>
      <c r="PBS67" s="3"/>
      <c r="PBT67" s="3"/>
      <c r="PBU67" s="3"/>
      <c r="PBV67" s="3"/>
      <c r="PBW67" s="3"/>
      <c r="PBX67" s="3"/>
      <c r="PBY67" s="3"/>
      <c r="PBZ67" s="3"/>
      <c r="PCA67" s="3"/>
      <c r="PCB67" s="3"/>
      <c r="PCC67" s="3"/>
      <c r="PCD67" s="3"/>
      <c r="PCE67" s="3"/>
      <c r="PCF67" s="3"/>
      <c r="PCG67" s="3"/>
      <c r="PCH67" s="3"/>
      <c r="PCI67" s="3"/>
      <c r="PCJ67" s="3"/>
      <c r="PCK67" s="3"/>
      <c r="PCL67" s="3"/>
      <c r="PCM67" s="3"/>
      <c r="PCN67" s="3"/>
      <c r="PCO67" s="3"/>
      <c r="PCP67" s="3"/>
      <c r="PCQ67" s="3"/>
      <c r="PCR67" s="3"/>
      <c r="PCS67" s="3"/>
      <c r="PCT67" s="3"/>
      <c r="PCU67" s="3"/>
      <c r="PCV67" s="3"/>
      <c r="PCW67" s="3"/>
      <c r="PCX67" s="3"/>
      <c r="PCY67" s="3"/>
      <c r="PCZ67" s="3"/>
      <c r="PDA67" s="3"/>
      <c r="PDB67" s="3"/>
      <c r="PDC67" s="3"/>
      <c r="PDD67" s="3"/>
      <c r="PDE67" s="3"/>
      <c r="PDF67" s="3"/>
      <c r="PDG67" s="3"/>
      <c r="PDH67" s="3"/>
      <c r="PDI67" s="3"/>
      <c r="PDJ67" s="3"/>
      <c r="PDK67" s="3"/>
      <c r="PDL67" s="3"/>
      <c r="PDM67" s="3"/>
      <c r="PDN67" s="3"/>
      <c r="PDO67" s="3"/>
      <c r="PDP67" s="3"/>
      <c r="PDQ67" s="3"/>
      <c r="PDR67" s="3"/>
      <c r="PDS67" s="3"/>
      <c r="PDT67" s="3"/>
      <c r="PDU67" s="3"/>
      <c r="PDV67" s="3"/>
      <c r="PDW67" s="3"/>
      <c r="PDX67" s="3"/>
      <c r="PDY67" s="3"/>
      <c r="PDZ67" s="3"/>
      <c r="PEA67" s="3"/>
      <c r="PEB67" s="3"/>
      <c r="PEC67" s="3"/>
      <c r="PED67" s="3"/>
      <c r="PEE67" s="3"/>
      <c r="PEF67" s="3"/>
      <c r="PEG67" s="3"/>
      <c r="PEH67" s="3"/>
      <c r="PEI67" s="3"/>
      <c r="PEJ67" s="3"/>
      <c r="PEK67" s="3"/>
      <c r="PEL67" s="3"/>
      <c r="PEM67" s="3"/>
      <c r="PEN67" s="3"/>
      <c r="PEO67" s="3"/>
      <c r="PEP67" s="3"/>
      <c r="PEQ67" s="3"/>
      <c r="PER67" s="3"/>
      <c r="PES67" s="3"/>
      <c r="PET67" s="3"/>
      <c r="PEU67" s="3"/>
      <c r="PEV67" s="3"/>
      <c r="PEW67" s="3"/>
      <c r="PEX67" s="3"/>
      <c r="PEY67" s="3"/>
      <c r="PEZ67" s="3"/>
      <c r="PFA67" s="3"/>
      <c r="PFB67" s="3"/>
      <c r="PFC67" s="3"/>
      <c r="PFD67" s="3"/>
      <c r="PFE67" s="3"/>
      <c r="PFF67" s="3"/>
      <c r="PFG67" s="3"/>
      <c r="PFH67" s="3"/>
      <c r="PFI67" s="3"/>
      <c r="PFJ67" s="3"/>
      <c r="PFK67" s="3"/>
      <c r="PFL67" s="3"/>
      <c r="PFM67" s="3"/>
      <c r="PFN67" s="3"/>
      <c r="PFO67" s="3"/>
      <c r="PFP67" s="3"/>
      <c r="PFQ67" s="3"/>
      <c r="PFR67" s="3"/>
      <c r="PFS67" s="3"/>
      <c r="PFT67" s="3"/>
      <c r="PFU67" s="3"/>
      <c r="PFV67" s="3"/>
      <c r="PFW67" s="3"/>
      <c r="PFX67" s="3"/>
      <c r="PFY67" s="3"/>
      <c r="PFZ67" s="3"/>
      <c r="PGA67" s="3"/>
      <c r="PGB67" s="3"/>
      <c r="PGC67" s="3"/>
      <c r="PGD67" s="3"/>
      <c r="PGE67" s="3"/>
      <c r="PGF67" s="3"/>
      <c r="PGG67" s="3"/>
      <c r="PGH67" s="3"/>
      <c r="PGI67" s="3"/>
      <c r="PGJ67" s="3"/>
      <c r="PGK67" s="3"/>
      <c r="PGL67" s="3"/>
      <c r="PGM67" s="3"/>
      <c r="PGN67" s="3"/>
      <c r="PGO67" s="3"/>
      <c r="PGP67" s="3"/>
      <c r="PGQ67" s="3"/>
      <c r="PGR67" s="3"/>
      <c r="PGS67" s="3"/>
      <c r="PGT67" s="3"/>
      <c r="PGU67" s="3"/>
      <c r="PGV67" s="3"/>
      <c r="PGW67" s="3"/>
      <c r="PGX67" s="3"/>
      <c r="PGY67" s="3"/>
      <c r="PGZ67" s="3"/>
      <c r="PHA67" s="3"/>
      <c r="PHB67" s="3"/>
      <c r="PHC67" s="3"/>
      <c r="PHD67" s="3"/>
      <c r="PHE67" s="3"/>
      <c r="PHF67" s="3"/>
      <c r="PHG67" s="3"/>
      <c r="PHH67" s="3"/>
      <c r="PHI67" s="3"/>
      <c r="PHJ67" s="3"/>
      <c r="PHK67" s="3"/>
      <c r="PHL67" s="3"/>
      <c r="PHM67" s="3"/>
      <c r="PHN67" s="3"/>
      <c r="PHO67" s="3"/>
      <c r="PHP67" s="3"/>
      <c r="PHQ67" s="3"/>
      <c r="PHR67" s="3"/>
      <c r="PHS67" s="3"/>
      <c r="PHT67" s="3"/>
      <c r="PHU67" s="3"/>
      <c r="PHV67" s="3"/>
      <c r="PHW67" s="3"/>
      <c r="PHX67" s="3"/>
      <c r="PHY67" s="3"/>
      <c r="PHZ67" s="3"/>
      <c r="PIA67" s="3"/>
      <c r="PIB67" s="3"/>
      <c r="PIC67" s="3"/>
      <c r="PID67" s="3"/>
      <c r="PIE67" s="3"/>
      <c r="PIF67" s="3"/>
      <c r="PIG67" s="3"/>
      <c r="PIH67" s="3"/>
      <c r="PII67" s="3"/>
      <c r="PIJ67" s="3"/>
      <c r="PIK67" s="3"/>
      <c r="PIL67" s="3"/>
      <c r="PIM67" s="3"/>
      <c r="PIN67" s="3"/>
      <c r="PIO67" s="3"/>
      <c r="PIP67" s="3"/>
      <c r="PIQ67" s="3"/>
      <c r="PIR67" s="3"/>
      <c r="PIS67" s="3"/>
      <c r="PIT67" s="3"/>
      <c r="PIU67" s="3"/>
      <c r="PIV67" s="3"/>
      <c r="PIW67" s="3"/>
      <c r="PIX67" s="3"/>
      <c r="PIY67" s="3"/>
      <c r="PIZ67" s="3"/>
      <c r="PJA67" s="3"/>
      <c r="PJB67" s="3"/>
      <c r="PJC67" s="3"/>
      <c r="PJD67" s="3"/>
      <c r="PJE67" s="3"/>
      <c r="PJF67" s="3"/>
      <c r="PJG67" s="3"/>
      <c r="PJH67" s="3"/>
      <c r="PJI67" s="3"/>
      <c r="PJJ67" s="3"/>
      <c r="PJK67" s="3"/>
      <c r="PJL67" s="3"/>
      <c r="PJM67" s="3"/>
      <c r="PJN67" s="3"/>
      <c r="PJO67" s="3"/>
      <c r="PJP67" s="3"/>
      <c r="PJQ67" s="3"/>
      <c r="PJR67" s="3"/>
      <c r="PJS67" s="3"/>
      <c r="PJT67" s="3"/>
      <c r="PJU67" s="3"/>
      <c r="PJV67" s="3"/>
      <c r="PJW67" s="3"/>
      <c r="PJX67" s="3"/>
      <c r="PJY67" s="3"/>
      <c r="PJZ67" s="3"/>
      <c r="PKA67" s="3"/>
      <c r="PKB67" s="3"/>
      <c r="PKC67" s="3"/>
      <c r="PKD67" s="3"/>
      <c r="PKE67" s="3"/>
      <c r="PKF67" s="3"/>
      <c r="PKG67" s="3"/>
      <c r="PKH67" s="3"/>
      <c r="PKI67" s="3"/>
      <c r="PKJ67" s="3"/>
      <c r="PKK67" s="3"/>
      <c r="PKL67" s="3"/>
      <c r="PKM67" s="3"/>
      <c r="PKN67" s="3"/>
      <c r="PKO67" s="3"/>
      <c r="PKP67" s="3"/>
      <c r="PKQ67" s="3"/>
      <c r="PKR67" s="3"/>
      <c r="PKS67" s="3"/>
      <c r="PKT67" s="3"/>
      <c r="PKU67" s="3"/>
      <c r="PKV67" s="3"/>
      <c r="PKW67" s="3"/>
      <c r="PKX67" s="3"/>
      <c r="PKY67" s="3"/>
      <c r="PKZ67" s="3"/>
      <c r="PLA67" s="3"/>
      <c r="PLB67" s="3"/>
      <c r="PLC67" s="3"/>
      <c r="PLD67" s="3"/>
      <c r="PLE67" s="3"/>
      <c r="PLF67" s="3"/>
      <c r="PLG67" s="3"/>
      <c r="PLH67" s="3"/>
      <c r="PLI67" s="3"/>
      <c r="PLJ67" s="3"/>
      <c r="PLK67" s="3"/>
      <c r="PLL67" s="3"/>
      <c r="PLM67" s="3"/>
      <c r="PLN67" s="3"/>
      <c r="PLO67" s="3"/>
      <c r="PLP67" s="3"/>
      <c r="PLQ67" s="3"/>
      <c r="PLR67" s="3"/>
      <c r="PLS67" s="3"/>
      <c r="PLT67" s="3"/>
      <c r="PLU67" s="3"/>
      <c r="PLV67" s="3"/>
      <c r="PLW67" s="3"/>
      <c r="PLX67" s="3"/>
      <c r="PLY67" s="3"/>
      <c r="PLZ67" s="3"/>
      <c r="PMA67" s="3"/>
      <c r="PMB67" s="3"/>
      <c r="PMC67" s="3"/>
      <c r="PMD67" s="3"/>
      <c r="PME67" s="3"/>
      <c r="PMF67" s="3"/>
      <c r="PMG67" s="3"/>
      <c r="PMH67" s="3"/>
      <c r="PMI67" s="3"/>
      <c r="PMJ67" s="3"/>
      <c r="PMK67" s="3"/>
      <c r="PML67" s="3"/>
      <c r="PMM67" s="3"/>
      <c r="PMN67" s="3"/>
      <c r="PMO67" s="3"/>
      <c r="PMP67" s="3"/>
      <c r="PMQ67" s="3"/>
      <c r="PMR67" s="3"/>
      <c r="PMS67" s="3"/>
      <c r="PMT67" s="3"/>
      <c r="PMU67" s="3"/>
      <c r="PMV67" s="3"/>
      <c r="PMW67" s="3"/>
      <c r="PMX67" s="3"/>
      <c r="PMY67" s="3"/>
      <c r="PMZ67" s="3"/>
      <c r="PNA67" s="3"/>
      <c r="PNB67" s="3"/>
      <c r="PNC67" s="3"/>
      <c r="PND67" s="3"/>
      <c r="PNE67" s="3"/>
      <c r="PNF67" s="3"/>
      <c r="PNG67" s="3"/>
      <c r="PNH67" s="3"/>
      <c r="PNI67" s="3"/>
      <c r="PNJ67" s="3"/>
      <c r="PNK67" s="3"/>
      <c r="PNL67" s="3"/>
      <c r="PNM67" s="3"/>
      <c r="PNN67" s="3"/>
      <c r="PNO67" s="3"/>
      <c r="PNP67" s="3"/>
      <c r="PNQ67" s="3"/>
      <c r="PNR67" s="3"/>
      <c r="PNS67" s="3"/>
      <c r="PNT67" s="3"/>
      <c r="PNU67" s="3"/>
      <c r="PNV67" s="3"/>
      <c r="PNW67" s="3"/>
      <c r="PNX67" s="3"/>
      <c r="PNY67" s="3"/>
      <c r="PNZ67" s="3"/>
      <c r="POA67" s="3"/>
      <c r="POB67" s="3"/>
      <c r="POC67" s="3"/>
      <c r="POD67" s="3"/>
      <c r="POE67" s="3"/>
      <c r="POF67" s="3"/>
      <c r="POG67" s="3"/>
      <c r="POH67" s="3"/>
      <c r="POI67" s="3"/>
      <c r="POJ67" s="3"/>
      <c r="POK67" s="3"/>
      <c r="POL67" s="3"/>
      <c r="POM67" s="3"/>
      <c r="PON67" s="3"/>
      <c r="POO67" s="3"/>
      <c r="POP67" s="3"/>
      <c r="POQ67" s="3"/>
      <c r="POR67" s="3"/>
      <c r="POS67" s="3"/>
      <c r="POT67" s="3"/>
      <c r="POU67" s="3"/>
      <c r="POV67" s="3"/>
      <c r="POW67" s="3"/>
      <c r="POX67" s="3"/>
      <c r="POY67" s="3"/>
      <c r="POZ67" s="3"/>
      <c r="PPA67" s="3"/>
      <c r="PPB67" s="3"/>
      <c r="PPC67" s="3"/>
      <c r="PPD67" s="3"/>
      <c r="PPE67" s="3"/>
      <c r="PPF67" s="3"/>
      <c r="PPG67" s="3"/>
      <c r="PPH67" s="3"/>
      <c r="PPI67" s="3"/>
      <c r="PPJ67" s="3"/>
      <c r="PPK67" s="3"/>
      <c r="PPL67" s="3"/>
      <c r="PPM67" s="3"/>
      <c r="PPN67" s="3"/>
      <c r="PPO67" s="3"/>
      <c r="PPP67" s="3"/>
      <c r="PPQ67" s="3"/>
      <c r="PPR67" s="3"/>
      <c r="PPS67" s="3"/>
      <c r="PPT67" s="3"/>
      <c r="PPU67" s="3"/>
      <c r="PPV67" s="3"/>
      <c r="PPW67" s="3"/>
      <c r="PPX67" s="3"/>
      <c r="PPY67" s="3"/>
      <c r="PPZ67" s="3"/>
      <c r="PQA67" s="3"/>
      <c r="PQB67" s="3"/>
      <c r="PQC67" s="3"/>
      <c r="PQD67" s="3"/>
      <c r="PQE67" s="3"/>
      <c r="PQF67" s="3"/>
      <c r="PQG67" s="3"/>
      <c r="PQH67" s="3"/>
      <c r="PQI67" s="3"/>
      <c r="PQJ67" s="3"/>
      <c r="PQK67" s="3"/>
      <c r="PQL67" s="3"/>
      <c r="PQM67" s="3"/>
      <c r="PQN67" s="3"/>
      <c r="PQO67" s="3"/>
      <c r="PQP67" s="3"/>
      <c r="PQQ67" s="3"/>
      <c r="PQR67" s="3"/>
      <c r="PQS67" s="3"/>
      <c r="PQT67" s="3"/>
      <c r="PQU67" s="3"/>
      <c r="PQV67" s="3"/>
      <c r="PQW67" s="3"/>
      <c r="PQX67" s="3"/>
      <c r="PQY67" s="3"/>
      <c r="PQZ67" s="3"/>
      <c r="PRA67" s="3"/>
      <c r="PRB67" s="3"/>
      <c r="PRC67" s="3"/>
      <c r="PRD67" s="3"/>
      <c r="PRE67" s="3"/>
      <c r="PRF67" s="3"/>
      <c r="PRG67" s="3"/>
      <c r="PRH67" s="3"/>
      <c r="PRI67" s="3"/>
      <c r="PRJ67" s="3"/>
      <c r="PRK67" s="3"/>
      <c r="PRL67" s="3"/>
      <c r="PRM67" s="3"/>
      <c r="PRN67" s="3"/>
      <c r="PRO67" s="3"/>
      <c r="PRP67" s="3"/>
      <c r="PRQ67" s="3"/>
      <c r="PRR67" s="3"/>
      <c r="PRS67" s="3"/>
      <c r="PRT67" s="3"/>
      <c r="PRU67" s="3"/>
      <c r="PRV67" s="3"/>
      <c r="PRW67" s="3"/>
      <c r="PRX67" s="3"/>
      <c r="PRY67" s="3"/>
      <c r="PRZ67" s="3"/>
      <c r="PSA67" s="3"/>
      <c r="PSB67" s="3"/>
      <c r="PSC67" s="3"/>
      <c r="PSD67" s="3"/>
      <c r="PSE67" s="3"/>
      <c r="PSF67" s="3"/>
      <c r="PSG67" s="3"/>
      <c r="PSH67" s="3"/>
      <c r="PSI67" s="3"/>
      <c r="PSJ67" s="3"/>
      <c r="PSK67" s="3"/>
      <c r="PSL67" s="3"/>
      <c r="PSM67" s="3"/>
      <c r="PSN67" s="3"/>
      <c r="PSO67" s="3"/>
      <c r="PSP67" s="3"/>
      <c r="PSQ67" s="3"/>
      <c r="PSR67" s="3"/>
      <c r="PSS67" s="3"/>
      <c r="PST67" s="3"/>
      <c r="PSU67" s="3"/>
      <c r="PSV67" s="3"/>
      <c r="PSW67" s="3"/>
      <c r="PSX67" s="3"/>
      <c r="PSY67" s="3"/>
      <c r="PSZ67" s="3"/>
      <c r="PTA67" s="3"/>
      <c r="PTB67" s="3"/>
      <c r="PTC67" s="3"/>
      <c r="PTD67" s="3"/>
      <c r="PTE67" s="3"/>
      <c r="PTF67" s="3"/>
      <c r="PTG67" s="3"/>
      <c r="PTH67" s="3"/>
      <c r="PTI67" s="3"/>
      <c r="PTJ67" s="3"/>
      <c r="PTK67" s="3"/>
      <c r="PTL67" s="3"/>
      <c r="PTM67" s="3"/>
      <c r="PTN67" s="3"/>
      <c r="PTO67" s="3"/>
      <c r="PTP67" s="3"/>
      <c r="PTQ67" s="3"/>
      <c r="PTR67" s="3"/>
      <c r="PTS67" s="3"/>
      <c r="PTT67" s="3"/>
      <c r="PTU67" s="3"/>
      <c r="PTV67" s="3"/>
      <c r="PTW67" s="3"/>
      <c r="PTX67" s="3"/>
      <c r="PTY67" s="3"/>
      <c r="PTZ67" s="3"/>
      <c r="PUA67" s="3"/>
      <c r="PUB67" s="3"/>
      <c r="PUC67" s="3"/>
      <c r="PUD67" s="3"/>
      <c r="PUE67" s="3"/>
      <c r="PUF67" s="3"/>
      <c r="PUG67" s="3"/>
      <c r="PUH67" s="3"/>
      <c r="PUI67" s="3"/>
      <c r="PUJ67" s="3"/>
      <c r="PUK67" s="3"/>
      <c r="PUL67" s="3"/>
      <c r="PUM67" s="3"/>
      <c r="PUN67" s="3"/>
      <c r="PUO67" s="3"/>
      <c r="PUP67" s="3"/>
      <c r="PUQ67" s="3"/>
      <c r="PUR67" s="3"/>
      <c r="PUS67" s="3"/>
      <c r="PUT67" s="3"/>
      <c r="PUU67" s="3"/>
      <c r="PUV67" s="3"/>
      <c r="PUW67" s="3"/>
      <c r="PUX67" s="3"/>
      <c r="PUY67" s="3"/>
      <c r="PUZ67" s="3"/>
      <c r="PVA67" s="3"/>
      <c r="PVB67" s="3"/>
      <c r="PVC67" s="3"/>
      <c r="PVD67" s="3"/>
      <c r="PVE67" s="3"/>
      <c r="PVF67" s="3"/>
      <c r="PVG67" s="3"/>
      <c r="PVH67" s="3"/>
      <c r="PVI67" s="3"/>
      <c r="PVJ67" s="3"/>
      <c r="PVK67" s="3"/>
      <c r="PVL67" s="3"/>
      <c r="PVM67" s="3"/>
      <c r="PVN67" s="3"/>
      <c r="PVO67" s="3"/>
      <c r="PVP67" s="3"/>
      <c r="PVQ67" s="3"/>
      <c r="PVR67" s="3"/>
      <c r="PVS67" s="3"/>
      <c r="PVT67" s="3"/>
      <c r="PVU67" s="3"/>
      <c r="PVV67" s="3"/>
      <c r="PVW67" s="3"/>
      <c r="PVX67" s="3"/>
      <c r="PVY67" s="3"/>
      <c r="PVZ67" s="3"/>
      <c r="PWA67" s="3"/>
      <c r="PWB67" s="3"/>
      <c r="PWC67" s="3"/>
      <c r="PWD67" s="3"/>
      <c r="PWE67" s="3"/>
      <c r="PWF67" s="3"/>
      <c r="PWG67" s="3"/>
      <c r="PWH67" s="3"/>
      <c r="PWI67" s="3"/>
      <c r="PWJ67" s="3"/>
      <c r="PWK67" s="3"/>
      <c r="PWL67" s="3"/>
      <c r="PWM67" s="3"/>
      <c r="PWN67" s="3"/>
      <c r="PWO67" s="3"/>
      <c r="PWP67" s="3"/>
      <c r="PWQ67" s="3"/>
      <c r="PWR67" s="3"/>
      <c r="PWS67" s="3"/>
      <c r="PWT67" s="3"/>
      <c r="PWU67" s="3"/>
      <c r="PWV67" s="3"/>
      <c r="PWW67" s="3"/>
      <c r="PWX67" s="3"/>
      <c r="PWY67" s="3"/>
      <c r="PWZ67" s="3"/>
      <c r="PXA67" s="3"/>
      <c r="PXB67" s="3"/>
      <c r="PXC67" s="3"/>
      <c r="PXD67" s="3"/>
      <c r="PXE67" s="3"/>
      <c r="PXF67" s="3"/>
      <c r="PXG67" s="3"/>
      <c r="PXH67" s="3"/>
      <c r="PXI67" s="3"/>
      <c r="PXJ67" s="3"/>
      <c r="PXK67" s="3"/>
      <c r="PXL67" s="3"/>
      <c r="PXM67" s="3"/>
      <c r="PXN67" s="3"/>
      <c r="PXO67" s="3"/>
      <c r="PXP67" s="3"/>
      <c r="PXQ67" s="3"/>
      <c r="PXR67" s="3"/>
      <c r="PXS67" s="3"/>
      <c r="PXT67" s="3"/>
      <c r="PXU67" s="3"/>
      <c r="PXV67" s="3"/>
      <c r="PXW67" s="3"/>
      <c r="PXX67" s="3"/>
      <c r="PXY67" s="3"/>
      <c r="PXZ67" s="3"/>
      <c r="PYA67" s="3"/>
      <c r="PYB67" s="3"/>
      <c r="PYC67" s="3"/>
      <c r="PYD67" s="3"/>
      <c r="PYE67" s="3"/>
      <c r="PYF67" s="3"/>
      <c r="PYG67" s="3"/>
      <c r="PYH67" s="3"/>
      <c r="PYI67" s="3"/>
      <c r="PYJ67" s="3"/>
      <c r="PYK67" s="3"/>
      <c r="PYL67" s="3"/>
      <c r="PYM67" s="3"/>
      <c r="PYN67" s="3"/>
      <c r="PYO67" s="3"/>
      <c r="PYP67" s="3"/>
      <c r="PYQ67" s="3"/>
      <c r="PYR67" s="3"/>
      <c r="PYS67" s="3"/>
      <c r="PYT67" s="3"/>
      <c r="PYU67" s="3"/>
      <c r="PYV67" s="3"/>
      <c r="PYW67" s="3"/>
      <c r="PYX67" s="3"/>
      <c r="PYY67" s="3"/>
      <c r="PYZ67" s="3"/>
      <c r="PZA67" s="3"/>
      <c r="PZB67" s="3"/>
      <c r="PZC67" s="3"/>
      <c r="PZD67" s="3"/>
      <c r="PZE67" s="3"/>
      <c r="PZF67" s="3"/>
      <c r="PZG67" s="3"/>
      <c r="PZH67" s="3"/>
      <c r="PZI67" s="3"/>
      <c r="PZJ67" s="3"/>
      <c r="PZK67" s="3"/>
      <c r="PZL67" s="3"/>
      <c r="PZM67" s="3"/>
      <c r="PZN67" s="3"/>
      <c r="PZO67" s="3"/>
      <c r="PZP67" s="3"/>
      <c r="PZQ67" s="3"/>
      <c r="PZR67" s="3"/>
      <c r="PZS67" s="3"/>
      <c r="PZT67" s="3"/>
      <c r="PZU67" s="3"/>
      <c r="PZV67" s="3"/>
      <c r="PZW67" s="3"/>
      <c r="PZX67" s="3"/>
      <c r="PZY67" s="3"/>
      <c r="PZZ67" s="3"/>
      <c r="QAA67" s="3"/>
      <c r="QAB67" s="3"/>
      <c r="QAC67" s="3"/>
      <c r="QAD67" s="3"/>
      <c r="QAE67" s="3"/>
      <c r="QAF67" s="3"/>
      <c r="QAG67" s="3"/>
      <c r="QAH67" s="3"/>
      <c r="QAI67" s="3"/>
      <c r="QAJ67" s="3"/>
      <c r="QAK67" s="3"/>
      <c r="QAL67" s="3"/>
      <c r="QAM67" s="3"/>
      <c r="QAN67" s="3"/>
      <c r="QAO67" s="3"/>
      <c r="QAP67" s="3"/>
      <c r="QAQ67" s="3"/>
      <c r="QAR67" s="3"/>
      <c r="QAS67" s="3"/>
      <c r="QAT67" s="3"/>
      <c r="QAU67" s="3"/>
      <c r="QAV67" s="3"/>
      <c r="QAW67" s="3"/>
      <c r="QAX67" s="3"/>
      <c r="QAY67" s="3"/>
      <c r="QAZ67" s="3"/>
      <c r="QBA67" s="3"/>
      <c r="QBB67" s="3"/>
      <c r="QBC67" s="3"/>
      <c r="QBD67" s="3"/>
      <c r="QBE67" s="3"/>
      <c r="QBF67" s="3"/>
      <c r="QBG67" s="3"/>
      <c r="QBH67" s="3"/>
      <c r="QBI67" s="3"/>
      <c r="QBJ67" s="3"/>
      <c r="QBK67" s="3"/>
      <c r="QBL67" s="3"/>
      <c r="QBM67" s="3"/>
      <c r="QBN67" s="3"/>
      <c r="QBO67" s="3"/>
      <c r="QBP67" s="3"/>
      <c r="QBQ67" s="3"/>
      <c r="QBR67" s="3"/>
      <c r="QBS67" s="3"/>
      <c r="QBT67" s="3"/>
      <c r="QBU67" s="3"/>
      <c r="QBV67" s="3"/>
      <c r="QBW67" s="3"/>
      <c r="QBX67" s="3"/>
      <c r="QBY67" s="3"/>
      <c r="QBZ67" s="3"/>
      <c r="QCA67" s="3"/>
      <c r="QCB67" s="3"/>
      <c r="QCC67" s="3"/>
      <c r="QCD67" s="3"/>
      <c r="QCE67" s="3"/>
      <c r="QCF67" s="3"/>
      <c r="QCG67" s="3"/>
      <c r="QCH67" s="3"/>
      <c r="QCI67" s="3"/>
      <c r="QCJ67" s="3"/>
      <c r="QCK67" s="3"/>
      <c r="QCL67" s="3"/>
      <c r="QCM67" s="3"/>
      <c r="QCN67" s="3"/>
      <c r="QCO67" s="3"/>
      <c r="QCP67" s="3"/>
      <c r="QCQ67" s="3"/>
      <c r="QCR67" s="3"/>
      <c r="QCS67" s="3"/>
      <c r="QCT67" s="3"/>
      <c r="QCU67" s="3"/>
      <c r="QCV67" s="3"/>
      <c r="QCW67" s="3"/>
      <c r="QCX67" s="3"/>
      <c r="QCY67" s="3"/>
      <c r="QCZ67" s="3"/>
      <c r="QDA67" s="3"/>
      <c r="QDB67" s="3"/>
      <c r="QDC67" s="3"/>
      <c r="QDD67" s="3"/>
      <c r="QDE67" s="3"/>
      <c r="QDF67" s="3"/>
      <c r="QDG67" s="3"/>
      <c r="QDH67" s="3"/>
      <c r="QDI67" s="3"/>
      <c r="QDJ67" s="3"/>
      <c r="QDK67" s="3"/>
      <c r="QDL67" s="3"/>
      <c r="QDM67" s="3"/>
      <c r="QDN67" s="3"/>
      <c r="QDO67" s="3"/>
      <c r="QDP67" s="3"/>
      <c r="QDQ67" s="3"/>
      <c r="QDR67" s="3"/>
      <c r="QDS67" s="3"/>
      <c r="QDT67" s="3"/>
      <c r="QDU67" s="3"/>
      <c r="QDV67" s="3"/>
      <c r="QDW67" s="3"/>
      <c r="QDX67" s="3"/>
      <c r="QDY67" s="3"/>
      <c r="QDZ67" s="3"/>
      <c r="QEA67" s="3"/>
      <c r="QEB67" s="3"/>
      <c r="QEC67" s="3"/>
      <c r="QED67" s="3"/>
      <c r="QEE67" s="3"/>
      <c r="QEF67" s="3"/>
      <c r="QEG67" s="3"/>
      <c r="QEH67" s="3"/>
      <c r="QEI67" s="3"/>
      <c r="QEJ67" s="3"/>
      <c r="QEK67" s="3"/>
      <c r="QEL67" s="3"/>
      <c r="QEM67" s="3"/>
      <c r="QEN67" s="3"/>
      <c r="QEO67" s="3"/>
      <c r="QEP67" s="3"/>
      <c r="QEQ67" s="3"/>
      <c r="QER67" s="3"/>
      <c r="QES67" s="3"/>
      <c r="QET67" s="3"/>
      <c r="QEU67" s="3"/>
      <c r="QEV67" s="3"/>
      <c r="QEW67" s="3"/>
      <c r="QEX67" s="3"/>
      <c r="QEY67" s="3"/>
      <c r="QEZ67" s="3"/>
      <c r="QFA67" s="3"/>
      <c r="QFB67" s="3"/>
      <c r="QFC67" s="3"/>
      <c r="QFD67" s="3"/>
      <c r="QFE67" s="3"/>
      <c r="QFF67" s="3"/>
      <c r="QFG67" s="3"/>
      <c r="QFH67" s="3"/>
      <c r="QFI67" s="3"/>
      <c r="QFJ67" s="3"/>
      <c r="QFK67" s="3"/>
      <c r="QFL67" s="3"/>
      <c r="QFM67" s="3"/>
      <c r="QFN67" s="3"/>
      <c r="QFO67" s="3"/>
      <c r="QFP67" s="3"/>
      <c r="QFQ67" s="3"/>
      <c r="QFR67" s="3"/>
      <c r="QFS67" s="3"/>
      <c r="QFT67" s="3"/>
      <c r="QFU67" s="3"/>
      <c r="QFV67" s="3"/>
      <c r="QFW67" s="3"/>
      <c r="QFX67" s="3"/>
      <c r="QFY67" s="3"/>
      <c r="QFZ67" s="3"/>
      <c r="QGA67" s="3"/>
      <c r="QGB67" s="3"/>
      <c r="QGC67" s="3"/>
      <c r="QGD67" s="3"/>
      <c r="QGE67" s="3"/>
      <c r="QGF67" s="3"/>
      <c r="QGG67" s="3"/>
      <c r="QGH67" s="3"/>
      <c r="QGI67" s="3"/>
      <c r="QGJ67" s="3"/>
      <c r="QGK67" s="3"/>
      <c r="QGL67" s="3"/>
      <c r="QGM67" s="3"/>
      <c r="QGN67" s="3"/>
      <c r="QGO67" s="3"/>
      <c r="QGP67" s="3"/>
      <c r="QGQ67" s="3"/>
      <c r="QGR67" s="3"/>
      <c r="QGS67" s="3"/>
      <c r="QGT67" s="3"/>
      <c r="QGU67" s="3"/>
      <c r="QGV67" s="3"/>
      <c r="QGW67" s="3"/>
      <c r="QGX67" s="3"/>
      <c r="QGY67" s="3"/>
      <c r="QGZ67" s="3"/>
      <c r="QHA67" s="3"/>
      <c r="QHB67" s="3"/>
      <c r="QHC67" s="3"/>
      <c r="QHD67" s="3"/>
      <c r="QHE67" s="3"/>
      <c r="QHF67" s="3"/>
      <c r="QHG67" s="3"/>
      <c r="QHH67" s="3"/>
      <c r="QHI67" s="3"/>
      <c r="QHJ67" s="3"/>
      <c r="QHK67" s="3"/>
      <c r="QHL67" s="3"/>
      <c r="QHM67" s="3"/>
      <c r="QHN67" s="3"/>
      <c r="QHO67" s="3"/>
      <c r="QHP67" s="3"/>
      <c r="QHQ67" s="3"/>
      <c r="QHR67" s="3"/>
      <c r="QHS67" s="3"/>
      <c r="QHT67" s="3"/>
      <c r="QHU67" s="3"/>
      <c r="QHV67" s="3"/>
      <c r="QHW67" s="3"/>
      <c r="QHX67" s="3"/>
      <c r="QHY67" s="3"/>
      <c r="QHZ67" s="3"/>
      <c r="QIA67" s="3"/>
      <c r="QIB67" s="3"/>
      <c r="QIC67" s="3"/>
      <c r="QID67" s="3"/>
      <c r="QIE67" s="3"/>
      <c r="QIF67" s="3"/>
      <c r="QIG67" s="3"/>
      <c r="QIH67" s="3"/>
      <c r="QII67" s="3"/>
      <c r="QIJ67" s="3"/>
      <c r="QIK67" s="3"/>
      <c r="QIL67" s="3"/>
      <c r="QIM67" s="3"/>
      <c r="QIN67" s="3"/>
      <c r="QIO67" s="3"/>
      <c r="QIP67" s="3"/>
      <c r="QIQ67" s="3"/>
      <c r="QIR67" s="3"/>
      <c r="QIS67" s="3"/>
      <c r="QIT67" s="3"/>
      <c r="QIU67" s="3"/>
      <c r="QIV67" s="3"/>
      <c r="QIW67" s="3"/>
      <c r="QIX67" s="3"/>
      <c r="QIY67" s="3"/>
      <c r="QIZ67" s="3"/>
      <c r="QJA67" s="3"/>
      <c r="QJB67" s="3"/>
      <c r="QJC67" s="3"/>
      <c r="QJD67" s="3"/>
      <c r="QJE67" s="3"/>
      <c r="QJF67" s="3"/>
      <c r="QJG67" s="3"/>
      <c r="QJH67" s="3"/>
      <c r="QJI67" s="3"/>
      <c r="QJJ67" s="3"/>
      <c r="QJK67" s="3"/>
      <c r="QJL67" s="3"/>
      <c r="QJM67" s="3"/>
      <c r="QJN67" s="3"/>
      <c r="QJO67" s="3"/>
      <c r="QJP67" s="3"/>
      <c r="QJQ67" s="3"/>
      <c r="QJR67" s="3"/>
      <c r="QJS67" s="3"/>
      <c r="QJT67" s="3"/>
      <c r="QJU67" s="3"/>
      <c r="QJV67" s="3"/>
      <c r="QJW67" s="3"/>
      <c r="QJX67" s="3"/>
      <c r="QJY67" s="3"/>
      <c r="QJZ67" s="3"/>
      <c r="QKA67" s="3"/>
      <c r="QKB67" s="3"/>
      <c r="QKC67" s="3"/>
      <c r="QKD67" s="3"/>
      <c r="QKE67" s="3"/>
      <c r="QKF67" s="3"/>
      <c r="QKG67" s="3"/>
      <c r="QKH67" s="3"/>
      <c r="QKI67" s="3"/>
      <c r="QKJ67" s="3"/>
      <c r="QKK67" s="3"/>
      <c r="QKL67" s="3"/>
      <c r="QKM67" s="3"/>
      <c r="QKN67" s="3"/>
      <c r="QKO67" s="3"/>
      <c r="QKP67" s="3"/>
      <c r="QKQ67" s="3"/>
      <c r="QKR67" s="3"/>
      <c r="QKS67" s="3"/>
      <c r="QKT67" s="3"/>
      <c r="QKU67" s="3"/>
      <c r="QKV67" s="3"/>
      <c r="QKW67" s="3"/>
      <c r="QKX67" s="3"/>
      <c r="QKY67" s="3"/>
      <c r="QKZ67" s="3"/>
      <c r="QLA67" s="3"/>
      <c r="QLB67" s="3"/>
      <c r="QLC67" s="3"/>
      <c r="QLD67" s="3"/>
      <c r="QLE67" s="3"/>
      <c r="QLF67" s="3"/>
      <c r="QLG67" s="3"/>
      <c r="QLH67" s="3"/>
      <c r="QLI67" s="3"/>
      <c r="QLJ67" s="3"/>
      <c r="QLK67" s="3"/>
      <c r="QLL67" s="3"/>
      <c r="QLM67" s="3"/>
      <c r="QLN67" s="3"/>
      <c r="QLO67" s="3"/>
      <c r="QLP67" s="3"/>
      <c r="QLQ67" s="3"/>
      <c r="QLR67" s="3"/>
      <c r="QLS67" s="3"/>
      <c r="QLT67" s="3"/>
      <c r="QLU67" s="3"/>
      <c r="QLV67" s="3"/>
      <c r="QLW67" s="3"/>
      <c r="QLX67" s="3"/>
      <c r="QLY67" s="3"/>
      <c r="QLZ67" s="3"/>
      <c r="QMA67" s="3"/>
      <c r="QMB67" s="3"/>
      <c r="QMC67" s="3"/>
      <c r="QMD67" s="3"/>
      <c r="QME67" s="3"/>
      <c r="QMF67" s="3"/>
      <c r="QMG67" s="3"/>
      <c r="QMH67" s="3"/>
      <c r="QMI67" s="3"/>
      <c r="QMJ67" s="3"/>
      <c r="QMK67" s="3"/>
      <c r="QML67" s="3"/>
      <c r="QMM67" s="3"/>
      <c r="QMN67" s="3"/>
      <c r="QMO67" s="3"/>
      <c r="QMP67" s="3"/>
      <c r="QMQ67" s="3"/>
      <c r="QMR67" s="3"/>
      <c r="QMS67" s="3"/>
      <c r="QMT67" s="3"/>
      <c r="QMU67" s="3"/>
      <c r="QMV67" s="3"/>
      <c r="QMW67" s="3"/>
      <c r="QMX67" s="3"/>
      <c r="QMY67" s="3"/>
      <c r="QMZ67" s="3"/>
      <c r="QNA67" s="3"/>
      <c r="QNB67" s="3"/>
      <c r="QNC67" s="3"/>
      <c r="QND67" s="3"/>
      <c r="QNE67" s="3"/>
      <c r="QNF67" s="3"/>
      <c r="QNG67" s="3"/>
      <c r="QNH67" s="3"/>
      <c r="QNI67" s="3"/>
      <c r="QNJ67" s="3"/>
      <c r="QNK67" s="3"/>
      <c r="QNL67" s="3"/>
      <c r="QNM67" s="3"/>
      <c r="QNN67" s="3"/>
      <c r="QNO67" s="3"/>
      <c r="QNP67" s="3"/>
      <c r="QNQ67" s="3"/>
      <c r="QNR67" s="3"/>
      <c r="QNS67" s="3"/>
      <c r="QNT67" s="3"/>
      <c r="QNU67" s="3"/>
      <c r="QNV67" s="3"/>
      <c r="QNW67" s="3"/>
      <c r="QNX67" s="3"/>
      <c r="QNY67" s="3"/>
      <c r="QNZ67" s="3"/>
      <c r="QOA67" s="3"/>
      <c r="QOB67" s="3"/>
      <c r="QOC67" s="3"/>
      <c r="QOD67" s="3"/>
      <c r="QOE67" s="3"/>
      <c r="QOF67" s="3"/>
      <c r="QOG67" s="3"/>
      <c r="QOH67" s="3"/>
      <c r="QOI67" s="3"/>
      <c r="QOJ67" s="3"/>
      <c r="QOK67" s="3"/>
      <c r="QOL67" s="3"/>
      <c r="QOM67" s="3"/>
      <c r="QON67" s="3"/>
      <c r="QOO67" s="3"/>
      <c r="QOP67" s="3"/>
      <c r="QOQ67" s="3"/>
      <c r="QOR67" s="3"/>
      <c r="QOS67" s="3"/>
      <c r="QOT67" s="3"/>
      <c r="QOU67" s="3"/>
      <c r="QOV67" s="3"/>
      <c r="QOW67" s="3"/>
      <c r="QOX67" s="3"/>
      <c r="QOY67" s="3"/>
      <c r="QOZ67" s="3"/>
      <c r="QPA67" s="3"/>
      <c r="QPB67" s="3"/>
      <c r="QPC67" s="3"/>
      <c r="QPD67" s="3"/>
      <c r="QPE67" s="3"/>
      <c r="QPF67" s="3"/>
      <c r="QPG67" s="3"/>
      <c r="QPH67" s="3"/>
      <c r="QPI67" s="3"/>
      <c r="QPJ67" s="3"/>
      <c r="QPK67" s="3"/>
      <c r="QPL67" s="3"/>
      <c r="QPM67" s="3"/>
      <c r="QPN67" s="3"/>
      <c r="QPO67" s="3"/>
      <c r="QPP67" s="3"/>
      <c r="QPQ67" s="3"/>
      <c r="QPR67" s="3"/>
      <c r="QPS67" s="3"/>
      <c r="QPT67" s="3"/>
      <c r="QPU67" s="3"/>
      <c r="QPV67" s="3"/>
      <c r="QPW67" s="3"/>
      <c r="QPX67" s="3"/>
      <c r="QPY67" s="3"/>
      <c r="QPZ67" s="3"/>
      <c r="QQA67" s="3"/>
      <c r="QQB67" s="3"/>
      <c r="QQC67" s="3"/>
      <c r="QQD67" s="3"/>
      <c r="QQE67" s="3"/>
      <c r="QQF67" s="3"/>
      <c r="QQG67" s="3"/>
      <c r="QQH67" s="3"/>
      <c r="QQI67" s="3"/>
      <c r="QQJ67" s="3"/>
      <c r="QQK67" s="3"/>
      <c r="QQL67" s="3"/>
      <c r="QQM67" s="3"/>
      <c r="QQN67" s="3"/>
      <c r="QQO67" s="3"/>
      <c r="QQP67" s="3"/>
      <c r="QQQ67" s="3"/>
      <c r="QQR67" s="3"/>
      <c r="QQS67" s="3"/>
      <c r="QQT67" s="3"/>
      <c r="QQU67" s="3"/>
      <c r="QQV67" s="3"/>
      <c r="QQW67" s="3"/>
      <c r="QQX67" s="3"/>
      <c r="QQY67" s="3"/>
      <c r="QQZ67" s="3"/>
      <c r="QRA67" s="3"/>
      <c r="QRB67" s="3"/>
      <c r="QRC67" s="3"/>
      <c r="QRD67" s="3"/>
      <c r="QRE67" s="3"/>
      <c r="QRF67" s="3"/>
      <c r="QRG67" s="3"/>
      <c r="QRH67" s="3"/>
      <c r="QRI67" s="3"/>
      <c r="QRJ67" s="3"/>
      <c r="QRK67" s="3"/>
      <c r="QRL67" s="3"/>
      <c r="QRM67" s="3"/>
      <c r="QRN67" s="3"/>
      <c r="QRO67" s="3"/>
      <c r="QRP67" s="3"/>
      <c r="QRQ67" s="3"/>
      <c r="QRR67" s="3"/>
      <c r="QRS67" s="3"/>
      <c r="QRT67" s="3"/>
      <c r="QRU67" s="3"/>
      <c r="QRV67" s="3"/>
      <c r="QRW67" s="3"/>
      <c r="QRX67" s="3"/>
      <c r="QRY67" s="3"/>
      <c r="QRZ67" s="3"/>
      <c r="QSA67" s="3"/>
      <c r="QSB67" s="3"/>
      <c r="QSC67" s="3"/>
      <c r="QSD67" s="3"/>
      <c r="QSE67" s="3"/>
      <c r="QSF67" s="3"/>
      <c r="QSG67" s="3"/>
      <c r="QSH67" s="3"/>
      <c r="QSI67" s="3"/>
      <c r="QSJ67" s="3"/>
      <c r="QSK67" s="3"/>
      <c r="QSL67" s="3"/>
      <c r="QSM67" s="3"/>
      <c r="QSN67" s="3"/>
      <c r="QSO67" s="3"/>
      <c r="QSP67" s="3"/>
      <c r="QSQ67" s="3"/>
      <c r="QSR67" s="3"/>
      <c r="QSS67" s="3"/>
      <c r="QST67" s="3"/>
      <c r="QSU67" s="3"/>
      <c r="QSV67" s="3"/>
      <c r="QSW67" s="3"/>
      <c r="QSX67" s="3"/>
      <c r="QSY67" s="3"/>
      <c r="QSZ67" s="3"/>
      <c r="QTA67" s="3"/>
      <c r="QTB67" s="3"/>
      <c r="QTC67" s="3"/>
      <c r="QTD67" s="3"/>
      <c r="QTE67" s="3"/>
      <c r="QTF67" s="3"/>
      <c r="QTG67" s="3"/>
      <c r="QTH67" s="3"/>
      <c r="QTI67" s="3"/>
      <c r="QTJ67" s="3"/>
      <c r="QTK67" s="3"/>
      <c r="QTL67" s="3"/>
      <c r="QTM67" s="3"/>
      <c r="QTN67" s="3"/>
      <c r="QTO67" s="3"/>
      <c r="QTP67" s="3"/>
      <c r="QTQ67" s="3"/>
      <c r="QTR67" s="3"/>
      <c r="QTS67" s="3"/>
      <c r="QTT67" s="3"/>
      <c r="QTU67" s="3"/>
      <c r="QTV67" s="3"/>
      <c r="QTW67" s="3"/>
      <c r="QTX67" s="3"/>
      <c r="QTY67" s="3"/>
      <c r="QTZ67" s="3"/>
      <c r="QUA67" s="3"/>
      <c r="QUB67" s="3"/>
      <c r="QUC67" s="3"/>
      <c r="QUD67" s="3"/>
      <c r="QUE67" s="3"/>
      <c r="QUF67" s="3"/>
      <c r="QUG67" s="3"/>
      <c r="QUH67" s="3"/>
      <c r="QUI67" s="3"/>
      <c r="QUJ67" s="3"/>
      <c r="QUK67" s="3"/>
      <c r="QUL67" s="3"/>
      <c r="QUM67" s="3"/>
      <c r="QUN67" s="3"/>
      <c r="QUO67" s="3"/>
      <c r="QUP67" s="3"/>
      <c r="QUQ67" s="3"/>
      <c r="QUR67" s="3"/>
      <c r="QUS67" s="3"/>
      <c r="QUT67" s="3"/>
      <c r="QUU67" s="3"/>
      <c r="QUV67" s="3"/>
      <c r="QUW67" s="3"/>
      <c r="QUX67" s="3"/>
      <c r="QUY67" s="3"/>
      <c r="QUZ67" s="3"/>
      <c r="QVA67" s="3"/>
      <c r="QVB67" s="3"/>
      <c r="QVC67" s="3"/>
      <c r="QVD67" s="3"/>
      <c r="QVE67" s="3"/>
      <c r="QVF67" s="3"/>
      <c r="QVG67" s="3"/>
      <c r="QVH67" s="3"/>
      <c r="QVI67" s="3"/>
      <c r="QVJ67" s="3"/>
      <c r="QVK67" s="3"/>
      <c r="QVL67" s="3"/>
      <c r="QVM67" s="3"/>
      <c r="QVN67" s="3"/>
      <c r="QVO67" s="3"/>
      <c r="QVP67" s="3"/>
      <c r="QVQ67" s="3"/>
      <c r="QVR67" s="3"/>
      <c r="QVS67" s="3"/>
      <c r="QVT67" s="3"/>
      <c r="QVU67" s="3"/>
      <c r="QVV67" s="3"/>
      <c r="QVW67" s="3"/>
      <c r="QVX67" s="3"/>
      <c r="QVY67" s="3"/>
      <c r="QVZ67" s="3"/>
      <c r="QWA67" s="3"/>
      <c r="QWB67" s="3"/>
      <c r="QWC67" s="3"/>
      <c r="QWD67" s="3"/>
      <c r="QWE67" s="3"/>
      <c r="QWF67" s="3"/>
      <c r="QWG67" s="3"/>
      <c r="QWH67" s="3"/>
      <c r="QWI67" s="3"/>
      <c r="QWJ67" s="3"/>
      <c r="QWK67" s="3"/>
      <c r="QWL67" s="3"/>
      <c r="QWM67" s="3"/>
      <c r="QWN67" s="3"/>
      <c r="QWO67" s="3"/>
      <c r="QWP67" s="3"/>
      <c r="QWQ67" s="3"/>
      <c r="QWR67" s="3"/>
      <c r="QWS67" s="3"/>
      <c r="QWT67" s="3"/>
      <c r="QWU67" s="3"/>
      <c r="QWV67" s="3"/>
      <c r="QWW67" s="3"/>
      <c r="QWX67" s="3"/>
      <c r="QWY67" s="3"/>
      <c r="QWZ67" s="3"/>
      <c r="QXA67" s="3"/>
      <c r="QXB67" s="3"/>
      <c r="QXC67" s="3"/>
      <c r="QXD67" s="3"/>
      <c r="QXE67" s="3"/>
      <c r="QXF67" s="3"/>
      <c r="QXG67" s="3"/>
      <c r="QXH67" s="3"/>
      <c r="QXI67" s="3"/>
      <c r="QXJ67" s="3"/>
      <c r="QXK67" s="3"/>
      <c r="QXL67" s="3"/>
      <c r="QXM67" s="3"/>
      <c r="QXN67" s="3"/>
      <c r="QXO67" s="3"/>
      <c r="QXP67" s="3"/>
      <c r="QXQ67" s="3"/>
      <c r="QXR67" s="3"/>
      <c r="QXS67" s="3"/>
      <c r="QXT67" s="3"/>
      <c r="QXU67" s="3"/>
      <c r="QXV67" s="3"/>
      <c r="QXW67" s="3"/>
      <c r="QXX67" s="3"/>
      <c r="QXY67" s="3"/>
      <c r="QXZ67" s="3"/>
      <c r="QYA67" s="3"/>
      <c r="QYB67" s="3"/>
      <c r="QYC67" s="3"/>
      <c r="QYD67" s="3"/>
      <c r="QYE67" s="3"/>
      <c r="QYF67" s="3"/>
      <c r="QYG67" s="3"/>
      <c r="QYH67" s="3"/>
      <c r="QYI67" s="3"/>
      <c r="QYJ67" s="3"/>
      <c r="QYK67" s="3"/>
      <c r="QYL67" s="3"/>
      <c r="QYM67" s="3"/>
      <c r="QYN67" s="3"/>
      <c r="QYO67" s="3"/>
      <c r="QYP67" s="3"/>
      <c r="QYQ67" s="3"/>
      <c r="QYR67" s="3"/>
      <c r="QYS67" s="3"/>
      <c r="QYT67" s="3"/>
      <c r="QYU67" s="3"/>
      <c r="QYV67" s="3"/>
      <c r="QYW67" s="3"/>
      <c r="QYX67" s="3"/>
      <c r="QYY67" s="3"/>
      <c r="QYZ67" s="3"/>
      <c r="QZA67" s="3"/>
      <c r="QZB67" s="3"/>
      <c r="QZC67" s="3"/>
      <c r="QZD67" s="3"/>
      <c r="QZE67" s="3"/>
      <c r="QZF67" s="3"/>
      <c r="QZG67" s="3"/>
      <c r="QZH67" s="3"/>
      <c r="QZI67" s="3"/>
      <c r="QZJ67" s="3"/>
      <c r="QZK67" s="3"/>
      <c r="QZL67" s="3"/>
      <c r="QZM67" s="3"/>
      <c r="QZN67" s="3"/>
      <c r="QZO67" s="3"/>
      <c r="QZP67" s="3"/>
      <c r="QZQ67" s="3"/>
      <c r="QZR67" s="3"/>
      <c r="QZS67" s="3"/>
      <c r="QZT67" s="3"/>
      <c r="QZU67" s="3"/>
      <c r="QZV67" s="3"/>
      <c r="QZW67" s="3"/>
      <c r="QZX67" s="3"/>
      <c r="QZY67" s="3"/>
      <c r="QZZ67" s="3"/>
      <c r="RAA67" s="3"/>
      <c r="RAB67" s="3"/>
      <c r="RAC67" s="3"/>
      <c r="RAD67" s="3"/>
      <c r="RAE67" s="3"/>
      <c r="RAF67" s="3"/>
      <c r="RAG67" s="3"/>
      <c r="RAH67" s="3"/>
      <c r="RAI67" s="3"/>
      <c r="RAJ67" s="3"/>
      <c r="RAK67" s="3"/>
      <c r="RAL67" s="3"/>
      <c r="RAM67" s="3"/>
      <c r="RAN67" s="3"/>
      <c r="RAO67" s="3"/>
      <c r="RAP67" s="3"/>
      <c r="RAQ67" s="3"/>
      <c r="RAR67" s="3"/>
      <c r="RAS67" s="3"/>
      <c r="RAT67" s="3"/>
      <c r="RAU67" s="3"/>
      <c r="RAV67" s="3"/>
      <c r="RAW67" s="3"/>
      <c r="RAX67" s="3"/>
      <c r="RAY67" s="3"/>
      <c r="RAZ67" s="3"/>
      <c r="RBA67" s="3"/>
      <c r="RBB67" s="3"/>
      <c r="RBC67" s="3"/>
      <c r="RBD67" s="3"/>
      <c r="RBE67" s="3"/>
      <c r="RBF67" s="3"/>
      <c r="RBG67" s="3"/>
      <c r="RBH67" s="3"/>
      <c r="RBI67" s="3"/>
      <c r="RBJ67" s="3"/>
      <c r="RBK67" s="3"/>
      <c r="RBL67" s="3"/>
      <c r="RBM67" s="3"/>
      <c r="RBN67" s="3"/>
      <c r="RBO67" s="3"/>
      <c r="RBP67" s="3"/>
      <c r="RBQ67" s="3"/>
      <c r="RBR67" s="3"/>
      <c r="RBS67" s="3"/>
      <c r="RBT67" s="3"/>
      <c r="RBU67" s="3"/>
      <c r="RBV67" s="3"/>
      <c r="RBW67" s="3"/>
      <c r="RBX67" s="3"/>
      <c r="RBY67" s="3"/>
      <c r="RBZ67" s="3"/>
      <c r="RCA67" s="3"/>
      <c r="RCB67" s="3"/>
      <c r="RCC67" s="3"/>
      <c r="RCD67" s="3"/>
      <c r="RCE67" s="3"/>
      <c r="RCF67" s="3"/>
      <c r="RCG67" s="3"/>
      <c r="RCH67" s="3"/>
      <c r="RCI67" s="3"/>
      <c r="RCJ67" s="3"/>
      <c r="RCK67" s="3"/>
      <c r="RCL67" s="3"/>
      <c r="RCM67" s="3"/>
      <c r="RCN67" s="3"/>
      <c r="RCO67" s="3"/>
      <c r="RCP67" s="3"/>
      <c r="RCQ67" s="3"/>
      <c r="RCR67" s="3"/>
      <c r="RCS67" s="3"/>
      <c r="RCT67" s="3"/>
      <c r="RCU67" s="3"/>
      <c r="RCV67" s="3"/>
      <c r="RCW67" s="3"/>
      <c r="RCX67" s="3"/>
      <c r="RCY67" s="3"/>
      <c r="RCZ67" s="3"/>
      <c r="RDA67" s="3"/>
      <c r="RDB67" s="3"/>
      <c r="RDC67" s="3"/>
      <c r="RDD67" s="3"/>
      <c r="RDE67" s="3"/>
      <c r="RDF67" s="3"/>
      <c r="RDG67" s="3"/>
      <c r="RDH67" s="3"/>
      <c r="RDI67" s="3"/>
      <c r="RDJ67" s="3"/>
      <c r="RDK67" s="3"/>
      <c r="RDL67" s="3"/>
      <c r="RDM67" s="3"/>
      <c r="RDN67" s="3"/>
      <c r="RDO67" s="3"/>
      <c r="RDP67" s="3"/>
      <c r="RDQ67" s="3"/>
      <c r="RDR67" s="3"/>
      <c r="RDS67" s="3"/>
      <c r="RDT67" s="3"/>
      <c r="RDU67" s="3"/>
      <c r="RDV67" s="3"/>
      <c r="RDW67" s="3"/>
      <c r="RDX67" s="3"/>
      <c r="RDY67" s="3"/>
      <c r="RDZ67" s="3"/>
      <c r="REA67" s="3"/>
      <c r="REB67" s="3"/>
      <c r="REC67" s="3"/>
      <c r="RED67" s="3"/>
      <c r="REE67" s="3"/>
      <c r="REF67" s="3"/>
      <c r="REG67" s="3"/>
      <c r="REH67" s="3"/>
      <c r="REI67" s="3"/>
      <c r="REJ67" s="3"/>
      <c r="REK67" s="3"/>
      <c r="REL67" s="3"/>
      <c r="REM67" s="3"/>
      <c r="REN67" s="3"/>
      <c r="REO67" s="3"/>
      <c r="REP67" s="3"/>
      <c r="REQ67" s="3"/>
      <c r="RER67" s="3"/>
      <c r="RES67" s="3"/>
      <c r="RET67" s="3"/>
      <c r="REU67" s="3"/>
      <c r="REV67" s="3"/>
      <c r="REW67" s="3"/>
      <c r="REX67" s="3"/>
      <c r="REY67" s="3"/>
      <c r="REZ67" s="3"/>
      <c r="RFA67" s="3"/>
      <c r="RFB67" s="3"/>
      <c r="RFC67" s="3"/>
      <c r="RFD67" s="3"/>
      <c r="RFE67" s="3"/>
      <c r="RFF67" s="3"/>
      <c r="RFG67" s="3"/>
      <c r="RFH67" s="3"/>
      <c r="RFI67" s="3"/>
      <c r="RFJ67" s="3"/>
      <c r="RFK67" s="3"/>
      <c r="RFL67" s="3"/>
      <c r="RFM67" s="3"/>
      <c r="RFN67" s="3"/>
      <c r="RFO67" s="3"/>
      <c r="RFP67" s="3"/>
      <c r="RFQ67" s="3"/>
      <c r="RFR67" s="3"/>
      <c r="RFS67" s="3"/>
      <c r="RFT67" s="3"/>
      <c r="RFU67" s="3"/>
      <c r="RFV67" s="3"/>
      <c r="RFW67" s="3"/>
      <c r="RFX67" s="3"/>
      <c r="RFY67" s="3"/>
      <c r="RFZ67" s="3"/>
      <c r="RGA67" s="3"/>
      <c r="RGB67" s="3"/>
      <c r="RGC67" s="3"/>
      <c r="RGD67" s="3"/>
      <c r="RGE67" s="3"/>
      <c r="RGF67" s="3"/>
      <c r="RGG67" s="3"/>
      <c r="RGH67" s="3"/>
      <c r="RGI67" s="3"/>
      <c r="RGJ67" s="3"/>
      <c r="RGK67" s="3"/>
      <c r="RGL67" s="3"/>
      <c r="RGM67" s="3"/>
      <c r="RGN67" s="3"/>
      <c r="RGO67" s="3"/>
      <c r="RGP67" s="3"/>
      <c r="RGQ67" s="3"/>
      <c r="RGR67" s="3"/>
      <c r="RGS67" s="3"/>
      <c r="RGT67" s="3"/>
      <c r="RGU67" s="3"/>
      <c r="RGV67" s="3"/>
      <c r="RGW67" s="3"/>
      <c r="RGX67" s="3"/>
      <c r="RGY67" s="3"/>
      <c r="RGZ67" s="3"/>
      <c r="RHA67" s="3"/>
      <c r="RHB67" s="3"/>
      <c r="RHC67" s="3"/>
      <c r="RHD67" s="3"/>
      <c r="RHE67" s="3"/>
      <c r="RHF67" s="3"/>
      <c r="RHG67" s="3"/>
      <c r="RHH67" s="3"/>
      <c r="RHI67" s="3"/>
      <c r="RHJ67" s="3"/>
      <c r="RHK67" s="3"/>
      <c r="RHL67" s="3"/>
      <c r="RHM67" s="3"/>
      <c r="RHN67" s="3"/>
      <c r="RHO67" s="3"/>
      <c r="RHP67" s="3"/>
      <c r="RHQ67" s="3"/>
      <c r="RHR67" s="3"/>
      <c r="RHS67" s="3"/>
      <c r="RHT67" s="3"/>
      <c r="RHU67" s="3"/>
      <c r="RHV67" s="3"/>
      <c r="RHW67" s="3"/>
      <c r="RHX67" s="3"/>
      <c r="RHY67" s="3"/>
      <c r="RHZ67" s="3"/>
      <c r="RIA67" s="3"/>
      <c r="RIB67" s="3"/>
      <c r="RIC67" s="3"/>
      <c r="RID67" s="3"/>
      <c r="RIE67" s="3"/>
      <c r="RIF67" s="3"/>
      <c r="RIG67" s="3"/>
      <c r="RIH67" s="3"/>
      <c r="RII67" s="3"/>
      <c r="RIJ67" s="3"/>
      <c r="RIK67" s="3"/>
      <c r="RIL67" s="3"/>
      <c r="RIM67" s="3"/>
      <c r="RIN67" s="3"/>
      <c r="RIO67" s="3"/>
      <c r="RIP67" s="3"/>
      <c r="RIQ67" s="3"/>
      <c r="RIR67" s="3"/>
      <c r="RIS67" s="3"/>
      <c r="RIT67" s="3"/>
      <c r="RIU67" s="3"/>
      <c r="RIV67" s="3"/>
      <c r="RIW67" s="3"/>
      <c r="RIX67" s="3"/>
      <c r="RIY67" s="3"/>
      <c r="RIZ67" s="3"/>
      <c r="RJA67" s="3"/>
      <c r="RJB67" s="3"/>
      <c r="RJC67" s="3"/>
      <c r="RJD67" s="3"/>
      <c r="RJE67" s="3"/>
      <c r="RJF67" s="3"/>
      <c r="RJG67" s="3"/>
      <c r="RJH67" s="3"/>
      <c r="RJI67" s="3"/>
      <c r="RJJ67" s="3"/>
      <c r="RJK67" s="3"/>
      <c r="RJL67" s="3"/>
      <c r="RJM67" s="3"/>
      <c r="RJN67" s="3"/>
      <c r="RJO67" s="3"/>
      <c r="RJP67" s="3"/>
      <c r="RJQ67" s="3"/>
      <c r="RJR67" s="3"/>
      <c r="RJS67" s="3"/>
      <c r="RJT67" s="3"/>
      <c r="RJU67" s="3"/>
      <c r="RJV67" s="3"/>
      <c r="RJW67" s="3"/>
      <c r="RJX67" s="3"/>
      <c r="RJY67" s="3"/>
      <c r="RJZ67" s="3"/>
      <c r="RKA67" s="3"/>
      <c r="RKB67" s="3"/>
      <c r="RKC67" s="3"/>
      <c r="RKD67" s="3"/>
      <c r="RKE67" s="3"/>
      <c r="RKF67" s="3"/>
      <c r="RKG67" s="3"/>
      <c r="RKH67" s="3"/>
      <c r="RKI67" s="3"/>
      <c r="RKJ67" s="3"/>
      <c r="RKK67" s="3"/>
      <c r="RKL67" s="3"/>
      <c r="RKM67" s="3"/>
      <c r="RKN67" s="3"/>
      <c r="RKO67" s="3"/>
      <c r="RKP67" s="3"/>
      <c r="RKQ67" s="3"/>
      <c r="RKR67" s="3"/>
      <c r="RKS67" s="3"/>
      <c r="RKT67" s="3"/>
      <c r="RKU67" s="3"/>
      <c r="RKV67" s="3"/>
      <c r="RKW67" s="3"/>
      <c r="RKX67" s="3"/>
      <c r="RKY67" s="3"/>
      <c r="RKZ67" s="3"/>
      <c r="RLA67" s="3"/>
      <c r="RLB67" s="3"/>
      <c r="RLC67" s="3"/>
      <c r="RLD67" s="3"/>
      <c r="RLE67" s="3"/>
      <c r="RLF67" s="3"/>
      <c r="RLG67" s="3"/>
      <c r="RLH67" s="3"/>
      <c r="RLI67" s="3"/>
      <c r="RLJ67" s="3"/>
      <c r="RLK67" s="3"/>
      <c r="RLL67" s="3"/>
      <c r="RLM67" s="3"/>
      <c r="RLN67" s="3"/>
      <c r="RLO67" s="3"/>
      <c r="RLP67" s="3"/>
      <c r="RLQ67" s="3"/>
      <c r="RLR67" s="3"/>
      <c r="RLS67" s="3"/>
      <c r="RLT67" s="3"/>
      <c r="RLU67" s="3"/>
      <c r="RLV67" s="3"/>
      <c r="RLW67" s="3"/>
      <c r="RLX67" s="3"/>
      <c r="RLY67" s="3"/>
      <c r="RLZ67" s="3"/>
      <c r="RMA67" s="3"/>
      <c r="RMB67" s="3"/>
      <c r="RMC67" s="3"/>
      <c r="RMD67" s="3"/>
      <c r="RME67" s="3"/>
      <c r="RMF67" s="3"/>
      <c r="RMG67" s="3"/>
      <c r="RMH67" s="3"/>
      <c r="RMI67" s="3"/>
      <c r="RMJ67" s="3"/>
      <c r="RMK67" s="3"/>
      <c r="RML67" s="3"/>
      <c r="RMM67" s="3"/>
      <c r="RMN67" s="3"/>
      <c r="RMO67" s="3"/>
      <c r="RMP67" s="3"/>
      <c r="RMQ67" s="3"/>
      <c r="RMR67" s="3"/>
      <c r="RMS67" s="3"/>
      <c r="RMT67" s="3"/>
      <c r="RMU67" s="3"/>
      <c r="RMV67" s="3"/>
      <c r="RMW67" s="3"/>
      <c r="RMX67" s="3"/>
      <c r="RMY67" s="3"/>
      <c r="RMZ67" s="3"/>
      <c r="RNA67" s="3"/>
      <c r="RNB67" s="3"/>
      <c r="RNC67" s="3"/>
      <c r="RND67" s="3"/>
      <c r="RNE67" s="3"/>
      <c r="RNF67" s="3"/>
      <c r="RNG67" s="3"/>
      <c r="RNH67" s="3"/>
      <c r="RNI67" s="3"/>
      <c r="RNJ67" s="3"/>
      <c r="RNK67" s="3"/>
      <c r="RNL67" s="3"/>
      <c r="RNM67" s="3"/>
      <c r="RNN67" s="3"/>
      <c r="RNO67" s="3"/>
      <c r="RNP67" s="3"/>
      <c r="RNQ67" s="3"/>
      <c r="RNR67" s="3"/>
      <c r="RNS67" s="3"/>
      <c r="RNT67" s="3"/>
      <c r="RNU67" s="3"/>
      <c r="RNV67" s="3"/>
      <c r="RNW67" s="3"/>
      <c r="RNX67" s="3"/>
      <c r="RNY67" s="3"/>
      <c r="RNZ67" s="3"/>
      <c r="ROA67" s="3"/>
      <c r="ROB67" s="3"/>
      <c r="ROC67" s="3"/>
      <c r="ROD67" s="3"/>
      <c r="ROE67" s="3"/>
      <c r="ROF67" s="3"/>
      <c r="ROG67" s="3"/>
      <c r="ROH67" s="3"/>
      <c r="ROI67" s="3"/>
      <c r="ROJ67" s="3"/>
      <c r="ROK67" s="3"/>
      <c r="ROL67" s="3"/>
      <c r="ROM67" s="3"/>
      <c r="RON67" s="3"/>
      <c r="ROO67" s="3"/>
      <c r="ROP67" s="3"/>
      <c r="ROQ67" s="3"/>
      <c r="ROR67" s="3"/>
      <c r="ROS67" s="3"/>
      <c r="ROT67" s="3"/>
      <c r="ROU67" s="3"/>
      <c r="ROV67" s="3"/>
      <c r="ROW67" s="3"/>
      <c r="ROX67" s="3"/>
      <c r="ROY67" s="3"/>
      <c r="ROZ67" s="3"/>
      <c r="RPA67" s="3"/>
      <c r="RPB67" s="3"/>
      <c r="RPC67" s="3"/>
      <c r="RPD67" s="3"/>
      <c r="RPE67" s="3"/>
      <c r="RPF67" s="3"/>
      <c r="RPG67" s="3"/>
      <c r="RPH67" s="3"/>
      <c r="RPI67" s="3"/>
      <c r="RPJ67" s="3"/>
      <c r="RPK67" s="3"/>
      <c r="RPL67" s="3"/>
      <c r="RPM67" s="3"/>
      <c r="RPN67" s="3"/>
      <c r="RPO67" s="3"/>
      <c r="RPP67" s="3"/>
      <c r="RPQ67" s="3"/>
      <c r="RPR67" s="3"/>
      <c r="RPS67" s="3"/>
      <c r="RPT67" s="3"/>
      <c r="RPU67" s="3"/>
      <c r="RPV67" s="3"/>
      <c r="RPW67" s="3"/>
      <c r="RPX67" s="3"/>
      <c r="RPY67" s="3"/>
      <c r="RPZ67" s="3"/>
      <c r="RQA67" s="3"/>
      <c r="RQB67" s="3"/>
      <c r="RQC67" s="3"/>
      <c r="RQD67" s="3"/>
      <c r="RQE67" s="3"/>
      <c r="RQF67" s="3"/>
      <c r="RQG67" s="3"/>
      <c r="RQH67" s="3"/>
      <c r="RQI67" s="3"/>
      <c r="RQJ67" s="3"/>
      <c r="RQK67" s="3"/>
      <c r="RQL67" s="3"/>
      <c r="RQM67" s="3"/>
      <c r="RQN67" s="3"/>
      <c r="RQO67" s="3"/>
      <c r="RQP67" s="3"/>
      <c r="RQQ67" s="3"/>
      <c r="RQR67" s="3"/>
      <c r="RQS67" s="3"/>
      <c r="RQT67" s="3"/>
      <c r="RQU67" s="3"/>
      <c r="RQV67" s="3"/>
      <c r="RQW67" s="3"/>
      <c r="RQX67" s="3"/>
      <c r="RQY67" s="3"/>
      <c r="RQZ67" s="3"/>
      <c r="RRA67" s="3"/>
      <c r="RRB67" s="3"/>
      <c r="RRC67" s="3"/>
      <c r="RRD67" s="3"/>
      <c r="RRE67" s="3"/>
      <c r="RRF67" s="3"/>
      <c r="RRG67" s="3"/>
      <c r="RRH67" s="3"/>
      <c r="RRI67" s="3"/>
      <c r="RRJ67" s="3"/>
      <c r="RRK67" s="3"/>
      <c r="RRL67" s="3"/>
      <c r="RRM67" s="3"/>
      <c r="RRN67" s="3"/>
      <c r="RRO67" s="3"/>
      <c r="RRP67" s="3"/>
      <c r="RRQ67" s="3"/>
      <c r="RRR67" s="3"/>
      <c r="RRS67" s="3"/>
      <c r="RRT67" s="3"/>
      <c r="RRU67" s="3"/>
      <c r="RRV67" s="3"/>
      <c r="RRW67" s="3"/>
      <c r="RRX67" s="3"/>
      <c r="RRY67" s="3"/>
      <c r="RRZ67" s="3"/>
      <c r="RSA67" s="3"/>
      <c r="RSB67" s="3"/>
      <c r="RSC67" s="3"/>
      <c r="RSD67" s="3"/>
      <c r="RSE67" s="3"/>
      <c r="RSF67" s="3"/>
      <c r="RSG67" s="3"/>
      <c r="RSH67" s="3"/>
      <c r="RSI67" s="3"/>
      <c r="RSJ67" s="3"/>
      <c r="RSK67" s="3"/>
      <c r="RSL67" s="3"/>
      <c r="RSM67" s="3"/>
      <c r="RSN67" s="3"/>
      <c r="RSO67" s="3"/>
      <c r="RSP67" s="3"/>
      <c r="RSQ67" s="3"/>
      <c r="RSR67" s="3"/>
      <c r="RSS67" s="3"/>
      <c r="RST67" s="3"/>
      <c r="RSU67" s="3"/>
      <c r="RSV67" s="3"/>
      <c r="RSW67" s="3"/>
      <c r="RSX67" s="3"/>
      <c r="RSY67" s="3"/>
      <c r="RSZ67" s="3"/>
      <c r="RTA67" s="3"/>
      <c r="RTB67" s="3"/>
      <c r="RTC67" s="3"/>
      <c r="RTD67" s="3"/>
      <c r="RTE67" s="3"/>
      <c r="RTF67" s="3"/>
      <c r="RTG67" s="3"/>
      <c r="RTH67" s="3"/>
      <c r="RTI67" s="3"/>
      <c r="RTJ67" s="3"/>
      <c r="RTK67" s="3"/>
      <c r="RTL67" s="3"/>
      <c r="RTM67" s="3"/>
      <c r="RTN67" s="3"/>
      <c r="RTO67" s="3"/>
      <c r="RTP67" s="3"/>
      <c r="RTQ67" s="3"/>
      <c r="RTR67" s="3"/>
      <c r="RTS67" s="3"/>
      <c r="RTT67" s="3"/>
      <c r="RTU67" s="3"/>
      <c r="RTV67" s="3"/>
      <c r="RTW67" s="3"/>
      <c r="RTX67" s="3"/>
      <c r="RTY67" s="3"/>
      <c r="RTZ67" s="3"/>
      <c r="RUA67" s="3"/>
      <c r="RUB67" s="3"/>
      <c r="RUC67" s="3"/>
      <c r="RUD67" s="3"/>
      <c r="RUE67" s="3"/>
      <c r="RUF67" s="3"/>
      <c r="RUG67" s="3"/>
      <c r="RUH67" s="3"/>
      <c r="RUI67" s="3"/>
      <c r="RUJ67" s="3"/>
      <c r="RUK67" s="3"/>
      <c r="RUL67" s="3"/>
      <c r="RUM67" s="3"/>
      <c r="RUN67" s="3"/>
      <c r="RUO67" s="3"/>
      <c r="RUP67" s="3"/>
      <c r="RUQ67" s="3"/>
      <c r="RUR67" s="3"/>
      <c r="RUS67" s="3"/>
      <c r="RUT67" s="3"/>
      <c r="RUU67" s="3"/>
      <c r="RUV67" s="3"/>
      <c r="RUW67" s="3"/>
      <c r="RUX67" s="3"/>
      <c r="RUY67" s="3"/>
      <c r="RUZ67" s="3"/>
      <c r="RVA67" s="3"/>
      <c r="RVB67" s="3"/>
      <c r="RVC67" s="3"/>
      <c r="RVD67" s="3"/>
      <c r="RVE67" s="3"/>
      <c r="RVF67" s="3"/>
      <c r="RVG67" s="3"/>
      <c r="RVH67" s="3"/>
      <c r="RVI67" s="3"/>
      <c r="RVJ67" s="3"/>
      <c r="RVK67" s="3"/>
      <c r="RVL67" s="3"/>
      <c r="RVM67" s="3"/>
      <c r="RVN67" s="3"/>
      <c r="RVO67" s="3"/>
      <c r="RVP67" s="3"/>
      <c r="RVQ67" s="3"/>
      <c r="RVR67" s="3"/>
      <c r="RVS67" s="3"/>
      <c r="RVT67" s="3"/>
      <c r="RVU67" s="3"/>
      <c r="RVV67" s="3"/>
      <c r="RVW67" s="3"/>
      <c r="RVX67" s="3"/>
      <c r="RVY67" s="3"/>
      <c r="RVZ67" s="3"/>
      <c r="RWA67" s="3"/>
      <c r="RWB67" s="3"/>
      <c r="RWC67" s="3"/>
      <c r="RWD67" s="3"/>
      <c r="RWE67" s="3"/>
      <c r="RWF67" s="3"/>
      <c r="RWG67" s="3"/>
      <c r="RWH67" s="3"/>
      <c r="RWI67" s="3"/>
      <c r="RWJ67" s="3"/>
      <c r="RWK67" s="3"/>
      <c r="RWL67" s="3"/>
      <c r="RWM67" s="3"/>
      <c r="RWN67" s="3"/>
      <c r="RWO67" s="3"/>
      <c r="RWP67" s="3"/>
      <c r="RWQ67" s="3"/>
      <c r="RWR67" s="3"/>
      <c r="RWS67" s="3"/>
      <c r="RWT67" s="3"/>
      <c r="RWU67" s="3"/>
      <c r="RWV67" s="3"/>
      <c r="RWW67" s="3"/>
      <c r="RWX67" s="3"/>
      <c r="RWY67" s="3"/>
      <c r="RWZ67" s="3"/>
      <c r="RXA67" s="3"/>
      <c r="RXB67" s="3"/>
      <c r="RXC67" s="3"/>
      <c r="RXD67" s="3"/>
      <c r="RXE67" s="3"/>
      <c r="RXF67" s="3"/>
      <c r="RXG67" s="3"/>
      <c r="RXH67" s="3"/>
      <c r="RXI67" s="3"/>
      <c r="RXJ67" s="3"/>
      <c r="RXK67" s="3"/>
      <c r="RXL67" s="3"/>
      <c r="RXM67" s="3"/>
      <c r="RXN67" s="3"/>
      <c r="RXO67" s="3"/>
      <c r="RXP67" s="3"/>
      <c r="RXQ67" s="3"/>
      <c r="RXR67" s="3"/>
      <c r="RXS67" s="3"/>
      <c r="RXT67" s="3"/>
      <c r="RXU67" s="3"/>
      <c r="RXV67" s="3"/>
      <c r="RXW67" s="3"/>
      <c r="RXX67" s="3"/>
      <c r="RXY67" s="3"/>
      <c r="RXZ67" s="3"/>
      <c r="RYA67" s="3"/>
      <c r="RYB67" s="3"/>
      <c r="RYC67" s="3"/>
      <c r="RYD67" s="3"/>
      <c r="RYE67" s="3"/>
      <c r="RYF67" s="3"/>
      <c r="RYG67" s="3"/>
      <c r="RYH67" s="3"/>
      <c r="RYI67" s="3"/>
      <c r="RYJ67" s="3"/>
      <c r="RYK67" s="3"/>
      <c r="RYL67" s="3"/>
      <c r="RYM67" s="3"/>
      <c r="RYN67" s="3"/>
      <c r="RYO67" s="3"/>
      <c r="RYP67" s="3"/>
      <c r="RYQ67" s="3"/>
      <c r="RYR67" s="3"/>
      <c r="RYS67" s="3"/>
      <c r="RYT67" s="3"/>
      <c r="RYU67" s="3"/>
      <c r="RYV67" s="3"/>
      <c r="RYW67" s="3"/>
      <c r="RYX67" s="3"/>
      <c r="RYY67" s="3"/>
      <c r="RYZ67" s="3"/>
      <c r="RZA67" s="3"/>
      <c r="RZB67" s="3"/>
      <c r="RZC67" s="3"/>
      <c r="RZD67" s="3"/>
      <c r="RZE67" s="3"/>
      <c r="RZF67" s="3"/>
      <c r="RZG67" s="3"/>
      <c r="RZH67" s="3"/>
      <c r="RZI67" s="3"/>
      <c r="RZJ67" s="3"/>
      <c r="RZK67" s="3"/>
      <c r="RZL67" s="3"/>
      <c r="RZM67" s="3"/>
      <c r="RZN67" s="3"/>
      <c r="RZO67" s="3"/>
      <c r="RZP67" s="3"/>
      <c r="RZQ67" s="3"/>
      <c r="RZR67" s="3"/>
      <c r="RZS67" s="3"/>
      <c r="RZT67" s="3"/>
      <c r="RZU67" s="3"/>
      <c r="RZV67" s="3"/>
      <c r="RZW67" s="3"/>
      <c r="RZX67" s="3"/>
      <c r="RZY67" s="3"/>
      <c r="RZZ67" s="3"/>
      <c r="SAA67" s="3"/>
      <c r="SAB67" s="3"/>
      <c r="SAC67" s="3"/>
      <c r="SAD67" s="3"/>
      <c r="SAE67" s="3"/>
      <c r="SAF67" s="3"/>
      <c r="SAG67" s="3"/>
      <c r="SAH67" s="3"/>
      <c r="SAI67" s="3"/>
      <c r="SAJ67" s="3"/>
      <c r="SAK67" s="3"/>
      <c r="SAL67" s="3"/>
      <c r="SAM67" s="3"/>
      <c r="SAN67" s="3"/>
      <c r="SAO67" s="3"/>
      <c r="SAP67" s="3"/>
      <c r="SAQ67" s="3"/>
      <c r="SAR67" s="3"/>
      <c r="SAS67" s="3"/>
      <c r="SAT67" s="3"/>
      <c r="SAU67" s="3"/>
      <c r="SAV67" s="3"/>
      <c r="SAW67" s="3"/>
      <c r="SAX67" s="3"/>
      <c r="SAY67" s="3"/>
      <c r="SAZ67" s="3"/>
      <c r="SBA67" s="3"/>
      <c r="SBB67" s="3"/>
      <c r="SBC67" s="3"/>
      <c r="SBD67" s="3"/>
      <c r="SBE67" s="3"/>
      <c r="SBF67" s="3"/>
      <c r="SBG67" s="3"/>
      <c r="SBH67" s="3"/>
      <c r="SBI67" s="3"/>
      <c r="SBJ67" s="3"/>
      <c r="SBK67" s="3"/>
      <c r="SBL67" s="3"/>
      <c r="SBM67" s="3"/>
      <c r="SBN67" s="3"/>
      <c r="SBO67" s="3"/>
      <c r="SBP67" s="3"/>
      <c r="SBQ67" s="3"/>
      <c r="SBR67" s="3"/>
      <c r="SBS67" s="3"/>
      <c r="SBT67" s="3"/>
      <c r="SBU67" s="3"/>
      <c r="SBV67" s="3"/>
      <c r="SBW67" s="3"/>
      <c r="SBX67" s="3"/>
      <c r="SBY67" s="3"/>
      <c r="SBZ67" s="3"/>
      <c r="SCA67" s="3"/>
      <c r="SCB67" s="3"/>
      <c r="SCC67" s="3"/>
      <c r="SCD67" s="3"/>
      <c r="SCE67" s="3"/>
      <c r="SCF67" s="3"/>
      <c r="SCG67" s="3"/>
      <c r="SCH67" s="3"/>
      <c r="SCI67" s="3"/>
      <c r="SCJ67" s="3"/>
      <c r="SCK67" s="3"/>
      <c r="SCL67" s="3"/>
      <c r="SCM67" s="3"/>
      <c r="SCN67" s="3"/>
      <c r="SCO67" s="3"/>
      <c r="SCP67" s="3"/>
      <c r="SCQ67" s="3"/>
      <c r="SCR67" s="3"/>
      <c r="SCS67" s="3"/>
      <c r="SCT67" s="3"/>
      <c r="SCU67" s="3"/>
      <c r="SCV67" s="3"/>
      <c r="SCW67" s="3"/>
      <c r="SCX67" s="3"/>
      <c r="SCY67" s="3"/>
      <c r="SCZ67" s="3"/>
      <c r="SDA67" s="3"/>
      <c r="SDB67" s="3"/>
      <c r="SDC67" s="3"/>
      <c r="SDD67" s="3"/>
      <c r="SDE67" s="3"/>
      <c r="SDF67" s="3"/>
      <c r="SDG67" s="3"/>
      <c r="SDH67" s="3"/>
      <c r="SDI67" s="3"/>
      <c r="SDJ67" s="3"/>
      <c r="SDK67" s="3"/>
      <c r="SDL67" s="3"/>
      <c r="SDM67" s="3"/>
      <c r="SDN67" s="3"/>
      <c r="SDO67" s="3"/>
      <c r="SDP67" s="3"/>
      <c r="SDQ67" s="3"/>
      <c r="SDR67" s="3"/>
      <c r="SDS67" s="3"/>
      <c r="SDT67" s="3"/>
      <c r="SDU67" s="3"/>
      <c r="SDV67" s="3"/>
      <c r="SDW67" s="3"/>
      <c r="SDX67" s="3"/>
      <c r="SDY67" s="3"/>
      <c r="SDZ67" s="3"/>
      <c r="SEA67" s="3"/>
      <c r="SEB67" s="3"/>
      <c r="SEC67" s="3"/>
      <c r="SED67" s="3"/>
      <c r="SEE67" s="3"/>
      <c r="SEF67" s="3"/>
      <c r="SEG67" s="3"/>
      <c r="SEH67" s="3"/>
      <c r="SEI67" s="3"/>
      <c r="SEJ67" s="3"/>
      <c r="SEK67" s="3"/>
      <c r="SEL67" s="3"/>
      <c r="SEM67" s="3"/>
      <c r="SEN67" s="3"/>
      <c r="SEO67" s="3"/>
      <c r="SEP67" s="3"/>
      <c r="SEQ67" s="3"/>
      <c r="SER67" s="3"/>
      <c r="SES67" s="3"/>
      <c r="SET67" s="3"/>
      <c r="SEU67" s="3"/>
      <c r="SEV67" s="3"/>
      <c r="SEW67" s="3"/>
      <c r="SEX67" s="3"/>
      <c r="SEY67" s="3"/>
      <c r="SEZ67" s="3"/>
      <c r="SFA67" s="3"/>
      <c r="SFB67" s="3"/>
      <c r="SFC67" s="3"/>
      <c r="SFD67" s="3"/>
      <c r="SFE67" s="3"/>
      <c r="SFF67" s="3"/>
      <c r="SFG67" s="3"/>
      <c r="SFH67" s="3"/>
      <c r="SFI67" s="3"/>
      <c r="SFJ67" s="3"/>
      <c r="SFK67" s="3"/>
      <c r="SFL67" s="3"/>
      <c r="SFM67" s="3"/>
      <c r="SFN67" s="3"/>
      <c r="SFO67" s="3"/>
      <c r="SFP67" s="3"/>
      <c r="SFQ67" s="3"/>
      <c r="SFR67" s="3"/>
      <c r="SFS67" s="3"/>
      <c r="SFT67" s="3"/>
      <c r="SFU67" s="3"/>
      <c r="SFV67" s="3"/>
      <c r="SFW67" s="3"/>
      <c r="SFX67" s="3"/>
      <c r="SFY67" s="3"/>
      <c r="SFZ67" s="3"/>
      <c r="SGA67" s="3"/>
      <c r="SGB67" s="3"/>
      <c r="SGC67" s="3"/>
      <c r="SGD67" s="3"/>
      <c r="SGE67" s="3"/>
      <c r="SGF67" s="3"/>
      <c r="SGG67" s="3"/>
      <c r="SGH67" s="3"/>
      <c r="SGI67" s="3"/>
      <c r="SGJ67" s="3"/>
      <c r="SGK67" s="3"/>
      <c r="SGL67" s="3"/>
      <c r="SGM67" s="3"/>
      <c r="SGN67" s="3"/>
      <c r="SGO67" s="3"/>
      <c r="SGP67" s="3"/>
      <c r="SGQ67" s="3"/>
      <c r="SGR67" s="3"/>
      <c r="SGS67" s="3"/>
      <c r="SGT67" s="3"/>
      <c r="SGU67" s="3"/>
      <c r="SGV67" s="3"/>
      <c r="SGW67" s="3"/>
      <c r="SGX67" s="3"/>
      <c r="SGY67" s="3"/>
      <c r="SGZ67" s="3"/>
      <c r="SHA67" s="3"/>
      <c r="SHB67" s="3"/>
      <c r="SHC67" s="3"/>
      <c r="SHD67" s="3"/>
      <c r="SHE67" s="3"/>
      <c r="SHF67" s="3"/>
      <c r="SHG67" s="3"/>
      <c r="SHH67" s="3"/>
      <c r="SHI67" s="3"/>
      <c r="SHJ67" s="3"/>
      <c r="SHK67" s="3"/>
      <c r="SHL67" s="3"/>
      <c r="SHM67" s="3"/>
      <c r="SHN67" s="3"/>
      <c r="SHO67" s="3"/>
      <c r="SHP67" s="3"/>
      <c r="SHQ67" s="3"/>
      <c r="SHR67" s="3"/>
      <c r="SHS67" s="3"/>
      <c r="SHT67" s="3"/>
      <c r="SHU67" s="3"/>
      <c r="SHV67" s="3"/>
      <c r="SHW67" s="3"/>
      <c r="SHX67" s="3"/>
      <c r="SHY67" s="3"/>
      <c r="SHZ67" s="3"/>
      <c r="SIA67" s="3"/>
      <c r="SIB67" s="3"/>
      <c r="SIC67" s="3"/>
      <c r="SID67" s="3"/>
      <c r="SIE67" s="3"/>
      <c r="SIF67" s="3"/>
      <c r="SIG67" s="3"/>
      <c r="SIH67" s="3"/>
      <c r="SII67" s="3"/>
      <c r="SIJ67" s="3"/>
      <c r="SIK67" s="3"/>
      <c r="SIL67" s="3"/>
      <c r="SIM67" s="3"/>
      <c r="SIN67" s="3"/>
      <c r="SIO67" s="3"/>
      <c r="SIP67" s="3"/>
      <c r="SIQ67" s="3"/>
      <c r="SIR67" s="3"/>
      <c r="SIS67" s="3"/>
      <c r="SIT67" s="3"/>
      <c r="SIU67" s="3"/>
      <c r="SIV67" s="3"/>
      <c r="SIW67" s="3"/>
      <c r="SIX67" s="3"/>
      <c r="SIY67" s="3"/>
      <c r="SIZ67" s="3"/>
      <c r="SJA67" s="3"/>
      <c r="SJB67" s="3"/>
      <c r="SJC67" s="3"/>
      <c r="SJD67" s="3"/>
      <c r="SJE67" s="3"/>
      <c r="SJF67" s="3"/>
      <c r="SJG67" s="3"/>
      <c r="SJH67" s="3"/>
      <c r="SJI67" s="3"/>
      <c r="SJJ67" s="3"/>
      <c r="SJK67" s="3"/>
      <c r="SJL67" s="3"/>
      <c r="SJM67" s="3"/>
      <c r="SJN67" s="3"/>
      <c r="SJO67" s="3"/>
      <c r="SJP67" s="3"/>
      <c r="SJQ67" s="3"/>
      <c r="SJR67" s="3"/>
      <c r="SJS67" s="3"/>
      <c r="SJT67" s="3"/>
      <c r="SJU67" s="3"/>
      <c r="SJV67" s="3"/>
      <c r="SJW67" s="3"/>
      <c r="SJX67" s="3"/>
      <c r="SJY67" s="3"/>
      <c r="SJZ67" s="3"/>
      <c r="SKA67" s="3"/>
      <c r="SKB67" s="3"/>
      <c r="SKC67" s="3"/>
      <c r="SKD67" s="3"/>
      <c r="SKE67" s="3"/>
      <c r="SKF67" s="3"/>
      <c r="SKG67" s="3"/>
      <c r="SKH67" s="3"/>
      <c r="SKI67" s="3"/>
      <c r="SKJ67" s="3"/>
      <c r="SKK67" s="3"/>
      <c r="SKL67" s="3"/>
      <c r="SKM67" s="3"/>
      <c r="SKN67" s="3"/>
      <c r="SKO67" s="3"/>
      <c r="SKP67" s="3"/>
      <c r="SKQ67" s="3"/>
      <c r="SKR67" s="3"/>
      <c r="SKS67" s="3"/>
      <c r="SKT67" s="3"/>
      <c r="SKU67" s="3"/>
      <c r="SKV67" s="3"/>
      <c r="SKW67" s="3"/>
      <c r="SKX67" s="3"/>
      <c r="SKY67" s="3"/>
      <c r="SKZ67" s="3"/>
      <c r="SLA67" s="3"/>
      <c r="SLB67" s="3"/>
      <c r="SLC67" s="3"/>
      <c r="SLD67" s="3"/>
      <c r="SLE67" s="3"/>
      <c r="SLF67" s="3"/>
      <c r="SLG67" s="3"/>
      <c r="SLH67" s="3"/>
      <c r="SLI67" s="3"/>
      <c r="SLJ67" s="3"/>
      <c r="SLK67" s="3"/>
      <c r="SLL67" s="3"/>
      <c r="SLM67" s="3"/>
      <c r="SLN67" s="3"/>
      <c r="SLO67" s="3"/>
      <c r="SLP67" s="3"/>
      <c r="SLQ67" s="3"/>
      <c r="SLR67" s="3"/>
      <c r="SLS67" s="3"/>
      <c r="SLT67" s="3"/>
      <c r="SLU67" s="3"/>
      <c r="SLV67" s="3"/>
      <c r="SLW67" s="3"/>
      <c r="SLX67" s="3"/>
      <c r="SLY67" s="3"/>
      <c r="SLZ67" s="3"/>
      <c r="SMA67" s="3"/>
      <c r="SMB67" s="3"/>
      <c r="SMC67" s="3"/>
      <c r="SMD67" s="3"/>
      <c r="SME67" s="3"/>
      <c r="SMF67" s="3"/>
      <c r="SMG67" s="3"/>
      <c r="SMH67" s="3"/>
      <c r="SMI67" s="3"/>
      <c r="SMJ67" s="3"/>
      <c r="SMK67" s="3"/>
      <c r="SML67" s="3"/>
      <c r="SMM67" s="3"/>
      <c r="SMN67" s="3"/>
      <c r="SMO67" s="3"/>
      <c r="SMP67" s="3"/>
      <c r="SMQ67" s="3"/>
      <c r="SMR67" s="3"/>
      <c r="SMS67" s="3"/>
      <c r="SMT67" s="3"/>
      <c r="SMU67" s="3"/>
      <c r="SMV67" s="3"/>
      <c r="SMW67" s="3"/>
      <c r="SMX67" s="3"/>
      <c r="SMY67" s="3"/>
      <c r="SMZ67" s="3"/>
      <c r="SNA67" s="3"/>
      <c r="SNB67" s="3"/>
      <c r="SNC67" s="3"/>
      <c r="SND67" s="3"/>
      <c r="SNE67" s="3"/>
      <c r="SNF67" s="3"/>
      <c r="SNG67" s="3"/>
      <c r="SNH67" s="3"/>
      <c r="SNI67" s="3"/>
      <c r="SNJ67" s="3"/>
      <c r="SNK67" s="3"/>
      <c r="SNL67" s="3"/>
      <c r="SNM67" s="3"/>
      <c r="SNN67" s="3"/>
      <c r="SNO67" s="3"/>
      <c r="SNP67" s="3"/>
      <c r="SNQ67" s="3"/>
      <c r="SNR67" s="3"/>
      <c r="SNS67" s="3"/>
      <c r="SNT67" s="3"/>
      <c r="SNU67" s="3"/>
      <c r="SNV67" s="3"/>
      <c r="SNW67" s="3"/>
      <c r="SNX67" s="3"/>
      <c r="SNY67" s="3"/>
      <c r="SNZ67" s="3"/>
      <c r="SOA67" s="3"/>
      <c r="SOB67" s="3"/>
      <c r="SOC67" s="3"/>
      <c r="SOD67" s="3"/>
      <c r="SOE67" s="3"/>
      <c r="SOF67" s="3"/>
      <c r="SOG67" s="3"/>
      <c r="SOH67" s="3"/>
      <c r="SOI67" s="3"/>
      <c r="SOJ67" s="3"/>
      <c r="SOK67" s="3"/>
      <c r="SOL67" s="3"/>
      <c r="SOM67" s="3"/>
      <c r="SON67" s="3"/>
      <c r="SOO67" s="3"/>
      <c r="SOP67" s="3"/>
      <c r="SOQ67" s="3"/>
      <c r="SOR67" s="3"/>
      <c r="SOS67" s="3"/>
      <c r="SOT67" s="3"/>
      <c r="SOU67" s="3"/>
      <c r="SOV67" s="3"/>
      <c r="SOW67" s="3"/>
      <c r="SOX67" s="3"/>
      <c r="SOY67" s="3"/>
      <c r="SOZ67" s="3"/>
      <c r="SPA67" s="3"/>
      <c r="SPB67" s="3"/>
      <c r="SPC67" s="3"/>
      <c r="SPD67" s="3"/>
      <c r="SPE67" s="3"/>
      <c r="SPF67" s="3"/>
      <c r="SPG67" s="3"/>
      <c r="SPH67" s="3"/>
      <c r="SPI67" s="3"/>
      <c r="SPJ67" s="3"/>
      <c r="SPK67" s="3"/>
      <c r="SPL67" s="3"/>
      <c r="SPM67" s="3"/>
      <c r="SPN67" s="3"/>
      <c r="SPO67" s="3"/>
      <c r="SPP67" s="3"/>
      <c r="SPQ67" s="3"/>
      <c r="SPR67" s="3"/>
      <c r="SPS67" s="3"/>
      <c r="SPT67" s="3"/>
      <c r="SPU67" s="3"/>
      <c r="SPV67" s="3"/>
      <c r="SPW67" s="3"/>
      <c r="SPX67" s="3"/>
      <c r="SPY67" s="3"/>
      <c r="SPZ67" s="3"/>
      <c r="SQA67" s="3"/>
      <c r="SQB67" s="3"/>
      <c r="SQC67" s="3"/>
      <c r="SQD67" s="3"/>
      <c r="SQE67" s="3"/>
      <c r="SQF67" s="3"/>
      <c r="SQG67" s="3"/>
      <c r="SQH67" s="3"/>
      <c r="SQI67" s="3"/>
      <c r="SQJ67" s="3"/>
      <c r="SQK67" s="3"/>
      <c r="SQL67" s="3"/>
      <c r="SQM67" s="3"/>
      <c r="SQN67" s="3"/>
      <c r="SQO67" s="3"/>
      <c r="SQP67" s="3"/>
      <c r="SQQ67" s="3"/>
      <c r="SQR67" s="3"/>
      <c r="SQS67" s="3"/>
      <c r="SQT67" s="3"/>
      <c r="SQU67" s="3"/>
      <c r="SQV67" s="3"/>
      <c r="SQW67" s="3"/>
      <c r="SQX67" s="3"/>
      <c r="SQY67" s="3"/>
      <c r="SQZ67" s="3"/>
      <c r="SRA67" s="3"/>
      <c r="SRB67" s="3"/>
      <c r="SRC67" s="3"/>
      <c r="SRD67" s="3"/>
      <c r="SRE67" s="3"/>
      <c r="SRF67" s="3"/>
      <c r="SRG67" s="3"/>
      <c r="SRH67" s="3"/>
      <c r="SRI67" s="3"/>
      <c r="SRJ67" s="3"/>
      <c r="SRK67" s="3"/>
      <c r="SRL67" s="3"/>
      <c r="SRM67" s="3"/>
      <c r="SRN67" s="3"/>
      <c r="SRO67" s="3"/>
      <c r="SRP67" s="3"/>
      <c r="SRQ67" s="3"/>
      <c r="SRR67" s="3"/>
      <c r="SRS67" s="3"/>
      <c r="SRT67" s="3"/>
      <c r="SRU67" s="3"/>
      <c r="SRV67" s="3"/>
      <c r="SRW67" s="3"/>
      <c r="SRX67" s="3"/>
      <c r="SRY67" s="3"/>
      <c r="SRZ67" s="3"/>
      <c r="SSA67" s="3"/>
      <c r="SSB67" s="3"/>
      <c r="SSC67" s="3"/>
      <c r="SSD67" s="3"/>
      <c r="SSE67" s="3"/>
      <c r="SSF67" s="3"/>
      <c r="SSG67" s="3"/>
      <c r="SSH67" s="3"/>
      <c r="SSI67" s="3"/>
      <c r="SSJ67" s="3"/>
      <c r="SSK67" s="3"/>
      <c r="SSL67" s="3"/>
      <c r="SSM67" s="3"/>
      <c r="SSN67" s="3"/>
      <c r="SSO67" s="3"/>
      <c r="SSP67" s="3"/>
      <c r="SSQ67" s="3"/>
      <c r="SSR67" s="3"/>
      <c r="SSS67" s="3"/>
      <c r="SST67" s="3"/>
      <c r="SSU67" s="3"/>
      <c r="SSV67" s="3"/>
      <c r="SSW67" s="3"/>
      <c r="SSX67" s="3"/>
      <c r="SSY67" s="3"/>
      <c r="SSZ67" s="3"/>
      <c r="STA67" s="3"/>
      <c r="STB67" s="3"/>
      <c r="STC67" s="3"/>
      <c r="STD67" s="3"/>
      <c r="STE67" s="3"/>
      <c r="STF67" s="3"/>
      <c r="STG67" s="3"/>
      <c r="STH67" s="3"/>
      <c r="STI67" s="3"/>
      <c r="STJ67" s="3"/>
      <c r="STK67" s="3"/>
      <c r="STL67" s="3"/>
      <c r="STM67" s="3"/>
      <c r="STN67" s="3"/>
      <c r="STO67" s="3"/>
      <c r="STP67" s="3"/>
      <c r="STQ67" s="3"/>
      <c r="STR67" s="3"/>
      <c r="STS67" s="3"/>
      <c r="STT67" s="3"/>
      <c r="STU67" s="3"/>
      <c r="STV67" s="3"/>
      <c r="STW67" s="3"/>
      <c r="STX67" s="3"/>
      <c r="STY67" s="3"/>
      <c r="STZ67" s="3"/>
      <c r="SUA67" s="3"/>
      <c r="SUB67" s="3"/>
      <c r="SUC67" s="3"/>
      <c r="SUD67" s="3"/>
      <c r="SUE67" s="3"/>
      <c r="SUF67" s="3"/>
      <c r="SUG67" s="3"/>
      <c r="SUH67" s="3"/>
      <c r="SUI67" s="3"/>
      <c r="SUJ67" s="3"/>
      <c r="SUK67" s="3"/>
      <c r="SUL67" s="3"/>
      <c r="SUM67" s="3"/>
      <c r="SUN67" s="3"/>
      <c r="SUO67" s="3"/>
      <c r="SUP67" s="3"/>
      <c r="SUQ67" s="3"/>
      <c r="SUR67" s="3"/>
      <c r="SUS67" s="3"/>
      <c r="SUT67" s="3"/>
      <c r="SUU67" s="3"/>
      <c r="SUV67" s="3"/>
      <c r="SUW67" s="3"/>
      <c r="SUX67" s="3"/>
      <c r="SUY67" s="3"/>
      <c r="SUZ67" s="3"/>
      <c r="SVA67" s="3"/>
      <c r="SVB67" s="3"/>
      <c r="SVC67" s="3"/>
      <c r="SVD67" s="3"/>
      <c r="SVE67" s="3"/>
      <c r="SVF67" s="3"/>
      <c r="SVG67" s="3"/>
      <c r="SVH67" s="3"/>
      <c r="SVI67" s="3"/>
      <c r="SVJ67" s="3"/>
      <c r="SVK67" s="3"/>
      <c r="SVL67" s="3"/>
      <c r="SVM67" s="3"/>
      <c r="SVN67" s="3"/>
      <c r="SVO67" s="3"/>
      <c r="SVP67" s="3"/>
      <c r="SVQ67" s="3"/>
      <c r="SVR67" s="3"/>
      <c r="SVS67" s="3"/>
      <c r="SVT67" s="3"/>
      <c r="SVU67" s="3"/>
      <c r="SVV67" s="3"/>
      <c r="SVW67" s="3"/>
      <c r="SVX67" s="3"/>
      <c r="SVY67" s="3"/>
      <c r="SVZ67" s="3"/>
      <c r="SWA67" s="3"/>
      <c r="SWB67" s="3"/>
      <c r="SWC67" s="3"/>
      <c r="SWD67" s="3"/>
      <c r="SWE67" s="3"/>
      <c r="SWF67" s="3"/>
      <c r="SWG67" s="3"/>
      <c r="SWH67" s="3"/>
      <c r="SWI67" s="3"/>
      <c r="SWJ67" s="3"/>
      <c r="SWK67" s="3"/>
      <c r="SWL67" s="3"/>
      <c r="SWM67" s="3"/>
      <c r="SWN67" s="3"/>
      <c r="SWO67" s="3"/>
      <c r="SWP67" s="3"/>
      <c r="SWQ67" s="3"/>
      <c r="SWR67" s="3"/>
      <c r="SWS67" s="3"/>
      <c r="SWT67" s="3"/>
      <c r="SWU67" s="3"/>
      <c r="SWV67" s="3"/>
      <c r="SWW67" s="3"/>
      <c r="SWX67" s="3"/>
      <c r="SWY67" s="3"/>
      <c r="SWZ67" s="3"/>
      <c r="SXA67" s="3"/>
      <c r="SXB67" s="3"/>
      <c r="SXC67" s="3"/>
      <c r="SXD67" s="3"/>
      <c r="SXE67" s="3"/>
      <c r="SXF67" s="3"/>
      <c r="SXG67" s="3"/>
      <c r="SXH67" s="3"/>
      <c r="SXI67" s="3"/>
      <c r="SXJ67" s="3"/>
      <c r="SXK67" s="3"/>
      <c r="SXL67" s="3"/>
      <c r="SXM67" s="3"/>
      <c r="SXN67" s="3"/>
      <c r="SXO67" s="3"/>
      <c r="SXP67" s="3"/>
      <c r="SXQ67" s="3"/>
      <c r="SXR67" s="3"/>
      <c r="SXS67" s="3"/>
      <c r="SXT67" s="3"/>
      <c r="SXU67" s="3"/>
      <c r="SXV67" s="3"/>
      <c r="SXW67" s="3"/>
      <c r="SXX67" s="3"/>
      <c r="SXY67" s="3"/>
      <c r="SXZ67" s="3"/>
      <c r="SYA67" s="3"/>
      <c r="SYB67" s="3"/>
      <c r="SYC67" s="3"/>
      <c r="SYD67" s="3"/>
      <c r="SYE67" s="3"/>
      <c r="SYF67" s="3"/>
      <c r="SYG67" s="3"/>
      <c r="SYH67" s="3"/>
      <c r="SYI67" s="3"/>
      <c r="SYJ67" s="3"/>
      <c r="SYK67" s="3"/>
      <c r="SYL67" s="3"/>
      <c r="SYM67" s="3"/>
      <c r="SYN67" s="3"/>
      <c r="SYO67" s="3"/>
      <c r="SYP67" s="3"/>
      <c r="SYQ67" s="3"/>
      <c r="SYR67" s="3"/>
      <c r="SYS67" s="3"/>
      <c r="SYT67" s="3"/>
      <c r="SYU67" s="3"/>
      <c r="SYV67" s="3"/>
      <c r="SYW67" s="3"/>
      <c r="SYX67" s="3"/>
      <c r="SYY67" s="3"/>
      <c r="SYZ67" s="3"/>
      <c r="SZA67" s="3"/>
      <c r="SZB67" s="3"/>
      <c r="SZC67" s="3"/>
      <c r="SZD67" s="3"/>
      <c r="SZE67" s="3"/>
      <c r="SZF67" s="3"/>
      <c r="SZG67" s="3"/>
      <c r="SZH67" s="3"/>
      <c r="SZI67" s="3"/>
      <c r="SZJ67" s="3"/>
      <c r="SZK67" s="3"/>
      <c r="SZL67" s="3"/>
      <c r="SZM67" s="3"/>
      <c r="SZN67" s="3"/>
      <c r="SZO67" s="3"/>
      <c r="SZP67" s="3"/>
      <c r="SZQ67" s="3"/>
      <c r="SZR67" s="3"/>
      <c r="SZS67" s="3"/>
      <c r="SZT67" s="3"/>
      <c r="SZU67" s="3"/>
      <c r="SZV67" s="3"/>
      <c r="SZW67" s="3"/>
      <c r="SZX67" s="3"/>
      <c r="SZY67" s="3"/>
      <c r="SZZ67" s="3"/>
      <c r="TAA67" s="3"/>
      <c r="TAB67" s="3"/>
      <c r="TAC67" s="3"/>
      <c r="TAD67" s="3"/>
      <c r="TAE67" s="3"/>
      <c r="TAF67" s="3"/>
      <c r="TAG67" s="3"/>
      <c r="TAH67" s="3"/>
      <c r="TAI67" s="3"/>
      <c r="TAJ67" s="3"/>
      <c r="TAK67" s="3"/>
      <c r="TAL67" s="3"/>
      <c r="TAM67" s="3"/>
      <c r="TAN67" s="3"/>
      <c r="TAO67" s="3"/>
      <c r="TAP67" s="3"/>
      <c r="TAQ67" s="3"/>
      <c r="TAR67" s="3"/>
      <c r="TAS67" s="3"/>
      <c r="TAT67" s="3"/>
      <c r="TAU67" s="3"/>
      <c r="TAV67" s="3"/>
      <c r="TAW67" s="3"/>
      <c r="TAX67" s="3"/>
      <c r="TAY67" s="3"/>
      <c r="TAZ67" s="3"/>
      <c r="TBA67" s="3"/>
      <c r="TBB67" s="3"/>
      <c r="TBC67" s="3"/>
      <c r="TBD67" s="3"/>
      <c r="TBE67" s="3"/>
      <c r="TBF67" s="3"/>
      <c r="TBG67" s="3"/>
      <c r="TBH67" s="3"/>
      <c r="TBI67" s="3"/>
      <c r="TBJ67" s="3"/>
      <c r="TBK67" s="3"/>
      <c r="TBL67" s="3"/>
      <c r="TBM67" s="3"/>
      <c r="TBN67" s="3"/>
      <c r="TBO67" s="3"/>
      <c r="TBP67" s="3"/>
      <c r="TBQ67" s="3"/>
      <c r="TBR67" s="3"/>
      <c r="TBS67" s="3"/>
      <c r="TBT67" s="3"/>
      <c r="TBU67" s="3"/>
      <c r="TBV67" s="3"/>
      <c r="TBW67" s="3"/>
      <c r="TBX67" s="3"/>
      <c r="TBY67" s="3"/>
      <c r="TBZ67" s="3"/>
      <c r="TCA67" s="3"/>
      <c r="TCB67" s="3"/>
      <c r="TCC67" s="3"/>
      <c r="TCD67" s="3"/>
      <c r="TCE67" s="3"/>
      <c r="TCF67" s="3"/>
      <c r="TCG67" s="3"/>
      <c r="TCH67" s="3"/>
      <c r="TCI67" s="3"/>
      <c r="TCJ67" s="3"/>
      <c r="TCK67" s="3"/>
      <c r="TCL67" s="3"/>
      <c r="TCM67" s="3"/>
      <c r="TCN67" s="3"/>
      <c r="TCO67" s="3"/>
      <c r="TCP67" s="3"/>
      <c r="TCQ67" s="3"/>
      <c r="TCR67" s="3"/>
      <c r="TCS67" s="3"/>
      <c r="TCT67" s="3"/>
      <c r="TCU67" s="3"/>
      <c r="TCV67" s="3"/>
      <c r="TCW67" s="3"/>
      <c r="TCX67" s="3"/>
      <c r="TCY67" s="3"/>
      <c r="TCZ67" s="3"/>
      <c r="TDA67" s="3"/>
      <c r="TDB67" s="3"/>
      <c r="TDC67" s="3"/>
      <c r="TDD67" s="3"/>
      <c r="TDE67" s="3"/>
      <c r="TDF67" s="3"/>
      <c r="TDG67" s="3"/>
      <c r="TDH67" s="3"/>
      <c r="TDI67" s="3"/>
      <c r="TDJ67" s="3"/>
      <c r="TDK67" s="3"/>
      <c r="TDL67" s="3"/>
      <c r="TDM67" s="3"/>
      <c r="TDN67" s="3"/>
      <c r="TDO67" s="3"/>
      <c r="TDP67" s="3"/>
      <c r="TDQ67" s="3"/>
      <c r="TDR67" s="3"/>
      <c r="TDS67" s="3"/>
      <c r="TDT67" s="3"/>
      <c r="TDU67" s="3"/>
      <c r="TDV67" s="3"/>
      <c r="TDW67" s="3"/>
      <c r="TDX67" s="3"/>
      <c r="TDY67" s="3"/>
      <c r="TDZ67" s="3"/>
      <c r="TEA67" s="3"/>
      <c r="TEB67" s="3"/>
      <c r="TEC67" s="3"/>
      <c r="TED67" s="3"/>
      <c r="TEE67" s="3"/>
      <c r="TEF67" s="3"/>
      <c r="TEG67" s="3"/>
      <c r="TEH67" s="3"/>
      <c r="TEI67" s="3"/>
      <c r="TEJ67" s="3"/>
      <c r="TEK67" s="3"/>
      <c r="TEL67" s="3"/>
      <c r="TEM67" s="3"/>
      <c r="TEN67" s="3"/>
      <c r="TEO67" s="3"/>
      <c r="TEP67" s="3"/>
      <c r="TEQ67" s="3"/>
      <c r="TER67" s="3"/>
      <c r="TES67" s="3"/>
      <c r="TET67" s="3"/>
      <c r="TEU67" s="3"/>
      <c r="TEV67" s="3"/>
      <c r="TEW67" s="3"/>
      <c r="TEX67" s="3"/>
      <c r="TEY67" s="3"/>
      <c r="TEZ67" s="3"/>
      <c r="TFA67" s="3"/>
      <c r="TFB67" s="3"/>
      <c r="TFC67" s="3"/>
      <c r="TFD67" s="3"/>
      <c r="TFE67" s="3"/>
      <c r="TFF67" s="3"/>
      <c r="TFG67" s="3"/>
      <c r="TFH67" s="3"/>
      <c r="TFI67" s="3"/>
      <c r="TFJ67" s="3"/>
      <c r="TFK67" s="3"/>
      <c r="TFL67" s="3"/>
      <c r="TFM67" s="3"/>
      <c r="TFN67" s="3"/>
      <c r="TFO67" s="3"/>
      <c r="TFP67" s="3"/>
      <c r="TFQ67" s="3"/>
      <c r="TFR67" s="3"/>
      <c r="TFS67" s="3"/>
      <c r="TFT67" s="3"/>
      <c r="TFU67" s="3"/>
      <c r="TFV67" s="3"/>
      <c r="TFW67" s="3"/>
      <c r="TFX67" s="3"/>
      <c r="TFY67" s="3"/>
      <c r="TFZ67" s="3"/>
      <c r="TGA67" s="3"/>
      <c r="TGB67" s="3"/>
      <c r="TGC67" s="3"/>
      <c r="TGD67" s="3"/>
      <c r="TGE67" s="3"/>
      <c r="TGF67" s="3"/>
      <c r="TGG67" s="3"/>
      <c r="TGH67" s="3"/>
      <c r="TGI67" s="3"/>
      <c r="TGJ67" s="3"/>
      <c r="TGK67" s="3"/>
      <c r="TGL67" s="3"/>
      <c r="TGM67" s="3"/>
      <c r="TGN67" s="3"/>
      <c r="TGO67" s="3"/>
      <c r="TGP67" s="3"/>
      <c r="TGQ67" s="3"/>
      <c r="TGR67" s="3"/>
      <c r="TGS67" s="3"/>
      <c r="TGT67" s="3"/>
      <c r="TGU67" s="3"/>
      <c r="TGV67" s="3"/>
      <c r="TGW67" s="3"/>
      <c r="TGX67" s="3"/>
      <c r="TGY67" s="3"/>
      <c r="TGZ67" s="3"/>
      <c r="THA67" s="3"/>
      <c r="THB67" s="3"/>
      <c r="THC67" s="3"/>
      <c r="THD67" s="3"/>
      <c r="THE67" s="3"/>
      <c r="THF67" s="3"/>
      <c r="THG67" s="3"/>
      <c r="THH67" s="3"/>
      <c r="THI67" s="3"/>
      <c r="THJ67" s="3"/>
      <c r="THK67" s="3"/>
      <c r="THL67" s="3"/>
      <c r="THM67" s="3"/>
      <c r="THN67" s="3"/>
      <c r="THO67" s="3"/>
      <c r="THP67" s="3"/>
      <c r="THQ67" s="3"/>
      <c r="THR67" s="3"/>
      <c r="THS67" s="3"/>
      <c r="THT67" s="3"/>
      <c r="THU67" s="3"/>
      <c r="THV67" s="3"/>
      <c r="THW67" s="3"/>
      <c r="THX67" s="3"/>
      <c r="THY67" s="3"/>
      <c r="THZ67" s="3"/>
      <c r="TIA67" s="3"/>
      <c r="TIB67" s="3"/>
      <c r="TIC67" s="3"/>
      <c r="TID67" s="3"/>
      <c r="TIE67" s="3"/>
      <c r="TIF67" s="3"/>
      <c r="TIG67" s="3"/>
      <c r="TIH67" s="3"/>
      <c r="TII67" s="3"/>
      <c r="TIJ67" s="3"/>
      <c r="TIK67" s="3"/>
      <c r="TIL67" s="3"/>
      <c r="TIM67" s="3"/>
      <c r="TIN67" s="3"/>
      <c r="TIO67" s="3"/>
      <c r="TIP67" s="3"/>
      <c r="TIQ67" s="3"/>
      <c r="TIR67" s="3"/>
      <c r="TIS67" s="3"/>
      <c r="TIT67" s="3"/>
      <c r="TIU67" s="3"/>
      <c r="TIV67" s="3"/>
      <c r="TIW67" s="3"/>
      <c r="TIX67" s="3"/>
      <c r="TIY67" s="3"/>
      <c r="TIZ67" s="3"/>
      <c r="TJA67" s="3"/>
      <c r="TJB67" s="3"/>
      <c r="TJC67" s="3"/>
      <c r="TJD67" s="3"/>
      <c r="TJE67" s="3"/>
      <c r="TJF67" s="3"/>
      <c r="TJG67" s="3"/>
      <c r="TJH67" s="3"/>
      <c r="TJI67" s="3"/>
      <c r="TJJ67" s="3"/>
      <c r="TJK67" s="3"/>
      <c r="TJL67" s="3"/>
      <c r="TJM67" s="3"/>
      <c r="TJN67" s="3"/>
      <c r="TJO67" s="3"/>
      <c r="TJP67" s="3"/>
      <c r="TJQ67" s="3"/>
      <c r="TJR67" s="3"/>
      <c r="TJS67" s="3"/>
      <c r="TJT67" s="3"/>
      <c r="TJU67" s="3"/>
      <c r="TJV67" s="3"/>
      <c r="TJW67" s="3"/>
      <c r="TJX67" s="3"/>
      <c r="TJY67" s="3"/>
      <c r="TJZ67" s="3"/>
      <c r="TKA67" s="3"/>
      <c r="TKB67" s="3"/>
      <c r="TKC67" s="3"/>
      <c r="TKD67" s="3"/>
      <c r="TKE67" s="3"/>
      <c r="TKF67" s="3"/>
      <c r="TKG67" s="3"/>
      <c r="TKH67" s="3"/>
      <c r="TKI67" s="3"/>
      <c r="TKJ67" s="3"/>
      <c r="TKK67" s="3"/>
      <c r="TKL67" s="3"/>
      <c r="TKM67" s="3"/>
      <c r="TKN67" s="3"/>
      <c r="TKO67" s="3"/>
      <c r="TKP67" s="3"/>
      <c r="TKQ67" s="3"/>
      <c r="TKR67" s="3"/>
      <c r="TKS67" s="3"/>
      <c r="TKT67" s="3"/>
      <c r="TKU67" s="3"/>
      <c r="TKV67" s="3"/>
      <c r="TKW67" s="3"/>
      <c r="TKX67" s="3"/>
      <c r="TKY67" s="3"/>
      <c r="TKZ67" s="3"/>
      <c r="TLA67" s="3"/>
      <c r="TLB67" s="3"/>
      <c r="TLC67" s="3"/>
      <c r="TLD67" s="3"/>
      <c r="TLE67" s="3"/>
      <c r="TLF67" s="3"/>
      <c r="TLG67" s="3"/>
      <c r="TLH67" s="3"/>
      <c r="TLI67" s="3"/>
      <c r="TLJ67" s="3"/>
      <c r="TLK67" s="3"/>
      <c r="TLL67" s="3"/>
      <c r="TLM67" s="3"/>
      <c r="TLN67" s="3"/>
      <c r="TLO67" s="3"/>
      <c r="TLP67" s="3"/>
      <c r="TLQ67" s="3"/>
      <c r="TLR67" s="3"/>
      <c r="TLS67" s="3"/>
      <c r="TLT67" s="3"/>
      <c r="TLU67" s="3"/>
      <c r="TLV67" s="3"/>
      <c r="TLW67" s="3"/>
      <c r="TLX67" s="3"/>
      <c r="TLY67" s="3"/>
      <c r="TLZ67" s="3"/>
      <c r="TMA67" s="3"/>
      <c r="TMB67" s="3"/>
      <c r="TMC67" s="3"/>
      <c r="TMD67" s="3"/>
      <c r="TME67" s="3"/>
      <c r="TMF67" s="3"/>
      <c r="TMG67" s="3"/>
      <c r="TMH67" s="3"/>
      <c r="TMI67" s="3"/>
      <c r="TMJ67" s="3"/>
      <c r="TMK67" s="3"/>
      <c r="TML67" s="3"/>
      <c r="TMM67" s="3"/>
      <c r="TMN67" s="3"/>
      <c r="TMO67" s="3"/>
      <c r="TMP67" s="3"/>
      <c r="TMQ67" s="3"/>
      <c r="TMR67" s="3"/>
      <c r="TMS67" s="3"/>
      <c r="TMT67" s="3"/>
      <c r="TMU67" s="3"/>
      <c r="TMV67" s="3"/>
      <c r="TMW67" s="3"/>
      <c r="TMX67" s="3"/>
      <c r="TMY67" s="3"/>
      <c r="TMZ67" s="3"/>
      <c r="TNA67" s="3"/>
      <c r="TNB67" s="3"/>
      <c r="TNC67" s="3"/>
      <c r="TND67" s="3"/>
      <c r="TNE67" s="3"/>
      <c r="TNF67" s="3"/>
      <c r="TNG67" s="3"/>
      <c r="TNH67" s="3"/>
      <c r="TNI67" s="3"/>
      <c r="TNJ67" s="3"/>
      <c r="TNK67" s="3"/>
      <c r="TNL67" s="3"/>
      <c r="TNM67" s="3"/>
      <c r="TNN67" s="3"/>
      <c r="TNO67" s="3"/>
      <c r="TNP67" s="3"/>
      <c r="TNQ67" s="3"/>
      <c r="TNR67" s="3"/>
      <c r="TNS67" s="3"/>
      <c r="TNT67" s="3"/>
      <c r="TNU67" s="3"/>
      <c r="TNV67" s="3"/>
      <c r="TNW67" s="3"/>
      <c r="TNX67" s="3"/>
      <c r="TNY67" s="3"/>
      <c r="TNZ67" s="3"/>
      <c r="TOA67" s="3"/>
      <c r="TOB67" s="3"/>
      <c r="TOC67" s="3"/>
      <c r="TOD67" s="3"/>
      <c r="TOE67" s="3"/>
      <c r="TOF67" s="3"/>
      <c r="TOG67" s="3"/>
      <c r="TOH67" s="3"/>
      <c r="TOI67" s="3"/>
      <c r="TOJ67" s="3"/>
      <c r="TOK67" s="3"/>
      <c r="TOL67" s="3"/>
      <c r="TOM67" s="3"/>
      <c r="TON67" s="3"/>
      <c r="TOO67" s="3"/>
      <c r="TOP67" s="3"/>
      <c r="TOQ67" s="3"/>
      <c r="TOR67" s="3"/>
      <c r="TOS67" s="3"/>
      <c r="TOT67" s="3"/>
      <c r="TOU67" s="3"/>
      <c r="TOV67" s="3"/>
      <c r="TOW67" s="3"/>
      <c r="TOX67" s="3"/>
      <c r="TOY67" s="3"/>
      <c r="TOZ67" s="3"/>
      <c r="TPA67" s="3"/>
      <c r="TPB67" s="3"/>
      <c r="TPC67" s="3"/>
      <c r="TPD67" s="3"/>
      <c r="TPE67" s="3"/>
      <c r="TPF67" s="3"/>
      <c r="TPG67" s="3"/>
      <c r="TPH67" s="3"/>
      <c r="TPI67" s="3"/>
      <c r="TPJ67" s="3"/>
      <c r="TPK67" s="3"/>
      <c r="TPL67" s="3"/>
      <c r="TPM67" s="3"/>
      <c r="TPN67" s="3"/>
      <c r="TPO67" s="3"/>
      <c r="TPP67" s="3"/>
      <c r="TPQ67" s="3"/>
      <c r="TPR67" s="3"/>
      <c r="TPS67" s="3"/>
      <c r="TPT67" s="3"/>
      <c r="TPU67" s="3"/>
      <c r="TPV67" s="3"/>
      <c r="TPW67" s="3"/>
      <c r="TPX67" s="3"/>
      <c r="TPY67" s="3"/>
      <c r="TPZ67" s="3"/>
      <c r="TQA67" s="3"/>
      <c r="TQB67" s="3"/>
      <c r="TQC67" s="3"/>
      <c r="TQD67" s="3"/>
      <c r="TQE67" s="3"/>
      <c r="TQF67" s="3"/>
      <c r="TQG67" s="3"/>
      <c r="TQH67" s="3"/>
      <c r="TQI67" s="3"/>
      <c r="TQJ67" s="3"/>
      <c r="TQK67" s="3"/>
      <c r="TQL67" s="3"/>
      <c r="TQM67" s="3"/>
      <c r="TQN67" s="3"/>
      <c r="TQO67" s="3"/>
      <c r="TQP67" s="3"/>
      <c r="TQQ67" s="3"/>
      <c r="TQR67" s="3"/>
      <c r="TQS67" s="3"/>
      <c r="TQT67" s="3"/>
      <c r="TQU67" s="3"/>
      <c r="TQV67" s="3"/>
      <c r="TQW67" s="3"/>
      <c r="TQX67" s="3"/>
      <c r="TQY67" s="3"/>
      <c r="TQZ67" s="3"/>
      <c r="TRA67" s="3"/>
      <c r="TRB67" s="3"/>
      <c r="TRC67" s="3"/>
      <c r="TRD67" s="3"/>
      <c r="TRE67" s="3"/>
      <c r="TRF67" s="3"/>
      <c r="TRG67" s="3"/>
      <c r="TRH67" s="3"/>
      <c r="TRI67" s="3"/>
      <c r="TRJ67" s="3"/>
      <c r="TRK67" s="3"/>
      <c r="TRL67" s="3"/>
      <c r="TRM67" s="3"/>
      <c r="TRN67" s="3"/>
      <c r="TRO67" s="3"/>
      <c r="TRP67" s="3"/>
      <c r="TRQ67" s="3"/>
      <c r="TRR67" s="3"/>
      <c r="TRS67" s="3"/>
      <c r="TRT67" s="3"/>
      <c r="TRU67" s="3"/>
      <c r="TRV67" s="3"/>
      <c r="TRW67" s="3"/>
      <c r="TRX67" s="3"/>
      <c r="TRY67" s="3"/>
      <c r="TRZ67" s="3"/>
      <c r="TSA67" s="3"/>
      <c r="TSB67" s="3"/>
      <c r="TSC67" s="3"/>
      <c r="TSD67" s="3"/>
      <c r="TSE67" s="3"/>
      <c r="TSF67" s="3"/>
      <c r="TSG67" s="3"/>
      <c r="TSH67" s="3"/>
      <c r="TSI67" s="3"/>
      <c r="TSJ67" s="3"/>
      <c r="TSK67" s="3"/>
      <c r="TSL67" s="3"/>
      <c r="TSM67" s="3"/>
      <c r="TSN67" s="3"/>
      <c r="TSO67" s="3"/>
      <c r="TSP67" s="3"/>
      <c r="TSQ67" s="3"/>
      <c r="TSR67" s="3"/>
      <c r="TSS67" s="3"/>
      <c r="TST67" s="3"/>
      <c r="TSU67" s="3"/>
      <c r="TSV67" s="3"/>
      <c r="TSW67" s="3"/>
      <c r="TSX67" s="3"/>
      <c r="TSY67" s="3"/>
      <c r="TSZ67" s="3"/>
      <c r="TTA67" s="3"/>
      <c r="TTB67" s="3"/>
      <c r="TTC67" s="3"/>
      <c r="TTD67" s="3"/>
      <c r="TTE67" s="3"/>
      <c r="TTF67" s="3"/>
      <c r="TTG67" s="3"/>
      <c r="TTH67" s="3"/>
      <c r="TTI67" s="3"/>
      <c r="TTJ67" s="3"/>
      <c r="TTK67" s="3"/>
      <c r="TTL67" s="3"/>
      <c r="TTM67" s="3"/>
      <c r="TTN67" s="3"/>
      <c r="TTO67" s="3"/>
      <c r="TTP67" s="3"/>
      <c r="TTQ67" s="3"/>
      <c r="TTR67" s="3"/>
      <c r="TTS67" s="3"/>
      <c r="TTT67" s="3"/>
      <c r="TTU67" s="3"/>
      <c r="TTV67" s="3"/>
      <c r="TTW67" s="3"/>
      <c r="TTX67" s="3"/>
      <c r="TTY67" s="3"/>
      <c r="TTZ67" s="3"/>
      <c r="TUA67" s="3"/>
      <c r="TUB67" s="3"/>
      <c r="TUC67" s="3"/>
      <c r="TUD67" s="3"/>
      <c r="TUE67" s="3"/>
      <c r="TUF67" s="3"/>
      <c r="TUG67" s="3"/>
      <c r="TUH67" s="3"/>
      <c r="TUI67" s="3"/>
      <c r="TUJ67" s="3"/>
      <c r="TUK67" s="3"/>
      <c r="TUL67" s="3"/>
      <c r="TUM67" s="3"/>
      <c r="TUN67" s="3"/>
      <c r="TUO67" s="3"/>
      <c r="TUP67" s="3"/>
      <c r="TUQ67" s="3"/>
      <c r="TUR67" s="3"/>
      <c r="TUS67" s="3"/>
      <c r="TUT67" s="3"/>
      <c r="TUU67" s="3"/>
      <c r="TUV67" s="3"/>
      <c r="TUW67" s="3"/>
      <c r="TUX67" s="3"/>
      <c r="TUY67" s="3"/>
      <c r="TUZ67" s="3"/>
      <c r="TVA67" s="3"/>
      <c r="TVB67" s="3"/>
      <c r="TVC67" s="3"/>
      <c r="TVD67" s="3"/>
      <c r="TVE67" s="3"/>
      <c r="TVF67" s="3"/>
      <c r="TVG67" s="3"/>
      <c r="TVH67" s="3"/>
      <c r="TVI67" s="3"/>
      <c r="TVJ67" s="3"/>
      <c r="TVK67" s="3"/>
      <c r="TVL67" s="3"/>
      <c r="TVM67" s="3"/>
      <c r="TVN67" s="3"/>
      <c r="TVO67" s="3"/>
      <c r="TVP67" s="3"/>
      <c r="TVQ67" s="3"/>
      <c r="TVR67" s="3"/>
      <c r="TVS67" s="3"/>
      <c r="TVT67" s="3"/>
      <c r="TVU67" s="3"/>
      <c r="TVV67" s="3"/>
      <c r="TVW67" s="3"/>
      <c r="TVX67" s="3"/>
      <c r="TVY67" s="3"/>
      <c r="TVZ67" s="3"/>
      <c r="TWA67" s="3"/>
      <c r="TWB67" s="3"/>
      <c r="TWC67" s="3"/>
      <c r="TWD67" s="3"/>
      <c r="TWE67" s="3"/>
      <c r="TWF67" s="3"/>
      <c r="TWG67" s="3"/>
      <c r="TWH67" s="3"/>
      <c r="TWI67" s="3"/>
      <c r="TWJ67" s="3"/>
      <c r="TWK67" s="3"/>
      <c r="TWL67" s="3"/>
      <c r="TWM67" s="3"/>
      <c r="TWN67" s="3"/>
      <c r="TWO67" s="3"/>
      <c r="TWP67" s="3"/>
      <c r="TWQ67" s="3"/>
      <c r="TWR67" s="3"/>
      <c r="TWS67" s="3"/>
      <c r="TWT67" s="3"/>
      <c r="TWU67" s="3"/>
      <c r="TWV67" s="3"/>
      <c r="TWW67" s="3"/>
      <c r="TWX67" s="3"/>
      <c r="TWY67" s="3"/>
      <c r="TWZ67" s="3"/>
      <c r="TXA67" s="3"/>
      <c r="TXB67" s="3"/>
      <c r="TXC67" s="3"/>
      <c r="TXD67" s="3"/>
      <c r="TXE67" s="3"/>
      <c r="TXF67" s="3"/>
      <c r="TXG67" s="3"/>
      <c r="TXH67" s="3"/>
      <c r="TXI67" s="3"/>
      <c r="TXJ67" s="3"/>
      <c r="TXK67" s="3"/>
      <c r="TXL67" s="3"/>
      <c r="TXM67" s="3"/>
      <c r="TXN67" s="3"/>
      <c r="TXO67" s="3"/>
      <c r="TXP67" s="3"/>
      <c r="TXQ67" s="3"/>
      <c r="TXR67" s="3"/>
      <c r="TXS67" s="3"/>
      <c r="TXT67" s="3"/>
      <c r="TXU67" s="3"/>
      <c r="TXV67" s="3"/>
      <c r="TXW67" s="3"/>
      <c r="TXX67" s="3"/>
      <c r="TXY67" s="3"/>
      <c r="TXZ67" s="3"/>
      <c r="TYA67" s="3"/>
      <c r="TYB67" s="3"/>
      <c r="TYC67" s="3"/>
      <c r="TYD67" s="3"/>
      <c r="TYE67" s="3"/>
      <c r="TYF67" s="3"/>
      <c r="TYG67" s="3"/>
      <c r="TYH67" s="3"/>
      <c r="TYI67" s="3"/>
      <c r="TYJ67" s="3"/>
      <c r="TYK67" s="3"/>
      <c r="TYL67" s="3"/>
      <c r="TYM67" s="3"/>
      <c r="TYN67" s="3"/>
      <c r="TYO67" s="3"/>
      <c r="TYP67" s="3"/>
      <c r="TYQ67" s="3"/>
      <c r="TYR67" s="3"/>
      <c r="TYS67" s="3"/>
      <c r="TYT67" s="3"/>
      <c r="TYU67" s="3"/>
      <c r="TYV67" s="3"/>
      <c r="TYW67" s="3"/>
      <c r="TYX67" s="3"/>
      <c r="TYY67" s="3"/>
      <c r="TYZ67" s="3"/>
      <c r="TZA67" s="3"/>
      <c r="TZB67" s="3"/>
      <c r="TZC67" s="3"/>
      <c r="TZD67" s="3"/>
      <c r="TZE67" s="3"/>
      <c r="TZF67" s="3"/>
      <c r="TZG67" s="3"/>
      <c r="TZH67" s="3"/>
      <c r="TZI67" s="3"/>
      <c r="TZJ67" s="3"/>
      <c r="TZK67" s="3"/>
      <c r="TZL67" s="3"/>
      <c r="TZM67" s="3"/>
      <c r="TZN67" s="3"/>
      <c r="TZO67" s="3"/>
      <c r="TZP67" s="3"/>
      <c r="TZQ67" s="3"/>
      <c r="TZR67" s="3"/>
      <c r="TZS67" s="3"/>
      <c r="TZT67" s="3"/>
      <c r="TZU67" s="3"/>
      <c r="TZV67" s="3"/>
      <c r="TZW67" s="3"/>
      <c r="TZX67" s="3"/>
      <c r="TZY67" s="3"/>
      <c r="TZZ67" s="3"/>
      <c r="UAA67" s="3"/>
      <c r="UAB67" s="3"/>
      <c r="UAC67" s="3"/>
      <c r="UAD67" s="3"/>
      <c r="UAE67" s="3"/>
      <c r="UAF67" s="3"/>
      <c r="UAG67" s="3"/>
      <c r="UAH67" s="3"/>
      <c r="UAI67" s="3"/>
      <c r="UAJ67" s="3"/>
      <c r="UAK67" s="3"/>
      <c r="UAL67" s="3"/>
      <c r="UAM67" s="3"/>
      <c r="UAN67" s="3"/>
      <c r="UAO67" s="3"/>
      <c r="UAP67" s="3"/>
      <c r="UAQ67" s="3"/>
      <c r="UAR67" s="3"/>
      <c r="UAS67" s="3"/>
      <c r="UAT67" s="3"/>
      <c r="UAU67" s="3"/>
      <c r="UAV67" s="3"/>
      <c r="UAW67" s="3"/>
      <c r="UAX67" s="3"/>
      <c r="UAY67" s="3"/>
      <c r="UAZ67" s="3"/>
      <c r="UBA67" s="3"/>
      <c r="UBB67" s="3"/>
      <c r="UBC67" s="3"/>
      <c r="UBD67" s="3"/>
      <c r="UBE67" s="3"/>
      <c r="UBF67" s="3"/>
      <c r="UBG67" s="3"/>
      <c r="UBH67" s="3"/>
      <c r="UBI67" s="3"/>
      <c r="UBJ67" s="3"/>
      <c r="UBK67" s="3"/>
      <c r="UBL67" s="3"/>
      <c r="UBM67" s="3"/>
      <c r="UBN67" s="3"/>
      <c r="UBO67" s="3"/>
      <c r="UBP67" s="3"/>
      <c r="UBQ67" s="3"/>
      <c r="UBR67" s="3"/>
      <c r="UBS67" s="3"/>
      <c r="UBT67" s="3"/>
      <c r="UBU67" s="3"/>
      <c r="UBV67" s="3"/>
      <c r="UBW67" s="3"/>
      <c r="UBX67" s="3"/>
      <c r="UBY67" s="3"/>
      <c r="UBZ67" s="3"/>
      <c r="UCA67" s="3"/>
      <c r="UCB67" s="3"/>
      <c r="UCC67" s="3"/>
      <c r="UCD67" s="3"/>
      <c r="UCE67" s="3"/>
      <c r="UCF67" s="3"/>
      <c r="UCG67" s="3"/>
      <c r="UCH67" s="3"/>
      <c r="UCI67" s="3"/>
      <c r="UCJ67" s="3"/>
      <c r="UCK67" s="3"/>
      <c r="UCL67" s="3"/>
      <c r="UCM67" s="3"/>
      <c r="UCN67" s="3"/>
      <c r="UCO67" s="3"/>
      <c r="UCP67" s="3"/>
      <c r="UCQ67" s="3"/>
      <c r="UCR67" s="3"/>
      <c r="UCS67" s="3"/>
      <c r="UCT67" s="3"/>
      <c r="UCU67" s="3"/>
      <c r="UCV67" s="3"/>
      <c r="UCW67" s="3"/>
      <c r="UCX67" s="3"/>
      <c r="UCY67" s="3"/>
      <c r="UCZ67" s="3"/>
      <c r="UDA67" s="3"/>
      <c r="UDB67" s="3"/>
      <c r="UDC67" s="3"/>
      <c r="UDD67" s="3"/>
      <c r="UDE67" s="3"/>
      <c r="UDF67" s="3"/>
      <c r="UDG67" s="3"/>
      <c r="UDH67" s="3"/>
      <c r="UDI67" s="3"/>
      <c r="UDJ67" s="3"/>
      <c r="UDK67" s="3"/>
      <c r="UDL67" s="3"/>
      <c r="UDM67" s="3"/>
      <c r="UDN67" s="3"/>
      <c r="UDO67" s="3"/>
      <c r="UDP67" s="3"/>
      <c r="UDQ67" s="3"/>
      <c r="UDR67" s="3"/>
      <c r="UDS67" s="3"/>
      <c r="UDT67" s="3"/>
      <c r="UDU67" s="3"/>
      <c r="UDV67" s="3"/>
      <c r="UDW67" s="3"/>
      <c r="UDX67" s="3"/>
      <c r="UDY67" s="3"/>
      <c r="UDZ67" s="3"/>
      <c r="UEA67" s="3"/>
      <c r="UEB67" s="3"/>
      <c r="UEC67" s="3"/>
      <c r="UED67" s="3"/>
      <c r="UEE67" s="3"/>
      <c r="UEF67" s="3"/>
      <c r="UEG67" s="3"/>
      <c r="UEH67" s="3"/>
      <c r="UEI67" s="3"/>
      <c r="UEJ67" s="3"/>
      <c r="UEK67" s="3"/>
      <c r="UEL67" s="3"/>
      <c r="UEM67" s="3"/>
      <c r="UEN67" s="3"/>
      <c r="UEO67" s="3"/>
      <c r="UEP67" s="3"/>
      <c r="UEQ67" s="3"/>
      <c r="UER67" s="3"/>
      <c r="UES67" s="3"/>
      <c r="UET67" s="3"/>
      <c r="UEU67" s="3"/>
      <c r="UEV67" s="3"/>
      <c r="UEW67" s="3"/>
      <c r="UEX67" s="3"/>
      <c r="UEY67" s="3"/>
      <c r="UEZ67" s="3"/>
      <c r="UFA67" s="3"/>
      <c r="UFB67" s="3"/>
      <c r="UFC67" s="3"/>
      <c r="UFD67" s="3"/>
      <c r="UFE67" s="3"/>
      <c r="UFF67" s="3"/>
      <c r="UFG67" s="3"/>
      <c r="UFH67" s="3"/>
      <c r="UFI67" s="3"/>
      <c r="UFJ67" s="3"/>
      <c r="UFK67" s="3"/>
      <c r="UFL67" s="3"/>
      <c r="UFM67" s="3"/>
      <c r="UFN67" s="3"/>
      <c r="UFO67" s="3"/>
      <c r="UFP67" s="3"/>
      <c r="UFQ67" s="3"/>
      <c r="UFR67" s="3"/>
      <c r="UFS67" s="3"/>
      <c r="UFT67" s="3"/>
      <c r="UFU67" s="3"/>
      <c r="UFV67" s="3"/>
      <c r="UFW67" s="3"/>
      <c r="UFX67" s="3"/>
      <c r="UFY67" s="3"/>
      <c r="UFZ67" s="3"/>
      <c r="UGA67" s="3"/>
      <c r="UGB67" s="3"/>
      <c r="UGC67" s="3"/>
      <c r="UGD67" s="3"/>
      <c r="UGE67" s="3"/>
      <c r="UGF67" s="3"/>
      <c r="UGG67" s="3"/>
      <c r="UGH67" s="3"/>
      <c r="UGI67" s="3"/>
      <c r="UGJ67" s="3"/>
      <c r="UGK67" s="3"/>
      <c r="UGL67" s="3"/>
      <c r="UGM67" s="3"/>
      <c r="UGN67" s="3"/>
      <c r="UGO67" s="3"/>
      <c r="UGP67" s="3"/>
      <c r="UGQ67" s="3"/>
      <c r="UGR67" s="3"/>
      <c r="UGS67" s="3"/>
      <c r="UGT67" s="3"/>
      <c r="UGU67" s="3"/>
      <c r="UGV67" s="3"/>
      <c r="UGW67" s="3"/>
      <c r="UGX67" s="3"/>
      <c r="UGY67" s="3"/>
      <c r="UGZ67" s="3"/>
      <c r="UHA67" s="3"/>
      <c r="UHB67" s="3"/>
      <c r="UHC67" s="3"/>
      <c r="UHD67" s="3"/>
      <c r="UHE67" s="3"/>
      <c r="UHF67" s="3"/>
      <c r="UHG67" s="3"/>
      <c r="UHH67" s="3"/>
      <c r="UHI67" s="3"/>
      <c r="UHJ67" s="3"/>
      <c r="UHK67" s="3"/>
      <c r="UHL67" s="3"/>
      <c r="UHM67" s="3"/>
      <c r="UHN67" s="3"/>
      <c r="UHO67" s="3"/>
      <c r="UHP67" s="3"/>
      <c r="UHQ67" s="3"/>
      <c r="UHR67" s="3"/>
      <c r="UHS67" s="3"/>
      <c r="UHT67" s="3"/>
      <c r="UHU67" s="3"/>
      <c r="UHV67" s="3"/>
      <c r="UHW67" s="3"/>
      <c r="UHX67" s="3"/>
      <c r="UHY67" s="3"/>
      <c r="UHZ67" s="3"/>
      <c r="UIA67" s="3"/>
      <c r="UIB67" s="3"/>
      <c r="UIC67" s="3"/>
      <c r="UID67" s="3"/>
      <c r="UIE67" s="3"/>
      <c r="UIF67" s="3"/>
      <c r="UIG67" s="3"/>
      <c r="UIH67" s="3"/>
      <c r="UII67" s="3"/>
      <c r="UIJ67" s="3"/>
      <c r="UIK67" s="3"/>
      <c r="UIL67" s="3"/>
      <c r="UIM67" s="3"/>
      <c r="UIN67" s="3"/>
      <c r="UIO67" s="3"/>
      <c r="UIP67" s="3"/>
      <c r="UIQ67" s="3"/>
      <c r="UIR67" s="3"/>
      <c r="UIS67" s="3"/>
      <c r="UIT67" s="3"/>
      <c r="UIU67" s="3"/>
      <c r="UIV67" s="3"/>
      <c r="UIW67" s="3"/>
      <c r="UIX67" s="3"/>
      <c r="UIY67" s="3"/>
      <c r="UIZ67" s="3"/>
      <c r="UJA67" s="3"/>
      <c r="UJB67" s="3"/>
      <c r="UJC67" s="3"/>
      <c r="UJD67" s="3"/>
      <c r="UJE67" s="3"/>
      <c r="UJF67" s="3"/>
      <c r="UJG67" s="3"/>
      <c r="UJH67" s="3"/>
      <c r="UJI67" s="3"/>
      <c r="UJJ67" s="3"/>
      <c r="UJK67" s="3"/>
      <c r="UJL67" s="3"/>
      <c r="UJM67" s="3"/>
      <c r="UJN67" s="3"/>
      <c r="UJO67" s="3"/>
      <c r="UJP67" s="3"/>
      <c r="UJQ67" s="3"/>
      <c r="UJR67" s="3"/>
      <c r="UJS67" s="3"/>
      <c r="UJT67" s="3"/>
      <c r="UJU67" s="3"/>
      <c r="UJV67" s="3"/>
      <c r="UJW67" s="3"/>
      <c r="UJX67" s="3"/>
      <c r="UJY67" s="3"/>
      <c r="UJZ67" s="3"/>
      <c r="UKA67" s="3"/>
      <c r="UKB67" s="3"/>
      <c r="UKC67" s="3"/>
      <c r="UKD67" s="3"/>
      <c r="UKE67" s="3"/>
      <c r="UKF67" s="3"/>
      <c r="UKG67" s="3"/>
      <c r="UKH67" s="3"/>
      <c r="UKI67" s="3"/>
      <c r="UKJ67" s="3"/>
      <c r="UKK67" s="3"/>
      <c r="UKL67" s="3"/>
      <c r="UKM67" s="3"/>
      <c r="UKN67" s="3"/>
      <c r="UKO67" s="3"/>
      <c r="UKP67" s="3"/>
      <c r="UKQ67" s="3"/>
      <c r="UKR67" s="3"/>
      <c r="UKS67" s="3"/>
      <c r="UKT67" s="3"/>
      <c r="UKU67" s="3"/>
      <c r="UKV67" s="3"/>
      <c r="UKW67" s="3"/>
      <c r="UKX67" s="3"/>
      <c r="UKY67" s="3"/>
      <c r="UKZ67" s="3"/>
      <c r="ULA67" s="3"/>
      <c r="ULB67" s="3"/>
      <c r="ULC67" s="3"/>
      <c r="ULD67" s="3"/>
      <c r="ULE67" s="3"/>
      <c r="ULF67" s="3"/>
      <c r="ULG67" s="3"/>
      <c r="ULH67" s="3"/>
      <c r="ULI67" s="3"/>
      <c r="ULJ67" s="3"/>
      <c r="ULK67" s="3"/>
      <c r="ULL67" s="3"/>
      <c r="ULM67" s="3"/>
      <c r="ULN67" s="3"/>
      <c r="ULO67" s="3"/>
      <c r="ULP67" s="3"/>
      <c r="ULQ67" s="3"/>
      <c r="ULR67" s="3"/>
      <c r="ULS67" s="3"/>
      <c r="ULT67" s="3"/>
      <c r="ULU67" s="3"/>
      <c r="ULV67" s="3"/>
      <c r="ULW67" s="3"/>
      <c r="ULX67" s="3"/>
      <c r="ULY67" s="3"/>
      <c r="ULZ67" s="3"/>
      <c r="UMA67" s="3"/>
      <c r="UMB67" s="3"/>
      <c r="UMC67" s="3"/>
      <c r="UMD67" s="3"/>
      <c r="UME67" s="3"/>
      <c r="UMF67" s="3"/>
      <c r="UMG67" s="3"/>
      <c r="UMH67" s="3"/>
      <c r="UMI67" s="3"/>
      <c r="UMJ67" s="3"/>
      <c r="UMK67" s="3"/>
      <c r="UML67" s="3"/>
      <c r="UMM67" s="3"/>
      <c r="UMN67" s="3"/>
      <c r="UMO67" s="3"/>
      <c r="UMP67" s="3"/>
      <c r="UMQ67" s="3"/>
      <c r="UMR67" s="3"/>
      <c r="UMS67" s="3"/>
      <c r="UMT67" s="3"/>
      <c r="UMU67" s="3"/>
      <c r="UMV67" s="3"/>
      <c r="UMW67" s="3"/>
      <c r="UMX67" s="3"/>
      <c r="UMY67" s="3"/>
      <c r="UMZ67" s="3"/>
      <c r="UNA67" s="3"/>
      <c r="UNB67" s="3"/>
      <c r="UNC67" s="3"/>
      <c r="UND67" s="3"/>
      <c r="UNE67" s="3"/>
      <c r="UNF67" s="3"/>
      <c r="UNG67" s="3"/>
      <c r="UNH67" s="3"/>
      <c r="UNI67" s="3"/>
      <c r="UNJ67" s="3"/>
      <c r="UNK67" s="3"/>
      <c r="UNL67" s="3"/>
      <c r="UNM67" s="3"/>
      <c r="UNN67" s="3"/>
      <c r="UNO67" s="3"/>
      <c r="UNP67" s="3"/>
      <c r="UNQ67" s="3"/>
      <c r="UNR67" s="3"/>
      <c r="UNS67" s="3"/>
      <c r="UNT67" s="3"/>
      <c r="UNU67" s="3"/>
      <c r="UNV67" s="3"/>
      <c r="UNW67" s="3"/>
      <c r="UNX67" s="3"/>
      <c r="UNY67" s="3"/>
      <c r="UNZ67" s="3"/>
      <c r="UOA67" s="3"/>
      <c r="UOB67" s="3"/>
      <c r="UOC67" s="3"/>
      <c r="UOD67" s="3"/>
      <c r="UOE67" s="3"/>
      <c r="UOF67" s="3"/>
      <c r="UOG67" s="3"/>
      <c r="UOH67" s="3"/>
      <c r="UOI67" s="3"/>
      <c r="UOJ67" s="3"/>
      <c r="UOK67" s="3"/>
      <c r="UOL67" s="3"/>
      <c r="UOM67" s="3"/>
      <c r="UON67" s="3"/>
      <c r="UOO67" s="3"/>
      <c r="UOP67" s="3"/>
      <c r="UOQ67" s="3"/>
      <c r="UOR67" s="3"/>
      <c r="UOS67" s="3"/>
      <c r="UOT67" s="3"/>
      <c r="UOU67" s="3"/>
      <c r="UOV67" s="3"/>
      <c r="UOW67" s="3"/>
      <c r="UOX67" s="3"/>
      <c r="UOY67" s="3"/>
      <c r="UOZ67" s="3"/>
      <c r="UPA67" s="3"/>
      <c r="UPB67" s="3"/>
      <c r="UPC67" s="3"/>
      <c r="UPD67" s="3"/>
      <c r="UPE67" s="3"/>
      <c r="UPF67" s="3"/>
      <c r="UPG67" s="3"/>
      <c r="UPH67" s="3"/>
      <c r="UPI67" s="3"/>
      <c r="UPJ67" s="3"/>
      <c r="UPK67" s="3"/>
      <c r="UPL67" s="3"/>
      <c r="UPM67" s="3"/>
      <c r="UPN67" s="3"/>
      <c r="UPO67" s="3"/>
      <c r="UPP67" s="3"/>
      <c r="UPQ67" s="3"/>
      <c r="UPR67" s="3"/>
      <c r="UPS67" s="3"/>
      <c r="UPT67" s="3"/>
      <c r="UPU67" s="3"/>
      <c r="UPV67" s="3"/>
      <c r="UPW67" s="3"/>
      <c r="UPX67" s="3"/>
      <c r="UPY67" s="3"/>
      <c r="UPZ67" s="3"/>
      <c r="UQA67" s="3"/>
      <c r="UQB67" s="3"/>
      <c r="UQC67" s="3"/>
      <c r="UQD67" s="3"/>
      <c r="UQE67" s="3"/>
      <c r="UQF67" s="3"/>
      <c r="UQG67" s="3"/>
      <c r="UQH67" s="3"/>
      <c r="UQI67" s="3"/>
      <c r="UQJ67" s="3"/>
      <c r="UQK67" s="3"/>
      <c r="UQL67" s="3"/>
      <c r="UQM67" s="3"/>
      <c r="UQN67" s="3"/>
      <c r="UQO67" s="3"/>
      <c r="UQP67" s="3"/>
      <c r="UQQ67" s="3"/>
      <c r="UQR67" s="3"/>
      <c r="UQS67" s="3"/>
      <c r="UQT67" s="3"/>
      <c r="UQU67" s="3"/>
      <c r="UQV67" s="3"/>
      <c r="UQW67" s="3"/>
      <c r="UQX67" s="3"/>
      <c r="UQY67" s="3"/>
      <c r="UQZ67" s="3"/>
      <c r="URA67" s="3"/>
      <c r="URB67" s="3"/>
      <c r="URC67" s="3"/>
      <c r="URD67" s="3"/>
      <c r="URE67" s="3"/>
      <c r="URF67" s="3"/>
      <c r="URG67" s="3"/>
      <c r="URH67" s="3"/>
      <c r="URI67" s="3"/>
      <c r="URJ67" s="3"/>
      <c r="URK67" s="3"/>
      <c r="URL67" s="3"/>
      <c r="URM67" s="3"/>
      <c r="URN67" s="3"/>
      <c r="URO67" s="3"/>
      <c r="URP67" s="3"/>
      <c r="URQ67" s="3"/>
      <c r="URR67" s="3"/>
      <c r="URS67" s="3"/>
      <c r="URT67" s="3"/>
      <c r="URU67" s="3"/>
      <c r="URV67" s="3"/>
      <c r="URW67" s="3"/>
      <c r="URX67" s="3"/>
      <c r="URY67" s="3"/>
      <c r="URZ67" s="3"/>
      <c r="USA67" s="3"/>
      <c r="USB67" s="3"/>
      <c r="USC67" s="3"/>
      <c r="USD67" s="3"/>
      <c r="USE67" s="3"/>
      <c r="USF67" s="3"/>
      <c r="USG67" s="3"/>
      <c r="USH67" s="3"/>
      <c r="USI67" s="3"/>
      <c r="USJ67" s="3"/>
      <c r="USK67" s="3"/>
      <c r="USL67" s="3"/>
      <c r="USM67" s="3"/>
      <c r="USN67" s="3"/>
      <c r="USO67" s="3"/>
      <c r="USP67" s="3"/>
      <c r="USQ67" s="3"/>
      <c r="USR67" s="3"/>
      <c r="USS67" s="3"/>
      <c r="UST67" s="3"/>
      <c r="USU67" s="3"/>
      <c r="USV67" s="3"/>
      <c r="USW67" s="3"/>
      <c r="USX67" s="3"/>
      <c r="USY67" s="3"/>
      <c r="USZ67" s="3"/>
      <c r="UTA67" s="3"/>
      <c r="UTB67" s="3"/>
      <c r="UTC67" s="3"/>
      <c r="UTD67" s="3"/>
      <c r="UTE67" s="3"/>
      <c r="UTF67" s="3"/>
      <c r="UTG67" s="3"/>
      <c r="UTH67" s="3"/>
      <c r="UTI67" s="3"/>
      <c r="UTJ67" s="3"/>
      <c r="UTK67" s="3"/>
      <c r="UTL67" s="3"/>
      <c r="UTM67" s="3"/>
      <c r="UTN67" s="3"/>
      <c r="UTO67" s="3"/>
      <c r="UTP67" s="3"/>
      <c r="UTQ67" s="3"/>
      <c r="UTR67" s="3"/>
      <c r="UTS67" s="3"/>
      <c r="UTT67" s="3"/>
      <c r="UTU67" s="3"/>
      <c r="UTV67" s="3"/>
      <c r="UTW67" s="3"/>
      <c r="UTX67" s="3"/>
      <c r="UTY67" s="3"/>
      <c r="UTZ67" s="3"/>
      <c r="UUA67" s="3"/>
      <c r="UUB67" s="3"/>
      <c r="UUC67" s="3"/>
      <c r="UUD67" s="3"/>
      <c r="UUE67" s="3"/>
      <c r="UUF67" s="3"/>
      <c r="UUG67" s="3"/>
      <c r="UUH67" s="3"/>
      <c r="UUI67" s="3"/>
      <c r="UUJ67" s="3"/>
      <c r="UUK67" s="3"/>
      <c r="UUL67" s="3"/>
      <c r="UUM67" s="3"/>
      <c r="UUN67" s="3"/>
      <c r="UUO67" s="3"/>
      <c r="UUP67" s="3"/>
      <c r="UUQ67" s="3"/>
      <c r="UUR67" s="3"/>
      <c r="UUS67" s="3"/>
      <c r="UUT67" s="3"/>
      <c r="UUU67" s="3"/>
      <c r="UUV67" s="3"/>
      <c r="UUW67" s="3"/>
      <c r="UUX67" s="3"/>
      <c r="UUY67" s="3"/>
      <c r="UUZ67" s="3"/>
      <c r="UVA67" s="3"/>
      <c r="UVB67" s="3"/>
      <c r="UVC67" s="3"/>
      <c r="UVD67" s="3"/>
      <c r="UVE67" s="3"/>
      <c r="UVF67" s="3"/>
      <c r="UVG67" s="3"/>
      <c r="UVH67" s="3"/>
      <c r="UVI67" s="3"/>
      <c r="UVJ67" s="3"/>
      <c r="UVK67" s="3"/>
      <c r="UVL67" s="3"/>
      <c r="UVM67" s="3"/>
      <c r="UVN67" s="3"/>
      <c r="UVO67" s="3"/>
      <c r="UVP67" s="3"/>
      <c r="UVQ67" s="3"/>
      <c r="UVR67" s="3"/>
      <c r="UVS67" s="3"/>
      <c r="UVT67" s="3"/>
      <c r="UVU67" s="3"/>
      <c r="UVV67" s="3"/>
      <c r="UVW67" s="3"/>
      <c r="UVX67" s="3"/>
      <c r="UVY67" s="3"/>
      <c r="UVZ67" s="3"/>
      <c r="UWA67" s="3"/>
      <c r="UWB67" s="3"/>
      <c r="UWC67" s="3"/>
      <c r="UWD67" s="3"/>
      <c r="UWE67" s="3"/>
      <c r="UWF67" s="3"/>
      <c r="UWG67" s="3"/>
      <c r="UWH67" s="3"/>
      <c r="UWI67" s="3"/>
      <c r="UWJ67" s="3"/>
      <c r="UWK67" s="3"/>
      <c r="UWL67" s="3"/>
      <c r="UWM67" s="3"/>
      <c r="UWN67" s="3"/>
      <c r="UWO67" s="3"/>
      <c r="UWP67" s="3"/>
      <c r="UWQ67" s="3"/>
      <c r="UWR67" s="3"/>
      <c r="UWS67" s="3"/>
      <c r="UWT67" s="3"/>
      <c r="UWU67" s="3"/>
      <c r="UWV67" s="3"/>
      <c r="UWW67" s="3"/>
      <c r="UWX67" s="3"/>
      <c r="UWY67" s="3"/>
      <c r="UWZ67" s="3"/>
      <c r="UXA67" s="3"/>
      <c r="UXB67" s="3"/>
      <c r="UXC67" s="3"/>
      <c r="UXD67" s="3"/>
      <c r="UXE67" s="3"/>
      <c r="UXF67" s="3"/>
      <c r="UXG67" s="3"/>
      <c r="UXH67" s="3"/>
      <c r="UXI67" s="3"/>
      <c r="UXJ67" s="3"/>
      <c r="UXK67" s="3"/>
      <c r="UXL67" s="3"/>
      <c r="UXM67" s="3"/>
      <c r="UXN67" s="3"/>
      <c r="UXO67" s="3"/>
      <c r="UXP67" s="3"/>
      <c r="UXQ67" s="3"/>
      <c r="UXR67" s="3"/>
      <c r="UXS67" s="3"/>
      <c r="UXT67" s="3"/>
      <c r="UXU67" s="3"/>
      <c r="UXV67" s="3"/>
      <c r="UXW67" s="3"/>
      <c r="UXX67" s="3"/>
      <c r="UXY67" s="3"/>
      <c r="UXZ67" s="3"/>
      <c r="UYA67" s="3"/>
      <c r="UYB67" s="3"/>
      <c r="UYC67" s="3"/>
      <c r="UYD67" s="3"/>
      <c r="UYE67" s="3"/>
      <c r="UYF67" s="3"/>
      <c r="UYG67" s="3"/>
      <c r="UYH67" s="3"/>
      <c r="UYI67" s="3"/>
      <c r="UYJ67" s="3"/>
      <c r="UYK67" s="3"/>
      <c r="UYL67" s="3"/>
      <c r="UYM67" s="3"/>
      <c r="UYN67" s="3"/>
      <c r="UYO67" s="3"/>
      <c r="UYP67" s="3"/>
      <c r="UYQ67" s="3"/>
      <c r="UYR67" s="3"/>
      <c r="UYS67" s="3"/>
      <c r="UYT67" s="3"/>
      <c r="UYU67" s="3"/>
      <c r="UYV67" s="3"/>
      <c r="UYW67" s="3"/>
      <c r="UYX67" s="3"/>
      <c r="UYY67" s="3"/>
      <c r="UYZ67" s="3"/>
      <c r="UZA67" s="3"/>
      <c r="UZB67" s="3"/>
      <c r="UZC67" s="3"/>
      <c r="UZD67" s="3"/>
      <c r="UZE67" s="3"/>
      <c r="UZF67" s="3"/>
      <c r="UZG67" s="3"/>
      <c r="UZH67" s="3"/>
      <c r="UZI67" s="3"/>
      <c r="UZJ67" s="3"/>
      <c r="UZK67" s="3"/>
      <c r="UZL67" s="3"/>
      <c r="UZM67" s="3"/>
      <c r="UZN67" s="3"/>
      <c r="UZO67" s="3"/>
      <c r="UZP67" s="3"/>
      <c r="UZQ67" s="3"/>
      <c r="UZR67" s="3"/>
      <c r="UZS67" s="3"/>
      <c r="UZT67" s="3"/>
      <c r="UZU67" s="3"/>
      <c r="UZV67" s="3"/>
      <c r="UZW67" s="3"/>
      <c r="UZX67" s="3"/>
      <c r="UZY67" s="3"/>
      <c r="UZZ67" s="3"/>
      <c r="VAA67" s="3"/>
      <c r="VAB67" s="3"/>
      <c r="VAC67" s="3"/>
      <c r="VAD67" s="3"/>
      <c r="VAE67" s="3"/>
      <c r="VAF67" s="3"/>
      <c r="VAG67" s="3"/>
      <c r="VAH67" s="3"/>
      <c r="VAI67" s="3"/>
      <c r="VAJ67" s="3"/>
      <c r="VAK67" s="3"/>
      <c r="VAL67" s="3"/>
      <c r="VAM67" s="3"/>
      <c r="VAN67" s="3"/>
      <c r="VAO67" s="3"/>
      <c r="VAP67" s="3"/>
      <c r="VAQ67" s="3"/>
      <c r="VAR67" s="3"/>
      <c r="VAS67" s="3"/>
      <c r="VAT67" s="3"/>
      <c r="VAU67" s="3"/>
      <c r="VAV67" s="3"/>
      <c r="VAW67" s="3"/>
      <c r="VAX67" s="3"/>
      <c r="VAY67" s="3"/>
      <c r="VAZ67" s="3"/>
      <c r="VBA67" s="3"/>
      <c r="VBB67" s="3"/>
      <c r="VBC67" s="3"/>
      <c r="VBD67" s="3"/>
      <c r="VBE67" s="3"/>
      <c r="VBF67" s="3"/>
      <c r="VBG67" s="3"/>
      <c r="VBH67" s="3"/>
      <c r="VBI67" s="3"/>
      <c r="VBJ67" s="3"/>
      <c r="VBK67" s="3"/>
      <c r="VBL67" s="3"/>
      <c r="VBM67" s="3"/>
      <c r="VBN67" s="3"/>
      <c r="VBO67" s="3"/>
      <c r="VBP67" s="3"/>
      <c r="VBQ67" s="3"/>
      <c r="VBR67" s="3"/>
      <c r="VBS67" s="3"/>
      <c r="VBT67" s="3"/>
      <c r="VBU67" s="3"/>
      <c r="VBV67" s="3"/>
      <c r="VBW67" s="3"/>
      <c r="VBX67" s="3"/>
      <c r="VBY67" s="3"/>
      <c r="VBZ67" s="3"/>
      <c r="VCA67" s="3"/>
      <c r="VCB67" s="3"/>
      <c r="VCC67" s="3"/>
      <c r="VCD67" s="3"/>
      <c r="VCE67" s="3"/>
      <c r="VCF67" s="3"/>
      <c r="VCG67" s="3"/>
      <c r="VCH67" s="3"/>
      <c r="VCI67" s="3"/>
      <c r="VCJ67" s="3"/>
      <c r="VCK67" s="3"/>
      <c r="VCL67" s="3"/>
      <c r="VCM67" s="3"/>
      <c r="VCN67" s="3"/>
      <c r="VCO67" s="3"/>
      <c r="VCP67" s="3"/>
      <c r="VCQ67" s="3"/>
      <c r="VCR67" s="3"/>
      <c r="VCS67" s="3"/>
      <c r="VCT67" s="3"/>
      <c r="VCU67" s="3"/>
      <c r="VCV67" s="3"/>
      <c r="VCW67" s="3"/>
      <c r="VCX67" s="3"/>
      <c r="VCY67" s="3"/>
      <c r="VCZ67" s="3"/>
      <c r="VDA67" s="3"/>
      <c r="VDB67" s="3"/>
      <c r="VDC67" s="3"/>
      <c r="VDD67" s="3"/>
      <c r="VDE67" s="3"/>
      <c r="VDF67" s="3"/>
      <c r="VDG67" s="3"/>
      <c r="VDH67" s="3"/>
      <c r="VDI67" s="3"/>
      <c r="VDJ67" s="3"/>
      <c r="VDK67" s="3"/>
      <c r="VDL67" s="3"/>
      <c r="VDM67" s="3"/>
      <c r="VDN67" s="3"/>
      <c r="VDO67" s="3"/>
      <c r="VDP67" s="3"/>
      <c r="VDQ67" s="3"/>
      <c r="VDR67" s="3"/>
      <c r="VDS67" s="3"/>
      <c r="VDT67" s="3"/>
      <c r="VDU67" s="3"/>
      <c r="VDV67" s="3"/>
      <c r="VDW67" s="3"/>
      <c r="VDX67" s="3"/>
      <c r="VDY67" s="3"/>
      <c r="VDZ67" s="3"/>
      <c r="VEA67" s="3"/>
      <c r="VEB67" s="3"/>
      <c r="VEC67" s="3"/>
      <c r="VED67" s="3"/>
      <c r="VEE67" s="3"/>
      <c r="VEF67" s="3"/>
      <c r="VEG67" s="3"/>
      <c r="VEH67" s="3"/>
      <c r="VEI67" s="3"/>
      <c r="VEJ67" s="3"/>
      <c r="VEK67" s="3"/>
      <c r="VEL67" s="3"/>
      <c r="VEM67" s="3"/>
      <c r="VEN67" s="3"/>
      <c r="VEO67" s="3"/>
      <c r="VEP67" s="3"/>
      <c r="VEQ67" s="3"/>
      <c r="VER67" s="3"/>
      <c r="VES67" s="3"/>
      <c r="VET67" s="3"/>
      <c r="VEU67" s="3"/>
      <c r="VEV67" s="3"/>
      <c r="VEW67" s="3"/>
      <c r="VEX67" s="3"/>
      <c r="VEY67" s="3"/>
      <c r="VEZ67" s="3"/>
      <c r="VFA67" s="3"/>
      <c r="VFB67" s="3"/>
      <c r="VFC67" s="3"/>
      <c r="VFD67" s="3"/>
      <c r="VFE67" s="3"/>
      <c r="VFF67" s="3"/>
      <c r="VFG67" s="3"/>
      <c r="VFH67" s="3"/>
      <c r="VFI67" s="3"/>
      <c r="VFJ67" s="3"/>
      <c r="VFK67" s="3"/>
      <c r="VFL67" s="3"/>
      <c r="VFM67" s="3"/>
      <c r="VFN67" s="3"/>
      <c r="VFO67" s="3"/>
      <c r="VFP67" s="3"/>
      <c r="VFQ67" s="3"/>
      <c r="VFR67" s="3"/>
      <c r="VFS67" s="3"/>
      <c r="VFT67" s="3"/>
      <c r="VFU67" s="3"/>
      <c r="VFV67" s="3"/>
      <c r="VFW67" s="3"/>
      <c r="VFX67" s="3"/>
      <c r="VFY67" s="3"/>
      <c r="VFZ67" s="3"/>
      <c r="VGA67" s="3"/>
      <c r="VGB67" s="3"/>
      <c r="VGC67" s="3"/>
      <c r="VGD67" s="3"/>
      <c r="VGE67" s="3"/>
      <c r="VGF67" s="3"/>
      <c r="VGG67" s="3"/>
      <c r="VGH67" s="3"/>
      <c r="VGI67" s="3"/>
      <c r="VGJ67" s="3"/>
      <c r="VGK67" s="3"/>
      <c r="VGL67" s="3"/>
      <c r="VGM67" s="3"/>
      <c r="VGN67" s="3"/>
      <c r="VGO67" s="3"/>
      <c r="VGP67" s="3"/>
      <c r="VGQ67" s="3"/>
      <c r="VGR67" s="3"/>
      <c r="VGS67" s="3"/>
      <c r="VGT67" s="3"/>
      <c r="VGU67" s="3"/>
      <c r="VGV67" s="3"/>
      <c r="VGW67" s="3"/>
      <c r="VGX67" s="3"/>
      <c r="VGY67" s="3"/>
      <c r="VGZ67" s="3"/>
      <c r="VHA67" s="3"/>
      <c r="VHB67" s="3"/>
      <c r="VHC67" s="3"/>
      <c r="VHD67" s="3"/>
      <c r="VHE67" s="3"/>
      <c r="VHF67" s="3"/>
      <c r="VHG67" s="3"/>
      <c r="VHH67" s="3"/>
      <c r="VHI67" s="3"/>
      <c r="VHJ67" s="3"/>
      <c r="VHK67" s="3"/>
      <c r="VHL67" s="3"/>
      <c r="VHM67" s="3"/>
      <c r="VHN67" s="3"/>
      <c r="VHO67" s="3"/>
      <c r="VHP67" s="3"/>
      <c r="VHQ67" s="3"/>
      <c r="VHR67" s="3"/>
      <c r="VHS67" s="3"/>
      <c r="VHT67" s="3"/>
      <c r="VHU67" s="3"/>
      <c r="VHV67" s="3"/>
      <c r="VHW67" s="3"/>
      <c r="VHX67" s="3"/>
      <c r="VHY67" s="3"/>
      <c r="VHZ67" s="3"/>
      <c r="VIA67" s="3"/>
      <c r="VIB67" s="3"/>
      <c r="VIC67" s="3"/>
      <c r="VID67" s="3"/>
      <c r="VIE67" s="3"/>
      <c r="VIF67" s="3"/>
      <c r="VIG67" s="3"/>
      <c r="VIH67" s="3"/>
      <c r="VII67" s="3"/>
      <c r="VIJ67" s="3"/>
      <c r="VIK67" s="3"/>
      <c r="VIL67" s="3"/>
      <c r="VIM67" s="3"/>
      <c r="VIN67" s="3"/>
      <c r="VIO67" s="3"/>
      <c r="VIP67" s="3"/>
      <c r="VIQ67" s="3"/>
      <c r="VIR67" s="3"/>
      <c r="VIS67" s="3"/>
      <c r="VIT67" s="3"/>
      <c r="VIU67" s="3"/>
      <c r="VIV67" s="3"/>
      <c r="VIW67" s="3"/>
      <c r="VIX67" s="3"/>
      <c r="VIY67" s="3"/>
      <c r="VIZ67" s="3"/>
      <c r="VJA67" s="3"/>
      <c r="VJB67" s="3"/>
      <c r="VJC67" s="3"/>
      <c r="VJD67" s="3"/>
      <c r="VJE67" s="3"/>
      <c r="VJF67" s="3"/>
      <c r="VJG67" s="3"/>
      <c r="VJH67" s="3"/>
      <c r="VJI67" s="3"/>
      <c r="VJJ67" s="3"/>
      <c r="VJK67" s="3"/>
      <c r="VJL67" s="3"/>
      <c r="VJM67" s="3"/>
      <c r="VJN67" s="3"/>
      <c r="VJO67" s="3"/>
      <c r="VJP67" s="3"/>
      <c r="VJQ67" s="3"/>
      <c r="VJR67" s="3"/>
      <c r="VJS67" s="3"/>
      <c r="VJT67" s="3"/>
      <c r="VJU67" s="3"/>
      <c r="VJV67" s="3"/>
      <c r="VJW67" s="3"/>
      <c r="VJX67" s="3"/>
      <c r="VJY67" s="3"/>
      <c r="VJZ67" s="3"/>
      <c r="VKA67" s="3"/>
      <c r="VKB67" s="3"/>
      <c r="VKC67" s="3"/>
      <c r="VKD67" s="3"/>
      <c r="VKE67" s="3"/>
      <c r="VKF67" s="3"/>
      <c r="VKG67" s="3"/>
      <c r="VKH67" s="3"/>
      <c r="VKI67" s="3"/>
      <c r="VKJ67" s="3"/>
      <c r="VKK67" s="3"/>
      <c r="VKL67" s="3"/>
      <c r="VKM67" s="3"/>
      <c r="VKN67" s="3"/>
      <c r="VKO67" s="3"/>
      <c r="VKP67" s="3"/>
      <c r="VKQ67" s="3"/>
      <c r="VKR67" s="3"/>
      <c r="VKS67" s="3"/>
      <c r="VKT67" s="3"/>
      <c r="VKU67" s="3"/>
      <c r="VKV67" s="3"/>
      <c r="VKW67" s="3"/>
      <c r="VKX67" s="3"/>
      <c r="VKY67" s="3"/>
      <c r="VKZ67" s="3"/>
      <c r="VLA67" s="3"/>
      <c r="VLB67" s="3"/>
      <c r="VLC67" s="3"/>
      <c r="VLD67" s="3"/>
      <c r="VLE67" s="3"/>
      <c r="VLF67" s="3"/>
      <c r="VLG67" s="3"/>
      <c r="VLH67" s="3"/>
      <c r="VLI67" s="3"/>
      <c r="VLJ67" s="3"/>
      <c r="VLK67" s="3"/>
      <c r="VLL67" s="3"/>
      <c r="VLM67" s="3"/>
      <c r="VLN67" s="3"/>
      <c r="VLO67" s="3"/>
      <c r="VLP67" s="3"/>
      <c r="VLQ67" s="3"/>
      <c r="VLR67" s="3"/>
      <c r="VLS67" s="3"/>
      <c r="VLT67" s="3"/>
      <c r="VLU67" s="3"/>
      <c r="VLV67" s="3"/>
      <c r="VLW67" s="3"/>
      <c r="VLX67" s="3"/>
      <c r="VLY67" s="3"/>
      <c r="VLZ67" s="3"/>
      <c r="VMA67" s="3"/>
      <c r="VMB67" s="3"/>
      <c r="VMC67" s="3"/>
      <c r="VMD67" s="3"/>
      <c r="VME67" s="3"/>
      <c r="VMF67" s="3"/>
      <c r="VMG67" s="3"/>
      <c r="VMH67" s="3"/>
      <c r="VMI67" s="3"/>
      <c r="VMJ67" s="3"/>
      <c r="VMK67" s="3"/>
      <c r="VML67" s="3"/>
      <c r="VMM67" s="3"/>
      <c r="VMN67" s="3"/>
      <c r="VMO67" s="3"/>
      <c r="VMP67" s="3"/>
      <c r="VMQ67" s="3"/>
      <c r="VMR67" s="3"/>
      <c r="VMS67" s="3"/>
      <c r="VMT67" s="3"/>
      <c r="VMU67" s="3"/>
      <c r="VMV67" s="3"/>
      <c r="VMW67" s="3"/>
      <c r="VMX67" s="3"/>
      <c r="VMY67" s="3"/>
      <c r="VMZ67" s="3"/>
      <c r="VNA67" s="3"/>
      <c r="VNB67" s="3"/>
      <c r="VNC67" s="3"/>
      <c r="VND67" s="3"/>
      <c r="VNE67" s="3"/>
      <c r="VNF67" s="3"/>
      <c r="VNG67" s="3"/>
      <c r="VNH67" s="3"/>
      <c r="VNI67" s="3"/>
      <c r="VNJ67" s="3"/>
      <c r="VNK67" s="3"/>
      <c r="VNL67" s="3"/>
      <c r="VNM67" s="3"/>
      <c r="VNN67" s="3"/>
      <c r="VNO67" s="3"/>
      <c r="VNP67" s="3"/>
      <c r="VNQ67" s="3"/>
      <c r="VNR67" s="3"/>
      <c r="VNS67" s="3"/>
      <c r="VNT67" s="3"/>
      <c r="VNU67" s="3"/>
      <c r="VNV67" s="3"/>
      <c r="VNW67" s="3"/>
      <c r="VNX67" s="3"/>
      <c r="VNY67" s="3"/>
      <c r="VNZ67" s="3"/>
      <c r="VOA67" s="3"/>
      <c r="VOB67" s="3"/>
      <c r="VOC67" s="3"/>
      <c r="VOD67" s="3"/>
      <c r="VOE67" s="3"/>
      <c r="VOF67" s="3"/>
      <c r="VOG67" s="3"/>
      <c r="VOH67" s="3"/>
      <c r="VOI67" s="3"/>
      <c r="VOJ67" s="3"/>
      <c r="VOK67" s="3"/>
      <c r="VOL67" s="3"/>
      <c r="VOM67" s="3"/>
      <c r="VON67" s="3"/>
      <c r="VOO67" s="3"/>
      <c r="VOP67" s="3"/>
      <c r="VOQ67" s="3"/>
      <c r="VOR67" s="3"/>
      <c r="VOS67" s="3"/>
      <c r="VOT67" s="3"/>
      <c r="VOU67" s="3"/>
      <c r="VOV67" s="3"/>
      <c r="VOW67" s="3"/>
      <c r="VOX67" s="3"/>
      <c r="VOY67" s="3"/>
      <c r="VOZ67" s="3"/>
      <c r="VPA67" s="3"/>
      <c r="VPB67" s="3"/>
      <c r="VPC67" s="3"/>
      <c r="VPD67" s="3"/>
      <c r="VPE67" s="3"/>
      <c r="VPF67" s="3"/>
      <c r="VPG67" s="3"/>
      <c r="VPH67" s="3"/>
      <c r="VPI67" s="3"/>
      <c r="VPJ67" s="3"/>
      <c r="VPK67" s="3"/>
      <c r="VPL67" s="3"/>
      <c r="VPM67" s="3"/>
      <c r="VPN67" s="3"/>
      <c r="VPO67" s="3"/>
      <c r="VPP67" s="3"/>
      <c r="VPQ67" s="3"/>
      <c r="VPR67" s="3"/>
      <c r="VPS67" s="3"/>
      <c r="VPT67" s="3"/>
      <c r="VPU67" s="3"/>
      <c r="VPV67" s="3"/>
      <c r="VPW67" s="3"/>
      <c r="VPX67" s="3"/>
      <c r="VPY67" s="3"/>
      <c r="VPZ67" s="3"/>
      <c r="VQA67" s="3"/>
      <c r="VQB67" s="3"/>
      <c r="VQC67" s="3"/>
      <c r="VQD67" s="3"/>
      <c r="VQE67" s="3"/>
      <c r="VQF67" s="3"/>
      <c r="VQG67" s="3"/>
      <c r="VQH67" s="3"/>
      <c r="VQI67" s="3"/>
      <c r="VQJ67" s="3"/>
      <c r="VQK67" s="3"/>
      <c r="VQL67" s="3"/>
      <c r="VQM67" s="3"/>
      <c r="VQN67" s="3"/>
      <c r="VQO67" s="3"/>
      <c r="VQP67" s="3"/>
      <c r="VQQ67" s="3"/>
      <c r="VQR67" s="3"/>
      <c r="VQS67" s="3"/>
      <c r="VQT67" s="3"/>
      <c r="VQU67" s="3"/>
      <c r="VQV67" s="3"/>
      <c r="VQW67" s="3"/>
      <c r="VQX67" s="3"/>
      <c r="VQY67" s="3"/>
      <c r="VQZ67" s="3"/>
      <c r="VRA67" s="3"/>
      <c r="VRB67" s="3"/>
      <c r="VRC67" s="3"/>
      <c r="VRD67" s="3"/>
      <c r="VRE67" s="3"/>
      <c r="VRF67" s="3"/>
      <c r="VRG67" s="3"/>
      <c r="VRH67" s="3"/>
      <c r="VRI67" s="3"/>
      <c r="VRJ67" s="3"/>
      <c r="VRK67" s="3"/>
      <c r="VRL67" s="3"/>
      <c r="VRM67" s="3"/>
      <c r="VRN67" s="3"/>
      <c r="VRO67" s="3"/>
      <c r="VRP67" s="3"/>
      <c r="VRQ67" s="3"/>
      <c r="VRR67" s="3"/>
      <c r="VRS67" s="3"/>
      <c r="VRT67" s="3"/>
      <c r="VRU67" s="3"/>
      <c r="VRV67" s="3"/>
      <c r="VRW67" s="3"/>
      <c r="VRX67" s="3"/>
      <c r="VRY67" s="3"/>
      <c r="VRZ67" s="3"/>
      <c r="VSA67" s="3"/>
      <c r="VSB67" s="3"/>
      <c r="VSC67" s="3"/>
      <c r="VSD67" s="3"/>
      <c r="VSE67" s="3"/>
      <c r="VSF67" s="3"/>
      <c r="VSG67" s="3"/>
      <c r="VSH67" s="3"/>
      <c r="VSI67" s="3"/>
      <c r="VSJ67" s="3"/>
      <c r="VSK67" s="3"/>
      <c r="VSL67" s="3"/>
      <c r="VSM67" s="3"/>
      <c r="VSN67" s="3"/>
      <c r="VSO67" s="3"/>
      <c r="VSP67" s="3"/>
      <c r="VSQ67" s="3"/>
      <c r="VSR67" s="3"/>
      <c r="VSS67" s="3"/>
      <c r="VST67" s="3"/>
      <c r="VSU67" s="3"/>
      <c r="VSV67" s="3"/>
      <c r="VSW67" s="3"/>
      <c r="VSX67" s="3"/>
      <c r="VSY67" s="3"/>
      <c r="VSZ67" s="3"/>
      <c r="VTA67" s="3"/>
      <c r="VTB67" s="3"/>
      <c r="VTC67" s="3"/>
      <c r="VTD67" s="3"/>
      <c r="VTE67" s="3"/>
      <c r="VTF67" s="3"/>
      <c r="VTG67" s="3"/>
      <c r="VTH67" s="3"/>
      <c r="VTI67" s="3"/>
      <c r="VTJ67" s="3"/>
      <c r="VTK67" s="3"/>
      <c r="VTL67" s="3"/>
      <c r="VTM67" s="3"/>
      <c r="VTN67" s="3"/>
      <c r="VTO67" s="3"/>
      <c r="VTP67" s="3"/>
      <c r="VTQ67" s="3"/>
      <c r="VTR67" s="3"/>
      <c r="VTS67" s="3"/>
      <c r="VTT67" s="3"/>
      <c r="VTU67" s="3"/>
      <c r="VTV67" s="3"/>
      <c r="VTW67" s="3"/>
      <c r="VTX67" s="3"/>
      <c r="VTY67" s="3"/>
      <c r="VTZ67" s="3"/>
      <c r="VUA67" s="3"/>
      <c r="VUB67" s="3"/>
      <c r="VUC67" s="3"/>
      <c r="VUD67" s="3"/>
      <c r="VUE67" s="3"/>
      <c r="VUF67" s="3"/>
      <c r="VUG67" s="3"/>
      <c r="VUH67" s="3"/>
      <c r="VUI67" s="3"/>
      <c r="VUJ67" s="3"/>
      <c r="VUK67" s="3"/>
      <c r="VUL67" s="3"/>
      <c r="VUM67" s="3"/>
      <c r="VUN67" s="3"/>
      <c r="VUO67" s="3"/>
      <c r="VUP67" s="3"/>
      <c r="VUQ67" s="3"/>
      <c r="VUR67" s="3"/>
      <c r="VUS67" s="3"/>
      <c r="VUT67" s="3"/>
      <c r="VUU67" s="3"/>
      <c r="VUV67" s="3"/>
      <c r="VUW67" s="3"/>
      <c r="VUX67" s="3"/>
      <c r="VUY67" s="3"/>
      <c r="VUZ67" s="3"/>
      <c r="VVA67" s="3"/>
      <c r="VVB67" s="3"/>
      <c r="VVC67" s="3"/>
      <c r="VVD67" s="3"/>
      <c r="VVE67" s="3"/>
      <c r="VVF67" s="3"/>
      <c r="VVG67" s="3"/>
      <c r="VVH67" s="3"/>
      <c r="VVI67" s="3"/>
      <c r="VVJ67" s="3"/>
      <c r="VVK67" s="3"/>
      <c r="VVL67" s="3"/>
      <c r="VVM67" s="3"/>
      <c r="VVN67" s="3"/>
      <c r="VVO67" s="3"/>
      <c r="VVP67" s="3"/>
      <c r="VVQ67" s="3"/>
      <c r="VVR67" s="3"/>
      <c r="VVS67" s="3"/>
      <c r="VVT67" s="3"/>
      <c r="VVU67" s="3"/>
      <c r="VVV67" s="3"/>
      <c r="VVW67" s="3"/>
      <c r="VVX67" s="3"/>
      <c r="VVY67" s="3"/>
      <c r="VVZ67" s="3"/>
      <c r="VWA67" s="3"/>
      <c r="VWB67" s="3"/>
      <c r="VWC67" s="3"/>
      <c r="VWD67" s="3"/>
      <c r="VWE67" s="3"/>
      <c r="VWF67" s="3"/>
      <c r="VWG67" s="3"/>
      <c r="VWH67" s="3"/>
      <c r="VWI67" s="3"/>
      <c r="VWJ67" s="3"/>
      <c r="VWK67" s="3"/>
      <c r="VWL67" s="3"/>
      <c r="VWM67" s="3"/>
      <c r="VWN67" s="3"/>
      <c r="VWO67" s="3"/>
      <c r="VWP67" s="3"/>
      <c r="VWQ67" s="3"/>
      <c r="VWR67" s="3"/>
      <c r="VWS67" s="3"/>
      <c r="VWT67" s="3"/>
      <c r="VWU67" s="3"/>
      <c r="VWV67" s="3"/>
      <c r="VWW67" s="3"/>
      <c r="VWX67" s="3"/>
      <c r="VWY67" s="3"/>
      <c r="VWZ67" s="3"/>
      <c r="VXA67" s="3"/>
      <c r="VXB67" s="3"/>
      <c r="VXC67" s="3"/>
      <c r="VXD67" s="3"/>
      <c r="VXE67" s="3"/>
      <c r="VXF67" s="3"/>
      <c r="VXG67" s="3"/>
      <c r="VXH67" s="3"/>
      <c r="VXI67" s="3"/>
      <c r="VXJ67" s="3"/>
      <c r="VXK67" s="3"/>
      <c r="VXL67" s="3"/>
      <c r="VXM67" s="3"/>
      <c r="VXN67" s="3"/>
      <c r="VXO67" s="3"/>
      <c r="VXP67" s="3"/>
      <c r="VXQ67" s="3"/>
      <c r="VXR67" s="3"/>
      <c r="VXS67" s="3"/>
      <c r="VXT67" s="3"/>
      <c r="VXU67" s="3"/>
      <c r="VXV67" s="3"/>
      <c r="VXW67" s="3"/>
      <c r="VXX67" s="3"/>
      <c r="VXY67" s="3"/>
      <c r="VXZ67" s="3"/>
      <c r="VYA67" s="3"/>
      <c r="VYB67" s="3"/>
      <c r="VYC67" s="3"/>
      <c r="VYD67" s="3"/>
      <c r="VYE67" s="3"/>
      <c r="VYF67" s="3"/>
      <c r="VYG67" s="3"/>
      <c r="VYH67" s="3"/>
      <c r="VYI67" s="3"/>
      <c r="VYJ67" s="3"/>
      <c r="VYK67" s="3"/>
      <c r="VYL67" s="3"/>
      <c r="VYM67" s="3"/>
      <c r="VYN67" s="3"/>
      <c r="VYO67" s="3"/>
      <c r="VYP67" s="3"/>
      <c r="VYQ67" s="3"/>
      <c r="VYR67" s="3"/>
      <c r="VYS67" s="3"/>
      <c r="VYT67" s="3"/>
      <c r="VYU67" s="3"/>
      <c r="VYV67" s="3"/>
      <c r="VYW67" s="3"/>
      <c r="VYX67" s="3"/>
      <c r="VYY67" s="3"/>
      <c r="VYZ67" s="3"/>
      <c r="VZA67" s="3"/>
      <c r="VZB67" s="3"/>
      <c r="VZC67" s="3"/>
      <c r="VZD67" s="3"/>
      <c r="VZE67" s="3"/>
      <c r="VZF67" s="3"/>
      <c r="VZG67" s="3"/>
      <c r="VZH67" s="3"/>
      <c r="VZI67" s="3"/>
      <c r="VZJ67" s="3"/>
      <c r="VZK67" s="3"/>
      <c r="VZL67" s="3"/>
      <c r="VZM67" s="3"/>
      <c r="VZN67" s="3"/>
      <c r="VZO67" s="3"/>
      <c r="VZP67" s="3"/>
      <c r="VZQ67" s="3"/>
      <c r="VZR67" s="3"/>
      <c r="VZS67" s="3"/>
      <c r="VZT67" s="3"/>
      <c r="VZU67" s="3"/>
      <c r="VZV67" s="3"/>
      <c r="VZW67" s="3"/>
      <c r="VZX67" s="3"/>
      <c r="VZY67" s="3"/>
      <c r="VZZ67" s="3"/>
      <c r="WAA67" s="3"/>
      <c r="WAB67" s="3"/>
      <c r="WAC67" s="3"/>
      <c r="WAD67" s="3"/>
      <c r="WAE67" s="3"/>
      <c r="WAF67" s="3"/>
      <c r="WAG67" s="3"/>
      <c r="WAH67" s="3"/>
      <c r="WAI67" s="3"/>
      <c r="WAJ67" s="3"/>
      <c r="WAK67" s="3"/>
      <c r="WAL67" s="3"/>
      <c r="WAM67" s="3"/>
      <c r="WAN67" s="3"/>
      <c r="WAO67" s="3"/>
      <c r="WAP67" s="3"/>
      <c r="WAQ67" s="3"/>
      <c r="WAR67" s="3"/>
      <c r="WAS67" s="3"/>
      <c r="WAT67" s="3"/>
      <c r="WAU67" s="3"/>
      <c r="WAV67" s="3"/>
      <c r="WAW67" s="3"/>
      <c r="WAX67" s="3"/>
      <c r="WAY67" s="3"/>
      <c r="WAZ67" s="3"/>
      <c r="WBA67" s="3"/>
      <c r="WBB67" s="3"/>
      <c r="WBC67" s="3"/>
      <c r="WBD67" s="3"/>
      <c r="WBE67" s="3"/>
      <c r="WBF67" s="3"/>
      <c r="WBG67" s="3"/>
      <c r="WBH67" s="3"/>
      <c r="WBI67" s="3"/>
      <c r="WBJ67" s="3"/>
      <c r="WBK67" s="3"/>
      <c r="WBL67" s="3"/>
      <c r="WBM67" s="3"/>
      <c r="WBN67" s="3"/>
      <c r="WBO67" s="3"/>
      <c r="WBP67" s="3"/>
      <c r="WBQ67" s="3"/>
      <c r="WBR67" s="3"/>
      <c r="WBS67" s="3"/>
      <c r="WBT67" s="3"/>
      <c r="WBU67" s="3"/>
      <c r="WBV67" s="3"/>
      <c r="WBW67" s="3"/>
      <c r="WBX67" s="3"/>
      <c r="WBY67" s="3"/>
      <c r="WBZ67" s="3"/>
      <c r="WCA67" s="3"/>
      <c r="WCB67" s="3"/>
      <c r="WCC67" s="3"/>
      <c r="WCD67" s="3"/>
      <c r="WCE67" s="3"/>
      <c r="WCF67" s="3"/>
      <c r="WCG67" s="3"/>
      <c r="WCH67" s="3"/>
      <c r="WCI67" s="3"/>
      <c r="WCJ67" s="3"/>
      <c r="WCK67" s="3"/>
      <c r="WCL67" s="3"/>
      <c r="WCM67" s="3"/>
      <c r="WCN67" s="3"/>
      <c r="WCO67" s="3"/>
      <c r="WCP67" s="3"/>
      <c r="WCQ67" s="3"/>
      <c r="WCR67" s="3"/>
      <c r="WCS67" s="3"/>
      <c r="WCT67" s="3"/>
      <c r="WCU67" s="3"/>
      <c r="WCV67" s="3"/>
      <c r="WCW67" s="3"/>
      <c r="WCX67" s="3"/>
      <c r="WCY67" s="3"/>
      <c r="WCZ67" s="3"/>
      <c r="WDA67" s="3"/>
      <c r="WDB67" s="3"/>
      <c r="WDC67" s="3"/>
      <c r="WDD67" s="3"/>
      <c r="WDE67" s="3"/>
      <c r="WDF67" s="3"/>
      <c r="WDG67" s="3"/>
      <c r="WDH67" s="3"/>
      <c r="WDI67" s="3"/>
      <c r="WDJ67" s="3"/>
      <c r="WDK67" s="3"/>
      <c r="WDL67" s="3"/>
      <c r="WDM67" s="3"/>
      <c r="WDN67" s="3"/>
      <c r="WDO67" s="3"/>
      <c r="WDP67" s="3"/>
      <c r="WDQ67" s="3"/>
      <c r="WDR67" s="3"/>
      <c r="WDS67" s="3"/>
      <c r="WDT67" s="3"/>
      <c r="WDU67" s="3"/>
      <c r="WDV67" s="3"/>
      <c r="WDW67" s="3"/>
      <c r="WDX67" s="3"/>
      <c r="WDY67" s="3"/>
      <c r="WDZ67" s="3"/>
      <c r="WEA67" s="3"/>
      <c r="WEB67" s="3"/>
      <c r="WEC67" s="3"/>
      <c r="WED67" s="3"/>
      <c r="WEE67" s="3"/>
      <c r="WEF67" s="3"/>
      <c r="WEG67" s="3"/>
      <c r="WEH67" s="3"/>
      <c r="WEI67" s="3"/>
      <c r="WEJ67" s="3"/>
      <c r="WEK67" s="3"/>
      <c r="WEL67" s="3"/>
      <c r="WEM67" s="3"/>
      <c r="WEN67" s="3"/>
      <c r="WEO67" s="3"/>
      <c r="WEP67" s="3"/>
      <c r="WEQ67" s="3"/>
      <c r="WER67" s="3"/>
      <c r="WES67" s="3"/>
      <c r="WET67" s="3"/>
      <c r="WEU67" s="3"/>
      <c r="WEV67" s="3"/>
      <c r="WEW67" s="3"/>
      <c r="WEX67" s="3"/>
      <c r="WEY67" s="3"/>
      <c r="WEZ67" s="3"/>
      <c r="WFA67" s="3"/>
      <c r="WFB67" s="3"/>
      <c r="WFC67" s="3"/>
      <c r="WFD67" s="3"/>
      <c r="WFE67" s="3"/>
      <c r="WFF67" s="3"/>
      <c r="WFG67" s="3"/>
      <c r="WFH67" s="3"/>
      <c r="WFI67" s="3"/>
      <c r="WFJ67" s="3"/>
      <c r="WFK67" s="3"/>
      <c r="WFL67" s="3"/>
      <c r="WFM67" s="3"/>
      <c r="WFN67" s="3"/>
      <c r="WFO67" s="3"/>
      <c r="WFP67" s="3"/>
      <c r="WFQ67" s="3"/>
      <c r="WFR67" s="3"/>
      <c r="WFS67" s="3"/>
      <c r="WFT67" s="3"/>
      <c r="WFU67" s="3"/>
      <c r="WFV67" s="3"/>
      <c r="WFW67" s="3"/>
      <c r="WFX67" s="3"/>
      <c r="WFY67" s="3"/>
      <c r="WFZ67" s="3"/>
      <c r="WGA67" s="3"/>
      <c r="WGB67" s="3"/>
      <c r="WGC67" s="3"/>
      <c r="WGD67" s="3"/>
      <c r="WGE67" s="3"/>
      <c r="WGF67" s="3"/>
      <c r="WGG67" s="3"/>
      <c r="WGH67" s="3"/>
      <c r="WGI67" s="3"/>
      <c r="WGJ67" s="3"/>
      <c r="WGK67" s="3"/>
      <c r="WGL67" s="3"/>
      <c r="WGM67" s="3"/>
      <c r="WGN67" s="3"/>
      <c r="WGO67" s="3"/>
      <c r="WGP67" s="3"/>
      <c r="WGQ67" s="3"/>
      <c r="WGR67" s="3"/>
      <c r="WGS67" s="3"/>
      <c r="WGT67" s="3"/>
      <c r="WGU67" s="3"/>
      <c r="WGV67" s="3"/>
      <c r="WGW67" s="3"/>
      <c r="WGX67" s="3"/>
      <c r="WGY67" s="3"/>
      <c r="WGZ67" s="3"/>
      <c r="WHA67" s="3"/>
      <c r="WHB67" s="3"/>
      <c r="WHC67" s="3"/>
      <c r="WHD67" s="3"/>
      <c r="WHE67" s="3"/>
      <c r="WHF67" s="3"/>
      <c r="WHG67" s="3"/>
      <c r="WHH67" s="3"/>
      <c r="WHI67" s="3"/>
      <c r="WHJ67" s="3"/>
      <c r="WHK67" s="3"/>
      <c r="WHL67" s="3"/>
      <c r="WHM67" s="3"/>
      <c r="WHN67" s="3"/>
      <c r="WHO67" s="3"/>
      <c r="WHP67" s="3"/>
      <c r="WHQ67" s="3"/>
      <c r="WHR67" s="3"/>
      <c r="WHS67" s="3"/>
      <c r="WHT67" s="3"/>
      <c r="WHU67" s="3"/>
      <c r="WHV67" s="3"/>
      <c r="WHW67" s="3"/>
      <c r="WHX67" s="3"/>
      <c r="WHY67" s="3"/>
      <c r="WHZ67" s="3"/>
      <c r="WIA67" s="3"/>
      <c r="WIB67" s="3"/>
      <c r="WIC67" s="3"/>
      <c r="WID67" s="3"/>
      <c r="WIE67" s="3"/>
      <c r="WIF67" s="3"/>
      <c r="WIG67" s="3"/>
      <c r="WIH67" s="3"/>
      <c r="WII67" s="3"/>
      <c r="WIJ67" s="3"/>
      <c r="WIK67" s="3"/>
      <c r="WIL67" s="3"/>
      <c r="WIM67" s="3"/>
      <c r="WIN67" s="3"/>
      <c r="WIO67" s="3"/>
      <c r="WIP67" s="3"/>
      <c r="WIQ67" s="3"/>
      <c r="WIR67" s="3"/>
      <c r="WIS67" s="3"/>
      <c r="WIT67" s="3"/>
      <c r="WIU67" s="3"/>
      <c r="WIV67" s="3"/>
      <c r="WIW67" s="3"/>
      <c r="WIX67" s="3"/>
      <c r="WIY67" s="3"/>
      <c r="WIZ67" s="3"/>
      <c r="WJA67" s="3"/>
      <c r="WJB67" s="3"/>
      <c r="WJC67" s="3"/>
      <c r="WJD67" s="3"/>
      <c r="WJE67" s="3"/>
      <c r="WJF67" s="3"/>
      <c r="WJG67" s="3"/>
      <c r="WJH67" s="3"/>
      <c r="WJI67" s="3"/>
      <c r="WJJ67" s="3"/>
      <c r="WJK67" s="3"/>
      <c r="WJL67" s="3"/>
      <c r="WJM67" s="3"/>
      <c r="WJN67" s="3"/>
      <c r="WJO67" s="3"/>
      <c r="WJP67" s="3"/>
      <c r="WJQ67" s="3"/>
      <c r="WJR67" s="3"/>
      <c r="WJS67" s="3"/>
      <c r="WJT67" s="3"/>
      <c r="WJU67" s="3"/>
      <c r="WJV67" s="3"/>
      <c r="WJW67" s="3"/>
      <c r="WJX67" s="3"/>
      <c r="WJY67" s="3"/>
      <c r="WJZ67" s="3"/>
      <c r="WKA67" s="3"/>
      <c r="WKB67" s="3"/>
      <c r="WKC67" s="3"/>
      <c r="WKD67" s="3"/>
      <c r="WKE67" s="3"/>
      <c r="WKF67" s="3"/>
      <c r="WKG67" s="3"/>
      <c r="WKH67" s="3"/>
      <c r="WKI67" s="3"/>
      <c r="WKJ67" s="3"/>
      <c r="WKK67" s="3"/>
      <c r="WKL67" s="3"/>
      <c r="WKM67" s="3"/>
      <c r="WKN67" s="3"/>
      <c r="WKO67" s="3"/>
      <c r="WKP67" s="3"/>
      <c r="WKQ67" s="3"/>
      <c r="WKR67" s="3"/>
      <c r="WKS67" s="3"/>
      <c r="WKT67" s="3"/>
      <c r="WKU67" s="3"/>
      <c r="WKV67" s="3"/>
      <c r="WKW67" s="3"/>
      <c r="WKX67" s="3"/>
      <c r="WKY67" s="3"/>
      <c r="WKZ67" s="3"/>
      <c r="WLA67" s="3"/>
      <c r="WLB67" s="3"/>
      <c r="WLC67" s="3"/>
      <c r="WLD67" s="3"/>
      <c r="WLE67" s="3"/>
      <c r="WLF67" s="3"/>
      <c r="WLG67" s="3"/>
      <c r="WLH67" s="3"/>
      <c r="WLI67" s="3"/>
      <c r="WLJ67" s="3"/>
      <c r="WLK67" s="3"/>
      <c r="WLL67" s="3"/>
      <c r="WLM67" s="3"/>
      <c r="WLN67" s="3"/>
      <c r="WLO67" s="3"/>
      <c r="WLP67" s="3"/>
      <c r="WLQ67" s="3"/>
      <c r="WLR67" s="3"/>
      <c r="WLS67" s="3"/>
      <c r="WLT67" s="3"/>
      <c r="WLU67" s="3"/>
      <c r="WLV67" s="3"/>
      <c r="WLW67" s="3"/>
      <c r="WLX67" s="3"/>
      <c r="WLY67" s="3"/>
      <c r="WLZ67" s="3"/>
      <c r="WMA67" s="3"/>
      <c r="WMB67" s="3"/>
      <c r="WMC67" s="3"/>
      <c r="WMD67" s="3"/>
      <c r="WME67" s="3"/>
      <c r="WMF67" s="3"/>
      <c r="WMG67" s="3"/>
      <c r="WMH67" s="3"/>
      <c r="WMI67" s="3"/>
      <c r="WMJ67" s="3"/>
      <c r="WMK67" s="3"/>
      <c r="WML67" s="3"/>
      <c r="WMM67" s="3"/>
      <c r="WMN67" s="3"/>
      <c r="WMO67" s="3"/>
      <c r="WMP67" s="3"/>
      <c r="WMQ67" s="3"/>
      <c r="WMR67" s="3"/>
      <c r="WMS67" s="3"/>
      <c r="WMT67" s="3"/>
      <c r="WMU67" s="3"/>
      <c r="WMV67" s="3"/>
      <c r="WMW67" s="3"/>
      <c r="WMX67" s="3"/>
      <c r="WMY67" s="3"/>
      <c r="WMZ67" s="3"/>
      <c r="WNA67" s="3"/>
      <c r="WNB67" s="3"/>
      <c r="WNC67" s="3"/>
      <c r="WND67" s="3"/>
      <c r="WNE67" s="3"/>
      <c r="WNF67" s="3"/>
      <c r="WNG67" s="3"/>
      <c r="WNH67" s="3"/>
      <c r="WNI67" s="3"/>
      <c r="WNJ67" s="3"/>
      <c r="WNK67" s="3"/>
      <c r="WNL67" s="3"/>
      <c r="WNM67" s="3"/>
      <c r="WNN67" s="3"/>
      <c r="WNO67" s="3"/>
      <c r="WNP67" s="3"/>
      <c r="WNQ67" s="3"/>
      <c r="WNR67" s="3"/>
      <c r="WNS67" s="3"/>
      <c r="WNT67" s="3"/>
      <c r="WNU67" s="3"/>
      <c r="WNV67" s="3"/>
      <c r="WNW67" s="3"/>
      <c r="WNX67" s="3"/>
      <c r="WNY67" s="3"/>
      <c r="WNZ67" s="3"/>
      <c r="WOA67" s="3"/>
      <c r="WOB67" s="3"/>
      <c r="WOC67" s="3"/>
      <c r="WOD67" s="3"/>
      <c r="WOE67" s="3"/>
      <c r="WOF67" s="3"/>
      <c r="WOG67" s="3"/>
      <c r="WOH67" s="3"/>
      <c r="WOI67" s="3"/>
      <c r="WOJ67" s="3"/>
      <c r="WOK67" s="3"/>
      <c r="WOL67" s="3"/>
      <c r="WOM67" s="3"/>
      <c r="WON67" s="3"/>
      <c r="WOO67" s="3"/>
      <c r="WOP67" s="3"/>
      <c r="WOQ67" s="3"/>
      <c r="WOR67" s="3"/>
      <c r="WOS67" s="3"/>
      <c r="WOT67" s="3"/>
      <c r="WOU67" s="3"/>
      <c r="WOV67" s="3"/>
      <c r="WOW67" s="3"/>
      <c r="WOX67" s="3"/>
      <c r="WOY67" s="3"/>
      <c r="WOZ67" s="3"/>
      <c r="WPA67" s="3"/>
      <c r="WPB67" s="3"/>
      <c r="WPC67" s="3"/>
      <c r="WPD67" s="3"/>
      <c r="WPE67" s="3"/>
      <c r="WPF67" s="3"/>
      <c r="WPG67" s="3"/>
      <c r="WPH67" s="3"/>
      <c r="WPI67" s="3"/>
      <c r="WPJ67" s="3"/>
      <c r="WPK67" s="3"/>
      <c r="WPL67" s="3"/>
      <c r="WPM67" s="3"/>
      <c r="WPN67" s="3"/>
      <c r="WPO67" s="3"/>
      <c r="WPP67" s="3"/>
      <c r="WPQ67" s="3"/>
      <c r="WPR67" s="3"/>
      <c r="WPS67" s="3"/>
      <c r="WPT67" s="3"/>
      <c r="WPU67" s="3"/>
      <c r="WPV67" s="3"/>
      <c r="WPW67" s="3"/>
      <c r="WPX67" s="3"/>
      <c r="WPY67" s="3"/>
      <c r="WPZ67" s="3"/>
      <c r="WQA67" s="3"/>
      <c r="WQB67" s="3"/>
      <c r="WQC67" s="3"/>
      <c r="WQD67" s="3"/>
      <c r="WQE67" s="3"/>
      <c r="WQF67" s="3"/>
      <c r="WQG67" s="3"/>
      <c r="WQH67" s="3"/>
      <c r="WQI67" s="3"/>
      <c r="WQJ67" s="3"/>
      <c r="WQK67" s="3"/>
      <c r="WQL67" s="3"/>
      <c r="WQM67" s="3"/>
      <c r="WQN67" s="3"/>
      <c r="WQO67" s="3"/>
      <c r="WQP67" s="3"/>
      <c r="WQQ67" s="3"/>
      <c r="WQR67" s="3"/>
      <c r="WQS67" s="3"/>
      <c r="WQT67" s="3"/>
      <c r="WQU67" s="3"/>
      <c r="WQV67" s="3"/>
      <c r="WQW67" s="3"/>
      <c r="WQX67" s="3"/>
      <c r="WQY67" s="3"/>
      <c r="WQZ67" s="3"/>
      <c r="WRA67" s="3"/>
      <c r="WRB67" s="3"/>
      <c r="WRC67" s="3"/>
      <c r="WRD67" s="3"/>
      <c r="WRE67" s="3"/>
      <c r="WRF67" s="3"/>
      <c r="WRG67" s="3"/>
      <c r="WRH67" s="3"/>
      <c r="WRI67" s="3"/>
      <c r="WRJ67" s="3"/>
      <c r="WRK67" s="3"/>
      <c r="WRL67" s="3"/>
      <c r="WRM67" s="3"/>
      <c r="WRN67" s="3"/>
      <c r="WRO67" s="3"/>
      <c r="WRP67" s="3"/>
      <c r="WRQ67" s="3"/>
      <c r="WRR67" s="3"/>
      <c r="WRS67" s="3"/>
      <c r="WRT67" s="3"/>
      <c r="WRU67" s="3"/>
      <c r="WRV67" s="3"/>
      <c r="WRW67" s="3"/>
      <c r="WRX67" s="3"/>
      <c r="WRY67" s="3"/>
      <c r="WRZ67" s="3"/>
      <c r="WSA67" s="3"/>
      <c r="WSB67" s="3"/>
      <c r="WSC67" s="3"/>
      <c r="WSD67" s="3"/>
      <c r="WSE67" s="3"/>
      <c r="WSF67" s="3"/>
      <c r="WSG67" s="3"/>
      <c r="WSH67" s="3"/>
      <c r="WSI67" s="3"/>
      <c r="WSJ67" s="3"/>
      <c r="WSK67" s="3"/>
      <c r="WSL67" s="3"/>
      <c r="WSM67" s="3"/>
      <c r="WSN67" s="3"/>
      <c r="WSO67" s="3"/>
      <c r="WSP67" s="3"/>
      <c r="WSQ67" s="3"/>
      <c r="WSR67" s="3"/>
      <c r="WSS67" s="3"/>
      <c r="WST67" s="3"/>
      <c r="WSU67" s="3"/>
      <c r="WSV67" s="3"/>
      <c r="WSW67" s="3"/>
      <c r="WSX67" s="3"/>
      <c r="WSY67" s="3"/>
      <c r="WSZ67" s="3"/>
      <c r="WTA67" s="3"/>
      <c r="WTB67" s="3"/>
      <c r="WTC67" s="3"/>
      <c r="WTD67" s="3"/>
      <c r="WTE67" s="3"/>
      <c r="WTF67" s="3"/>
      <c r="WTG67" s="3"/>
      <c r="WTH67" s="3"/>
      <c r="WTI67" s="3"/>
      <c r="WTJ67" s="3"/>
      <c r="WTK67" s="3"/>
      <c r="WTL67" s="3"/>
      <c r="WTM67" s="3"/>
      <c r="WTN67" s="3"/>
      <c r="WTO67" s="3"/>
      <c r="WTP67" s="3"/>
      <c r="WTQ67" s="3"/>
      <c r="WTR67" s="3"/>
      <c r="WTS67" s="3"/>
      <c r="WTT67" s="3"/>
      <c r="WTU67" s="3"/>
      <c r="WTV67" s="3"/>
      <c r="WTW67" s="3"/>
      <c r="WTX67" s="3"/>
      <c r="WTY67" s="3"/>
      <c r="WTZ67" s="3"/>
      <c r="WUA67" s="3"/>
      <c r="WUB67" s="3"/>
      <c r="WUC67" s="3"/>
      <c r="WUD67" s="3"/>
      <c r="WUE67" s="3"/>
      <c r="WUF67" s="3"/>
      <c r="WUG67" s="3"/>
      <c r="WUH67" s="3"/>
      <c r="WUI67" s="3"/>
      <c r="WUJ67" s="3"/>
      <c r="WUK67" s="3"/>
      <c r="WUL67" s="3"/>
      <c r="WUM67" s="3"/>
      <c r="WUN67" s="3"/>
      <c r="WUO67" s="3"/>
      <c r="WUP67" s="3"/>
      <c r="WUQ67" s="3"/>
      <c r="WUR67" s="3"/>
      <c r="WUS67" s="3"/>
      <c r="WUT67" s="3"/>
      <c r="WUU67" s="3"/>
      <c r="WUV67" s="3"/>
      <c r="WUW67" s="3"/>
      <c r="WUX67" s="3"/>
      <c r="WUY67" s="3"/>
      <c r="WUZ67" s="3"/>
      <c r="WVA67" s="3"/>
      <c r="WVB67" s="3"/>
      <c r="WVC67" s="3"/>
      <c r="WVD67" s="3"/>
      <c r="WVE67" s="3"/>
      <c r="WVF67" s="3"/>
      <c r="WVG67" s="3"/>
      <c r="WVH67" s="3"/>
      <c r="WVI67" s="3"/>
      <c r="WVJ67" s="3"/>
      <c r="WVK67" s="3"/>
      <c r="WVL67" s="3"/>
      <c r="WVM67" s="3"/>
      <c r="WVN67" s="3"/>
      <c r="WVO67" s="3"/>
      <c r="WVP67" s="3"/>
      <c r="WVQ67" s="3"/>
      <c r="WVR67" s="3"/>
      <c r="WVS67" s="3"/>
      <c r="WVT67" s="3"/>
      <c r="WVU67" s="3"/>
      <c r="WVV67" s="3"/>
      <c r="WVW67" s="3"/>
      <c r="WVX67" s="3"/>
      <c r="WVY67" s="3"/>
      <c r="WVZ67" s="3"/>
      <c r="WWA67" s="3"/>
      <c r="WWB67" s="3"/>
      <c r="WWC67" s="3"/>
      <c r="WWD67" s="3"/>
      <c r="WWE67" s="3"/>
      <c r="WWF67" s="3"/>
      <c r="WWG67" s="3"/>
      <c r="WWH67" s="3"/>
      <c r="WWI67" s="3"/>
      <c r="WWJ67" s="3"/>
      <c r="WWK67" s="3"/>
      <c r="WWL67" s="3"/>
      <c r="WWM67" s="3"/>
      <c r="WWN67" s="3"/>
      <c r="WWO67" s="3"/>
      <c r="WWP67" s="3"/>
      <c r="WWQ67" s="3"/>
      <c r="WWR67" s="3"/>
      <c r="WWS67" s="3"/>
      <c r="WWT67" s="3"/>
      <c r="WWU67" s="3"/>
      <c r="WWV67" s="3"/>
      <c r="WWW67" s="3"/>
      <c r="WWX67" s="3"/>
      <c r="WWY67" s="3"/>
      <c r="WWZ67" s="3"/>
      <c r="WXA67" s="3"/>
      <c r="WXB67" s="3"/>
      <c r="WXC67" s="3"/>
      <c r="WXD67" s="3"/>
      <c r="WXE67" s="3"/>
      <c r="WXF67" s="3"/>
      <c r="WXG67" s="3"/>
      <c r="WXH67" s="3"/>
      <c r="WXI67" s="3"/>
      <c r="WXJ67" s="3"/>
      <c r="WXK67" s="3"/>
      <c r="WXL67" s="3"/>
      <c r="WXM67" s="3"/>
      <c r="WXN67" s="3"/>
      <c r="WXO67" s="3"/>
      <c r="WXP67" s="3"/>
      <c r="WXQ67" s="3"/>
      <c r="WXR67" s="3"/>
      <c r="WXS67" s="3"/>
      <c r="WXT67" s="3"/>
      <c r="WXU67" s="3"/>
      <c r="WXV67" s="3"/>
      <c r="WXW67" s="3"/>
      <c r="WXX67" s="3"/>
      <c r="WXY67" s="3"/>
      <c r="WXZ67" s="3"/>
      <c r="WYA67" s="3"/>
      <c r="WYB67" s="3"/>
      <c r="WYC67" s="3"/>
      <c r="WYD67" s="3"/>
      <c r="WYE67" s="3"/>
      <c r="WYF67" s="3"/>
      <c r="WYG67" s="3"/>
      <c r="WYH67" s="3"/>
      <c r="WYI67" s="3"/>
      <c r="WYJ67" s="3"/>
      <c r="WYK67" s="3"/>
      <c r="WYL67" s="3"/>
      <c r="WYM67" s="3"/>
      <c r="WYN67" s="3"/>
      <c r="WYO67" s="3"/>
      <c r="WYP67" s="3"/>
      <c r="WYQ67" s="3"/>
      <c r="WYR67" s="3"/>
      <c r="WYS67" s="3"/>
      <c r="WYT67" s="3"/>
      <c r="WYU67" s="3"/>
      <c r="WYV67" s="3"/>
      <c r="WYW67" s="3"/>
      <c r="WYX67" s="3"/>
      <c r="WYY67" s="3"/>
      <c r="WYZ67" s="3"/>
      <c r="WZA67" s="3"/>
      <c r="WZB67" s="3"/>
      <c r="WZC67" s="3"/>
      <c r="WZD67" s="3"/>
      <c r="WZE67" s="3"/>
      <c r="WZF67" s="3"/>
      <c r="WZG67" s="3"/>
      <c r="WZH67" s="3"/>
      <c r="WZI67" s="3"/>
      <c r="WZJ67" s="3"/>
      <c r="WZK67" s="3"/>
      <c r="WZL67" s="3"/>
      <c r="WZM67" s="3"/>
      <c r="WZN67" s="3"/>
      <c r="WZO67" s="3"/>
      <c r="WZP67" s="3"/>
      <c r="WZQ67" s="3"/>
      <c r="WZR67" s="3"/>
      <c r="WZS67" s="3"/>
      <c r="WZT67" s="3"/>
      <c r="WZU67" s="3"/>
      <c r="WZV67" s="3"/>
      <c r="WZW67" s="3"/>
      <c r="WZX67" s="3"/>
      <c r="WZY67" s="3"/>
      <c r="WZZ67" s="3"/>
      <c r="XAA67" s="3"/>
      <c r="XAB67" s="3"/>
      <c r="XAC67" s="3"/>
      <c r="XAD67" s="3"/>
      <c r="XAE67" s="3"/>
      <c r="XAF67" s="3"/>
      <c r="XAG67" s="3"/>
      <c r="XAH67" s="3"/>
      <c r="XAI67" s="3"/>
      <c r="XAJ67" s="3"/>
      <c r="XAK67" s="3"/>
      <c r="XAL67" s="3"/>
      <c r="XAM67" s="3"/>
      <c r="XAN67" s="3"/>
      <c r="XAO67" s="3"/>
      <c r="XAP67" s="3"/>
      <c r="XAQ67" s="3"/>
      <c r="XAR67" s="3"/>
      <c r="XAS67" s="3"/>
      <c r="XAT67" s="3"/>
      <c r="XAU67" s="3"/>
      <c r="XAV67" s="3"/>
      <c r="XAW67" s="3"/>
      <c r="XAX67" s="3"/>
      <c r="XAY67" s="3"/>
      <c r="XAZ67" s="3"/>
      <c r="XBA67" s="3"/>
      <c r="XBB67" s="3"/>
      <c r="XBC67" s="3"/>
      <c r="XBD67" s="3"/>
      <c r="XBE67" s="3"/>
      <c r="XBF67" s="3"/>
      <c r="XBG67" s="3"/>
      <c r="XBH67" s="3"/>
      <c r="XBI67" s="3"/>
      <c r="XBJ67" s="3"/>
      <c r="XBK67" s="3"/>
      <c r="XBL67" s="3"/>
      <c r="XBM67" s="3"/>
      <c r="XBN67" s="3"/>
      <c r="XBO67" s="3"/>
      <c r="XBP67" s="3"/>
      <c r="XBQ67" s="3"/>
      <c r="XBR67" s="3"/>
      <c r="XBS67" s="3"/>
      <c r="XBT67" s="3"/>
      <c r="XBU67" s="3"/>
      <c r="XBV67" s="3"/>
      <c r="XBW67" s="3"/>
      <c r="XBX67" s="3"/>
      <c r="XBY67" s="3"/>
      <c r="XBZ67" s="3"/>
      <c r="XCA67" s="3"/>
      <c r="XCB67" s="3"/>
      <c r="XCC67" s="3"/>
      <c r="XCD67" s="3"/>
      <c r="XCE67" s="3"/>
      <c r="XCF67" s="3"/>
      <c r="XCG67" s="3"/>
      <c r="XCH67" s="3"/>
      <c r="XCI67" s="3"/>
      <c r="XCJ67" s="3"/>
      <c r="XCK67" s="3"/>
      <c r="XCL67" s="3"/>
      <c r="XCM67" s="3"/>
      <c r="XCN67" s="3"/>
      <c r="XCO67" s="3"/>
      <c r="XCP67" s="3"/>
      <c r="XCQ67" s="3"/>
      <c r="XCR67" s="3"/>
      <c r="XCS67" s="3"/>
      <c r="XCT67" s="3"/>
      <c r="XCU67" s="3"/>
      <c r="XCV67" s="3"/>
      <c r="XCW67" s="3"/>
      <c r="XCX67" s="3"/>
      <c r="XCY67" s="3"/>
      <c r="XCZ67" s="3"/>
      <c r="XDA67" s="3"/>
      <c r="XDB67" s="3"/>
      <c r="XDC67" s="3"/>
      <c r="XDD67" s="3"/>
      <c r="XDE67" s="3"/>
      <c r="XDF67" s="3"/>
      <c r="XDG67" s="3"/>
      <c r="XDH67" s="3"/>
      <c r="XDI67" s="3"/>
      <c r="XDJ67" s="3"/>
      <c r="XDK67" s="3"/>
      <c r="XDL67" s="3"/>
      <c r="XDM67" s="3"/>
      <c r="XDN67" s="3"/>
      <c r="XDO67" s="3"/>
      <c r="XDP67" s="3"/>
      <c r="XDQ67" s="3"/>
      <c r="XDR67" s="3"/>
      <c r="XDS67" s="3"/>
      <c r="XDT67" s="3"/>
      <c r="XDU67" s="3"/>
      <c r="XDV67" s="3"/>
      <c r="XDW67" s="3"/>
      <c r="XDX67" s="3"/>
      <c r="XDY67" s="3"/>
      <c r="XDZ67" s="3"/>
      <c r="XEA67" s="3"/>
      <c r="XEB67" s="3"/>
      <c r="XEC67" s="3"/>
      <c r="XED67" s="3"/>
      <c r="XEE67" s="3"/>
      <c r="XEF67" s="3"/>
      <c r="XEG67" s="3"/>
      <c r="XEH67" s="3"/>
      <c r="XEI67" s="3"/>
      <c r="XEJ67" s="3"/>
      <c r="XEK67" s="3"/>
      <c r="XEL67" s="3"/>
      <c r="XEM67" s="3"/>
      <c r="XEN67" s="3"/>
      <c r="XEO67" s="3"/>
      <c r="XEP67" s="3"/>
      <c r="XEQ67" s="3"/>
      <c r="XER67" s="3"/>
      <c r="XES67" s="3"/>
      <c r="XET67" s="3"/>
      <c r="XEU67" s="3"/>
      <c r="XEV67" s="3"/>
      <c r="XEW67" s="3"/>
      <c r="XEX67" s="3"/>
      <c r="XEY67" s="3"/>
      <c r="XEZ67" s="3"/>
      <c r="XFA67" s="3"/>
      <c r="XFB67" s="3"/>
      <c r="XFC67" s="3"/>
    </row>
    <row r="68" spans="1:16383" x14ac:dyDescent="0.15">
      <c r="B68" s="3" t="s">
        <v>144</v>
      </c>
      <c r="C68" s="75" t="s">
        <v>5</v>
      </c>
      <c r="D68" s="85">
        <v>0.7</v>
      </c>
      <c r="E68" s="85">
        <v>0.7</v>
      </c>
      <c r="F68" s="85">
        <v>0.7</v>
      </c>
      <c r="G68" s="85">
        <v>0.7</v>
      </c>
      <c r="H68" s="85">
        <v>0.7</v>
      </c>
      <c r="I68" s="85">
        <v>0.7</v>
      </c>
      <c r="J68" s="85">
        <v>0.7</v>
      </c>
      <c r="K68" s="85">
        <v>0.7</v>
      </c>
      <c r="L68" s="85">
        <v>0.7</v>
      </c>
      <c r="M68" s="85">
        <v>0.7</v>
      </c>
      <c r="N68" s="85">
        <v>0.7</v>
      </c>
    </row>
    <row r="69" spans="1:16383" x14ac:dyDescent="0.15">
      <c r="B69" s="3" t="s">
        <v>145</v>
      </c>
      <c r="C69" s="75" t="s">
        <v>7</v>
      </c>
      <c r="D69" s="75">
        <f>D46</f>
        <v>1473286</v>
      </c>
      <c r="E69" s="75">
        <f t="shared" ref="E69:N69" si="2">E46</f>
        <v>1473286</v>
      </c>
      <c r="F69" s="75">
        <f t="shared" si="2"/>
        <v>1473286</v>
      </c>
      <c r="G69" s="75">
        <f t="shared" si="2"/>
        <v>1473286</v>
      </c>
      <c r="H69" s="75">
        <f t="shared" si="2"/>
        <v>1473286</v>
      </c>
      <c r="I69" s="75">
        <f t="shared" si="2"/>
        <v>1473286</v>
      </c>
      <c r="J69" s="75">
        <f t="shared" si="2"/>
        <v>1473286</v>
      </c>
      <c r="K69" s="75">
        <f t="shared" si="2"/>
        <v>1473286</v>
      </c>
      <c r="L69" s="75">
        <f t="shared" si="2"/>
        <v>1473286</v>
      </c>
      <c r="M69" s="75">
        <f t="shared" si="2"/>
        <v>1473286</v>
      </c>
      <c r="N69" s="75">
        <f t="shared" si="2"/>
        <v>1473286</v>
      </c>
    </row>
    <row r="70" spans="1:16383" x14ac:dyDescent="0.15">
      <c r="B70" s="3" t="s">
        <v>146</v>
      </c>
      <c r="C70" s="75" t="s">
        <v>16</v>
      </c>
      <c r="D70" s="82">
        <v>0.23</v>
      </c>
      <c r="E70" s="82">
        <f t="shared" ref="E70:N70" si="3">D70*(1+E75)</f>
        <v>0.23920000000000002</v>
      </c>
      <c r="F70" s="82">
        <f t="shared" si="3"/>
        <v>0.24876800000000004</v>
      </c>
      <c r="G70" s="82">
        <f t="shared" si="3"/>
        <v>0.25871872000000007</v>
      </c>
      <c r="H70" s="82">
        <f t="shared" si="3"/>
        <v>0.2690674688000001</v>
      </c>
      <c r="I70" s="82">
        <f t="shared" si="3"/>
        <v>0.27983016755200013</v>
      </c>
      <c r="J70" s="82">
        <f t="shared" si="3"/>
        <v>0.29102337425408015</v>
      </c>
      <c r="K70" s="82">
        <f t="shared" si="3"/>
        <v>0.30266430922424337</v>
      </c>
      <c r="L70" s="82">
        <f t="shared" si="3"/>
        <v>0.31477088159321309</v>
      </c>
      <c r="M70" s="82">
        <f t="shared" si="3"/>
        <v>0.32736171685694165</v>
      </c>
      <c r="N70" s="82">
        <f t="shared" si="3"/>
        <v>0.34045618553121931</v>
      </c>
    </row>
    <row r="71" spans="1:16383" ht="15" thickBot="1" x14ac:dyDescent="0.2">
      <c r="B71" s="3" t="s">
        <v>148</v>
      </c>
      <c r="C71" s="75" t="s">
        <v>16</v>
      </c>
      <c r="D71" s="82">
        <v>0.23</v>
      </c>
      <c r="E71" s="82">
        <v>0.23</v>
      </c>
      <c r="F71" s="82">
        <v>0.23</v>
      </c>
      <c r="G71" s="82">
        <v>0.23</v>
      </c>
      <c r="H71" s="82">
        <v>0.23</v>
      </c>
      <c r="I71" s="82">
        <v>0.23</v>
      </c>
      <c r="J71" s="82">
        <v>0.23</v>
      </c>
      <c r="K71" s="82">
        <v>0.23</v>
      </c>
      <c r="L71" s="82">
        <v>0.23</v>
      </c>
      <c r="M71" s="82">
        <v>0.23</v>
      </c>
      <c r="N71" s="82">
        <v>0.23</v>
      </c>
    </row>
    <row r="72" spans="1:16383" s="64" customFormat="1" ht="15" thickBot="1" x14ac:dyDescent="0.2">
      <c r="A72" s="65" t="s">
        <v>1</v>
      </c>
      <c r="B72" s="66"/>
      <c r="C72" s="67"/>
      <c r="D72" s="68"/>
      <c r="E72" s="68"/>
      <c r="F72" s="68"/>
      <c r="G72" s="68"/>
      <c r="H72" s="66"/>
      <c r="I72" s="68"/>
      <c r="J72" s="68"/>
      <c r="K72" s="68"/>
      <c r="L72" s="68"/>
      <c r="M72" s="66"/>
      <c r="N72" s="68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  <c r="AAA72" s="3"/>
      <c r="AAB72" s="3"/>
      <c r="AAC72" s="3"/>
      <c r="AAD72" s="3"/>
      <c r="AAE72" s="3"/>
      <c r="AAF72" s="3"/>
      <c r="AAG72" s="3"/>
      <c r="AAH72" s="3"/>
      <c r="AAI72" s="3"/>
      <c r="AAJ72" s="3"/>
      <c r="AAK72" s="3"/>
      <c r="AAL72" s="3"/>
      <c r="AAM72" s="3"/>
      <c r="AAN72" s="3"/>
      <c r="AAO72" s="3"/>
      <c r="AAP72" s="3"/>
      <c r="AAQ72" s="3"/>
      <c r="AAR72" s="3"/>
      <c r="AAS72" s="3"/>
      <c r="AAT72" s="3"/>
      <c r="AAU72" s="3"/>
      <c r="AAV72" s="3"/>
      <c r="AAW72" s="3"/>
      <c r="AAX72" s="3"/>
      <c r="AAY72" s="3"/>
      <c r="AAZ72" s="3"/>
      <c r="ABA72" s="3"/>
      <c r="ABB72" s="3"/>
      <c r="ABC72" s="3"/>
      <c r="ABD72" s="3"/>
      <c r="ABE72" s="3"/>
      <c r="ABF72" s="3"/>
      <c r="ABG72" s="3"/>
      <c r="ABH72" s="3"/>
      <c r="ABI72" s="3"/>
      <c r="ABJ72" s="3"/>
      <c r="ABK72" s="3"/>
      <c r="ABL72" s="3"/>
      <c r="ABM72" s="3"/>
      <c r="ABN72" s="3"/>
      <c r="ABO72" s="3"/>
      <c r="ABP72" s="3"/>
      <c r="ABQ72" s="3"/>
      <c r="ABR72" s="3"/>
      <c r="ABS72" s="3"/>
      <c r="ABT72" s="3"/>
      <c r="ABU72" s="3"/>
      <c r="ABV72" s="3"/>
      <c r="ABW72" s="3"/>
      <c r="ABX72" s="3"/>
      <c r="ABY72" s="3"/>
      <c r="ABZ72" s="3"/>
      <c r="ACA72" s="3"/>
      <c r="ACB72" s="3"/>
      <c r="ACC72" s="3"/>
      <c r="ACD72" s="3"/>
      <c r="ACE72" s="3"/>
      <c r="ACF72" s="3"/>
      <c r="ACG72" s="3"/>
      <c r="ACH72" s="3"/>
      <c r="ACI72" s="3"/>
      <c r="ACJ72" s="3"/>
      <c r="ACK72" s="3"/>
      <c r="ACL72" s="3"/>
      <c r="ACM72" s="3"/>
      <c r="ACN72" s="3"/>
      <c r="ACO72" s="3"/>
      <c r="ACP72" s="3"/>
      <c r="ACQ72" s="3"/>
      <c r="ACR72" s="3"/>
      <c r="ACS72" s="3"/>
      <c r="ACT72" s="3"/>
      <c r="ACU72" s="3"/>
      <c r="ACV72" s="3"/>
      <c r="ACW72" s="3"/>
      <c r="ACX72" s="3"/>
      <c r="ACY72" s="3"/>
      <c r="ACZ72" s="3"/>
      <c r="ADA72" s="3"/>
      <c r="ADB72" s="3"/>
      <c r="ADC72" s="3"/>
      <c r="ADD72" s="3"/>
      <c r="ADE72" s="3"/>
      <c r="ADF72" s="3"/>
      <c r="ADG72" s="3"/>
      <c r="ADH72" s="3"/>
      <c r="ADI72" s="3"/>
      <c r="ADJ72" s="3"/>
      <c r="ADK72" s="3"/>
      <c r="ADL72" s="3"/>
      <c r="ADM72" s="3"/>
      <c r="ADN72" s="3"/>
      <c r="ADO72" s="3"/>
      <c r="ADP72" s="3"/>
      <c r="ADQ72" s="3"/>
      <c r="ADR72" s="3"/>
      <c r="ADS72" s="3"/>
      <c r="ADT72" s="3"/>
      <c r="ADU72" s="3"/>
      <c r="ADV72" s="3"/>
      <c r="ADW72" s="3"/>
      <c r="ADX72" s="3"/>
      <c r="ADY72" s="3"/>
      <c r="ADZ72" s="3"/>
      <c r="AEA72" s="3"/>
      <c r="AEB72" s="3"/>
      <c r="AEC72" s="3"/>
      <c r="AED72" s="3"/>
      <c r="AEE72" s="3"/>
      <c r="AEF72" s="3"/>
      <c r="AEG72" s="3"/>
      <c r="AEH72" s="3"/>
      <c r="AEI72" s="3"/>
      <c r="AEJ72" s="3"/>
      <c r="AEK72" s="3"/>
      <c r="AEL72" s="3"/>
      <c r="AEM72" s="3"/>
      <c r="AEN72" s="3"/>
      <c r="AEO72" s="3"/>
      <c r="AEP72" s="3"/>
      <c r="AEQ72" s="3"/>
      <c r="AER72" s="3"/>
      <c r="AES72" s="3"/>
      <c r="AET72" s="3"/>
      <c r="AEU72" s="3"/>
      <c r="AEV72" s="3"/>
      <c r="AEW72" s="3"/>
      <c r="AEX72" s="3"/>
      <c r="AEY72" s="3"/>
      <c r="AEZ72" s="3"/>
      <c r="AFA72" s="3"/>
      <c r="AFB72" s="3"/>
      <c r="AFC72" s="3"/>
      <c r="AFD72" s="3"/>
      <c r="AFE72" s="3"/>
      <c r="AFF72" s="3"/>
      <c r="AFG72" s="3"/>
      <c r="AFH72" s="3"/>
      <c r="AFI72" s="3"/>
      <c r="AFJ72" s="3"/>
      <c r="AFK72" s="3"/>
      <c r="AFL72" s="3"/>
      <c r="AFM72" s="3"/>
      <c r="AFN72" s="3"/>
      <c r="AFO72" s="3"/>
      <c r="AFP72" s="3"/>
      <c r="AFQ72" s="3"/>
      <c r="AFR72" s="3"/>
      <c r="AFS72" s="3"/>
      <c r="AFT72" s="3"/>
      <c r="AFU72" s="3"/>
      <c r="AFV72" s="3"/>
      <c r="AFW72" s="3"/>
      <c r="AFX72" s="3"/>
      <c r="AFY72" s="3"/>
      <c r="AFZ72" s="3"/>
      <c r="AGA72" s="3"/>
      <c r="AGB72" s="3"/>
      <c r="AGC72" s="3"/>
      <c r="AGD72" s="3"/>
      <c r="AGE72" s="3"/>
      <c r="AGF72" s="3"/>
      <c r="AGG72" s="3"/>
      <c r="AGH72" s="3"/>
      <c r="AGI72" s="3"/>
      <c r="AGJ72" s="3"/>
      <c r="AGK72" s="3"/>
      <c r="AGL72" s="3"/>
      <c r="AGM72" s="3"/>
      <c r="AGN72" s="3"/>
      <c r="AGO72" s="3"/>
      <c r="AGP72" s="3"/>
      <c r="AGQ72" s="3"/>
      <c r="AGR72" s="3"/>
      <c r="AGS72" s="3"/>
      <c r="AGT72" s="3"/>
      <c r="AGU72" s="3"/>
      <c r="AGV72" s="3"/>
      <c r="AGW72" s="3"/>
      <c r="AGX72" s="3"/>
      <c r="AGY72" s="3"/>
      <c r="AGZ72" s="3"/>
      <c r="AHA72" s="3"/>
      <c r="AHB72" s="3"/>
      <c r="AHC72" s="3"/>
      <c r="AHD72" s="3"/>
      <c r="AHE72" s="3"/>
      <c r="AHF72" s="3"/>
      <c r="AHG72" s="3"/>
      <c r="AHH72" s="3"/>
      <c r="AHI72" s="3"/>
      <c r="AHJ72" s="3"/>
      <c r="AHK72" s="3"/>
      <c r="AHL72" s="3"/>
      <c r="AHM72" s="3"/>
      <c r="AHN72" s="3"/>
      <c r="AHO72" s="3"/>
      <c r="AHP72" s="3"/>
      <c r="AHQ72" s="3"/>
      <c r="AHR72" s="3"/>
      <c r="AHS72" s="3"/>
      <c r="AHT72" s="3"/>
      <c r="AHU72" s="3"/>
      <c r="AHV72" s="3"/>
      <c r="AHW72" s="3"/>
      <c r="AHX72" s="3"/>
      <c r="AHY72" s="3"/>
      <c r="AHZ72" s="3"/>
      <c r="AIA72" s="3"/>
      <c r="AIB72" s="3"/>
      <c r="AIC72" s="3"/>
      <c r="AID72" s="3"/>
      <c r="AIE72" s="3"/>
      <c r="AIF72" s="3"/>
      <c r="AIG72" s="3"/>
      <c r="AIH72" s="3"/>
      <c r="AII72" s="3"/>
      <c r="AIJ72" s="3"/>
      <c r="AIK72" s="3"/>
      <c r="AIL72" s="3"/>
      <c r="AIM72" s="3"/>
      <c r="AIN72" s="3"/>
      <c r="AIO72" s="3"/>
      <c r="AIP72" s="3"/>
      <c r="AIQ72" s="3"/>
      <c r="AIR72" s="3"/>
      <c r="AIS72" s="3"/>
      <c r="AIT72" s="3"/>
      <c r="AIU72" s="3"/>
      <c r="AIV72" s="3"/>
      <c r="AIW72" s="3"/>
      <c r="AIX72" s="3"/>
      <c r="AIY72" s="3"/>
      <c r="AIZ72" s="3"/>
      <c r="AJA72" s="3"/>
      <c r="AJB72" s="3"/>
      <c r="AJC72" s="3"/>
      <c r="AJD72" s="3"/>
      <c r="AJE72" s="3"/>
      <c r="AJF72" s="3"/>
      <c r="AJG72" s="3"/>
      <c r="AJH72" s="3"/>
      <c r="AJI72" s="3"/>
      <c r="AJJ72" s="3"/>
      <c r="AJK72" s="3"/>
      <c r="AJL72" s="3"/>
      <c r="AJM72" s="3"/>
      <c r="AJN72" s="3"/>
      <c r="AJO72" s="3"/>
      <c r="AJP72" s="3"/>
      <c r="AJQ72" s="3"/>
      <c r="AJR72" s="3"/>
      <c r="AJS72" s="3"/>
      <c r="AJT72" s="3"/>
      <c r="AJU72" s="3"/>
      <c r="AJV72" s="3"/>
      <c r="AJW72" s="3"/>
      <c r="AJX72" s="3"/>
      <c r="AJY72" s="3"/>
      <c r="AJZ72" s="3"/>
      <c r="AKA72" s="3"/>
      <c r="AKB72" s="3"/>
      <c r="AKC72" s="3"/>
      <c r="AKD72" s="3"/>
      <c r="AKE72" s="3"/>
      <c r="AKF72" s="3"/>
      <c r="AKG72" s="3"/>
      <c r="AKH72" s="3"/>
      <c r="AKI72" s="3"/>
      <c r="AKJ72" s="3"/>
      <c r="AKK72" s="3"/>
      <c r="AKL72" s="3"/>
      <c r="AKM72" s="3"/>
      <c r="AKN72" s="3"/>
      <c r="AKO72" s="3"/>
      <c r="AKP72" s="3"/>
      <c r="AKQ72" s="3"/>
      <c r="AKR72" s="3"/>
      <c r="AKS72" s="3"/>
      <c r="AKT72" s="3"/>
      <c r="AKU72" s="3"/>
      <c r="AKV72" s="3"/>
      <c r="AKW72" s="3"/>
      <c r="AKX72" s="3"/>
      <c r="AKY72" s="3"/>
      <c r="AKZ72" s="3"/>
      <c r="ALA72" s="3"/>
      <c r="ALB72" s="3"/>
      <c r="ALC72" s="3"/>
      <c r="ALD72" s="3"/>
      <c r="ALE72" s="3"/>
      <c r="ALF72" s="3"/>
      <c r="ALG72" s="3"/>
      <c r="ALH72" s="3"/>
      <c r="ALI72" s="3"/>
      <c r="ALJ72" s="3"/>
      <c r="ALK72" s="3"/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  <c r="AQB72" s="3"/>
      <c r="AQC72" s="3"/>
      <c r="AQD72" s="3"/>
      <c r="AQE72" s="3"/>
      <c r="AQF72" s="3"/>
      <c r="AQG72" s="3"/>
      <c r="AQH72" s="3"/>
      <c r="AQI72" s="3"/>
      <c r="AQJ72" s="3"/>
      <c r="AQK72" s="3"/>
      <c r="AQL72" s="3"/>
      <c r="AQM72" s="3"/>
      <c r="AQN72" s="3"/>
      <c r="AQO72" s="3"/>
      <c r="AQP72" s="3"/>
      <c r="AQQ72" s="3"/>
      <c r="AQR72" s="3"/>
      <c r="AQS72" s="3"/>
      <c r="AQT72" s="3"/>
      <c r="AQU72" s="3"/>
      <c r="AQV72" s="3"/>
      <c r="AQW72" s="3"/>
      <c r="AQX72" s="3"/>
      <c r="AQY72" s="3"/>
      <c r="AQZ72" s="3"/>
      <c r="ARA72" s="3"/>
      <c r="ARB72" s="3"/>
      <c r="ARC72" s="3"/>
      <c r="ARD72" s="3"/>
      <c r="ARE72" s="3"/>
      <c r="ARF72" s="3"/>
      <c r="ARG72" s="3"/>
      <c r="ARH72" s="3"/>
      <c r="ARI72" s="3"/>
      <c r="ARJ72" s="3"/>
      <c r="ARK72" s="3"/>
      <c r="ARL72" s="3"/>
      <c r="ARM72" s="3"/>
      <c r="ARN72" s="3"/>
      <c r="ARO72" s="3"/>
      <c r="ARP72" s="3"/>
      <c r="ARQ72" s="3"/>
      <c r="ARR72" s="3"/>
      <c r="ARS72" s="3"/>
      <c r="ART72" s="3"/>
      <c r="ARU72" s="3"/>
      <c r="ARV72" s="3"/>
      <c r="ARW72" s="3"/>
      <c r="ARX72" s="3"/>
      <c r="ARY72" s="3"/>
      <c r="ARZ72" s="3"/>
      <c r="ASA72" s="3"/>
      <c r="ASB72" s="3"/>
      <c r="ASC72" s="3"/>
      <c r="ASD72" s="3"/>
      <c r="ASE72" s="3"/>
      <c r="ASF72" s="3"/>
      <c r="ASG72" s="3"/>
      <c r="ASH72" s="3"/>
      <c r="ASI72" s="3"/>
      <c r="ASJ72" s="3"/>
      <c r="ASK72" s="3"/>
      <c r="ASL72" s="3"/>
      <c r="ASM72" s="3"/>
      <c r="ASN72" s="3"/>
      <c r="ASO72" s="3"/>
      <c r="ASP72" s="3"/>
      <c r="ASQ72" s="3"/>
      <c r="ASR72" s="3"/>
      <c r="ASS72" s="3"/>
      <c r="AST72" s="3"/>
      <c r="ASU72" s="3"/>
      <c r="ASV72" s="3"/>
      <c r="ASW72" s="3"/>
      <c r="ASX72" s="3"/>
      <c r="ASY72" s="3"/>
      <c r="ASZ72" s="3"/>
      <c r="ATA72" s="3"/>
      <c r="ATB72" s="3"/>
      <c r="ATC72" s="3"/>
      <c r="ATD72" s="3"/>
      <c r="ATE72" s="3"/>
      <c r="ATF72" s="3"/>
      <c r="ATG72" s="3"/>
      <c r="ATH72" s="3"/>
      <c r="ATI72" s="3"/>
      <c r="ATJ72" s="3"/>
      <c r="ATK72" s="3"/>
      <c r="ATL72" s="3"/>
      <c r="ATM72" s="3"/>
      <c r="ATN72" s="3"/>
      <c r="ATO72" s="3"/>
      <c r="ATP72" s="3"/>
      <c r="ATQ72" s="3"/>
      <c r="ATR72" s="3"/>
      <c r="ATS72" s="3"/>
      <c r="ATT72" s="3"/>
      <c r="ATU72" s="3"/>
      <c r="ATV72" s="3"/>
      <c r="ATW72" s="3"/>
      <c r="ATX72" s="3"/>
      <c r="ATY72" s="3"/>
      <c r="ATZ72" s="3"/>
      <c r="AUA72" s="3"/>
      <c r="AUB72" s="3"/>
      <c r="AUC72" s="3"/>
      <c r="AUD72" s="3"/>
      <c r="AUE72" s="3"/>
      <c r="AUF72" s="3"/>
      <c r="AUG72" s="3"/>
      <c r="AUH72" s="3"/>
      <c r="AUI72" s="3"/>
      <c r="AUJ72" s="3"/>
      <c r="AUK72" s="3"/>
      <c r="AUL72" s="3"/>
      <c r="AUM72" s="3"/>
      <c r="AUN72" s="3"/>
      <c r="AUO72" s="3"/>
      <c r="AUP72" s="3"/>
      <c r="AUQ72" s="3"/>
      <c r="AUR72" s="3"/>
      <c r="AUS72" s="3"/>
      <c r="AUT72" s="3"/>
      <c r="AUU72" s="3"/>
      <c r="AUV72" s="3"/>
      <c r="AUW72" s="3"/>
      <c r="AUX72" s="3"/>
      <c r="AUY72" s="3"/>
      <c r="AUZ72" s="3"/>
      <c r="AVA72" s="3"/>
      <c r="AVB72" s="3"/>
      <c r="AVC72" s="3"/>
      <c r="AVD72" s="3"/>
      <c r="AVE72" s="3"/>
      <c r="AVF72" s="3"/>
      <c r="AVG72" s="3"/>
      <c r="AVH72" s="3"/>
      <c r="AVI72" s="3"/>
      <c r="AVJ72" s="3"/>
      <c r="AVK72" s="3"/>
      <c r="AVL72" s="3"/>
      <c r="AVM72" s="3"/>
      <c r="AVN72" s="3"/>
      <c r="AVO72" s="3"/>
      <c r="AVP72" s="3"/>
      <c r="AVQ72" s="3"/>
      <c r="AVR72" s="3"/>
      <c r="AVS72" s="3"/>
      <c r="AVT72" s="3"/>
      <c r="AVU72" s="3"/>
      <c r="AVV72" s="3"/>
      <c r="AVW72" s="3"/>
      <c r="AVX72" s="3"/>
      <c r="AVY72" s="3"/>
      <c r="AVZ72" s="3"/>
      <c r="AWA72" s="3"/>
      <c r="AWB72" s="3"/>
      <c r="AWC72" s="3"/>
      <c r="AWD72" s="3"/>
      <c r="AWE72" s="3"/>
      <c r="AWF72" s="3"/>
      <c r="AWG72" s="3"/>
      <c r="AWH72" s="3"/>
      <c r="AWI72" s="3"/>
      <c r="AWJ72" s="3"/>
      <c r="AWK72" s="3"/>
      <c r="AWL72" s="3"/>
      <c r="AWM72" s="3"/>
      <c r="AWN72" s="3"/>
      <c r="AWO72" s="3"/>
      <c r="AWP72" s="3"/>
      <c r="AWQ72" s="3"/>
      <c r="AWR72" s="3"/>
      <c r="AWS72" s="3"/>
      <c r="AWT72" s="3"/>
      <c r="AWU72" s="3"/>
      <c r="AWV72" s="3"/>
      <c r="AWW72" s="3"/>
      <c r="AWX72" s="3"/>
      <c r="AWY72" s="3"/>
      <c r="AWZ72" s="3"/>
      <c r="AXA72" s="3"/>
      <c r="AXB72" s="3"/>
      <c r="AXC72" s="3"/>
      <c r="AXD72" s="3"/>
      <c r="AXE72" s="3"/>
      <c r="AXF72" s="3"/>
      <c r="AXG72" s="3"/>
      <c r="AXH72" s="3"/>
      <c r="AXI72" s="3"/>
      <c r="AXJ72" s="3"/>
      <c r="AXK72" s="3"/>
      <c r="AXL72" s="3"/>
      <c r="AXM72" s="3"/>
      <c r="AXN72" s="3"/>
      <c r="AXO72" s="3"/>
      <c r="AXP72" s="3"/>
      <c r="AXQ72" s="3"/>
      <c r="AXR72" s="3"/>
      <c r="AXS72" s="3"/>
      <c r="AXT72" s="3"/>
      <c r="AXU72" s="3"/>
      <c r="AXV72" s="3"/>
      <c r="AXW72" s="3"/>
      <c r="AXX72" s="3"/>
      <c r="AXY72" s="3"/>
      <c r="AXZ72" s="3"/>
      <c r="AYA72" s="3"/>
      <c r="AYB72" s="3"/>
      <c r="AYC72" s="3"/>
      <c r="AYD72" s="3"/>
      <c r="AYE72" s="3"/>
      <c r="AYF72" s="3"/>
      <c r="AYG72" s="3"/>
      <c r="AYH72" s="3"/>
      <c r="AYI72" s="3"/>
      <c r="AYJ72" s="3"/>
      <c r="AYK72" s="3"/>
      <c r="AYL72" s="3"/>
      <c r="AYM72" s="3"/>
      <c r="AYN72" s="3"/>
      <c r="AYO72" s="3"/>
      <c r="AYP72" s="3"/>
      <c r="AYQ72" s="3"/>
      <c r="AYR72" s="3"/>
      <c r="AYS72" s="3"/>
      <c r="AYT72" s="3"/>
      <c r="AYU72" s="3"/>
      <c r="AYV72" s="3"/>
      <c r="AYW72" s="3"/>
      <c r="AYX72" s="3"/>
      <c r="AYY72" s="3"/>
      <c r="AYZ72" s="3"/>
      <c r="AZA72" s="3"/>
      <c r="AZB72" s="3"/>
      <c r="AZC72" s="3"/>
      <c r="AZD72" s="3"/>
      <c r="AZE72" s="3"/>
      <c r="AZF72" s="3"/>
      <c r="AZG72" s="3"/>
      <c r="AZH72" s="3"/>
      <c r="AZI72" s="3"/>
      <c r="AZJ72" s="3"/>
      <c r="AZK72" s="3"/>
      <c r="AZL72" s="3"/>
      <c r="AZM72" s="3"/>
      <c r="AZN72" s="3"/>
      <c r="AZO72" s="3"/>
      <c r="AZP72" s="3"/>
      <c r="AZQ72" s="3"/>
      <c r="AZR72" s="3"/>
      <c r="AZS72" s="3"/>
      <c r="AZT72" s="3"/>
      <c r="AZU72" s="3"/>
      <c r="AZV72" s="3"/>
      <c r="AZW72" s="3"/>
      <c r="AZX72" s="3"/>
      <c r="AZY72" s="3"/>
      <c r="AZZ72" s="3"/>
      <c r="BAA72" s="3"/>
      <c r="BAB72" s="3"/>
      <c r="BAC72" s="3"/>
      <c r="BAD72" s="3"/>
      <c r="BAE72" s="3"/>
      <c r="BAF72" s="3"/>
      <c r="BAG72" s="3"/>
      <c r="BAH72" s="3"/>
      <c r="BAI72" s="3"/>
      <c r="BAJ72" s="3"/>
      <c r="BAK72" s="3"/>
      <c r="BAL72" s="3"/>
      <c r="BAM72" s="3"/>
      <c r="BAN72" s="3"/>
      <c r="BAO72" s="3"/>
      <c r="BAP72" s="3"/>
      <c r="BAQ72" s="3"/>
      <c r="BAR72" s="3"/>
      <c r="BAS72" s="3"/>
      <c r="BAT72" s="3"/>
      <c r="BAU72" s="3"/>
      <c r="BAV72" s="3"/>
      <c r="BAW72" s="3"/>
      <c r="BAX72" s="3"/>
      <c r="BAY72" s="3"/>
      <c r="BAZ72" s="3"/>
      <c r="BBA72" s="3"/>
      <c r="BBB72" s="3"/>
      <c r="BBC72" s="3"/>
      <c r="BBD72" s="3"/>
      <c r="BBE72" s="3"/>
      <c r="BBF72" s="3"/>
      <c r="BBG72" s="3"/>
      <c r="BBH72" s="3"/>
      <c r="BBI72" s="3"/>
      <c r="BBJ72" s="3"/>
      <c r="BBK72" s="3"/>
      <c r="BBL72" s="3"/>
      <c r="BBM72" s="3"/>
      <c r="BBN72" s="3"/>
      <c r="BBO72" s="3"/>
      <c r="BBP72" s="3"/>
      <c r="BBQ72" s="3"/>
      <c r="BBR72" s="3"/>
      <c r="BBS72" s="3"/>
      <c r="BBT72" s="3"/>
      <c r="BBU72" s="3"/>
      <c r="BBV72" s="3"/>
      <c r="BBW72" s="3"/>
      <c r="BBX72" s="3"/>
      <c r="BBY72" s="3"/>
      <c r="BBZ72" s="3"/>
      <c r="BCA72" s="3"/>
      <c r="BCB72" s="3"/>
      <c r="BCC72" s="3"/>
      <c r="BCD72" s="3"/>
      <c r="BCE72" s="3"/>
      <c r="BCF72" s="3"/>
      <c r="BCG72" s="3"/>
      <c r="BCH72" s="3"/>
      <c r="BCI72" s="3"/>
      <c r="BCJ72" s="3"/>
      <c r="BCK72" s="3"/>
      <c r="BCL72" s="3"/>
      <c r="BCM72" s="3"/>
      <c r="BCN72" s="3"/>
      <c r="BCO72" s="3"/>
      <c r="BCP72" s="3"/>
      <c r="BCQ72" s="3"/>
      <c r="BCR72" s="3"/>
      <c r="BCS72" s="3"/>
      <c r="BCT72" s="3"/>
      <c r="BCU72" s="3"/>
      <c r="BCV72" s="3"/>
      <c r="BCW72" s="3"/>
      <c r="BCX72" s="3"/>
      <c r="BCY72" s="3"/>
      <c r="BCZ72" s="3"/>
      <c r="BDA72" s="3"/>
      <c r="BDB72" s="3"/>
      <c r="BDC72" s="3"/>
      <c r="BDD72" s="3"/>
      <c r="BDE72" s="3"/>
      <c r="BDF72" s="3"/>
      <c r="BDG72" s="3"/>
      <c r="BDH72" s="3"/>
      <c r="BDI72" s="3"/>
      <c r="BDJ72" s="3"/>
      <c r="BDK72" s="3"/>
      <c r="BDL72" s="3"/>
      <c r="BDM72" s="3"/>
      <c r="BDN72" s="3"/>
      <c r="BDO72" s="3"/>
      <c r="BDP72" s="3"/>
      <c r="BDQ72" s="3"/>
      <c r="BDR72" s="3"/>
      <c r="BDS72" s="3"/>
      <c r="BDT72" s="3"/>
      <c r="BDU72" s="3"/>
      <c r="BDV72" s="3"/>
      <c r="BDW72" s="3"/>
      <c r="BDX72" s="3"/>
      <c r="BDY72" s="3"/>
      <c r="BDZ72" s="3"/>
      <c r="BEA72" s="3"/>
      <c r="BEB72" s="3"/>
      <c r="BEC72" s="3"/>
      <c r="BED72" s="3"/>
      <c r="BEE72" s="3"/>
      <c r="BEF72" s="3"/>
      <c r="BEG72" s="3"/>
      <c r="BEH72" s="3"/>
      <c r="BEI72" s="3"/>
      <c r="BEJ72" s="3"/>
      <c r="BEK72" s="3"/>
      <c r="BEL72" s="3"/>
      <c r="BEM72" s="3"/>
      <c r="BEN72" s="3"/>
      <c r="BEO72" s="3"/>
      <c r="BEP72" s="3"/>
      <c r="BEQ72" s="3"/>
      <c r="BER72" s="3"/>
      <c r="BES72" s="3"/>
      <c r="BET72" s="3"/>
      <c r="BEU72" s="3"/>
      <c r="BEV72" s="3"/>
      <c r="BEW72" s="3"/>
      <c r="BEX72" s="3"/>
      <c r="BEY72" s="3"/>
      <c r="BEZ72" s="3"/>
      <c r="BFA72" s="3"/>
      <c r="BFB72" s="3"/>
      <c r="BFC72" s="3"/>
      <c r="BFD72" s="3"/>
      <c r="BFE72" s="3"/>
      <c r="BFF72" s="3"/>
      <c r="BFG72" s="3"/>
      <c r="BFH72" s="3"/>
      <c r="BFI72" s="3"/>
      <c r="BFJ72" s="3"/>
      <c r="BFK72" s="3"/>
      <c r="BFL72" s="3"/>
      <c r="BFM72" s="3"/>
      <c r="BFN72" s="3"/>
      <c r="BFO72" s="3"/>
      <c r="BFP72" s="3"/>
      <c r="BFQ72" s="3"/>
      <c r="BFR72" s="3"/>
      <c r="BFS72" s="3"/>
      <c r="BFT72" s="3"/>
      <c r="BFU72" s="3"/>
      <c r="BFV72" s="3"/>
      <c r="BFW72" s="3"/>
      <c r="BFX72" s="3"/>
      <c r="BFY72" s="3"/>
      <c r="BFZ72" s="3"/>
      <c r="BGA72" s="3"/>
      <c r="BGB72" s="3"/>
      <c r="BGC72" s="3"/>
      <c r="BGD72" s="3"/>
      <c r="BGE72" s="3"/>
      <c r="BGF72" s="3"/>
      <c r="BGG72" s="3"/>
      <c r="BGH72" s="3"/>
      <c r="BGI72" s="3"/>
      <c r="BGJ72" s="3"/>
      <c r="BGK72" s="3"/>
      <c r="BGL72" s="3"/>
      <c r="BGM72" s="3"/>
      <c r="BGN72" s="3"/>
      <c r="BGO72" s="3"/>
      <c r="BGP72" s="3"/>
      <c r="BGQ72" s="3"/>
      <c r="BGR72" s="3"/>
      <c r="BGS72" s="3"/>
      <c r="BGT72" s="3"/>
      <c r="BGU72" s="3"/>
      <c r="BGV72" s="3"/>
      <c r="BGW72" s="3"/>
      <c r="BGX72" s="3"/>
      <c r="BGY72" s="3"/>
      <c r="BGZ72" s="3"/>
      <c r="BHA72" s="3"/>
      <c r="BHB72" s="3"/>
      <c r="BHC72" s="3"/>
      <c r="BHD72" s="3"/>
      <c r="BHE72" s="3"/>
      <c r="BHF72" s="3"/>
      <c r="BHG72" s="3"/>
      <c r="BHH72" s="3"/>
      <c r="BHI72" s="3"/>
      <c r="BHJ72" s="3"/>
      <c r="BHK72" s="3"/>
      <c r="BHL72" s="3"/>
      <c r="BHM72" s="3"/>
      <c r="BHN72" s="3"/>
      <c r="BHO72" s="3"/>
      <c r="BHP72" s="3"/>
      <c r="BHQ72" s="3"/>
      <c r="BHR72" s="3"/>
      <c r="BHS72" s="3"/>
      <c r="BHT72" s="3"/>
      <c r="BHU72" s="3"/>
      <c r="BHV72" s="3"/>
      <c r="BHW72" s="3"/>
      <c r="BHX72" s="3"/>
      <c r="BHY72" s="3"/>
      <c r="BHZ72" s="3"/>
      <c r="BIA72" s="3"/>
      <c r="BIB72" s="3"/>
      <c r="BIC72" s="3"/>
      <c r="BID72" s="3"/>
      <c r="BIE72" s="3"/>
      <c r="BIF72" s="3"/>
      <c r="BIG72" s="3"/>
      <c r="BIH72" s="3"/>
      <c r="BII72" s="3"/>
      <c r="BIJ72" s="3"/>
      <c r="BIK72" s="3"/>
      <c r="BIL72" s="3"/>
      <c r="BIM72" s="3"/>
      <c r="BIN72" s="3"/>
      <c r="BIO72" s="3"/>
      <c r="BIP72" s="3"/>
      <c r="BIQ72" s="3"/>
      <c r="BIR72" s="3"/>
      <c r="BIS72" s="3"/>
      <c r="BIT72" s="3"/>
      <c r="BIU72" s="3"/>
      <c r="BIV72" s="3"/>
      <c r="BIW72" s="3"/>
      <c r="BIX72" s="3"/>
      <c r="BIY72" s="3"/>
      <c r="BIZ72" s="3"/>
      <c r="BJA72" s="3"/>
      <c r="BJB72" s="3"/>
      <c r="BJC72" s="3"/>
      <c r="BJD72" s="3"/>
      <c r="BJE72" s="3"/>
      <c r="BJF72" s="3"/>
      <c r="BJG72" s="3"/>
      <c r="BJH72" s="3"/>
      <c r="BJI72" s="3"/>
      <c r="BJJ72" s="3"/>
      <c r="BJK72" s="3"/>
      <c r="BJL72" s="3"/>
      <c r="BJM72" s="3"/>
      <c r="BJN72" s="3"/>
      <c r="BJO72" s="3"/>
      <c r="BJP72" s="3"/>
      <c r="BJQ72" s="3"/>
      <c r="BJR72" s="3"/>
      <c r="BJS72" s="3"/>
      <c r="BJT72" s="3"/>
      <c r="BJU72" s="3"/>
      <c r="BJV72" s="3"/>
      <c r="BJW72" s="3"/>
      <c r="BJX72" s="3"/>
      <c r="BJY72" s="3"/>
      <c r="BJZ72" s="3"/>
      <c r="BKA72" s="3"/>
      <c r="BKB72" s="3"/>
      <c r="BKC72" s="3"/>
      <c r="BKD72" s="3"/>
      <c r="BKE72" s="3"/>
      <c r="BKF72" s="3"/>
      <c r="BKG72" s="3"/>
      <c r="BKH72" s="3"/>
      <c r="BKI72" s="3"/>
      <c r="BKJ72" s="3"/>
      <c r="BKK72" s="3"/>
      <c r="BKL72" s="3"/>
      <c r="BKM72" s="3"/>
      <c r="BKN72" s="3"/>
      <c r="BKO72" s="3"/>
      <c r="BKP72" s="3"/>
      <c r="BKQ72" s="3"/>
      <c r="BKR72" s="3"/>
      <c r="BKS72" s="3"/>
      <c r="BKT72" s="3"/>
      <c r="BKU72" s="3"/>
      <c r="BKV72" s="3"/>
      <c r="BKW72" s="3"/>
      <c r="BKX72" s="3"/>
      <c r="BKY72" s="3"/>
      <c r="BKZ72" s="3"/>
      <c r="BLA72" s="3"/>
      <c r="BLB72" s="3"/>
      <c r="BLC72" s="3"/>
      <c r="BLD72" s="3"/>
      <c r="BLE72" s="3"/>
      <c r="BLF72" s="3"/>
      <c r="BLG72" s="3"/>
      <c r="BLH72" s="3"/>
      <c r="BLI72" s="3"/>
      <c r="BLJ72" s="3"/>
      <c r="BLK72" s="3"/>
      <c r="BLL72" s="3"/>
      <c r="BLM72" s="3"/>
      <c r="BLN72" s="3"/>
      <c r="BLO72" s="3"/>
      <c r="BLP72" s="3"/>
      <c r="BLQ72" s="3"/>
      <c r="BLR72" s="3"/>
      <c r="BLS72" s="3"/>
      <c r="BLT72" s="3"/>
      <c r="BLU72" s="3"/>
      <c r="BLV72" s="3"/>
      <c r="BLW72" s="3"/>
      <c r="BLX72" s="3"/>
      <c r="BLY72" s="3"/>
      <c r="BLZ72" s="3"/>
      <c r="BMA72" s="3"/>
      <c r="BMB72" s="3"/>
      <c r="BMC72" s="3"/>
      <c r="BMD72" s="3"/>
      <c r="BME72" s="3"/>
      <c r="BMF72" s="3"/>
      <c r="BMG72" s="3"/>
      <c r="BMH72" s="3"/>
      <c r="BMI72" s="3"/>
      <c r="BMJ72" s="3"/>
      <c r="BMK72" s="3"/>
      <c r="BML72" s="3"/>
      <c r="BMM72" s="3"/>
      <c r="BMN72" s="3"/>
      <c r="BMO72" s="3"/>
      <c r="BMP72" s="3"/>
      <c r="BMQ72" s="3"/>
      <c r="BMR72" s="3"/>
      <c r="BMS72" s="3"/>
      <c r="BMT72" s="3"/>
      <c r="BMU72" s="3"/>
      <c r="BMV72" s="3"/>
      <c r="BMW72" s="3"/>
      <c r="BMX72" s="3"/>
      <c r="BMY72" s="3"/>
      <c r="BMZ72" s="3"/>
      <c r="BNA72" s="3"/>
      <c r="BNB72" s="3"/>
      <c r="BNC72" s="3"/>
      <c r="BND72" s="3"/>
      <c r="BNE72" s="3"/>
      <c r="BNF72" s="3"/>
      <c r="BNG72" s="3"/>
      <c r="BNH72" s="3"/>
      <c r="BNI72" s="3"/>
      <c r="BNJ72" s="3"/>
      <c r="BNK72" s="3"/>
      <c r="BNL72" s="3"/>
      <c r="BNM72" s="3"/>
      <c r="BNN72" s="3"/>
      <c r="BNO72" s="3"/>
      <c r="BNP72" s="3"/>
      <c r="BNQ72" s="3"/>
      <c r="BNR72" s="3"/>
      <c r="BNS72" s="3"/>
      <c r="BNT72" s="3"/>
      <c r="BNU72" s="3"/>
      <c r="BNV72" s="3"/>
      <c r="BNW72" s="3"/>
      <c r="BNX72" s="3"/>
      <c r="BNY72" s="3"/>
      <c r="BNZ72" s="3"/>
      <c r="BOA72" s="3"/>
      <c r="BOB72" s="3"/>
      <c r="BOC72" s="3"/>
      <c r="BOD72" s="3"/>
      <c r="BOE72" s="3"/>
      <c r="BOF72" s="3"/>
      <c r="BOG72" s="3"/>
      <c r="BOH72" s="3"/>
      <c r="BOI72" s="3"/>
      <c r="BOJ72" s="3"/>
      <c r="BOK72" s="3"/>
      <c r="BOL72" s="3"/>
      <c r="BOM72" s="3"/>
      <c r="BON72" s="3"/>
      <c r="BOO72" s="3"/>
      <c r="BOP72" s="3"/>
      <c r="BOQ72" s="3"/>
      <c r="BOR72" s="3"/>
      <c r="BOS72" s="3"/>
      <c r="BOT72" s="3"/>
      <c r="BOU72" s="3"/>
      <c r="BOV72" s="3"/>
      <c r="BOW72" s="3"/>
      <c r="BOX72" s="3"/>
      <c r="BOY72" s="3"/>
      <c r="BOZ72" s="3"/>
      <c r="BPA72" s="3"/>
      <c r="BPB72" s="3"/>
      <c r="BPC72" s="3"/>
      <c r="BPD72" s="3"/>
      <c r="BPE72" s="3"/>
      <c r="BPF72" s="3"/>
      <c r="BPG72" s="3"/>
      <c r="BPH72" s="3"/>
      <c r="BPI72" s="3"/>
      <c r="BPJ72" s="3"/>
      <c r="BPK72" s="3"/>
      <c r="BPL72" s="3"/>
      <c r="BPM72" s="3"/>
      <c r="BPN72" s="3"/>
      <c r="BPO72" s="3"/>
      <c r="BPP72" s="3"/>
      <c r="BPQ72" s="3"/>
      <c r="BPR72" s="3"/>
      <c r="BPS72" s="3"/>
      <c r="BPT72" s="3"/>
      <c r="BPU72" s="3"/>
      <c r="BPV72" s="3"/>
      <c r="BPW72" s="3"/>
      <c r="BPX72" s="3"/>
      <c r="BPY72" s="3"/>
      <c r="BPZ72" s="3"/>
      <c r="BQA72" s="3"/>
      <c r="BQB72" s="3"/>
      <c r="BQC72" s="3"/>
      <c r="BQD72" s="3"/>
      <c r="BQE72" s="3"/>
      <c r="BQF72" s="3"/>
      <c r="BQG72" s="3"/>
      <c r="BQH72" s="3"/>
      <c r="BQI72" s="3"/>
      <c r="BQJ72" s="3"/>
      <c r="BQK72" s="3"/>
      <c r="BQL72" s="3"/>
      <c r="BQM72" s="3"/>
      <c r="BQN72" s="3"/>
      <c r="BQO72" s="3"/>
      <c r="BQP72" s="3"/>
      <c r="BQQ72" s="3"/>
      <c r="BQR72" s="3"/>
      <c r="BQS72" s="3"/>
      <c r="BQT72" s="3"/>
      <c r="BQU72" s="3"/>
      <c r="BQV72" s="3"/>
      <c r="BQW72" s="3"/>
      <c r="BQX72" s="3"/>
      <c r="BQY72" s="3"/>
      <c r="BQZ72" s="3"/>
      <c r="BRA72" s="3"/>
      <c r="BRB72" s="3"/>
      <c r="BRC72" s="3"/>
      <c r="BRD72" s="3"/>
      <c r="BRE72" s="3"/>
      <c r="BRF72" s="3"/>
      <c r="BRG72" s="3"/>
      <c r="BRH72" s="3"/>
      <c r="BRI72" s="3"/>
      <c r="BRJ72" s="3"/>
      <c r="BRK72" s="3"/>
      <c r="BRL72" s="3"/>
      <c r="BRM72" s="3"/>
      <c r="BRN72" s="3"/>
      <c r="BRO72" s="3"/>
      <c r="BRP72" s="3"/>
      <c r="BRQ72" s="3"/>
      <c r="BRR72" s="3"/>
      <c r="BRS72" s="3"/>
      <c r="BRT72" s="3"/>
      <c r="BRU72" s="3"/>
      <c r="BRV72" s="3"/>
      <c r="BRW72" s="3"/>
      <c r="BRX72" s="3"/>
      <c r="BRY72" s="3"/>
      <c r="BRZ72" s="3"/>
      <c r="BSA72" s="3"/>
      <c r="BSB72" s="3"/>
      <c r="BSC72" s="3"/>
      <c r="BSD72" s="3"/>
      <c r="BSE72" s="3"/>
      <c r="BSF72" s="3"/>
      <c r="BSG72" s="3"/>
      <c r="BSH72" s="3"/>
      <c r="BSI72" s="3"/>
      <c r="BSJ72" s="3"/>
      <c r="BSK72" s="3"/>
      <c r="BSL72" s="3"/>
      <c r="BSM72" s="3"/>
      <c r="BSN72" s="3"/>
      <c r="BSO72" s="3"/>
      <c r="BSP72" s="3"/>
      <c r="BSQ72" s="3"/>
      <c r="BSR72" s="3"/>
      <c r="BSS72" s="3"/>
      <c r="BST72" s="3"/>
      <c r="BSU72" s="3"/>
      <c r="BSV72" s="3"/>
      <c r="BSW72" s="3"/>
      <c r="BSX72" s="3"/>
      <c r="BSY72" s="3"/>
      <c r="BSZ72" s="3"/>
      <c r="BTA72" s="3"/>
      <c r="BTB72" s="3"/>
      <c r="BTC72" s="3"/>
      <c r="BTD72" s="3"/>
      <c r="BTE72" s="3"/>
      <c r="BTF72" s="3"/>
      <c r="BTG72" s="3"/>
      <c r="BTH72" s="3"/>
      <c r="BTI72" s="3"/>
      <c r="BTJ72" s="3"/>
      <c r="BTK72" s="3"/>
      <c r="BTL72" s="3"/>
      <c r="BTM72" s="3"/>
      <c r="BTN72" s="3"/>
      <c r="BTO72" s="3"/>
      <c r="BTP72" s="3"/>
      <c r="BTQ72" s="3"/>
      <c r="BTR72" s="3"/>
      <c r="BTS72" s="3"/>
      <c r="BTT72" s="3"/>
      <c r="BTU72" s="3"/>
      <c r="BTV72" s="3"/>
      <c r="BTW72" s="3"/>
      <c r="BTX72" s="3"/>
      <c r="BTY72" s="3"/>
      <c r="BTZ72" s="3"/>
      <c r="BUA72" s="3"/>
      <c r="BUB72" s="3"/>
      <c r="BUC72" s="3"/>
      <c r="BUD72" s="3"/>
      <c r="BUE72" s="3"/>
      <c r="BUF72" s="3"/>
      <c r="BUG72" s="3"/>
      <c r="BUH72" s="3"/>
      <c r="BUI72" s="3"/>
      <c r="BUJ72" s="3"/>
      <c r="BUK72" s="3"/>
      <c r="BUL72" s="3"/>
      <c r="BUM72" s="3"/>
      <c r="BUN72" s="3"/>
      <c r="BUO72" s="3"/>
      <c r="BUP72" s="3"/>
      <c r="BUQ72" s="3"/>
      <c r="BUR72" s="3"/>
      <c r="BUS72" s="3"/>
      <c r="BUT72" s="3"/>
      <c r="BUU72" s="3"/>
      <c r="BUV72" s="3"/>
      <c r="BUW72" s="3"/>
      <c r="BUX72" s="3"/>
      <c r="BUY72" s="3"/>
      <c r="BUZ72" s="3"/>
      <c r="BVA72" s="3"/>
      <c r="BVB72" s="3"/>
      <c r="BVC72" s="3"/>
      <c r="BVD72" s="3"/>
      <c r="BVE72" s="3"/>
      <c r="BVF72" s="3"/>
      <c r="BVG72" s="3"/>
      <c r="BVH72" s="3"/>
      <c r="BVI72" s="3"/>
      <c r="BVJ72" s="3"/>
      <c r="BVK72" s="3"/>
      <c r="BVL72" s="3"/>
      <c r="BVM72" s="3"/>
      <c r="BVN72" s="3"/>
      <c r="BVO72" s="3"/>
      <c r="BVP72" s="3"/>
      <c r="BVQ72" s="3"/>
      <c r="BVR72" s="3"/>
      <c r="BVS72" s="3"/>
      <c r="BVT72" s="3"/>
      <c r="BVU72" s="3"/>
      <c r="BVV72" s="3"/>
      <c r="BVW72" s="3"/>
      <c r="BVX72" s="3"/>
      <c r="BVY72" s="3"/>
      <c r="BVZ72" s="3"/>
      <c r="BWA72" s="3"/>
      <c r="BWB72" s="3"/>
      <c r="BWC72" s="3"/>
      <c r="BWD72" s="3"/>
      <c r="BWE72" s="3"/>
      <c r="BWF72" s="3"/>
      <c r="BWG72" s="3"/>
      <c r="BWH72" s="3"/>
      <c r="BWI72" s="3"/>
      <c r="BWJ72" s="3"/>
      <c r="BWK72" s="3"/>
      <c r="BWL72" s="3"/>
      <c r="BWM72" s="3"/>
      <c r="BWN72" s="3"/>
      <c r="BWO72" s="3"/>
      <c r="BWP72" s="3"/>
      <c r="BWQ72" s="3"/>
      <c r="BWR72" s="3"/>
      <c r="BWS72" s="3"/>
      <c r="BWT72" s="3"/>
      <c r="BWU72" s="3"/>
      <c r="BWV72" s="3"/>
      <c r="BWW72" s="3"/>
      <c r="BWX72" s="3"/>
      <c r="BWY72" s="3"/>
      <c r="BWZ72" s="3"/>
      <c r="BXA72" s="3"/>
      <c r="BXB72" s="3"/>
      <c r="BXC72" s="3"/>
      <c r="BXD72" s="3"/>
      <c r="BXE72" s="3"/>
      <c r="BXF72" s="3"/>
      <c r="BXG72" s="3"/>
      <c r="BXH72" s="3"/>
      <c r="BXI72" s="3"/>
      <c r="BXJ72" s="3"/>
      <c r="BXK72" s="3"/>
      <c r="BXL72" s="3"/>
      <c r="BXM72" s="3"/>
      <c r="BXN72" s="3"/>
      <c r="BXO72" s="3"/>
      <c r="BXP72" s="3"/>
      <c r="BXQ72" s="3"/>
      <c r="BXR72" s="3"/>
      <c r="BXS72" s="3"/>
      <c r="BXT72" s="3"/>
      <c r="BXU72" s="3"/>
      <c r="BXV72" s="3"/>
      <c r="BXW72" s="3"/>
      <c r="BXX72" s="3"/>
      <c r="BXY72" s="3"/>
      <c r="BXZ72" s="3"/>
      <c r="BYA72" s="3"/>
      <c r="BYB72" s="3"/>
      <c r="BYC72" s="3"/>
      <c r="BYD72" s="3"/>
      <c r="BYE72" s="3"/>
      <c r="BYF72" s="3"/>
      <c r="BYG72" s="3"/>
      <c r="BYH72" s="3"/>
      <c r="BYI72" s="3"/>
      <c r="BYJ72" s="3"/>
      <c r="BYK72" s="3"/>
      <c r="BYL72" s="3"/>
      <c r="BYM72" s="3"/>
      <c r="BYN72" s="3"/>
      <c r="BYO72" s="3"/>
      <c r="BYP72" s="3"/>
      <c r="BYQ72" s="3"/>
      <c r="BYR72" s="3"/>
      <c r="BYS72" s="3"/>
      <c r="BYT72" s="3"/>
      <c r="BYU72" s="3"/>
      <c r="BYV72" s="3"/>
      <c r="BYW72" s="3"/>
      <c r="BYX72" s="3"/>
      <c r="BYY72" s="3"/>
      <c r="BYZ72" s="3"/>
      <c r="BZA72" s="3"/>
      <c r="BZB72" s="3"/>
      <c r="BZC72" s="3"/>
      <c r="BZD72" s="3"/>
      <c r="BZE72" s="3"/>
      <c r="BZF72" s="3"/>
      <c r="BZG72" s="3"/>
      <c r="BZH72" s="3"/>
      <c r="BZI72" s="3"/>
      <c r="BZJ72" s="3"/>
      <c r="BZK72" s="3"/>
      <c r="BZL72" s="3"/>
      <c r="BZM72" s="3"/>
      <c r="BZN72" s="3"/>
      <c r="BZO72" s="3"/>
      <c r="BZP72" s="3"/>
      <c r="BZQ72" s="3"/>
      <c r="BZR72" s="3"/>
      <c r="BZS72" s="3"/>
      <c r="BZT72" s="3"/>
      <c r="BZU72" s="3"/>
      <c r="BZV72" s="3"/>
      <c r="BZW72" s="3"/>
      <c r="BZX72" s="3"/>
      <c r="BZY72" s="3"/>
      <c r="BZZ72" s="3"/>
      <c r="CAA72" s="3"/>
      <c r="CAB72" s="3"/>
      <c r="CAC72" s="3"/>
      <c r="CAD72" s="3"/>
      <c r="CAE72" s="3"/>
      <c r="CAF72" s="3"/>
      <c r="CAG72" s="3"/>
      <c r="CAH72" s="3"/>
      <c r="CAI72" s="3"/>
      <c r="CAJ72" s="3"/>
      <c r="CAK72" s="3"/>
      <c r="CAL72" s="3"/>
      <c r="CAM72" s="3"/>
      <c r="CAN72" s="3"/>
      <c r="CAO72" s="3"/>
      <c r="CAP72" s="3"/>
      <c r="CAQ72" s="3"/>
      <c r="CAR72" s="3"/>
      <c r="CAS72" s="3"/>
      <c r="CAT72" s="3"/>
      <c r="CAU72" s="3"/>
      <c r="CAV72" s="3"/>
      <c r="CAW72" s="3"/>
      <c r="CAX72" s="3"/>
      <c r="CAY72" s="3"/>
      <c r="CAZ72" s="3"/>
      <c r="CBA72" s="3"/>
      <c r="CBB72" s="3"/>
      <c r="CBC72" s="3"/>
      <c r="CBD72" s="3"/>
      <c r="CBE72" s="3"/>
      <c r="CBF72" s="3"/>
      <c r="CBG72" s="3"/>
      <c r="CBH72" s="3"/>
      <c r="CBI72" s="3"/>
      <c r="CBJ72" s="3"/>
      <c r="CBK72" s="3"/>
      <c r="CBL72" s="3"/>
      <c r="CBM72" s="3"/>
      <c r="CBN72" s="3"/>
      <c r="CBO72" s="3"/>
      <c r="CBP72" s="3"/>
      <c r="CBQ72" s="3"/>
      <c r="CBR72" s="3"/>
      <c r="CBS72" s="3"/>
      <c r="CBT72" s="3"/>
      <c r="CBU72" s="3"/>
      <c r="CBV72" s="3"/>
      <c r="CBW72" s="3"/>
      <c r="CBX72" s="3"/>
      <c r="CBY72" s="3"/>
      <c r="CBZ72" s="3"/>
      <c r="CCA72" s="3"/>
      <c r="CCB72" s="3"/>
      <c r="CCC72" s="3"/>
      <c r="CCD72" s="3"/>
      <c r="CCE72" s="3"/>
      <c r="CCF72" s="3"/>
      <c r="CCG72" s="3"/>
      <c r="CCH72" s="3"/>
      <c r="CCI72" s="3"/>
      <c r="CCJ72" s="3"/>
      <c r="CCK72" s="3"/>
      <c r="CCL72" s="3"/>
      <c r="CCM72" s="3"/>
      <c r="CCN72" s="3"/>
      <c r="CCO72" s="3"/>
      <c r="CCP72" s="3"/>
      <c r="CCQ72" s="3"/>
      <c r="CCR72" s="3"/>
      <c r="CCS72" s="3"/>
      <c r="CCT72" s="3"/>
      <c r="CCU72" s="3"/>
      <c r="CCV72" s="3"/>
      <c r="CCW72" s="3"/>
      <c r="CCX72" s="3"/>
      <c r="CCY72" s="3"/>
      <c r="CCZ72" s="3"/>
      <c r="CDA72" s="3"/>
      <c r="CDB72" s="3"/>
      <c r="CDC72" s="3"/>
      <c r="CDD72" s="3"/>
      <c r="CDE72" s="3"/>
      <c r="CDF72" s="3"/>
      <c r="CDG72" s="3"/>
      <c r="CDH72" s="3"/>
      <c r="CDI72" s="3"/>
      <c r="CDJ72" s="3"/>
      <c r="CDK72" s="3"/>
      <c r="CDL72" s="3"/>
      <c r="CDM72" s="3"/>
      <c r="CDN72" s="3"/>
      <c r="CDO72" s="3"/>
      <c r="CDP72" s="3"/>
      <c r="CDQ72" s="3"/>
      <c r="CDR72" s="3"/>
      <c r="CDS72" s="3"/>
      <c r="CDT72" s="3"/>
      <c r="CDU72" s="3"/>
      <c r="CDV72" s="3"/>
      <c r="CDW72" s="3"/>
      <c r="CDX72" s="3"/>
      <c r="CDY72" s="3"/>
      <c r="CDZ72" s="3"/>
      <c r="CEA72" s="3"/>
      <c r="CEB72" s="3"/>
      <c r="CEC72" s="3"/>
      <c r="CED72" s="3"/>
      <c r="CEE72" s="3"/>
      <c r="CEF72" s="3"/>
      <c r="CEG72" s="3"/>
      <c r="CEH72" s="3"/>
      <c r="CEI72" s="3"/>
      <c r="CEJ72" s="3"/>
      <c r="CEK72" s="3"/>
      <c r="CEL72" s="3"/>
      <c r="CEM72" s="3"/>
      <c r="CEN72" s="3"/>
      <c r="CEO72" s="3"/>
      <c r="CEP72" s="3"/>
      <c r="CEQ72" s="3"/>
      <c r="CER72" s="3"/>
      <c r="CES72" s="3"/>
      <c r="CET72" s="3"/>
      <c r="CEU72" s="3"/>
      <c r="CEV72" s="3"/>
      <c r="CEW72" s="3"/>
      <c r="CEX72" s="3"/>
      <c r="CEY72" s="3"/>
      <c r="CEZ72" s="3"/>
      <c r="CFA72" s="3"/>
      <c r="CFB72" s="3"/>
      <c r="CFC72" s="3"/>
      <c r="CFD72" s="3"/>
      <c r="CFE72" s="3"/>
      <c r="CFF72" s="3"/>
      <c r="CFG72" s="3"/>
      <c r="CFH72" s="3"/>
      <c r="CFI72" s="3"/>
      <c r="CFJ72" s="3"/>
      <c r="CFK72" s="3"/>
      <c r="CFL72" s="3"/>
      <c r="CFM72" s="3"/>
      <c r="CFN72" s="3"/>
      <c r="CFO72" s="3"/>
      <c r="CFP72" s="3"/>
      <c r="CFQ72" s="3"/>
      <c r="CFR72" s="3"/>
      <c r="CFS72" s="3"/>
      <c r="CFT72" s="3"/>
      <c r="CFU72" s="3"/>
      <c r="CFV72" s="3"/>
      <c r="CFW72" s="3"/>
      <c r="CFX72" s="3"/>
      <c r="CFY72" s="3"/>
      <c r="CFZ72" s="3"/>
      <c r="CGA72" s="3"/>
      <c r="CGB72" s="3"/>
      <c r="CGC72" s="3"/>
      <c r="CGD72" s="3"/>
      <c r="CGE72" s="3"/>
      <c r="CGF72" s="3"/>
      <c r="CGG72" s="3"/>
      <c r="CGH72" s="3"/>
      <c r="CGI72" s="3"/>
      <c r="CGJ72" s="3"/>
      <c r="CGK72" s="3"/>
      <c r="CGL72" s="3"/>
      <c r="CGM72" s="3"/>
      <c r="CGN72" s="3"/>
      <c r="CGO72" s="3"/>
      <c r="CGP72" s="3"/>
      <c r="CGQ72" s="3"/>
      <c r="CGR72" s="3"/>
      <c r="CGS72" s="3"/>
      <c r="CGT72" s="3"/>
      <c r="CGU72" s="3"/>
      <c r="CGV72" s="3"/>
      <c r="CGW72" s="3"/>
      <c r="CGX72" s="3"/>
      <c r="CGY72" s="3"/>
      <c r="CGZ72" s="3"/>
      <c r="CHA72" s="3"/>
      <c r="CHB72" s="3"/>
      <c r="CHC72" s="3"/>
      <c r="CHD72" s="3"/>
      <c r="CHE72" s="3"/>
      <c r="CHF72" s="3"/>
      <c r="CHG72" s="3"/>
      <c r="CHH72" s="3"/>
      <c r="CHI72" s="3"/>
      <c r="CHJ72" s="3"/>
      <c r="CHK72" s="3"/>
      <c r="CHL72" s="3"/>
      <c r="CHM72" s="3"/>
      <c r="CHN72" s="3"/>
      <c r="CHO72" s="3"/>
      <c r="CHP72" s="3"/>
      <c r="CHQ72" s="3"/>
      <c r="CHR72" s="3"/>
      <c r="CHS72" s="3"/>
      <c r="CHT72" s="3"/>
      <c r="CHU72" s="3"/>
      <c r="CHV72" s="3"/>
      <c r="CHW72" s="3"/>
      <c r="CHX72" s="3"/>
      <c r="CHY72" s="3"/>
      <c r="CHZ72" s="3"/>
      <c r="CIA72" s="3"/>
      <c r="CIB72" s="3"/>
      <c r="CIC72" s="3"/>
      <c r="CID72" s="3"/>
      <c r="CIE72" s="3"/>
      <c r="CIF72" s="3"/>
      <c r="CIG72" s="3"/>
      <c r="CIH72" s="3"/>
      <c r="CII72" s="3"/>
      <c r="CIJ72" s="3"/>
      <c r="CIK72" s="3"/>
      <c r="CIL72" s="3"/>
      <c r="CIM72" s="3"/>
      <c r="CIN72" s="3"/>
      <c r="CIO72" s="3"/>
      <c r="CIP72" s="3"/>
      <c r="CIQ72" s="3"/>
      <c r="CIR72" s="3"/>
      <c r="CIS72" s="3"/>
      <c r="CIT72" s="3"/>
      <c r="CIU72" s="3"/>
      <c r="CIV72" s="3"/>
      <c r="CIW72" s="3"/>
      <c r="CIX72" s="3"/>
      <c r="CIY72" s="3"/>
      <c r="CIZ72" s="3"/>
      <c r="CJA72" s="3"/>
      <c r="CJB72" s="3"/>
      <c r="CJC72" s="3"/>
      <c r="CJD72" s="3"/>
      <c r="CJE72" s="3"/>
      <c r="CJF72" s="3"/>
      <c r="CJG72" s="3"/>
      <c r="CJH72" s="3"/>
      <c r="CJI72" s="3"/>
      <c r="CJJ72" s="3"/>
      <c r="CJK72" s="3"/>
      <c r="CJL72" s="3"/>
      <c r="CJM72" s="3"/>
      <c r="CJN72" s="3"/>
      <c r="CJO72" s="3"/>
      <c r="CJP72" s="3"/>
      <c r="CJQ72" s="3"/>
      <c r="CJR72" s="3"/>
      <c r="CJS72" s="3"/>
      <c r="CJT72" s="3"/>
      <c r="CJU72" s="3"/>
      <c r="CJV72" s="3"/>
      <c r="CJW72" s="3"/>
      <c r="CJX72" s="3"/>
      <c r="CJY72" s="3"/>
      <c r="CJZ72" s="3"/>
      <c r="CKA72" s="3"/>
      <c r="CKB72" s="3"/>
      <c r="CKC72" s="3"/>
      <c r="CKD72" s="3"/>
      <c r="CKE72" s="3"/>
      <c r="CKF72" s="3"/>
      <c r="CKG72" s="3"/>
      <c r="CKH72" s="3"/>
      <c r="CKI72" s="3"/>
      <c r="CKJ72" s="3"/>
      <c r="CKK72" s="3"/>
      <c r="CKL72" s="3"/>
      <c r="CKM72" s="3"/>
      <c r="CKN72" s="3"/>
      <c r="CKO72" s="3"/>
      <c r="CKP72" s="3"/>
      <c r="CKQ72" s="3"/>
      <c r="CKR72" s="3"/>
      <c r="CKS72" s="3"/>
      <c r="CKT72" s="3"/>
      <c r="CKU72" s="3"/>
      <c r="CKV72" s="3"/>
      <c r="CKW72" s="3"/>
      <c r="CKX72" s="3"/>
      <c r="CKY72" s="3"/>
      <c r="CKZ72" s="3"/>
      <c r="CLA72" s="3"/>
      <c r="CLB72" s="3"/>
      <c r="CLC72" s="3"/>
      <c r="CLD72" s="3"/>
      <c r="CLE72" s="3"/>
      <c r="CLF72" s="3"/>
      <c r="CLG72" s="3"/>
      <c r="CLH72" s="3"/>
      <c r="CLI72" s="3"/>
      <c r="CLJ72" s="3"/>
      <c r="CLK72" s="3"/>
      <c r="CLL72" s="3"/>
      <c r="CLM72" s="3"/>
      <c r="CLN72" s="3"/>
      <c r="CLO72" s="3"/>
      <c r="CLP72" s="3"/>
      <c r="CLQ72" s="3"/>
      <c r="CLR72" s="3"/>
      <c r="CLS72" s="3"/>
      <c r="CLT72" s="3"/>
      <c r="CLU72" s="3"/>
      <c r="CLV72" s="3"/>
      <c r="CLW72" s="3"/>
      <c r="CLX72" s="3"/>
      <c r="CLY72" s="3"/>
      <c r="CLZ72" s="3"/>
      <c r="CMA72" s="3"/>
      <c r="CMB72" s="3"/>
      <c r="CMC72" s="3"/>
      <c r="CMD72" s="3"/>
      <c r="CME72" s="3"/>
      <c r="CMF72" s="3"/>
      <c r="CMG72" s="3"/>
      <c r="CMH72" s="3"/>
      <c r="CMI72" s="3"/>
      <c r="CMJ72" s="3"/>
      <c r="CMK72" s="3"/>
      <c r="CML72" s="3"/>
      <c r="CMM72" s="3"/>
      <c r="CMN72" s="3"/>
      <c r="CMO72" s="3"/>
      <c r="CMP72" s="3"/>
      <c r="CMQ72" s="3"/>
      <c r="CMR72" s="3"/>
      <c r="CMS72" s="3"/>
      <c r="CMT72" s="3"/>
      <c r="CMU72" s="3"/>
      <c r="CMV72" s="3"/>
      <c r="CMW72" s="3"/>
      <c r="CMX72" s="3"/>
      <c r="CMY72" s="3"/>
      <c r="CMZ72" s="3"/>
      <c r="CNA72" s="3"/>
      <c r="CNB72" s="3"/>
      <c r="CNC72" s="3"/>
      <c r="CND72" s="3"/>
      <c r="CNE72" s="3"/>
      <c r="CNF72" s="3"/>
      <c r="CNG72" s="3"/>
      <c r="CNH72" s="3"/>
      <c r="CNI72" s="3"/>
      <c r="CNJ72" s="3"/>
      <c r="CNK72" s="3"/>
      <c r="CNL72" s="3"/>
      <c r="CNM72" s="3"/>
      <c r="CNN72" s="3"/>
      <c r="CNO72" s="3"/>
      <c r="CNP72" s="3"/>
      <c r="CNQ72" s="3"/>
      <c r="CNR72" s="3"/>
      <c r="CNS72" s="3"/>
      <c r="CNT72" s="3"/>
      <c r="CNU72" s="3"/>
      <c r="CNV72" s="3"/>
      <c r="CNW72" s="3"/>
      <c r="CNX72" s="3"/>
      <c r="CNY72" s="3"/>
      <c r="CNZ72" s="3"/>
      <c r="COA72" s="3"/>
      <c r="COB72" s="3"/>
      <c r="COC72" s="3"/>
      <c r="COD72" s="3"/>
      <c r="COE72" s="3"/>
      <c r="COF72" s="3"/>
      <c r="COG72" s="3"/>
      <c r="COH72" s="3"/>
      <c r="COI72" s="3"/>
      <c r="COJ72" s="3"/>
      <c r="COK72" s="3"/>
      <c r="COL72" s="3"/>
      <c r="COM72" s="3"/>
      <c r="CON72" s="3"/>
      <c r="COO72" s="3"/>
      <c r="COP72" s="3"/>
      <c r="COQ72" s="3"/>
      <c r="COR72" s="3"/>
      <c r="COS72" s="3"/>
      <c r="COT72" s="3"/>
      <c r="COU72" s="3"/>
      <c r="COV72" s="3"/>
      <c r="COW72" s="3"/>
      <c r="COX72" s="3"/>
      <c r="COY72" s="3"/>
      <c r="COZ72" s="3"/>
      <c r="CPA72" s="3"/>
      <c r="CPB72" s="3"/>
      <c r="CPC72" s="3"/>
      <c r="CPD72" s="3"/>
      <c r="CPE72" s="3"/>
      <c r="CPF72" s="3"/>
      <c r="CPG72" s="3"/>
      <c r="CPH72" s="3"/>
      <c r="CPI72" s="3"/>
      <c r="CPJ72" s="3"/>
      <c r="CPK72" s="3"/>
      <c r="CPL72" s="3"/>
      <c r="CPM72" s="3"/>
      <c r="CPN72" s="3"/>
      <c r="CPO72" s="3"/>
      <c r="CPP72" s="3"/>
      <c r="CPQ72" s="3"/>
      <c r="CPR72" s="3"/>
      <c r="CPS72" s="3"/>
      <c r="CPT72" s="3"/>
      <c r="CPU72" s="3"/>
      <c r="CPV72" s="3"/>
      <c r="CPW72" s="3"/>
      <c r="CPX72" s="3"/>
      <c r="CPY72" s="3"/>
      <c r="CPZ72" s="3"/>
      <c r="CQA72" s="3"/>
      <c r="CQB72" s="3"/>
      <c r="CQC72" s="3"/>
      <c r="CQD72" s="3"/>
      <c r="CQE72" s="3"/>
      <c r="CQF72" s="3"/>
      <c r="CQG72" s="3"/>
      <c r="CQH72" s="3"/>
      <c r="CQI72" s="3"/>
      <c r="CQJ72" s="3"/>
      <c r="CQK72" s="3"/>
      <c r="CQL72" s="3"/>
      <c r="CQM72" s="3"/>
      <c r="CQN72" s="3"/>
      <c r="CQO72" s="3"/>
      <c r="CQP72" s="3"/>
      <c r="CQQ72" s="3"/>
      <c r="CQR72" s="3"/>
      <c r="CQS72" s="3"/>
      <c r="CQT72" s="3"/>
      <c r="CQU72" s="3"/>
      <c r="CQV72" s="3"/>
      <c r="CQW72" s="3"/>
      <c r="CQX72" s="3"/>
      <c r="CQY72" s="3"/>
      <c r="CQZ72" s="3"/>
      <c r="CRA72" s="3"/>
      <c r="CRB72" s="3"/>
      <c r="CRC72" s="3"/>
      <c r="CRD72" s="3"/>
      <c r="CRE72" s="3"/>
      <c r="CRF72" s="3"/>
      <c r="CRG72" s="3"/>
      <c r="CRH72" s="3"/>
      <c r="CRI72" s="3"/>
      <c r="CRJ72" s="3"/>
      <c r="CRK72" s="3"/>
      <c r="CRL72" s="3"/>
      <c r="CRM72" s="3"/>
      <c r="CRN72" s="3"/>
      <c r="CRO72" s="3"/>
      <c r="CRP72" s="3"/>
      <c r="CRQ72" s="3"/>
      <c r="CRR72" s="3"/>
      <c r="CRS72" s="3"/>
      <c r="CRT72" s="3"/>
      <c r="CRU72" s="3"/>
      <c r="CRV72" s="3"/>
      <c r="CRW72" s="3"/>
      <c r="CRX72" s="3"/>
      <c r="CRY72" s="3"/>
      <c r="CRZ72" s="3"/>
      <c r="CSA72" s="3"/>
      <c r="CSB72" s="3"/>
      <c r="CSC72" s="3"/>
      <c r="CSD72" s="3"/>
      <c r="CSE72" s="3"/>
      <c r="CSF72" s="3"/>
      <c r="CSG72" s="3"/>
      <c r="CSH72" s="3"/>
      <c r="CSI72" s="3"/>
      <c r="CSJ72" s="3"/>
      <c r="CSK72" s="3"/>
      <c r="CSL72" s="3"/>
      <c r="CSM72" s="3"/>
      <c r="CSN72" s="3"/>
      <c r="CSO72" s="3"/>
      <c r="CSP72" s="3"/>
      <c r="CSQ72" s="3"/>
      <c r="CSR72" s="3"/>
      <c r="CSS72" s="3"/>
      <c r="CST72" s="3"/>
      <c r="CSU72" s="3"/>
      <c r="CSV72" s="3"/>
      <c r="CSW72" s="3"/>
      <c r="CSX72" s="3"/>
      <c r="CSY72" s="3"/>
      <c r="CSZ72" s="3"/>
      <c r="CTA72" s="3"/>
      <c r="CTB72" s="3"/>
      <c r="CTC72" s="3"/>
      <c r="CTD72" s="3"/>
      <c r="CTE72" s="3"/>
      <c r="CTF72" s="3"/>
      <c r="CTG72" s="3"/>
      <c r="CTH72" s="3"/>
      <c r="CTI72" s="3"/>
      <c r="CTJ72" s="3"/>
      <c r="CTK72" s="3"/>
      <c r="CTL72" s="3"/>
      <c r="CTM72" s="3"/>
      <c r="CTN72" s="3"/>
      <c r="CTO72" s="3"/>
      <c r="CTP72" s="3"/>
      <c r="CTQ72" s="3"/>
      <c r="CTR72" s="3"/>
      <c r="CTS72" s="3"/>
      <c r="CTT72" s="3"/>
      <c r="CTU72" s="3"/>
      <c r="CTV72" s="3"/>
      <c r="CTW72" s="3"/>
      <c r="CTX72" s="3"/>
      <c r="CTY72" s="3"/>
      <c r="CTZ72" s="3"/>
      <c r="CUA72" s="3"/>
      <c r="CUB72" s="3"/>
      <c r="CUC72" s="3"/>
      <c r="CUD72" s="3"/>
      <c r="CUE72" s="3"/>
      <c r="CUF72" s="3"/>
      <c r="CUG72" s="3"/>
      <c r="CUH72" s="3"/>
      <c r="CUI72" s="3"/>
      <c r="CUJ72" s="3"/>
      <c r="CUK72" s="3"/>
      <c r="CUL72" s="3"/>
      <c r="CUM72" s="3"/>
      <c r="CUN72" s="3"/>
      <c r="CUO72" s="3"/>
      <c r="CUP72" s="3"/>
      <c r="CUQ72" s="3"/>
      <c r="CUR72" s="3"/>
      <c r="CUS72" s="3"/>
      <c r="CUT72" s="3"/>
      <c r="CUU72" s="3"/>
      <c r="CUV72" s="3"/>
      <c r="CUW72" s="3"/>
      <c r="CUX72" s="3"/>
      <c r="CUY72" s="3"/>
      <c r="CUZ72" s="3"/>
      <c r="CVA72" s="3"/>
      <c r="CVB72" s="3"/>
      <c r="CVC72" s="3"/>
      <c r="CVD72" s="3"/>
      <c r="CVE72" s="3"/>
      <c r="CVF72" s="3"/>
      <c r="CVG72" s="3"/>
      <c r="CVH72" s="3"/>
      <c r="CVI72" s="3"/>
      <c r="CVJ72" s="3"/>
      <c r="CVK72" s="3"/>
      <c r="CVL72" s="3"/>
      <c r="CVM72" s="3"/>
      <c r="CVN72" s="3"/>
      <c r="CVO72" s="3"/>
      <c r="CVP72" s="3"/>
      <c r="CVQ72" s="3"/>
      <c r="CVR72" s="3"/>
      <c r="CVS72" s="3"/>
      <c r="CVT72" s="3"/>
      <c r="CVU72" s="3"/>
      <c r="CVV72" s="3"/>
      <c r="CVW72" s="3"/>
      <c r="CVX72" s="3"/>
      <c r="CVY72" s="3"/>
      <c r="CVZ72" s="3"/>
      <c r="CWA72" s="3"/>
      <c r="CWB72" s="3"/>
      <c r="CWC72" s="3"/>
      <c r="CWD72" s="3"/>
      <c r="CWE72" s="3"/>
      <c r="CWF72" s="3"/>
      <c r="CWG72" s="3"/>
      <c r="CWH72" s="3"/>
      <c r="CWI72" s="3"/>
      <c r="CWJ72" s="3"/>
      <c r="CWK72" s="3"/>
      <c r="CWL72" s="3"/>
      <c r="CWM72" s="3"/>
      <c r="CWN72" s="3"/>
      <c r="CWO72" s="3"/>
      <c r="CWP72" s="3"/>
      <c r="CWQ72" s="3"/>
      <c r="CWR72" s="3"/>
      <c r="CWS72" s="3"/>
      <c r="CWT72" s="3"/>
      <c r="CWU72" s="3"/>
      <c r="CWV72" s="3"/>
      <c r="CWW72" s="3"/>
      <c r="CWX72" s="3"/>
      <c r="CWY72" s="3"/>
      <c r="CWZ72" s="3"/>
      <c r="CXA72" s="3"/>
      <c r="CXB72" s="3"/>
      <c r="CXC72" s="3"/>
      <c r="CXD72" s="3"/>
      <c r="CXE72" s="3"/>
      <c r="CXF72" s="3"/>
      <c r="CXG72" s="3"/>
      <c r="CXH72" s="3"/>
      <c r="CXI72" s="3"/>
      <c r="CXJ72" s="3"/>
      <c r="CXK72" s="3"/>
      <c r="CXL72" s="3"/>
      <c r="CXM72" s="3"/>
      <c r="CXN72" s="3"/>
      <c r="CXO72" s="3"/>
      <c r="CXP72" s="3"/>
      <c r="CXQ72" s="3"/>
      <c r="CXR72" s="3"/>
      <c r="CXS72" s="3"/>
      <c r="CXT72" s="3"/>
      <c r="CXU72" s="3"/>
      <c r="CXV72" s="3"/>
      <c r="CXW72" s="3"/>
      <c r="CXX72" s="3"/>
      <c r="CXY72" s="3"/>
      <c r="CXZ72" s="3"/>
      <c r="CYA72" s="3"/>
      <c r="CYB72" s="3"/>
      <c r="CYC72" s="3"/>
      <c r="CYD72" s="3"/>
      <c r="CYE72" s="3"/>
      <c r="CYF72" s="3"/>
      <c r="CYG72" s="3"/>
      <c r="CYH72" s="3"/>
      <c r="CYI72" s="3"/>
      <c r="CYJ72" s="3"/>
      <c r="CYK72" s="3"/>
      <c r="CYL72" s="3"/>
      <c r="CYM72" s="3"/>
      <c r="CYN72" s="3"/>
      <c r="CYO72" s="3"/>
      <c r="CYP72" s="3"/>
      <c r="CYQ72" s="3"/>
      <c r="CYR72" s="3"/>
      <c r="CYS72" s="3"/>
      <c r="CYT72" s="3"/>
      <c r="CYU72" s="3"/>
      <c r="CYV72" s="3"/>
      <c r="CYW72" s="3"/>
      <c r="CYX72" s="3"/>
      <c r="CYY72" s="3"/>
      <c r="CYZ72" s="3"/>
      <c r="CZA72" s="3"/>
      <c r="CZB72" s="3"/>
      <c r="CZC72" s="3"/>
      <c r="CZD72" s="3"/>
      <c r="CZE72" s="3"/>
      <c r="CZF72" s="3"/>
      <c r="CZG72" s="3"/>
      <c r="CZH72" s="3"/>
      <c r="CZI72" s="3"/>
      <c r="CZJ72" s="3"/>
      <c r="CZK72" s="3"/>
      <c r="CZL72" s="3"/>
      <c r="CZM72" s="3"/>
      <c r="CZN72" s="3"/>
      <c r="CZO72" s="3"/>
      <c r="CZP72" s="3"/>
      <c r="CZQ72" s="3"/>
      <c r="CZR72" s="3"/>
      <c r="CZS72" s="3"/>
      <c r="CZT72" s="3"/>
      <c r="CZU72" s="3"/>
      <c r="CZV72" s="3"/>
      <c r="CZW72" s="3"/>
      <c r="CZX72" s="3"/>
      <c r="CZY72" s="3"/>
      <c r="CZZ72" s="3"/>
      <c r="DAA72" s="3"/>
      <c r="DAB72" s="3"/>
      <c r="DAC72" s="3"/>
      <c r="DAD72" s="3"/>
      <c r="DAE72" s="3"/>
      <c r="DAF72" s="3"/>
      <c r="DAG72" s="3"/>
      <c r="DAH72" s="3"/>
      <c r="DAI72" s="3"/>
      <c r="DAJ72" s="3"/>
      <c r="DAK72" s="3"/>
      <c r="DAL72" s="3"/>
      <c r="DAM72" s="3"/>
      <c r="DAN72" s="3"/>
      <c r="DAO72" s="3"/>
      <c r="DAP72" s="3"/>
      <c r="DAQ72" s="3"/>
      <c r="DAR72" s="3"/>
      <c r="DAS72" s="3"/>
      <c r="DAT72" s="3"/>
      <c r="DAU72" s="3"/>
      <c r="DAV72" s="3"/>
      <c r="DAW72" s="3"/>
      <c r="DAX72" s="3"/>
      <c r="DAY72" s="3"/>
      <c r="DAZ72" s="3"/>
      <c r="DBA72" s="3"/>
      <c r="DBB72" s="3"/>
      <c r="DBC72" s="3"/>
      <c r="DBD72" s="3"/>
      <c r="DBE72" s="3"/>
      <c r="DBF72" s="3"/>
      <c r="DBG72" s="3"/>
      <c r="DBH72" s="3"/>
      <c r="DBI72" s="3"/>
      <c r="DBJ72" s="3"/>
      <c r="DBK72" s="3"/>
      <c r="DBL72" s="3"/>
      <c r="DBM72" s="3"/>
      <c r="DBN72" s="3"/>
      <c r="DBO72" s="3"/>
      <c r="DBP72" s="3"/>
      <c r="DBQ72" s="3"/>
      <c r="DBR72" s="3"/>
      <c r="DBS72" s="3"/>
      <c r="DBT72" s="3"/>
      <c r="DBU72" s="3"/>
      <c r="DBV72" s="3"/>
      <c r="DBW72" s="3"/>
      <c r="DBX72" s="3"/>
      <c r="DBY72" s="3"/>
      <c r="DBZ72" s="3"/>
      <c r="DCA72" s="3"/>
      <c r="DCB72" s="3"/>
      <c r="DCC72" s="3"/>
      <c r="DCD72" s="3"/>
      <c r="DCE72" s="3"/>
      <c r="DCF72" s="3"/>
      <c r="DCG72" s="3"/>
      <c r="DCH72" s="3"/>
      <c r="DCI72" s="3"/>
      <c r="DCJ72" s="3"/>
      <c r="DCK72" s="3"/>
      <c r="DCL72" s="3"/>
      <c r="DCM72" s="3"/>
      <c r="DCN72" s="3"/>
      <c r="DCO72" s="3"/>
      <c r="DCP72" s="3"/>
      <c r="DCQ72" s="3"/>
      <c r="DCR72" s="3"/>
      <c r="DCS72" s="3"/>
      <c r="DCT72" s="3"/>
      <c r="DCU72" s="3"/>
      <c r="DCV72" s="3"/>
      <c r="DCW72" s="3"/>
      <c r="DCX72" s="3"/>
      <c r="DCY72" s="3"/>
      <c r="DCZ72" s="3"/>
      <c r="DDA72" s="3"/>
      <c r="DDB72" s="3"/>
      <c r="DDC72" s="3"/>
      <c r="DDD72" s="3"/>
      <c r="DDE72" s="3"/>
      <c r="DDF72" s="3"/>
      <c r="DDG72" s="3"/>
      <c r="DDH72" s="3"/>
      <c r="DDI72" s="3"/>
      <c r="DDJ72" s="3"/>
      <c r="DDK72" s="3"/>
      <c r="DDL72" s="3"/>
      <c r="DDM72" s="3"/>
      <c r="DDN72" s="3"/>
      <c r="DDO72" s="3"/>
      <c r="DDP72" s="3"/>
      <c r="DDQ72" s="3"/>
      <c r="DDR72" s="3"/>
      <c r="DDS72" s="3"/>
      <c r="DDT72" s="3"/>
      <c r="DDU72" s="3"/>
      <c r="DDV72" s="3"/>
      <c r="DDW72" s="3"/>
      <c r="DDX72" s="3"/>
      <c r="DDY72" s="3"/>
      <c r="DDZ72" s="3"/>
      <c r="DEA72" s="3"/>
      <c r="DEB72" s="3"/>
      <c r="DEC72" s="3"/>
      <c r="DED72" s="3"/>
      <c r="DEE72" s="3"/>
      <c r="DEF72" s="3"/>
      <c r="DEG72" s="3"/>
      <c r="DEH72" s="3"/>
      <c r="DEI72" s="3"/>
      <c r="DEJ72" s="3"/>
      <c r="DEK72" s="3"/>
      <c r="DEL72" s="3"/>
      <c r="DEM72" s="3"/>
      <c r="DEN72" s="3"/>
      <c r="DEO72" s="3"/>
      <c r="DEP72" s="3"/>
      <c r="DEQ72" s="3"/>
      <c r="DER72" s="3"/>
      <c r="DES72" s="3"/>
      <c r="DET72" s="3"/>
      <c r="DEU72" s="3"/>
      <c r="DEV72" s="3"/>
      <c r="DEW72" s="3"/>
      <c r="DEX72" s="3"/>
      <c r="DEY72" s="3"/>
      <c r="DEZ72" s="3"/>
      <c r="DFA72" s="3"/>
      <c r="DFB72" s="3"/>
      <c r="DFC72" s="3"/>
      <c r="DFD72" s="3"/>
      <c r="DFE72" s="3"/>
      <c r="DFF72" s="3"/>
      <c r="DFG72" s="3"/>
      <c r="DFH72" s="3"/>
      <c r="DFI72" s="3"/>
      <c r="DFJ72" s="3"/>
      <c r="DFK72" s="3"/>
      <c r="DFL72" s="3"/>
      <c r="DFM72" s="3"/>
      <c r="DFN72" s="3"/>
      <c r="DFO72" s="3"/>
      <c r="DFP72" s="3"/>
      <c r="DFQ72" s="3"/>
      <c r="DFR72" s="3"/>
      <c r="DFS72" s="3"/>
      <c r="DFT72" s="3"/>
      <c r="DFU72" s="3"/>
      <c r="DFV72" s="3"/>
      <c r="DFW72" s="3"/>
      <c r="DFX72" s="3"/>
      <c r="DFY72" s="3"/>
      <c r="DFZ72" s="3"/>
      <c r="DGA72" s="3"/>
      <c r="DGB72" s="3"/>
      <c r="DGC72" s="3"/>
      <c r="DGD72" s="3"/>
      <c r="DGE72" s="3"/>
      <c r="DGF72" s="3"/>
      <c r="DGG72" s="3"/>
      <c r="DGH72" s="3"/>
      <c r="DGI72" s="3"/>
      <c r="DGJ72" s="3"/>
      <c r="DGK72" s="3"/>
      <c r="DGL72" s="3"/>
      <c r="DGM72" s="3"/>
      <c r="DGN72" s="3"/>
      <c r="DGO72" s="3"/>
      <c r="DGP72" s="3"/>
      <c r="DGQ72" s="3"/>
      <c r="DGR72" s="3"/>
      <c r="DGS72" s="3"/>
      <c r="DGT72" s="3"/>
      <c r="DGU72" s="3"/>
      <c r="DGV72" s="3"/>
      <c r="DGW72" s="3"/>
      <c r="DGX72" s="3"/>
      <c r="DGY72" s="3"/>
      <c r="DGZ72" s="3"/>
      <c r="DHA72" s="3"/>
      <c r="DHB72" s="3"/>
      <c r="DHC72" s="3"/>
      <c r="DHD72" s="3"/>
      <c r="DHE72" s="3"/>
      <c r="DHF72" s="3"/>
      <c r="DHG72" s="3"/>
      <c r="DHH72" s="3"/>
      <c r="DHI72" s="3"/>
      <c r="DHJ72" s="3"/>
      <c r="DHK72" s="3"/>
      <c r="DHL72" s="3"/>
      <c r="DHM72" s="3"/>
      <c r="DHN72" s="3"/>
      <c r="DHO72" s="3"/>
      <c r="DHP72" s="3"/>
      <c r="DHQ72" s="3"/>
      <c r="DHR72" s="3"/>
      <c r="DHS72" s="3"/>
      <c r="DHT72" s="3"/>
      <c r="DHU72" s="3"/>
      <c r="DHV72" s="3"/>
      <c r="DHW72" s="3"/>
      <c r="DHX72" s="3"/>
      <c r="DHY72" s="3"/>
      <c r="DHZ72" s="3"/>
      <c r="DIA72" s="3"/>
      <c r="DIB72" s="3"/>
      <c r="DIC72" s="3"/>
      <c r="DID72" s="3"/>
      <c r="DIE72" s="3"/>
      <c r="DIF72" s="3"/>
      <c r="DIG72" s="3"/>
      <c r="DIH72" s="3"/>
      <c r="DII72" s="3"/>
      <c r="DIJ72" s="3"/>
      <c r="DIK72" s="3"/>
      <c r="DIL72" s="3"/>
      <c r="DIM72" s="3"/>
      <c r="DIN72" s="3"/>
      <c r="DIO72" s="3"/>
      <c r="DIP72" s="3"/>
      <c r="DIQ72" s="3"/>
      <c r="DIR72" s="3"/>
      <c r="DIS72" s="3"/>
      <c r="DIT72" s="3"/>
      <c r="DIU72" s="3"/>
      <c r="DIV72" s="3"/>
      <c r="DIW72" s="3"/>
      <c r="DIX72" s="3"/>
      <c r="DIY72" s="3"/>
      <c r="DIZ72" s="3"/>
      <c r="DJA72" s="3"/>
      <c r="DJB72" s="3"/>
      <c r="DJC72" s="3"/>
      <c r="DJD72" s="3"/>
      <c r="DJE72" s="3"/>
      <c r="DJF72" s="3"/>
      <c r="DJG72" s="3"/>
      <c r="DJH72" s="3"/>
      <c r="DJI72" s="3"/>
      <c r="DJJ72" s="3"/>
      <c r="DJK72" s="3"/>
      <c r="DJL72" s="3"/>
      <c r="DJM72" s="3"/>
      <c r="DJN72" s="3"/>
      <c r="DJO72" s="3"/>
      <c r="DJP72" s="3"/>
      <c r="DJQ72" s="3"/>
      <c r="DJR72" s="3"/>
      <c r="DJS72" s="3"/>
      <c r="DJT72" s="3"/>
      <c r="DJU72" s="3"/>
      <c r="DJV72" s="3"/>
      <c r="DJW72" s="3"/>
      <c r="DJX72" s="3"/>
      <c r="DJY72" s="3"/>
      <c r="DJZ72" s="3"/>
      <c r="DKA72" s="3"/>
      <c r="DKB72" s="3"/>
      <c r="DKC72" s="3"/>
      <c r="DKD72" s="3"/>
      <c r="DKE72" s="3"/>
      <c r="DKF72" s="3"/>
      <c r="DKG72" s="3"/>
      <c r="DKH72" s="3"/>
      <c r="DKI72" s="3"/>
      <c r="DKJ72" s="3"/>
      <c r="DKK72" s="3"/>
      <c r="DKL72" s="3"/>
      <c r="DKM72" s="3"/>
      <c r="DKN72" s="3"/>
      <c r="DKO72" s="3"/>
      <c r="DKP72" s="3"/>
      <c r="DKQ72" s="3"/>
      <c r="DKR72" s="3"/>
      <c r="DKS72" s="3"/>
      <c r="DKT72" s="3"/>
      <c r="DKU72" s="3"/>
      <c r="DKV72" s="3"/>
      <c r="DKW72" s="3"/>
      <c r="DKX72" s="3"/>
      <c r="DKY72" s="3"/>
      <c r="DKZ72" s="3"/>
      <c r="DLA72" s="3"/>
      <c r="DLB72" s="3"/>
      <c r="DLC72" s="3"/>
      <c r="DLD72" s="3"/>
      <c r="DLE72" s="3"/>
      <c r="DLF72" s="3"/>
      <c r="DLG72" s="3"/>
      <c r="DLH72" s="3"/>
      <c r="DLI72" s="3"/>
      <c r="DLJ72" s="3"/>
      <c r="DLK72" s="3"/>
      <c r="DLL72" s="3"/>
      <c r="DLM72" s="3"/>
      <c r="DLN72" s="3"/>
      <c r="DLO72" s="3"/>
      <c r="DLP72" s="3"/>
      <c r="DLQ72" s="3"/>
      <c r="DLR72" s="3"/>
      <c r="DLS72" s="3"/>
      <c r="DLT72" s="3"/>
      <c r="DLU72" s="3"/>
      <c r="DLV72" s="3"/>
      <c r="DLW72" s="3"/>
      <c r="DLX72" s="3"/>
      <c r="DLY72" s="3"/>
      <c r="DLZ72" s="3"/>
      <c r="DMA72" s="3"/>
      <c r="DMB72" s="3"/>
      <c r="DMC72" s="3"/>
      <c r="DMD72" s="3"/>
      <c r="DME72" s="3"/>
      <c r="DMF72" s="3"/>
      <c r="DMG72" s="3"/>
      <c r="DMH72" s="3"/>
      <c r="DMI72" s="3"/>
      <c r="DMJ72" s="3"/>
      <c r="DMK72" s="3"/>
      <c r="DML72" s="3"/>
      <c r="DMM72" s="3"/>
      <c r="DMN72" s="3"/>
      <c r="DMO72" s="3"/>
      <c r="DMP72" s="3"/>
      <c r="DMQ72" s="3"/>
      <c r="DMR72" s="3"/>
      <c r="DMS72" s="3"/>
      <c r="DMT72" s="3"/>
      <c r="DMU72" s="3"/>
      <c r="DMV72" s="3"/>
      <c r="DMW72" s="3"/>
      <c r="DMX72" s="3"/>
      <c r="DMY72" s="3"/>
      <c r="DMZ72" s="3"/>
      <c r="DNA72" s="3"/>
      <c r="DNB72" s="3"/>
      <c r="DNC72" s="3"/>
      <c r="DND72" s="3"/>
      <c r="DNE72" s="3"/>
      <c r="DNF72" s="3"/>
      <c r="DNG72" s="3"/>
      <c r="DNH72" s="3"/>
      <c r="DNI72" s="3"/>
      <c r="DNJ72" s="3"/>
      <c r="DNK72" s="3"/>
      <c r="DNL72" s="3"/>
      <c r="DNM72" s="3"/>
      <c r="DNN72" s="3"/>
      <c r="DNO72" s="3"/>
      <c r="DNP72" s="3"/>
      <c r="DNQ72" s="3"/>
      <c r="DNR72" s="3"/>
      <c r="DNS72" s="3"/>
      <c r="DNT72" s="3"/>
      <c r="DNU72" s="3"/>
      <c r="DNV72" s="3"/>
      <c r="DNW72" s="3"/>
      <c r="DNX72" s="3"/>
      <c r="DNY72" s="3"/>
      <c r="DNZ72" s="3"/>
      <c r="DOA72" s="3"/>
      <c r="DOB72" s="3"/>
      <c r="DOC72" s="3"/>
      <c r="DOD72" s="3"/>
      <c r="DOE72" s="3"/>
      <c r="DOF72" s="3"/>
      <c r="DOG72" s="3"/>
      <c r="DOH72" s="3"/>
      <c r="DOI72" s="3"/>
      <c r="DOJ72" s="3"/>
      <c r="DOK72" s="3"/>
      <c r="DOL72" s="3"/>
      <c r="DOM72" s="3"/>
      <c r="DON72" s="3"/>
      <c r="DOO72" s="3"/>
      <c r="DOP72" s="3"/>
      <c r="DOQ72" s="3"/>
      <c r="DOR72" s="3"/>
      <c r="DOS72" s="3"/>
      <c r="DOT72" s="3"/>
      <c r="DOU72" s="3"/>
      <c r="DOV72" s="3"/>
      <c r="DOW72" s="3"/>
      <c r="DOX72" s="3"/>
      <c r="DOY72" s="3"/>
      <c r="DOZ72" s="3"/>
      <c r="DPA72" s="3"/>
      <c r="DPB72" s="3"/>
      <c r="DPC72" s="3"/>
      <c r="DPD72" s="3"/>
      <c r="DPE72" s="3"/>
      <c r="DPF72" s="3"/>
      <c r="DPG72" s="3"/>
      <c r="DPH72" s="3"/>
      <c r="DPI72" s="3"/>
      <c r="DPJ72" s="3"/>
      <c r="DPK72" s="3"/>
      <c r="DPL72" s="3"/>
      <c r="DPM72" s="3"/>
      <c r="DPN72" s="3"/>
      <c r="DPO72" s="3"/>
      <c r="DPP72" s="3"/>
      <c r="DPQ72" s="3"/>
      <c r="DPR72" s="3"/>
      <c r="DPS72" s="3"/>
      <c r="DPT72" s="3"/>
      <c r="DPU72" s="3"/>
      <c r="DPV72" s="3"/>
      <c r="DPW72" s="3"/>
      <c r="DPX72" s="3"/>
      <c r="DPY72" s="3"/>
      <c r="DPZ72" s="3"/>
      <c r="DQA72" s="3"/>
      <c r="DQB72" s="3"/>
      <c r="DQC72" s="3"/>
      <c r="DQD72" s="3"/>
      <c r="DQE72" s="3"/>
      <c r="DQF72" s="3"/>
      <c r="DQG72" s="3"/>
      <c r="DQH72" s="3"/>
      <c r="DQI72" s="3"/>
      <c r="DQJ72" s="3"/>
      <c r="DQK72" s="3"/>
      <c r="DQL72" s="3"/>
      <c r="DQM72" s="3"/>
      <c r="DQN72" s="3"/>
      <c r="DQO72" s="3"/>
      <c r="DQP72" s="3"/>
      <c r="DQQ72" s="3"/>
      <c r="DQR72" s="3"/>
      <c r="DQS72" s="3"/>
      <c r="DQT72" s="3"/>
      <c r="DQU72" s="3"/>
      <c r="DQV72" s="3"/>
      <c r="DQW72" s="3"/>
      <c r="DQX72" s="3"/>
      <c r="DQY72" s="3"/>
      <c r="DQZ72" s="3"/>
      <c r="DRA72" s="3"/>
      <c r="DRB72" s="3"/>
      <c r="DRC72" s="3"/>
      <c r="DRD72" s="3"/>
      <c r="DRE72" s="3"/>
      <c r="DRF72" s="3"/>
      <c r="DRG72" s="3"/>
      <c r="DRH72" s="3"/>
      <c r="DRI72" s="3"/>
      <c r="DRJ72" s="3"/>
      <c r="DRK72" s="3"/>
      <c r="DRL72" s="3"/>
      <c r="DRM72" s="3"/>
      <c r="DRN72" s="3"/>
      <c r="DRO72" s="3"/>
      <c r="DRP72" s="3"/>
      <c r="DRQ72" s="3"/>
      <c r="DRR72" s="3"/>
      <c r="DRS72" s="3"/>
      <c r="DRT72" s="3"/>
      <c r="DRU72" s="3"/>
      <c r="DRV72" s="3"/>
      <c r="DRW72" s="3"/>
      <c r="DRX72" s="3"/>
      <c r="DRY72" s="3"/>
      <c r="DRZ72" s="3"/>
      <c r="DSA72" s="3"/>
      <c r="DSB72" s="3"/>
      <c r="DSC72" s="3"/>
      <c r="DSD72" s="3"/>
      <c r="DSE72" s="3"/>
      <c r="DSF72" s="3"/>
      <c r="DSG72" s="3"/>
      <c r="DSH72" s="3"/>
      <c r="DSI72" s="3"/>
      <c r="DSJ72" s="3"/>
      <c r="DSK72" s="3"/>
      <c r="DSL72" s="3"/>
      <c r="DSM72" s="3"/>
      <c r="DSN72" s="3"/>
      <c r="DSO72" s="3"/>
      <c r="DSP72" s="3"/>
      <c r="DSQ72" s="3"/>
      <c r="DSR72" s="3"/>
      <c r="DSS72" s="3"/>
      <c r="DST72" s="3"/>
      <c r="DSU72" s="3"/>
      <c r="DSV72" s="3"/>
      <c r="DSW72" s="3"/>
      <c r="DSX72" s="3"/>
      <c r="DSY72" s="3"/>
      <c r="DSZ72" s="3"/>
      <c r="DTA72" s="3"/>
      <c r="DTB72" s="3"/>
      <c r="DTC72" s="3"/>
      <c r="DTD72" s="3"/>
      <c r="DTE72" s="3"/>
      <c r="DTF72" s="3"/>
      <c r="DTG72" s="3"/>
      <c r="DTH72" s="3"/>
      <c r="DTI72" s="3"/>
      <c r="DTJ72" s="3"/>
      <c r="DTK72" s="3"/>
      <c r="DTL72" s="3"/>
      <c r="DTM72" s="3"/>
      <c r="DTN72" s="3"/>
      <c r="DTO72" s="3"/>
      <c r="DTP72" s="3"/>
      <c r="DTQ72" s="3"/>
      <c r="DTR72" s="3"/>
      <c r="DTS72" s="3"/>
      <c r="DTT72" s="3"/>
      <c r="DTU72" s="3"/>
      <c r="DTV72" s="3"/>
      <c r="DTW72" s="3"/>
      <c r="DTX72" s="3"/>
      <c r="DTY72" s="3"/>
      <c r="DTZ72" s="3"/>
      <c r="DUA72" s="3"/>
      <c r="DUB72" s="3"/>
      <c r="DUC72" s="3"/>
      <c r="DUD72" s="3"/>
      <c r="DUE72" s="3"/>
      <c r="DUF72" s="3"/>
      <c r="DUG72" s="3"/>
      <c r="DUH72" s="3"/>
      <c r="DUI72" s="3"/>
      <c r="DUJ72" s="3"/>
      <c r="DUK72" s="3"/>
      <c r="DUL72" s="3"/>
      <c r="DUM72" s="3"/>
      <c r="DUN72" s="3"/>
      <c r="DUO72" s="3"/>
      <c r="DUP72" s="3"/>
      <c r="DUQ72" s="3"/>
      <c r="DUR72" s="3"/>
      <c r="DUS72" s="3"/>
      <c r="DUT72" s="3"/>
      <c r="DUU72" s="3"/>
      <c r="DUV72" s="3"/>
      <c r="DUW72" s="3"/>
      <c r="DUX72" s="3"/>
      <c r="DUY72" s="3"/>
      <c r="DUZ72" s="3"/>
      <c r="DVA72" s="3"/>
      <c r="DVB72" s="3"/>
      <c r="DVC72" s="3"/>
      <c r="DVD72" s="3"/>
      <c r="DVE72" s="3"/>
      <c r="DVF72" s="3"/>
      <c r="DVG72" s="3"/>
      <c r="DVH72" s="3"/>
      <c r="DVI72" s="3"/>
      <c r="DVJ72" s="3"/>
      <c r="DVK72" s="3"/>
      <c r="DVL72" s="3"/>
      <c r="DVM72" s="3"/>
      <c r="DVN72" s="3"/>
      <c r="DVO72" s="3"/>
      <c r="DVP72" s="3"/>
      <c r="DVQ72" s="3"/>
      <c r="DVR72" s="3"/>
      <c r="DVS72" s="3"/>
      <c r="DVT72" s="3"/>
      <c r="DVU72" s="3"/>
      <c r="DVV72" s="3"/>
      <c r="DVW72" s="3"/>
      <c r="DVX72" s="3"/>
      <c r="DVY72" s="3"/>
      <c r="DVZ72" s="3"/>
      <c r="DWA72" s="3"/>
      <c r="DWB72" s="3"/>
      <c r="DWC72" s="3"/>
      <c r="DWD72" s="3"/>
      <c r="DWE72" s="3"/>
      <c r="DWF72" s="3"/>
      <c r="DWG72" s="3"/>
      <c r="DWH72" s="3"/>
      <c r="DWI72" s="3"/>
      <c r="DWJ72" s="3"/>
      <c r="DWK72" s="3"/>
      <c r="DWL72" s="3"/>
      <c r="DWM72" s="3"/>
      <c r="DWN72" s="3"/>
      <c r="DWO72" s="3"/>
      <c r="DWP72" s="3"/>
      <c r="DWQ72" s="3"/>
      <c r="DWR72" s="3"/>
      <c r="DWS72" s="3"/>
      <c r="DWT72" s="3"/>
      <c r="DWU72" s="3"/>
      <c r="DWV72" s="3"/>
      <c r="DWW72" s="3"/>
      <c r="DWX72" s="3"/>
      <c r="DWY72" s="3"/>
      <c r="DWZ72" s="3"/>
      <c r="DXA72" s="3"/>
      <c r="DXB72" s="3"/>
      <c r="DXC72" s="3"/>
      <c r="DXD72" s="3"/>
      <c r="DXE72" s="3"/>
      <c r="DXF72" s="3"/>
      <c r="DXG72" s="3"/>
      <c r="DXH72" s="3"/>
      <c r="DXI72" s="3"/>
      <c r="DXJ72" s="3"/>
      <c r="DXK72" s="3"/>
      <c r="DXL72" s="3"/>
      <c r="DXM72" s="3"/>
      <c r="DXN72" s="3"/>
      <c r="DXO72" s="3"/>
      <c r="DXP72" s="3"/>
      <c r="DXQ72" s="3"/>
      <c r="DXR72" s="3"/>
      <c r="DXS72" s="3"/>
      <c r="DXT72" s="3"/>
      <c r="DXU72" s="3"/>
      <c r="DXV72" s="3"/>
      <c r="DXW72" s="3"/>
      <c r="DXX72" s="3"/>
      <c r="DXY72" s="3"/>
      <c r="DXZ72" s="3"/>
      <c r="DYA72" s="3"/>
      <c r="DYB72" s="3"/>
      <c r="DYC72" s="3"/>
      <c r="DYD72" s="3"/>
      <c r="DYE72" s="3"/>
      <c r="DYF72" s="3"/>
      <c r="DYG72" s="3"/>
      <c r="DYH72" s="3"/>
      <c r="DYI72" s="3"/>
      <c r="DYJ72" s="3"/>
      <c r="DYK72" s="3"/>
      <c r="DYL72" s="3"/>
      <c r="DYM72" s="3"/>
      <c r="DYN72" s="3"/>
      <c r="DYO72" s="3"/>
      <c r="DYP72" s="3"/>
      <c r="DYQ72" s="3"/>
      <c r="DYR72" s="3"/>
      <c r="DYS72" s="3"/>
      <c r="DYT72" s="3"/>
      <c r="DYU72" s="3"/>
      <c r="DYV72" s="3"/>
      <c r="DYW72" s="3"/>
      <c r="DYX72" s="3"/>
      <c r="DYY72" s="3"/>
      <c r="DYZ72" s="3"/>
      <c r="DZA72" s="3"/>
      <c r="DZB72" s="3"/>
      <c r="DZC72" s="3"/>
      <c r="DZD72" s="3"/>
      <c r="DZE72" s="3"/>
      <c r="DZF72" s="3"/>
      <c r="DZG72" s="3"/>
      <c r="DZH72" s="3"/>
      <c r="DZI72" s="3"/>
      <c r="DZJ72" s="3"/>
      <c r="DZK72" s="3"/>
      <c r="DZL72" s="3"/>
      <c r="DZM72" s="3"/>
      <c r="DZN72" s="3"/>
      <c r="DZO72" s="3"/>
      <c r="DZP72" s="3"/>
      <c r="DZQ72" s="3"/>
      <c r="DZR72" s="3"/>
      <c r="DZS72" s="3"/>
      <c r="DZT72" s="3"/>
      <c r="DZU72" s="3"/>
      <c r="DZV72" s="3"/>
      <c r="DZW72" s="3"/>
      <c r="DZX72" s="3"/>
      <c r="DZY72" s="3"/>
      <c r="DZZ72" s="3"/>
      <c r="EAA72" s="3"/>
      <c r="EAB72" s="3"/>
      <c r="EAC72" s="3"/>
      <c r="EAD72" s="3"/>
      <c r="EAE72" s="3"/>
      <c r="EAF72" s="3"/>
      <c r="EAG72" s="3"/>
      <c r="EAH72" s="3"/>
      <c r="EAI72" s="3"/>
      <c r="EAJ72" s="3"/>
      <c r="EAK72" s="3"/>
      <c r="EAL72" s="3"/>
      <c r="EAM72" s="3"/>
      <c r="EAN72" s="3"/>
      <c r="EAO72" s="3"/>
      <c r="EAP72" s="3"/>
      <c r="EAQ72" s="3"/>
      <c r="EAR72" s="3"/>
      <c r="EAS72" s="3"/>
      <c r="EAT72" s="3"/>
      <c r="EAU72" s="3"/>
      <c r="EAV72" s="3"/>
      <c r="EAW72" s="3"/>
      <c r="EAX72" s="3"/>
      <c r="EAY72" s="3"/>
      <c r="EAZ72" s="3"/>
      <c r="EBA72" s="3"/>
      <c r="EBB72" s="3"/>
      <c r="EBC72" s="3"/>
      <c r="EBD72" s="3"/>
      <c r="EBE72" s="3"/>
      <c r="EBF72" s="3"/>
      <c r="EBG72" s="3"/>
      <c r="EBH72" s="3"/>
      <c r="EBI72" s="3"/>
      <c r="EBJ72" s="3"/>
      <c r="EBK72" s="3"/>
      <c r="EBL72" s="3"/>
      <c r="EBM72" s="3"/>
      <c r="EBN72" s="3"/>
      <c r="EBO72" s="3"/>
      <c r="EBP72" s="3"/>
      <c r="EBQ72" s="3"/>
      <c r="EBR72" s="3"/>
      <c r="EBS72" s="3"/>
      <c r="EBT72" s="3"/>
      <c r="EBU72" s="3"/>
      <c r="EBV72" s="3"/>
      <c r="EBW72" s="3"/>
      <c r="EBX72" s="3"/>
      <c r="EBY72" s="3"/>
      <c r="EBZ72" s="3"/>
      <c r="ECA72" s="3"/>
      <c r="ECB72" s="3"/>
      <c r="ECC72" s="3"/>
      <c r="ECD72" s="3"/>
      <c r="ECE72" s="3"/>
      <c r="ECF72" s="3"/>
      <c r="ECG72" s="3"/>
      <c r="ECH72" s="3"/>
      <c r="ECI72" s="3"/>
      <c r="ECJ72" s="3"/>
      <c r="ECK72" s="3"/>
      <c r="ECL72" s="3"/>
      <c r="ECM72" s="3"/>
      <c r="ECN72" s="3"/>
      <c r="ECO72" s="3"/>
      <c r="ECP72" s="3"/>
      <c r="ECQ72" s="3"/>
      <c r="ECR72" s="3"/>
      <c r="ECS72" s="3"/>
      <c r="ECT72" s="3"/>
      <c r="ECU72" s="3"/>
      <c r="ECV72" s="3"/>
      <c r="ECW72" s="3"/>
      <c r="ECX72" s="3"/>
      <c r="ECY72" s="3"/>
      <c r="ECZ72" s="3"/>
      <c r="EDA72" s="3"/>
      <c r="EDB72" s="3"/>
      <c r="EDC72" s="3"/>
      <c r="EDD72" s="3"/>
      <c r="EDE72" s="3"/>
      <c r="EDF72" s="3"/>
      <c r="EDG72" s="3"/>
      <c r="EDH72" s="3"/>
      <c r="EDI72" s="3"/>
      <c r="EDJ72" s="3"/>
      <c r="EDK72" s="3"/>
      <c r="EDL72" s="3"/>
      <c r="EDM72" s="3"/>
      <c r="EDN72" s="3"/>
      <c r="EDO72" s="3"/>
      <c r="EDP72" s="3"/>
      <c r="EDQ72" s="3"/>
      <c r="EDR72" s="3"/>
      <c r="EDS72" s="3"/>
      <c r="EDT72" s="3"/>
      <c r="EDU72" s="3"/>
      <c r="EDV72" s="3"/>
      <c r="EDW72" s="3"/>
      <c r="EDX72" s="3"/>
      <c r="EDY72" s="3"/>
      <c r="EDZ72" s="3"/>
      <c r="EEA72" s="3"/>
      <c r="EEB72" s="3"/>
      <c r="EEC72" s="3"/>
      <c r="EED72" s="3"/>
      <c r="EEE72" s="3"/>
      <c r="EEF72" s="3"/>
      <c r="EEG72" s="3"/>
      <c r="EEH72" s="3"/>
      <c r="EEI72" s="3"/>
      <c r="EEJ72" s="3"/>
      <c r="EEK72" s="3"/>
      <c r="EEL72" s="3"/>
      <c r="EEM72" s="3"/>
      <c r="EEN72" s="3"/>
      <c r="EEO72" s="3"/>
      <c r="EEP72" s="3"/>
      <c r="EEQ72" s="3"/>
      <c r="EER72" s="3"/>
      <c r="EES72" s="3"/>
      <c r="EET72" s="3"/>
      <c r="EEU72" s="3"/>
      <c r="EEV72" s="3"/>
      <c r="EEW72" s="3"/>
      <c r="EEX72" s="3"/>
      <c r="EEY72" s="3"/>
      <c r="EEZ72" s="3"/>
      <c r="EFA72" s="3"/>
      <c r="EFB72" s="3"/>
      <c r="EFC72" s="3"/>
      <c r="EFD72" s="3"/>
      <c r="EFE72" s="3"/>
      <c r="EFF72" s="3"/>
      <c r="EFG72" s="3"/>
      <c r="EFH72" s="3"/>
      <c r="EFI72" s="3"/>
      <c r="EFJ72" s="3"/>
      <c r="EFK72" s="3"/>
      <c r="EFL72" s="3"/>
      <c r="EFM72" s="3"/>
      <c r="EFN72" s="3"/>
      <c r="EFO72" s="3"/>
      <c r="EFP72" s="3"/>
      <c r="EFQ72" s="3"/>
      <c r="EFR72" s="3"/>
      <c r="EFS72" s="3"/>
      <c r="EFT72" s="3"/>
      <c r="EFU72" s="3"/>
      <c r="EFV72" s="3"/>
      <c r="EFW72" s="3"/>
      <c r="EFX72" s="3"/>
      <c r="EFY72" s="3"/>
      <c r="EFZ72" s="3"/>
      <c r="EGA72" s="3"/>
      <c r="EGB72" s="3"/>
      <c r="EGC72" s="3"/>
      <c r="EGD72" s="3"/>
      <c r="EGE72" s="3"/>
      <c r="EGF72" s="3"/>
      <c r="EGG72" s="3"/>
      <c r="EGH72" s="3"/>
      <c r="EGI72" s="3"/>
      <c r="EGJ72" s="3"/>
      <c r="EGK72" s="3"/>
      <c r="EGL72" s="3"/>
      <c r="EGM72" s="3"/>
      <c r="EGN72" s="3"/>
      <c r="EGO72" s="3"/>
      <c r="EGP72" s="3"/>
      <c r="EGQ72" s="3"/>
      <c r="EGR72" s="3"/>
      <c r="EGS72" s="3"/>
      <c r="EGT72" s="3"/>
      <c r="EGU72" s="3"/>
      <c r="EGV72" s="3"/>
      <c r="EGW72" s="3"/>
      <c r="EGX72" s="3"/>
      <c r="EGY72" s="3"/>
      <c r="EGZ72" s="3"/>
      <c r="EHA72" s="3"/>
      <c r="EHB72" s="3"/>
      <c r="EHC72" s="3"/>
      <c r="EHD72" s="3"/>
      <c r="EHE72" s="3"/>
      <c r="EHF72" s="3"/>
      <c r="EHG72" s="3"/>
      <c r="EHH72" s="3"/>
      <c r="EHI72" s="3"/>
      <c r="EHJ72" s="3"/>
      <c r="EHK72" s="3"/>
      <c r="EHL72" s="3"/>
      <c r="EHM72" s="3"/>
      <c r="EHN72" s="3"/>
      <c r="EHO72" s="3"/>
      <c r="EHP72" s="3"/>
      <c r="EHQ72" s="3"/>
      <c r="EHR72" s="3"/>
      <c r="EHS72" s="3"/>
      <c r="EHT72" s="3"/>
      <c r="EHU72" s="3"/>
      <c r="EHV72" s="3"/>
      <c r="EHW72" s="3"/>
      <c r="EHX72" s="3"/>
      <c r="EHY72" s="3"/>
      <c r="EHZ72" s="3"/>
      <c r="EIA72" s="3"/>
      <c r="EIB72" s="3"/>
      <c r="EIC72" s="3"/>
      <c r="EID72" s="3"/>
      <c r="EIE72" s="3"/>
      <c r="EIF72" s="3"/>
      <c r="EIG72" s="3"/>
      <c r="EIH72" s="3"/>
      <c r="EII72" s="3"/>
      <c r="EIJ72" s="3"/>
      <c r="EIK72" s="3"/>
      <c r="EIL72" s="3"/>
      <c r="EIM72" s="3"/>
      <c r="EIN72" s="3"/>
      <c r="EIO72" s="3"/>
      <c r="EIP72" s="3"/>
      <c r="EIQ72" s="3"/>
      <c r="EIR72" s="3"/>
      <c r="EIS72" s="3"/>
      <c r="EIT72" s="3"/>
      <c r="EIU72" s="3"/>
      <c r="EIV72" s="3"/>
      <c r="EIW72" s="3"/>
      <c r="EIX72" s="3"/>
      <c r="EIY72" s="3"/>
      <c r="EIZ72" s="3"/>
      <c r="EJA72" s="3"/>
      <c r="EJB72" s="3"/>
      <c r="EJC72" s="3"/>
      <c r="EJD72" s="3"/>
      <c r="EJE72" s="3"/>
      <c r="EJF72" s="3"/>
      <c r="EJG72" s="3"/>
      <c r="EJH72" s="3"/>
      <c r="EJI72" s="3"/>
      <c r="EJJ72" s="3"/>
      <c r="EJK72" s="3"/>
      <c r="EJL72" s="3"/>
      <c r="EJM72" s="3"/>
      <c r="EJN72" s="3"/>
      <c r="EJO72" s="3"/>
      <c r="EJP72" s="3"/>
      <c r="EJQ72" s="3"/>
      <c r="EJR72" s="3"/>
      <c r="EJS72" s="3"/>
      <c r="EJT72" s="3"/>
      <c r="EJU72" s="3"/>
      <c r="EJV72" s="3"/>
      <c r="EJW72" s="3"/>
      <c r="EJX72" s="3"/>
      <c r="EJY72" s="3"/>
      <c r="EJZ72" s="3"/>
      <c r="EKA72" s="3"/>
      <c r="EKB72" s="3"/>
      <c r="EKC72" s="3"/>
      <c r="EKD72" s="3"/>
      <c r="EKE72" s="3"/>
      <c r="EKF72" s="3"/>
      <c r="EKG72" s="3"/>
      <c r="EKH72" s="3"/>
      <c r="EKI72" s="3"/>
      <c r="EKJ72" s="3"/>
      <c r="EKK72" s="3"/>
      <c r="EKL72" s="3"/>
      <c r="EKM72" s="3"/>
      <c r="EKN72" s="3"/>
      <c r="EKO72" s="3"/>
      <c r="EKP72" s="3"/>
      <c r="EKQ72" s="3"/>
      <c r="EKR72" s="3"/>
      <c r="EKS72" s="3"/>
      <c r="EKT72" s="3"/>
      <c r="EKU72" s="3"/>
      <c r="EKV72" s="3"/>
      <c r="EKW72" s="3"/>
      <c r="EKX72" s="3"/>
      <c r="EKY72" s="3"/>
      <c r="EKZ72" s="3"/>
      <c r="ELA72" s="3"/>
      <c r="ELB72" s="3"/>
      <c r="ELC72" s="3"/>
      <c r="ELD72" s="3"/>
      <c r="ELE72" s="3"/>
      <c r="ELF72" s="3"/>
      <c r="ELG72" s="3"/>
      <c r="ELH72" s="3"/>
      <c r="ELI72" s="3"/>
      <c r="ELJ72" s="3"/>
      <c r="ELK72" s="3"/>
      <c r="ELL72" s="3"/>
      <c r="ELM72" s="3"/>
      <c r="ELN72" s="3"/>
      <c r="ELO72" s="3"/>
      <c r="ELP72" s="3"/>
      <c r="ELQ72" s="3"/>
      <c r="ELR72" s="3"/>
      <c r="ELS72" s="3"/>
      <c r="ELT72" s="3"/>
      <c r="ELU72" s="3"/>
      <c r="ELV72" s="3"/>
      <c r="ELW72" s="3"/>
      <c r="ELX72" s="3"/>
      <c r="ELY72" s="3"/>
      <c r="ELZ72" s="3"/>
      <c r="EMA72" s="3"/>
      <c r="EMB72" s="3"/>
      <c r="EMC72" s="3"/>
      <c r="EMD72" s="3"/>
      <c r="EME72" s="3"/>
      <c r="EMF72" s="3"/>
      <c r="EMG72" s="3"/>
      <c r="EMH72" s="3"/>
      <c r="EMI72" s="3"/>
      <c r="EMJ72" s="3"/>
      <c r="EMK72" s="3"/>
      <c r="EML72" s="3"/>
      <c r="EMM72" s="3"/>
      <c r="EMN72" s="3"/>
      <c r="EMO72" s="3"/>
      <c r="EMP72" s="3"/>
      <c r="EMQ72" s="3"/>
      <c r="EMR72" s="3"/>
      <c r="EMS72" s="3"/>
      <c r="EMT72" s="3"/>
      <c r="EMU72" s="3"/>
      <c r="EMV72" s="3"/>
      <c r="EMW72" s="3"/>
      <c r="EMX72" s="3"/>
      <c r="EMY72" s="3"/>
      <c r="EMZ72" s="3"/>
      <c r="ENA72" s="3"/>
      <c r="ENB72" s="3"/>
      <c r="ENC72" s="3"/>
      <c r="END72" s="3"/>
      <c r="ENE72" s="3"/>
      <c r="ENF72" s="3"/>
      <c r="ENG72" s="3"/>
      <c r="ENH72" s="3"/>
      <c r="ENI72" s="3"/>
      <c r="ENJ72" s="3"/>
      <c r="ENK72" s="3"/>
      <c r="ENL72" s="3"/>
      <c r="ENM72" s="3"/>
      <c r="ENN72" s="3"/>
      <c r="ENO72" s="3"/>
      <c r="ENP72" s="3"/>
      <c r="ENQ72" s="3"/>
      <c r="ENR72" s="3"/>
      <c r="ENS72" s="3"/>
      <c r="ENT72" s="3"/>
      <c r="ENU72" s="3"/>
      <c r="ENV72" s="3"/>
      <c r="ENW72" s="3"/>
      <c r="ENX72" s="3"/>
      <c r="ENY72" s="3"/>
      <c r="ENZ72" s="3"/>
      <c r="EOA72" s="3"/>
      <c r="EOB72" s="3"/>
      <c r="EOC72" s="3"/>
      <c r="EOD72" s="3"/>
      <c r="EOE72" s="3"/>
      <c r="EOF72" s="3"/>
      <c r="EOG72" s="3"/>
      <c r="EOH72" s="3"/>
      <c r="EOI72" s="3"/>
      <c r="EOJ72" s="3"/>
      <c r="EOK72" s="3"/>
      <c r="EOL72" s="3"/>
      <c r="EOM72" s="3"/>
      <c r="EON72" s="3"/>
      <c r="EOO72" s="3"/>
      <c r="EOP72" s="3"/>
      <c r="EOQ72" s="3"/>
      <c r="EOR72" s="3"/>
      <c r="EOS72" s="3"/>
      <c r="EOT72" s="3"/>
      <c r="EOU72" s="3"/>
      <c r="EOV72" s="3"/>
      <c r="EOW72" s="3"/>
      <c r="EOX72" s="3"/>
      <c r="EOY72" s="3"/>
      <c r="EOZ72" s="3"/>
      <c r="EPA72" s="3"/>
      <c r="EPB72" s="3"/>
      <c r="EPC72" s="3"/>
      <c r="EPD72" s="3"/>
      <c r="EPE72" s="3"/>
      <c r="EPF72" s="3"/>
      <c r="EPG72" s="3"/>
      <c r="EPH72" s="3"/>
      <c r="EPI72" s="3"/>
      <c r="EPJ72" s="3"/>
      <c r="EPK72" s="3"/>
      <c r="EPL72" s="3"/>
      <c r="EPM72" s="3"/>
      <c r="EPN72" s="3"/>
      <c r="EPO72" s="3"/>
      <c r="EPP72" s="3"/>
      <c r="EPQ72" s="3"/>
      <c r="EPR72" s="3"/>
      <c r="EPS72" s="3"/>
      <c r="EPT72" s="3"/>
      <c r="EPU72" s="3"/>
      <c r="EPV72" s="3"/>
      <c r="EPW72" s="3"/>
      <c r="EPX72" s="3"/>
      <c r="EPY72" s="3"/>
      <c r="EPZ72" s="3"/>
      <c r="EQA72" s="3"/>
      <c r="EQB72" s="3"/>
      <c r="EQC72" s="3"/>
      <c r="EQD72" s="3"/>
      <c r="EQE72" s="3"/>
      <c r="EQF72" s="3"/>
      <c r="EQG72" s="3"/>
      <c r="EQH72" s="3"/>
      <c r="EQI72" s="3"/>
      <c r="EQJ72" s="3"/>
      <c r="EQK72" s="3"/>
      <c r="EQL72" s="3"/>
      <c r="EQM72" s="3"/>
      <c r="EQN72" s="3"/>
      <c r="EQO72" s="3"/>
      <c r="EQP72" s="3"/>
      <c r="EQQ72" s="3"/>
      <c r="EQR72" s="3"/>
      <c r="EQS72" s="3"/>
      <c r="EQT72" s="3"/>
      <c r="EQU72" s="3"/>
      <c r="EQV72" s="3"/>
      <c r="EQW72" s="3"/>
      <c r="EQX72" s="3"/>
      <c r="EQY72" s="3"/>
      <c r="EQZ72" s="3"/>
      <c r="ERA72" s="3"/>
      <c r="ERB72" s="3"/>
      <c r="ERC72" s="3"/>
      <c r="ERD72" s="3"/>
      <c r="ERE72" s="3"/>
      <c r="ERF72" s="3"/>
      <c r="ERG72" s="3"/>
      <c r="ERH72" s="3"/>
      <c r="ERI72" s="3"/>
      <c r="ERJ72" s="3"/>
      <c r="ERK72" s="3"/>
      <c r="ERL72" s="3"/>
      <c r="ERM72" s="3"/>
      <c r="ERN72" s="3"/>
      <c r="ERO72" s="3"/>
      <c r="ERP72" s="3"/>
      <c r="ERQ72" s="3"/>
      <c r="ERR72" s="3"/>
      <c r="ERS72" s="3"/>
      <c r="ERT72" s="3"/>
      <c r="ERU72" s="3"/>
      <c r="ERV72" s="3"/>
      <c r="ERW72" s="3"/>
      <c r="ERX72" s="3"/>
      <c r="ERY72" s="3"/>
      <c r="ERZ72" s="3"/>
      <c r="ESA72" s="3"/>
      <c r="ESB72" s="3"/>
      <c r="ESC72" s="3"/>
      <c r="ESD72" s="3"/>
      <c r="ESE72" s="3"/>
      <c r="ESF72" s="3"/>
      <c r="ESG72" s="3"/>
      <c r="ESH72" s="3"/>
      <c r="ESI72" s="3"/>
      <c r="ESJ72" s="3"/>
      <c r="ESK72" s="3"/>
      <c r="ESL72" s="3"/>
      <c r="ESM72" s="3"/>
      <c r="ESN72" s="3"/>
      <c r="ESO72" s="3"/>
      <c r="ESP72" s="3"/>
      <c r="ESQ72" s="3"/>
      <c r="ESR72" s="3"/>
      <c r="ESS72" s="3"/>
      <c r="EST72" s="3"/>
      <c r="ESU72" s="3"/>
      <c r="ESV72" s="3"/>
      <c r="ESW72" s="3"/>
      <c r="ESX72" s="3"/>
      <c r="ESY72" s="3"/>
      <c r="ESZ72" s="3"/>
      <c r="ETA72" s="3"/>
      <c r="ETB72" s="3"/>
      <c r="ETC72" s="3"/>
      <c r="ETD72" s="3"/>
      <c r="ETE72" s="3"/>
      <c r="ETF72" s="3"/>
      <c r="ETG72" s="3"/>
      <c r="ETH72" s="3"/>
      <c r="ETI72" s="3"/>
      <c r="ETJ72" s="3"/>
      <c r="ETK72" s="3"/>
      <c r="ETL72" s="3"/>
      <c r="ETM72" s="3"/>
      <c r="ETN72" s="3"/>
      <c r="ETO72" s="3"/>
      <c r="ETP72" s="3"/>
      <c r="ETQ72" s="3"/>
      <c r="ETR72" s="3"/>
      <c r="ETS72" s="3"/>
      <c r="ETT72" s="3"/>
      <c r="ETU72" s="3"/>
      <c r="ETV72" s="3"/>
      <c r="ETW72" s="3"/>
      <c r="ETX72" s="3"/>
      <c r="ETY72" s="3"/>
      <c r="ETZ72" s="3"/>
      <c r="EUA72" s="3"/>
      <c r="EUB72" s="3"/>
      <c r="EUC72" s="3"/>
      <c r="EUD72" s="3"/>
      <c r="EUE72" s="3"/>
      <c r="EUF72" s="3"/>
      <c r="EUG72" s="3"/>
      <c r="EUH72" s="3"/>
      <c r="EUI72" s="3"/>
      <c r="EUJ72" s="3"/>
      <c r="EUK72" s="3"/>
      <c r="EUL72" s="3"/>
      <c r="EUM72" s="3"/>
      <c r="EUN72" s="3"/>
      <c r="EUO72" s="3"/>
      <c r="EUP72" s="3"/>
      <c r="EUQ72" s="3"/>
      <c r="EUR72" s="3"/>
      <c r="EUS72" s="3"/>
      <c r="EUT72" s="3"/>
      <c r="EUU72" s="3"/>
      <c r="EUV72" s="3"/>
      <c r="EUW72" s="3"/>
      <c r="EUX72" s="3"/>
      <c r="EUY72" s="3"/>
      <c r="EUZ72" s="3"/>
      <c r="EVA72" s="3"/>
      <c r="EVB72" s="3"/>
      <c r="EVC72" s="3"/>
      <c r="EVD72" s="3"/>
      <c r="EVE72" s="3"/>
      <c r="EVF72" s="3"/>
      <c r="EVG72" s="3"/>
      <c r="EVH72" s="3"/>
      <c r="EVI72" s="3"/>
      <c r="EVJ72" s="3"/>
      <c r="EVK72" s="3"/>
      <c r="EVL72" s="3"/>
      <c r="EVM72" s="3"/>
      <c r="EVN72" s="3"/>
      <c r="EVO72" s="3"/>
      <c r="EVP72" s="3"/>
      <c r="EVQ72" s="3"/>
      <c r="EVR72" s="3"/>
      <c r="EVS72" s="3"/>
      <c r="EVT72" s="3"/>
      <c r="EVU72" s="3"/>
      <c r="EVV72" s="3"/>
      <c r="EVW72" s="3"/>
      <c r="EVX72" s="3"/>
      <c r="EVY72" s="3"/>
      <c r="EVZ72" s="3"/>
      <c r="EWA72" s="3"/>
      <c r="EWB72" s="3"/>
      <c r="EWC72" s="3"/>
      <c r="EWD72" s="3"/>
      <c r="EWE72" s="3"/>
      <c r="EWF72" s="3"/>
      <c r="EWG72" s="3"/>
      <c r="EWH72" s="3"/>
      <c r="EWI72" s="3"/>
      <c r="EWJ72" s="3"/>
      <c r="EWK72" s="3"/>
      <c r="EWL72" s="3"/>
      <c r="EWM72" s="3"/>
      <c r="EWN72" s="3"/>
      <c r="EWO72" s="3"/>
      <c r="EWP72" s="3"/>
      <c r="EWQ72" s="3"/>
      <c r="EWR72" s="3"/>
      <c r="EWS72" s="3"/>
      <c r="EWT72" s="3"/>
      <c r="EWU72" s="3"/>
      <c r="EWV72" s="3"/>
      <c r="EWW72" s="3"/>
      <c r="EWX72" s="3"/>
      <c r="EWY72" s="3"/>
      <c r="EWZ72" s="3"/>
      <c r="EXA72" s="3"/>
      <c r="EXB72" s="3"/>
      <c r="EXC72" s="3"/>
      <c r="EXD72" s="3"/>
      <c r="EXE72" s="3"/>
      <c r="EXF72" s="3"/>
      <c r="EXG72" s="3"/>
      <c r="EXH72" s="3"/>
      <c r="EXI72" s="3"/>
      <c r="EXJ72" s="3"/>
      <c r="EXK72" s="3"/>
      <c r="EXL72" s="3"/>
      <c r="EXM72" s="3"/>
      <c r="EXN72" s="3"/>
      <c r="EXO72" s="3"/>
      <c r="EXP72" s="3"/>
      <c r="EXQ72" s="3"/>
      <c r="EXR72" s="3"/>
      <c r="EXS72" s="3"/>
      <c r="EXT72" s="3"/>
      <c r="EXU72" s="3"/>
      <c r="EXV72" s="3"/>
      <c r="EXW72" s="3"/>
      <c r="EXX72" s="3"/>
      <c r="EXY72" s="3"/>
      <c r="EXZ72" s="3"/>
      <c r="EYA72" s="3"/>
      <c r="EYB72" s="3"/>
      <c r="EYC72" s="3"/>
      <c r="EYD72" s="3"/>
      <c r="EYE72" s="3"/>
      <c r="EYF72" s="3"/>
      <c r="EYG72" s="3"/>
      <c r="EYH72" s="3"/>
      <c r="EYI72" s="3"/>
      <c r="EYJ72" s="3"/>
      <c r="EYK72" s="3"/>
      <c r="EYL72" s="3"/>
      <c r="EYM72" s="3"/>
      <c r="EYN72" s="3"/>
      <c r="EYO72" s="3"/>
      <c r="EYP72" s="3"/>
      <c r="EYQ72" s="3"/>
      <c r="EYR72" s="3"/>
      <c r="EYS72" s="3"/>
      <c r="EYT72" s="3"/>
      <c r="EYU72" s="3"/>
      <c r="EYV72" s="3"/>
      <c r="EYW72" s="3"/>
      <c r="EYX72" s="3"/>
      <c r="EYY72" s="3"/>
      <c r="EYZ72" s="3"/>
      <c r="EZA72" s="3"/>
      <c r="EZB72" s="3"/>
      <c r="EZC72" s="3"/>
      <c r="EZD72" s="3"/>
      <c r="EZE72" s="3"/>
      <c r="EZF72" s="3"/>
      <c r="EZG72" s="3"/>
      <c r="EZH72" s="3"/>
      <c r="EZI72" s="3"/>
      <c r="EZJ72" s="3"/>
      <c r="EZK72" s="3"/>
      <c r="EZL72" s="3"/>
      <c r="EZM72" s="3"/>
      <c r="EZN72" s="3"/>
      <c r="EZO72" s="3"/>
      <c r="EZP72" s="3"/>
      <c r="EZQ72" s="3"/>
      <c r="EZR72" s="3"/>
      <c r="EZS72" s="3"/>
      <c r="EZT72" s="3"/>
      <c r="EZU72" s="3"/>
      <c r="EZV72" s="3"/>
      <c r="EZW72" s="3"/>
      <c r="EZX72" s="3"/>
      <c r="EZY72" s="3"/>
      <c r="EZZ72" s="3"/>
      <c r="FAA72" s="3"/>
      <c r="FAB72" s="3"/>
      <c r="FAC72" s="3"/>
      <c r="FAD72" s="3"/>
      <c r="FAE72" s="3"/>
      <c r="FAF72" s="3"/>
      <c r="FAG72" s="3"/>
      <c r="FAH72" s="3"/>
      <c r="FAI72" s="3"/>
      <c r="FAJ72" s="3"/>
      <c r="FAK72" s="3"/>
      <c r="FAL72" s="3"/>
      <c r="FAM72" s="3"/>
      <c r="FAN72" s="3"/>
      <c r="FAO72" s="3"/>
      <c r="FAP72" s="3"/>
      <c r="FAQ72" s="3"/>
      <c r="FAR72" s="3"/>
      <c r="FAS72" s="3"/>
      <c r="FAT72" s="3"/>
      <c r="FAU72" s="3"/>
      <c r="FAV72" s="3"/>
      <c r="FAW72" s="3"/>
      <c r="FAX72" s="3"/>
      <c r="FAY72" s="3"/>
      <c r="FAZ72" s="3"/>
      <c r="FBA72" s="3"/>
      <c r="FBB72" s="3"/>
      <c r="FBC72" s="3"/>
      <c r="FBD72" s="3"/>
      <c r="FBE72" s="3"/>
      <c r="FBF72" s="3"/>
      <c r="FBG72" s="3"/>
      <c r="FBH72" s="3"/>
      <c r="FBI72" s="3"/>
      <c r="FBJ72" s="3"/>
      <c r="FBK72" s="3"/>
      <c r="FBL72" s="3"/>
      <c r="FBM72" s="3"/>
      <c r="FBN72" s="3"/>
      <c r="FBO72" s="3"/>
      <c r="FBP72" s="3"/>
      <c r="FBQ72" s="3"/>
      <c r="FBR72" s="3"/>
      <c r="FBS72" s="3"/>
      <c r="FBT72" s="3"/>
      <c r="FBU72" s="3"/>
      <c r="FBV72" s="3"/>
      <c r="FBW72" s="3"/>
      <c r="FBX72" s="3"/>
      <c r="FBY72" s="3"/>
      <c r="FBZ72" s="3"/>
      <c r="FCA72" s="3"/>
      <c r="FCB72" s="3"/>
      <c r="FCC72" s="3"/>
      <c r="FCD72" s="3"/>
      <c r="FCE72" s="3"/>
      <c r="FCF72" s="3"/>
      <c r="FCG72" s="3"/>
      <c r="FCH72" s="3"/>
      <c r="FCI72" s="3"/>
      <c r="FCJ72" s="3"/>
      <c r="FCK72" s="3"/>
      <c r="FCL72" s="3"/>
      <c r="FCM72" s="3"/>
      <c r="FCN72" s="3"/>
      <c r="FCO72" s="3"/>
      <c r="FCP72" s="3"/>
      <c r="FCQ72" s="3"/>
      <c r="FCR72" s="3"/>
      <c r="FCS72" s="3"/>
      <c r="FCT72" s="3"/>
      <c r="FCU72" s="3"/>
      <c r="FCV72" s="3"/>
      <c r="FCW72" s="3"/>
      <c r="FCX72" s="3"/>
      <c r="FCY72" s="3"/>
      <c r="FCZ72" s="3"/>
      <c r="FDA72" s="3"/>
      <c r="FDB72" s="3"/>
      <c r="FDC72" s="3"/>
      <c r="FDD72" s="3"/>
      <c r="FDE72" s="3"/>
      <c r="FDF72" s="3"/>
      <c r="FDG72" s="3"/>
      <c r="FDH72" s="3"/>
      <c r="FDI72" s="3"/>
      <c r="FDJ72" s="3"/>
      <c r="FDK72" s="3"/>
      <c r="FDL72" s="3"/>
      <c r="FDM72" s="3"/>
      <c r="FDN72" s="3"/>
      <c r="FDO72" s="3"/>
      <c r="FDP72" s="3"/>
      <c r="FDQ72" s="3"/>
      <c r="FDR72" s="3"/>
      <c r="FDS72" s="3"/>
      <c r="FDT72" s="3"/>
      <c r="FDU72" s="3"/>
      <c r="FDV72" s="3"/>
      <c r="FDW72" s="3"/>
      <c r="FDX72" s="3"/>
      <c r="FDY72" s="3"/>
      <c r="FDZ72" s="3"/>
      <c r="FEA72" s="3"/>
      <c r="FEB72" s="3"/>
      <c r="FEC72" s="3"/>
      <c r="FED72" s="3"/>
      <c r="FEE72" s="3"/>
      <c r="FEF72" s="3"/>
      <c r="FEG72" s="3"/>
      <c r="FEH72" s="3"/>
      <c r="FEI72" s="3"/>
      <c r="FEJ72" s="3"/>
      <c r="FEK72" s="3"/>
      <c r="FEL72" s="3"/>
      <c r="FEM72" s="3"/>
      <c r="FEN72" s="3"/>
      <c r="FEO72" s="3"/>
      <c r="FEP72" s="3"/>
      <c r="FEQ72" s="3"/>
      <c r="FER72" s="3"/>
      <c r="FES72" s="3"/>
      <c r="FET72" s="3"/>
      <c r="FEU72" s="3"/>
      <c r="FEV72" s="3"/>
      <c r="FEW72" s="3"/>
      <c r="FEX72" s="3"/>
      <c r="FEY72" s="3"/>
      <c r="FEZ72" s="3"/>
      <c r="FFA72" s="3"/>
      <c r="FFB72" s="3"/>
      <c r="FFC72" s="3"/>
      <c r="FFD72" s="3"/>
      <c r="FFE72" s="3"/>
      <c r="FFF72" s="3"/>
      <c r="FFG72" s="3"/>
      <c r="FFH72" s="3"/>
      <c r="FFI72" s="3"/>
      <c r="FFJ72" s="3"/>
      <c r="FFK72" s="3"/>
      <c r="FFL72" s="3"/>
      <c r="FFM72" s="3"/>
      <c r="FFN72" s="3"/>
      <c r="FFO72" s="3"/>
      <c r="FFP72" s="3"/>
      <c r="FFQ72" s="3"/>
      <c r="FFR72" s="3"/>
      <c r="FFS72" s="3"/>
      <c r="FFT72" s="3"/>
      <c r="FFU72" s="3"/>
      <c r="FFV72" s="3"/>
      <c r="FFW72" s="3"/>
      <c r="FFX72" s="3"/>
      <c r="FFY72" s="3"/>
      <c r="FFZ72" s="3"/>
      <c r="FGA72" s="3"/>
      <c r="FGB72" s="3"/>
      <c r="FGC72" s="3"/>
      <c r="FGD72" s="3"/>
      <c r="FGE72" s="3"/>
      <c r="FGF72" s="3"/>
      <c r="FGG72" s="3"/>
      <c r="FGH72" s="3"/>
      <c r="FGI72" s="3"/>
      <c r="FGJ72" s="3"/>
      <c r="FGK72" s="3"/>
      <c r="FGL72" s="3"/>
      <c r="FGM72" s="3"/>
      <c r="FGN72" s="3"/>
      <c r="FGO72" s="3"/>
      <c r="FGP72" s="3"/>
      <c r="FGQ72" s="3"/>
      <c r="FGR72" s="3"/>
      <c r="FGS72" s="3"/>
      <c r="FGT72" s="3"/>
      <c r="FGU72" s="3"/>
      <c r="FGV72" s="3"/>
      <c r="FGW72" s="3"/>
      <c r="FGX72" s="3"/>
      <c r="FGY72" s="3"/>
      <c r="FGZ72" s="3"/>
      <c r="FHA72" s="3"/>
      <c r="FHB72" s="3"/>
      <c r="FHC72" s="3"/>
      <c r="FHD72" s="3"/>
      <c r="FHE72" s="3"/>
      <c r="FHF72" s="3"/>
      <c r="FHG72" s="3"/>
      <c r="FHH72" s="3"/>
      <c r="FHI72" s="3"/>
      <c r="FHJ72" s="3"/>
      <c r="FHK72" s="3"/>
      <c r="FHL72" s="3"/>
      <c r="FHM72" s="3"/>
      <c r="FHN72" s="3"/>
      <c r="FHO72" s="3"/>
      <c r="FHP72" s="3"/>
      <c r="FHQ72" s="3"/>
      <c r="FHR72" s="3"/>
      <c r="FHS72" s="3"/>
      <c r="FHT72" s="3"/>
      <c r="FHU72" s="3"/>
      <c r="FHV72" s="3"/>
      <c r="FHW72" s="3"/>
      <c r="FHX72" s="3"/>
      <c r="FHY72" s="3"/>
      <c r="FHZ72" s="3"/>
      <c r="FIA72" s="3"/>
      <c r="FIB72" s="3"/>
      <c r="FIC72" s="3"/>
      <c r="FID72" s="3"/>
      <c r="FIE72" s="3"/>
      <c r="FIF72" s="3"/>
      <c r="FIG72" s="3"/>
      <c r="FIH72" s="3"/>
      <c r="FII72" s="3"/>
      <c r="FIJ72" s="3"/>
      <c r="FIK72" s="3"/>
      <c r="FIL72" s="3"/>
      <c r="FIM72" s="3"/>
      <c r="FIN72" s="3"/>
      <c r="FIO72" s="3"/>
      <c r="FIP72" s="3"/>
      <c r="FIQ72" s="3"/>
      <c r="FIR72" s="3"/>
      <c r="FIS72" s="3"/>
      <c r="FIT72" s="3"/>
      <c r="FIU72" s="3"/>
      <c r="FIV72" s="3"/>
      <c r="FIW72" s="3"/>
      <c r="FIX72" s="3"/>
      <c r="FIY72" s="3"/>
      <c r="FIZ72" s="3"/>
      <c r="FJA72" s="3"/>
      <c r="FJB72" s="3"/>
      <c r="FJC72" s="3"/>
      <c r="FJD72" s="3"/>
      <c r="FJE72" s="3"/>
      <c r="FJF72" s="3"/>
      <c r="FJG72" s="3"/>
      <c r="FJH72" s="3"/>
      <c r="FJI72" s="3"/>
      <c r="FJJ72" s="3"/>
      <c r="FJK72" s="3"/>
      <c r="FJL72" s="3"/>
      <c r="FJM72" s="3"/>
      <c r="FJN72" s="3"/>
      <c r="FJO72" s="3"/>
      <c r="FJP72" s="3"/>
      <c r="FJQ72" s="3"/>
      <c r="FJR72" s="3"/>
      <c r="FJS72" s="3"/>
      <c r="FJT72" s="3"/>
      <c r="FJU72" s="3"/>
      <c r="FJV72" s="3"/>
      <c r="FJW72" s="3"/>
      <c r="FJX72" s="3"/>
      <c r="FJY72" s="3"/>
      <c r="FJZ72" s="3"/>
      <c r="FKA72" s="3"/>
      <c r="FKB72" s="3"/>
      <c r="FKC72" s="3"/>
      <c r="FKD72" s="3"/>
      <c r="FKE72" s="3"/>
      <c r="FKF72" s="3"/>
      <c r="FKG72" s="3"/>
      <c r="FKH72" s="3"/>
      <c r="FKI72" s="3"/>
      <c r="FKJ72" s="3"/>
      <c r="FKK72" s="3"/>
      <c r="FKL72" s="3"/>
      <c r="FKM72" s="3"/>
      <c r="FKN72" s="3"/>
      <c r="FKO72" s="3"/>
      <c r="FKP72" s="3"/>
      <c r="FKQ72" s="3"/>
      <c r="FKR72" s="3"/>
      <c r="FKS72" s="3"/>
      <c r="FKT72" s="3"/>
      <c r="FKU72" s="3"/>
      <c r="FKV72" s="3"/>
      <c r="FKW72" s="3"/>
      <c r="FKX72" s="3"/>
      <c r="FKY72" s="3"/>
      <c r="FKZ72" s="3"/>
      <c r="FLA72" s="3"/>
      <c r="FLB72" s="3"/>
      <c r="FLC72" s="3"/>
      <c r="FLD72" s="3"/>
      <c r="FLE72" s="3"/>
      <c r="FLF72" s="3"/>
      <c r="FLG72" s="3"/>
      <c r="FLH72" s="3"/>
      <c r="FLI72" s="3"/>
      <c r="FLJ72" s="3"/>
      <c r="FLK72" s="3"/>
      <c r="FLL72" s="3"/>
      <c r="FLM72" s="3"/>
      <c r="FLN72" s="3"/>
      <c r="FLO72" s="3"/>
      <c r="FLP72" s="3"/>
      <c r="FLQ72" s="3"/>
      <c r="FLR72" s="3"/>
      <c r="FLS72" s="3"/>
      <c r="FLT72" s="3"/>
      <c r="FLU72" s="3"/>
      <c r="FLV72" s="3"/>
      <c r="FLW72" s="3"/>
      <c r="FLX72" s="3"/>
      <c r="FLY72" s="3"/>
      <c r="FLZ72" s="3"/>
      <c r="FMA72" s="3"/>
      <c r="FMB72" s="3"/>
      <c r="FMC72" s="3"/>
      <c r="FMD72" s="3"/>
      <c r="FME72" s="3"/>
      <c r="FMF72" s="3"/>
      <c r="FMG72" s="3"/>
      <c r="FMH72" s="3"/>
      <c r="FMI72" s="3"/>
      <c r="FMJ72" s="3"/>
      <c r="FMK72" s="3"/>
      <c r="FML72" s="3"/>
      <c r="FMM72" s="3"/>
      <c r="FMN72" s="3"/>
      <c r="FMO72" s="3"/>
      <c r="FMP72" s="3"/>
      <c r="FMQ72" s="3"/>
      <c r="FMR72" s="3"/>
      <c r="FMS72" s="3"/>
      <c r="FMT72" s="3"/>
      <c r="FMU72" s="3"/>
      <c r="FMV72" s="3"/>
      <c r="FMW72" s="3"/>
      <c r="FMX72" s="3"/>
      <c r="FMY72" s="3"/>
      <c r="FMZ72" s="3"/>
      <c r="FNA72" s="3"/>
      <c r="FNB72" s="3"/>
      <c r="FNC72" s="3"/>
      <c r="FND72" s="3"/>
      <c r="FNE72" s="3"/>
      <c r="FNF72" s="3"/>
      <c r="FNG72" s="3"/>
      <c r="FNH72" s="3"/>
      <c r="FNI72" s="3"/>
      <c r="FNJ72" s="3"/>
      <c r="FNK72" s="3"/>
      <c r="FNL72" s="3"/>
      <c r="FNM72" s="3"/>
      <c r="FNN72" s="3"/>
      <c r="FNO72" s="3"/>
      <c r="FNP72" s="3"/>
      <c r="FNQ72" s="3"/>
      <c r="FNR72" s="3"/>
      <c r="FNS72" s="3"/>
      <c r="FNT72" s="3"/>
      <c r="FNU72" s="3"/>
      <c r="FNV72" s="3"/>
      <c r="FNW72" s="3"/>
      <c r="FNX72" s="3"/>
      <c r="FNY72" s="3"/>
      <c r="FNZ72" s="3"/>
      <c r="FOA72" s="3"/>
      <c r="FOB72" s="3"/>
      <c r="FOC72" s="3"/>
      <c r="FOD72" s="3"/>
      <c r="FOE72" s="3"/>
      <c r="FOF72" s="3"/>
      <c r="FOG72" s="3"/>
      <c r="FOH72" s="3"/>
      <c r="FOI72" s="3"/>
      <c r="FOJ72" s="3"/>
      <c r="FOK72" s="3"/>
      <c r="FOL72" s="3"/>
      <c r="FOM72" s="3"/>
      <c r="FON72" s="3"/>
      <c r="FOO72" s="3"/>
      <c r="FOP72" s="3"/>
      <c r="FOQ72" s="3"/>
      <c r="FOR72" s="3"/>
      <c r="FOS72" s="3"/>
      <c r="FOT72" s="3"/>
      <c r="FOU72" s="3"/>
      <c r="FOV72" s="3"/>
      <c r="FOW72" s="3"/>
      <c r="FOX72" s="3"/>
      <c r="FOY72" s="3"/>
      <c r="FOZ72" s="3"/>
      <c r="FPA72" s="3"/>
      <c r="FPB72" s="3"/>
      <c r="FPC72" s="3"/>
      <c r="FPD72" s="3"/>
      <c r="FPE72" s="3"/>
      <c r="FPF72" s="3"/>
      <c r="FPG72" s="3"/>
      <c r="FPH72" s="3"/>
      <c r="FPI72" s="3"/>
      <c r="FPJ72" s="3"/>
      <c r="FPK72" s="3"/>
      <c r="FPL72" s="3"/>
      <c r="FPM72" s="3"/>
      <c r="FPN72" s="3"/>
      <c r="FPO72" s="3"/>
      <c r="FPP72" s="3"/>
      <c r="FPQ72" s="3"/>
      <c r="FPR72" s="3"/>
      <c r="FPS72" s="3"/>
      <c r="FPT72" s="3"/>
      <c r="FPU72" s="3"/>
      <c r="FPV72" s="3"/>
      <c r="FPW72" s="3"/>
      <c r="FPX72" s="3"/>
      <c r="FPY72" s="3"/>
      <c r="FPZ72" s="3"/>
      <c r="FQA72" s="3"/>
      <c r="FQB72" s="3"/>
      <c r="FQC72" s="3"/>
      <c r="FQD72" s="3"/>
      <c r="FQE72" s="3"/>
      <c r="FQF72" s="3"/>
      <c r="FQG72" s="3"/>
      <c r="FQH72" s="3"/>
      <c r="FQI72" s="3"/>
      <c r="FQJ72" s="3"/>
      <c r="FQK72" s="3"/>
      <c r="FQL72" s="3"/>
      <c r="FQM72" s="3"/>
      <c r="FQN72" s="3"/>
      <c r="FQO72" s="3"/>
      <c r="FQP72" s="3"/>
      <c r="FQQ72" s="3"/>
      <c r="FQR72" s="3"/>
      <c r="FQS72" s="3"/>
      <c r="FQT72" s="3"/>
      <c r="FQU72" s="3"/>
      <c r="FQV72" s="3"/>
      <c r="FQW72" s="3"/>
      <c r="FQX72" s="3"/>
      <c r="FQY72" s="3"/>
      <c r="FQZ72" s="3"/>
      <c r="FRA72" s="3"/>
      <c r="FRB72" s="3"/>
      <c r="FRC72" s="3"/>
      <c r="FRD72" s="3"/>
      <c r="FRE72" s="3"/>
      <c r="FRF72" s="3"/>
      <c r="FRG72" s="3"/>
      <c r="FRH72" s="3"/>
      <c r="FRI72" s="3"/>
      <c r="FRJ72" s="3"/>
      <c r="FRK72" s="3"/>
      <c r="FRL72" s="3"/>
      <c r="FRM72" s="3"/>
      <c r="FRN72" s="3"/>
      <c r="FRO72" s="3"/>
      <c r="FRP72" s="3"/>
      <c r="FRQ72" s="3"/>
      <c r="FRR72" s="3"/>
      <c r="FRS72" s="3"/>
      <c r="FRT72" s="3"/>
      <c r="FRU72" s="3"/>
      <c r="FRV72" s="3"/>
      <c r="FRW72" s="3"/>
      <c r="FRX72" s="3"/>
      <c r="FRY72" s="3"/>
      <c r="FRZ72" s="3"/>
      <c r="FSA72" s="3"/>
      <c r="FSB72" s="3"/>
      <c r="FSC72" s="3"/>
      <c r="FSD72" s="3"/>
      <c r="FSE72" s="3"/>
      <c r="FSF72" s="3"/>
      <c r="FSG72" s="3"/>
      <c r="FSH72" s="3"/>
      <c r="FSI72" s="3"/>
      <c r="FSJ72" s="3"/>
      <c r="FSK72" s="3"/>
      <c r="FSL72" s="3"/>
      <c r="FSM72" s="3"/>
      <c r="FSN72" s="3"/>
      <c r="FSO72" s="3"/>
      <c r="FSP72" s="3"/>
      <c r="FSQ72" s="3"/>
      <c r="FSR72" s="3"/>
      <c r="FSS72" s="3"/>
      <c r="FST72" s="3"/>
      <c r="FSU72" s="3"/>
      <c r="FSV72" s="3"/>
      <c r="FSW72" s="3"/>
      <c r="FSX72" s="3"/>
      <c r="FSY72" s="3"/>
      <c r="FSZ72" s="3"/>
      <c r="FTA72" s="3"/>
      <c r="FTB72" s="3"/>
      <c r="FTC72" s="3"/>
      <c r="FTD72" s="3"/>
      <c r="FTE72" s="3"/>
      <c r="FTF72" s="3"/>
      <c r="FTG72" s="3"/>
      <c r="FTH72" s="3"/>
      <c r="FTI72" s="3"/>
      <c r="FTJ72" s="3"/>
      <c r="FTK72" s="3"/>
      <c r="FTL72" s="3"/>
      <c r="FTM72" s="3"/>
      <c r="FTN72" s="3"/>
      <c r="FTO72" s="3"/>
      <c r="FTP72" s="3"/>
      <c r="FTQ72" s="3"/>
      <c r="FTR72" s="3"/>
      <c r="FTS72" s="3"/>
      <c r="FTT72" s="3"/>
      <c r="FTU72" s="3"/>
      <c r="FTV72" s="3"/>
      <c r="FTW72" s="3"/>
      <c r="FTX72" s="3"/>
      <c r="FTY72" s="3"/>
      <c r="FTZ72" s="3"/>
      <c r="FUA72" s="3"/>
      <c r="FUB72" s="3"/>
      <c r="FUC72" s="3"/>
      <c r="FUD72" s="3"/>
      <c r="FUE72" s="3"/>
      <c r="FUF72" s="3"/>
      <c r="FUG72" s="3"/>
      <c r="FUH72" s="3"/>
      <c r="FUI72" s="3"/>
      <c r="FUJ72" s="3"/>
      <c r="FUK72" s="3"/>
      <c r="FUL72" s="3"/>
      <c r="FUM72" s="3"/>
      <c r="FUN72" s="3"/>
      <c r="FUO72" s="3"/>
      <c r="FUP72" s="3"/>
      <c r="FUQ72" s="3"/>
      <c r="FUR72" s="3"/>
      <c r="FUS72" s="3"/>
      <c r="FUT72" s="3"/>
      <c r="FUU72" s="3"/>
      <c r="FUV72" s="3"/>
      <c r="FUW72" s="3"/>
      <c r="FUX72" s="3"/>
      <c r="FUY72" s="3"/>
      <c r="FUZ72" s="3"/>
      <c r="FVA72" s="3"/>
      <c r="FVB72" s="3"/>
      <c r="FVC72" s="3"/>
      <c r="FVD72" s="3"/>
      <c r="FVE72" s="3"/>
      <c r="FVF72" s="3"/>
      <c r="FVG72" s="3"/>
      <c r="FVH72" s="3"/>
      <c r="FVI72" s="3"/>
      <c r="FVJ72" s="3"/>
      <c r="FVK72" s="3"/>
      <c r="FVL72" s="3"/>
      <c r="FVM72" s="3"/>
      <c r="FVN72" s="3"/>
      <c r="FVO72" s="3"/>
      <c r="FVP72" s="3"/>
      <c r="FVQ72" s="3"/>
      <c r="FVR72" s="3"/>
      <c r="FVS72" s="3"/>
      <c r="FVT72" s="3"/>
      <c r="FVU72" s="3"/>
      <c r="FVV72" s="3"/>
      <c r="FVW72" s="3"/>
      <c r="FVX72" s="3"/>
      <c r="FVY72" s="3"/>
      <c r="FVZ72" s="3"/>
      <c r="FWA72" s="3"/>
      <c r="FWB72" s="3"/>
      <c r="FWC72" s="3"/>
      <c r="FWD72" s="3"/>
      <c r="FWE72" s="3"/>
      <c r="FWF72" s="3"/>
      <c r="FWG72" s="3"/>
      <c r="FWH72" s="3"/>
      <c r="FWI72" s="3"/>
      <c r="FWJ72" s="3"/>
      <c r="FWK72" s="3"/>
      <c r="FWL72" s="3"/>
      <c r="FWM72" s="3"/>
      <c r="FWN72" s="3"/>
      <c r="FWO72" s="3"/>
      <c r="FWP72" s="3"/>
      <c r="FWQ72" s="3"/>
      <c r="FWR72" s="3"/>
      <c r="FWS72" s="3"/>
      <c r="FWT72" s="3"/>
      <c r="FWU72" s="3"/>
      <c r="FWV72" s="3"/>
      <c r="FWW72" s="3"/>
      <c r="FWX72" s="3"/>
      <c r="FWY72" s="3"/>
      <c r="FWZ72" s="3"/>
      <c r="FXA72" s="3"/>
      <c r="FXB72" s="3"/>
      <c r="FXC72" s="3"/>
      <c r="FXD72" s="3"/>
      <c r="FXE72" s="3"/>
      <c r="FXF72" s="3"/>
      <c r="FXG72" s="3"/>
      <c r="FXH72" s="3"/>
      <c r="FXI72" s="3"/>
      <c r="FXJ72" s="3"/>
      <c r="FXK72" s="3"/>
      <c r="FXL72" s="3"/>
      <c r="FXM72" s="3"/>
      <c r="FXN72" s="3"/>
      <c r="FXO72" s="3"/>
      <c r="FXP72" s="3"/>
      <c r="FXQ72" s="3"/>
      <c r="FXR72" s="3"/>
      <c r="FXS72" s="3"/>
      <c r="FXT72" s="3"/>
      <c r="FXU72" s="3"/>
      <c r="FXV72" s="3"/>
      <c r="FXW72" s="3"/>
      <c r="FXX72" s="3"/>
      <c r="FXY72" s="3"/>
      <c r="FXZ72" s="3"/>
      <c r="FYA72" s="3"/>
      <c r="FYB72" s="3"/>
      <c r="FYC72" s="3"/>
      <c r="FYD72" s="3"/>
      <c r="FYE72" s="3"/>
      <c r="FYF72" s="3"/>
      <c r="FYG72" s="3"/>
      <c r="FYH72" s="3"/>
      <c r="FYI72" s="3"/>
      <c r="FYJ72" s="3"/>
      <c r="FYK72" s="3"/>
      <c r="FYL72" s="3"/>
      <c r="FYM72" s="3"/>
      <c r="FYN72" s="3"/>
      <c r="FYO72" s="3"/>
      <c r="FYP72" s="3"/>
      <c r="FYQ72" s="3"/>
      <c r="FYR72" s="3"/>
      <c r="FYS72" s="3"/>
      <c r="FYT72" s="3"/>
      <c r="FYU72" s="3"/>
      <c r="FYV72" s="3"/>
      <c r="FYW72" s="3"/>
      <c r="FYX72" s="3"/>
      <c r="FYY72" s="3"/>
      <c r="FYZ72" s="3"/>
      <c r="FZA72" s="3"/>
      <c r="FZB72" s="3"/>
      <c r="FZC72" s="3"/>
      <c r="FZD72" s="3"/>
      <c r="FZE72" s="3"/>
      <c r="FZF72" s="3"/>
      <c r="FZG72" s="3"/>
      <c r="FZH72" s="3"/>
      <c r="FZI72" s="3"/>
      <c r="FZJ72" s="3"/>
      <c r="FZK72" s="3"/>
      <c r="FZL72" s="3"/>
      <c r="FZM72" s="3"/>
      <c r="FZN72" s="3"/>
      <c r="FZO72" s="3"/>
      <c r="FZP72" s="3"/>
      <c r="FZQ72" s="3"/>
      <c r="FZR72" s="3"/>
      <c r="FZS72" s="3"/>
      <c r="FZT72" s="3"/>
      <c r="FZU72" s="3"/>
      <c r="FZV72" s="3"/>
      <c r="FZW72" s="3"/>
      <c r="FZX72" s="3"/>
      <c r="FZY72" s="3"/>
      <c r="FZZ72" s="3"/>
      <c r="GAA72" s="3"/>
      <c r="GAB72" s="3"/>
      <c r="GAC72" s="3"/>
      <c r="GAD72" s="3"/>
      <c r="GAE72" s="3"/>
      <c r="GAF72" s="3"/>
      <c r="GAG72" s="3"/>
      <c r="GAH72" s="3"/>
      <c r="GAI72" s="3"/>
      <c r="GAJ72" s="3"/>
      <c r="GAK72" s="3"/>
      <c r="GAL72" s="3"/>
      <c r="GAM72" s="3"/>
      <c r="GAN72" s="3"/>
      <c r="GAO72" s="3"/>
      <c r="GAP72" s="3"/>
      <c r="GAQ72" s="3"/>
      <c r="GAR72" s="3"/>
      <c r="GAS72" s="3"/>
      <c r="GAT72" s="3"/>
      <c r="GAU72" s="3"/>
      <c r="GAV72" s="3"/>
      <c r="GAW72" s="3"/>
      <c r="GAX72" s="3"/>
      <c r="GAY72" s="3"/>
      <c r="GAZ72" s="3"/>
      <c r="GBA72" s="3"/>
      <c r="GBB72" s="3"/>
      <c r="GBC72" s="3"/>
      <c r="GBD72" s="3"/>
      <c r="GBE72" s="3"/>
      <c r="GBF72" s="3"/>
      <c r="GBG72" s="3"/>
      <c r="GBH72" s="3"/>
      <c r="GBI72" s="3"/>
      <c r="GBJ72" s="3"/>
      <c r="GBK72" s="3"/>
      <c r="GBL72" s="3"/>
      <c r="GBM72" s="3"/>
      <c r="GBN72" s="3"/>
      <c r="GBO72" s="3"/>
      <c r="GBP72" s="3"/>
      <c r="GBQ72" s="3"/>
      <c r="GBR72" s="3"/>
      <c r="GBS72" s="3"/>
      <c r="GBT72" s="3"/>
      <c r="GBU72" s="3"/>
      <c r="GBV72" s="3"/>
      <c r="GBW72" s="3"/>
      <c r="GBX72" s="3"/>
      <c r="GBY72" s="3"/>
      <c r="GBZ72" s="3"/>
      <c r="GCA72" s="3"/>
      <c r="GCB72" s="3"/>
      <c r="GCC72" s="3"/>
      <c r="GCD72" s="3"/>
      <c r="GCE72" s="3"/>
      <c r="GCF72" s="3"/>
      <c r="GCG72" s="3"/>
      <c r="GCH72" s="3"/>
      <c r="GCI72" s="3"/>
      <c r="GCJ72" s="3"/>
      <c r="GCK72" s="3"/>
      <c r="GCL72" s="3"/>
      <c r="GCM72" s="3"/>
      <c r="GCN72" s="3"/>
      <c r="GCO72" s="3"/>
      <c r="GCP72" s="3"/>
      <c r="GCQ72" s="3"/>
      <c r="GCR72" s="3"/>
      <c r="GCS72" s="3"/>
      <c r="GCT72" s="3"/>
      <c r="GCU72" s="3"/>
      <c r="GCV72" s="3"/>
      <c r="GCW72" s="3"/>
      <c r="GCX72" s="3"/>
      <c r="GCY72" s="3"/>
      <c r="GCZ72" s="3"/>
      <c r="GDA72" s="3"/>
      <c r="GDB72" s="3"/>
      <c r="GDC72" s="3"/>
      <c r="GDD72" s="3"/>
      <c r="GDE72" s="3"/>
      <c r="GDF72" s="3"/>
      <c r="GDG72" s="3"/>
      <c r="GDH72" s="3"/>
      <c r="GDI72" s="3"/>
      <c r="GDJ72" s="3"/>
      <c r="GDK72" s="3"/>
      <c r="GDL72" s="3"/>
      <c r="GDM72" s="3"/>
      <c r="GDN72" s="3"/>
      <c r="GDO72" s="3"/>
      <c r="GDP72" s="3"/>
      <c r="GDQ72" s="3"/>
      <c r="GDR72" s="3"/>
      <c r="GDS72" s="3"/>
      <c r="GDT72" s="3"/>
      <c r="GDU72" s="3"/>
      <c r="GDV72" s="3"/>
      <c r="GDW72" s="3"/>
      <c r="GDX72" s="3"/>
      <c r="GDY72" s="3"/>
      <c r="GDZ72" s="3"/>
      <c r="GEA72" s="3"/>
      <c r="GEB72" s="3"/>
      <c r="GEC72" s="3"/>
      <c r="GED72" s="3"/>
      <c r="GEE72" s="3"/>
      <c r="GEF72" s="3"/>
      <c r="GEG72" s="3"/>
      <c r="GEH72" s="3"/>
      <c r="GEI72" s="3"/>
      <c r="GEJ72" s="3"/>
      <c r="GEK72" s="3"/>
      <c r="GEL72" s="3"/>
      <c r="GEM72" s="3"/>
      <c r="GEN72" s="3"/>
      <c r="GEO72" s="3"/>
      <c r="GEP72" s="3"/>
      <c r="GEQ72" s="3"/>
      <c r="GER72" s="3"/>
      <c r="GES72" s="3"/>
      <c r="GET72" s="3"/>
      <c r="GEU72" s="3"/>
      <c r="GEV72" s="3"/>
      <c r="GEW72" s="3"/>
      <c r="GEX72" s="3"/>
      <c r="GEY72" s="3"/>
      <c r="GEZ72" s="3"/>
      <c r="GFA72" s="3"/>
      <c r="GFB72" s="3"/>
      <c r="GFC72" s="3"/>
      <c r="GFD72" s="3"/>
      <c r="GFE72" s="3"/>
      <c r="GFF72" s="3"/>
      <c r="GFG72" s="3"/>
      <c r="GFH72" s="3"/>
      <c r="GFI72" s="3"/>
      <c r="GFJ72" s="3"/>
      <c r="GFK72" s="3"/>
      <c r="GFL72" s="3"/>
      <c r="GFM72" s="3"/>
      <c r="GFN72" s="3"/>
      <c r="GFO72" s="3"/>
      <c r="GFP72" s="3"/>
      <c r="GFQ72" s="3"/>
      <c r="GFR72" s="3"/>
      <c r="GFS72" s="3"/>
      <c r="GFT72" s="3"/>
      <c r="GFU72" s="3"/>
      <c r="GFV72" s="3"/>
      <c r="GFW72" s="3"/>
      <c r="GFX72" s="3"/>
      <c r="GFY72" s="3"/>
      <c r="GFZ72" s="3"/>
      <c r="GGA72" s="3"/>
      <c r="GGB72" s="3"/>
      <c r="GGC72" s="3"/>
      <c r="GGD72" s="3"/>
      <c r="GGE72" s="3"/>
      <c r="GGF72" s="3"/>
      <c r="GGG72" s="3"/>
      <c r="GGH72" s="3"/>
      <c r="GGI72" s="3"/>
      <c r="GGJ72" s="3"/>
      <c r="GGK72" s="3"/>
      <c r="GGL72" s="3"/>
      <c r="GGM72" s="3"/>
      <c r="GGN72" s="3"/>
      <c r="GGO72" s="3"/>
      <c r="GGP72" s="3"/>
      <c r="GGQ72" s="3"/>
      <c r="GGR72" s="3"/>
      <c r="GGS72" s="3"/>
      <c r="GGT72" s="3"/>
      <c r="GGU72" s="3"/>
      <c r="GGV72" s="3"/>
      <c r="GGW72" s="3"/>
      <c r="GGX72" s="3"/>
      <c r="GGY72" s="3"/>
      <c r="GGZ72" s="3"/>
      <c r="GHA72" s="3"/>
      <c r="GHB72" s="3"/>
      <c r="GHC72" s="3"/>
      <c r="GHD72" s="3"/>
      <c r="GHE72" s="3"/>
      <c r="GHF72" s="3"/>
      <c r="GHG72" s="3"/>
      <c r="GHH72" s="3"/>
      <c r="GHI72" s="3"/>
      <c r="GHJ72" s="3"/>
      <c r="GHK72" s="3"/>
      <c r="GHL72" s="3"/>
      <c r="GHM72" s="3"/>
      <c r="GHN72" s="3"/>
      <c r="GHO72" s="3"/>
      <c r="GHP72" s="3"/>
      <c r="GHQ72" s="3"/>
      <c r="GHR72" s="3"/>
      <c r="GHS72" s="3"/>
      <c r="GHT72" s="3"/>
      <c r="GHU72" s="3"/>
      <c r="GHV72" s="3"/>
      <c r="GHW72" s="3"/>
      <c r="GHX72" s="3"/>
      <c r="GHY72" s="3"/>
      <c r="GHZ72" s="3"/>
      <c r="GIA72" s="3"/>
      <c r="GIB72" s="3"/>
      <c r="GIC72" s="3"/>
      <c r="GID72" s="3"/>
      <c r="GIE72" s="3"/>
      <c r="GIF72" s="3"/>
      <c r="GIG72" s="3"/>
      <c r="GIH72" s="3"/>
      <c r="GII72" s="3"/>
      <c r="GIJ72" s="3"/>
      <c r="GIK72" s="3"/>
      <c r="GIL72" s="3"/>
      <c r="GIM72" s="3"/>
      <c r="GIN72" s="3"/>
      <c r="GIO72" s="3"/>
      <c r="GIP72" s="3"/>
      <c r="GIQ72" s="3"/>
      <c r="GIR72" s="3"/>
      <c r="GIS72" s="3"/>
      <c r="GIT72" s="3"/>
      <c r="GIU72" s="3"/>
      <c r="GIV72" s="3"/>
      <c r="GIW72" s="3"/>
      <c r="GIX72" s="3"/>
      <c r="GIY72" s="3"/>
      <c r="GIZ72" s="3"/>
      <c r="GJA72" s="3"/>
      <c r="GJB72" s="3"/>
      <c r="GJC72" s="3"/>
      <c r="GJD72" s="3"/>
      <c r="GJE72" s="3"/>
      <c r="GJF72" s="3"/>
      <c r="GJG72" s="3"/>
      <c r="GJH72" s="3"/>
      <c r="GJI72" s="3"/>
      <c r="GJJ72" s="3"/>
      <c r="GJK72" s="3"/>
      <c r="GJL72" s="3"/>
      <c r="GJM72" s="3"/>
      <c r="GJN72" s="3"/>
      <c r="GJO72" s="3"/>
      <c r="GJP72" s="3"/>
      <c r="GJQ72" s="3"/>
      <c r="GJR72" s="3"/>
      <c r="GJS72" s="3"/>
      <c r="GJT72" s="3"/>
      <c r="GJU72" s="3"/>
      <c r="GJV72" s="3"/>
      <c r="GJW72" s="3"/>
      <c r="GJX72" s="3"/>
      <c r="GJY72" s="3"/>
      <c r="GJZ72" s="3"/>
      <c r="GKA72" s="3"/>
      <c r="GKB72" s="3"/>
      <c r="GKC72" s="3"/>
      <c r="GKD72" s="3"/>
      <c r="GKE72" s="3"/>
      <c r="GKF72" s="3"/>
      <c r="GKG72" s="3"/>
      <c r="GKH72" s="3"/>
      <c r="GKI72" s="3"/>
      <c r="GKJ72" s="3"/>
      <c r="GKK72" s="3"/>
      <c r="GKL72" s="3"/>
      <c r="GKM72" s="3"/>
      <c r="GKN72" s="3"/>
      <c r="GKO72" s="3"/>
      <c r="GKP72" s="3"/>
      <c r="GKQ72" s="3"/>
      <c r="GKR72" s="3"/>
      <c r="GKS72" s="3"/>
      <c r="GKT72" s="3"/>
      <c r="GKU72" s="3"/>
      <c r="GKV72" s="3"/>
      <c r="GKW72" s="3"/>
      <c r="GKX72" s="3"/>
      <c r="GKY72" s="3"/>
      <c r="GKZ72" s="3"/>
      <c r="GLA72" s="3"/>
      <c r="GLB72" s="3"/>
      <c r="GLC72" s="3"/>
      <c r="GLD72" s="3"/>
      <c r="GLE72" s="3"/>
      <c r="GLF72" s="3"/>
      <c r="GLG72" s="3"/>
      <c r="GLH72" s="3"/>
      <c r="GLI72" s="3"/>
      <c r="GLJ72" s="3"/>
      <c r="GLK72" s="3"/>
      <c r="GLL72" s="3"/>
      <c r="GLM72" s="3"/>
      <c r="GLN72" s="3"/>
      <c r="GLO72" s="3"/>
      <c r="GLP72" s="3"/>
      <c r="GLQ72" s="3"/>
      <c r="GLR72" s="3"/>
      <c r="GLS72" s="3"/>
      <c r="GLT72" s="3"/>
      <c r="GLU72" s="3"/>
      <c r="GLV72" s="3"/>
      <c r="GLW72" s="3"/>
      <c r="GLX72" s="3"/>
      <c r="GLY72" s="3"/>
      <c r="GLZ72" s="3"/>
      <c r="GMA72" s="3"/>
      <c r="GMB72" s="3"/>
      <c r="GMC72" s="3"/>
      <c r="GMD72" s="3"/>
      <c r="GME72" s="3"/>
      <c r="GMF72" s="3"/>
      <c r="GMG72" s="3"/>
      <c r="GMH72" s="3"/>
      <c r="GMI72" s="3"/>
      <c r="GMJ72" s="3"/>
      <c r="GMK72" s="3"/>
      <c r="GML72" s="3"/>
      <c r="GMM72" s="3"/>
      <c r="GMN72" s="3"/>
      <c r="GMO72" s="3"/>
      <c r="GMP72" s="3"/>
      <c r="GMQ72" s="3"/>
      <c r="GMR72" s="3"/>
      <c r="GMS72" s="3"/>
      <c r="GMT72" s="3"/>
      <c r="GMU72" s="3"/>
      <c r="GMV72" s="3"/>
      <c r="GMW72" s="3"/>
      <c r="GMX72" s="3"/>
      <c r="GMY72" s="3"/>
      <c r="GMZ72" s="3"/>
      <c r="GNA72" s="3"/>
      <c r="GNB72" s="3"/>
      <c r="GNC72" s="3"/>
      <c r="GND72" s="3"/>
      <c r="GNE72" s="3"/>
      <c r="GNF72" s="3"/>
      <c r="GNG72" s="3"/>
      <c r="GNH72" s="3"/>
      <c r="GNI72" s="3"/>
      <c r="GNJ72" s="3"/>
      <c r="GNK72" s="3"/>
      <c r="GNL72" s="3"/>
      <c r="GNM72" s="3"/>
      <c r="GNN72" s="3"/>
      <c r="GNO72" s="3"/>
      <c r="GNP72" s="3"/>
      <c r="GNQ72" s="3"/>
      <c r="GNR72" s="3"/>
      <c r="GNS72" s="3"/>
      <c r="GNT72" s="3"/>
      <c r="GNU72" s="3"/>
      <c r="GNV72" s="3"/>
      <c r="GNW72" s="3"/>
      <c r="GNX72" s="3"/>
      <c r="GNY72" s="3"/>
      <c r="GNZ72" s="3"/>
      <c r="GOA72" s="3"/>
      <c r="GOB72" s="3"/>
      <c r="GOC72" s="3"/>
      <c r="GOD72" s="3"/>
      <c r="GOE72" s="3"/>
      <c r="GOF72" s="3"/>
      <c r="GOG72" s="3"/>
      <c r="GOH72" s="3"/>
      <c r="GOI72" s="3"/>
      <c r="GOJ72" s="3"/>
      <c r="GOK72" s="3"/>
      <c r="GOL72" s="3"/>
      <c r="GOM72" s="3"/>
      <c r="GON72" s="3"/>
      <c r="GOO72" s="3"/>
      <c r="GOP72" s="3"/>
      <c r="GOQ72" s="3"/>
      <c r="GOR72" s="3"/>
      <c r="GOS72" s="3"/>
      <c r="GOT72" s="3"/>
      <c r="GOU72" s="3"/>
      <c r="GOV72" s="3"/>
      <c r="GOW72" s="3"/>
      <c r="GOX72" s="3"/>
      <c r="GOY72" s="3"/>
      <c r="GOZ72" s="3"/>
      <c r="GPA72" s="3"/>
      <c r="GPB72" s="3"/>
      <c r="GPC72" s="3"/>
      <c r="GPD72" s="3"/>
      <c r="GPE72" s="3"/>
      <c r="GPF72" s="3"/>
      <c r="GPG72" s="3"/>
      <c r="GPH72" s="3"/>
      <c r="GPI72" s="3"/>
      <c r="GPJ72" s="3"/>
      <c r="GPK72" s="3"/>
      <c r="GPL72" s="3"/>
      <c r="GPM72" s="3"/>
      <c r="GPN72" s="3"/>
      <c r="GPO72" s="3"/>
      <c r="GPP72" s="3"/>
      <c r="GPQ72" s="3"/>
      <c r="GPR72" s="3"/>
      <c r="GPS72" s="3"/>
      <c r="GPT72" s="3"/>
      <c r="GPU72" s="3"/>
      <c r="GPV72" s="3"/>
      <c r="GPW72" s="3"/>
      <c r="GPX72" s="3"/>
      <c r="GPY72" s="3"/>
      <c r="GPZ72" s="3"/>
      <c r="GQA72" s="3"/>
      <c r="GQB72" s="3"/>
      <c r="GQC72" s="3"/>
      <c r="GQD72" s="3"/>
      <c r="GQE72" s="3"/>
      <c r="GQF72" s="3"/>
      <c r="GQG72" s="3"/>
      <c r="GQH72" s="3"/>
      <c r="GQI72" s="3"/>
      <c r="GQJ72" s="3"/>
      <c r="GQK72" s="3"/>
      <c r="GQL72" s="3"/>
      <c r="GQM72" s="3"/>
      <c r="GQN72" s="3"/>
      <c r="GQO72" s="3"/>
      <c r="GQP72" s="3"/>
      <c r="GQQ72" s="3"/>
      <c r="GQR72" s="3"/>
      <c r="GQS72" s="3"/>
      <c r="GQT72" s="3"/>
      <c r="GQU72" s="3"/>
      <c r="GQV72" s="3"/>
      <c r="GQW72" s="3"/>
      <c r="GQX72" s="3"/>
      <c r="GQY72" s="3"/>
      <c r="GQZ72" s="3"/>
      <c r="GRA72" s="3"/>
      <c r="GRB72" s="3"/>
      <c r="GRC72" s="3"/>
      <c r="GRD72" s="3"/>
      <c r="GRE72" s="3"/>
      <c r="GRF72" s="3"/>
      <c r="GRG72" s="3"/>
      <c r="GRH72" s="3"/>
      <c r="GRI72" s="3"/>
      <c r="GRJ72" s="3"/>
      <c r="GRK72" s="3"/>
      <c r="GRL72" s="3"/>
      <c r="GRM72" s="3"/>
      <c r="GRN72" s="3"/>
      <c r="GRO72" s="3"/>
      <c r="GRP72" s="3"/>
      <c r="GRQ72" s="3"/>
      <c r="GRR72" s="3"/>
      <c r="GRS72" s="3"/>
      <c r="GRT72" s="3"/>
      <c r="GRU72" s="3"/>
      <c r="GRV72" s="3"/>
      <c r="GRW72" s="3"/>
      <c r="GRX72" s="3"/>
      <c r="GRY72" s="3"/>
      <c r="GRZ72" s="3"/>
      <c r="GSA72" s="3"/>
      <c r="GSB72" s="3"/>
      <c r="GSC72" s="3"/>
      <c r="GSD72" s="3"/>
      <c r="GSE72" s="3"/>
      <c r="GSF72" s="3"/>
      <c r="GSG72" s="3"/>
      <c r="GSH72" s="3"/>
      <c r="GSI72" s="3"/>
      <c r="GSJ72" s="3"/>
      <c r="GSK72" s="3"/>
      <c r="GSL72" s="3"/>
      <c r="GSM72" s="3"/>
      <c r="GSN72" s="3"/>
      <c r="GSO72" s="3"/>
      <c r="GSP72" s="3"/>
      <c r="GSQ72" s="3"/>
      <c r="GSR72" s="3"/>
      <c r="GSS72" s="3"/>
      <c r="GST72" s="3"/>
      <c r="GSU72" s="3"/>
      <c r="GSV72" s="3"/>
      <c r="GSW72" s="3"/>
      <c r="GSX72" s="3"/>
      <c r="GSY72" s="3"/>
      <c r="GSZ72" s="3"/>
      <c r="GTA72" s="3"/>
      <c r="GTB72" s="3"/>
      <c r="GTC72" s="3"/>
      <c r="GTD72" s="3"/>
      <c r="GTE72" s="3"/>
      <c r="GTF72" s="3"/>
      <c r="GTG72" s="3"/>
      <c r="GTH72" s="3"/>
      <c r="GTI72" s="3"/>
      <c r="GTJ72" s="3"/>
      <c r="GTK72" s="3"/>
      <c r="GTL72" s="3"/>
      <c r="GTM72" s="3"/>
      <c r="GTN72" s="3"/>
      <c r="GTO72" s="3"/>
      <c r="GTP72" s="3"/>
      <c r="GTQ72" s="3"/>
      <c r="GTR72" s="3"/>
      <c r="GTS72" s="3"/>
      <c r="GTT72" s="3"/>
      <c r="GTU72" s="3"/>
      <c r="GTV72" s="3"/>
      <c r="GTW72" s="3"/>
      <c r="GTX72" s="3"/>
      <c r="GTY72" s="3"/>
      <c r="GTZ72" s="3"/>
      <c r="GUA72" s="3"/>
      <c r="GUB72" s="3"/>
      <c r="GUC72" s="3"/>
      <c r="GUD72" s="3"/>
      <c r="GUE72" s="3"/>
      <c r="GUF72" s="3"/>
      <c r="GUG72" s="3"/>
      <c r="GUH72" s="3"/>
      <c r="GUI72" s="3"/>
      <c r="GUJ72" s="3"/>
      <c r="GUK72" s="3"/>
      <c r="GUL72" s="3"/>
      <c r="GUM72" s="3"/>
      <c r="GUN72" s="3"/>
      <c r="GUO72" s="3"/>
      <c r="GUP72" s="3"/>
      <c r="GUQ72" s="3"/>
      <c r="GUR72" s="3"/>
      <c r="GUS72" s="3"/>
      <c r="GUT72" s="3"/>
      <c r="GUU72" s="3"/>
      <c r="GUV72" s="3"/>
      <c r="GUW72" s="3"/>
      <c r="GUX72" s="3"/>
      <c r="GUY72" s="3"/>
      <c r="GUZ72" s="3"/>
      <c r="GVA72" s="3"/>
      <c r="GVB72" s="3"/>
      <c r="GVC72" s="3"/>
      <c r="GVD72" s="3"/>
      <c r="GVE72" s="3"/>
      <c r="GVF72" s="3"/>
      <c r="GVG72" s="3"/>
      <c r="GVH72" s="3"/>
      <c r="GVI72" s="3"/>
      <c r="GVJ72" s="3"/>
      <c r="GVK72" s="3"/>
      <c r="GVL72" s="3"/>
      <c r="GVM72" s="3"/>
      <c r="GVN72" s="3"/>
      <c r="GVO72" s="3"/>
      <c r="GVP72" s="3"/>
      <c r="GVQ72" s="3"/>
      <c r="GVR72" s="3"/>
      <c r="GVS72" s="3"/>
      <c r="GVT72" s="3"/>
      <c r="GVU72" s="3"/>
      <c r="GVV72" s="3"/>
      <c r="GVW72" s="3"/>
      <c r="GVX72" s="3"/>
      <c r="GVY72" s="3"/>
      <c r="GVZ72" s="3"/>
      <c r="GWA72" s="3"/>
      <c r="GWB72" s="3"/>
      <c r="GWC72" s="3"/>
      <c r="GWD72" s="3"/>
      <c r="GWE72" s="3"/>
      <c r="GWF72" s="3"/>
      <c r="GWG72" s="3"/>
      <c r="GWH72" s="3"/>
      <c r="GWI72" s="3"/>
      <c r="GWJ72" s="3"/>
      <c r="GWK72" s="3"/>
      <c r="GWL72" s="3"/>
      <c r="GWM72" s="3"/>
      <c r="GWN72" s="3"/>
      <c r="GWO72" s="3"/>
      <c r="GWP72" s="3"/>
      <c r="GWQ72" s="3"/>
      <c r="GWR72" s="3"/>
      <c r="GWS72" s="3"/>
      <c r="GWT72" s="3"/>
      <c r="GWU72" s="3"/>
      <c r="GWV72" s="3"/>
      <c r="GWW72" s="3"/>
      <c r="GWX72" s="3"/>
      <c r="GWY72" s="3"/>
      <c r="GWZ72" s="3"/>
      <c r="GXA72" s="3"/>
      <c r="GXB72" s="3"/>
      <c r="GXC72" s="3"/>
      <c r="GXD72" s="3"/>
      <c r="GXE72" s="3"/>
      <c r="GXF72" s="3"/>
      <c r="GXG72" s="3"/>
      <c r="GXH72" s="3"/>
      <c r="GXI72" s="3"/>
      <c r="GXJ72" s="3"/>
      <c r="GXK72" s="3"/>
      <c r="GXL72" s="3"/>
      <c r="GXM72" s="3"/>
      <c r="GXN72" s="3"/>
      <c r="GXO72" s="3"/>
      <c r="GXP72" s="3"/>
      <c r="GXQ72" s="3"/>
      <c r="GXR72" s="3"/>
      <c r="GXS72" s="3"/>
      <c r="GXT72" s="3"/>
      <c r="GXU72" s="3"/>
      <c r="GXV72" s="3"/>
      <c r="GXW72" s="3"/>
      <c r="GXX72" s="3"/>
      <c r="GXY72" s="3"/>
      <c r="GXZ72" s="3"/>
      <c r="GYA72" s="3"/>
      <c r="GYB72" s="3"/>
      <c r="GYC72" s="3"/>
      <c r="GYD72" s="3"/>
      <c r="GYE72" s="3"/>
      <c r="GYF72" s="3"/>
      <c r="GYG72" s="3"/>
      <c r="GYH72" s="3"/>
      <c r="GYI72" s="3"/>
      <c r="GYJ72" s="3"/>
      <c r="GYK72" s="3"/>
      <c r="GYL72" s="3"/>
      <c r="GYM72" s="3"/>
      <c r="GYN72" s="3"/>
      <c r="GYO72" s="3"/>
      <c r="GYP72" s="3"/>
      <c r="GYQ72" s="3"/>
      <c r="GYR72" s="3"/>
      <c r="GYS72" s="3"/>
      <c r="GYT72" s="3"/>
      <c r="GYU72" s="3"/>
      <c r="GYV72" s="3"/>
      <c r="GYW72" s="3"/>
      <c r="GYX72" s="3"/>
      <c r="GYY72" s="3"/>
      <c r="GYZ72" s="3"/>
      <c r="GZA72" s="3"/>
      <c r="GZB72" s="3"/>
      <c r="GZC72" s="3"/>
      <c r="GZD72" s="3"/>
      <c r="GZE72" s="3"/>
      <c r="GZF72" s="3"/>
      <c r="GZG72" s="3"/>
      <c r="GZH72" s="3"/>
      <c r="GZI72" s="3"/>
      <c r="GZJ72" s="3"/>
      <c r="GZK72" s="3"/>
      <c r="GZL72" s="3"/>
      <c r="GZM72" s="3"/>
      <c r="GZN72" s="3"/>
      <c r="GZO72" s="3"/>
      <c r="GZP72" s="3"/>
      <c r="GZQ72" s="3"/>
      <c r="GZR72" s="3"/>
      <c r="GZS72" s="3"/>
      <c r="GZT72" s="3"/>
      <c r="GZU72" s="3"/>
      <c r="GZV72" s="3"/>
      <c r="GZW72" s="3"/>
      <c r="GZX72" s="3"/>
      <c r="GZY72" s="3"/>
      <c r="GZZ72" s="3"/>
      <c r="HAA72" s="3"/>
      <c r="HAB72" s="3"/>
      <c r="HAC72" s="3"/>
      <c r="HAD72" s="3"/>
      <c r="HAE72" s="3"/>
      <c r="HAF72" s="3"/>
      <c r="HAG72" s="3"/>
      <c r="HAH72" s="3"/>
      <c r="HAI72" s="3"/>
      <c r="HAJ72" s="3"/>
      <c r="HAK72" s="3"/>
      <c r="HAL72" s="3"/>
      <c r="HAM72" s="3"/>
      <c r="HAN72" s="3"/>
      <c r="HAO72" s="3"/>
      <c r="HAP72" s="3"/>
      <c r="HAQ72" s="3"/>
      <c r="HAR72" s="3"/>
      <c r="HAS72" s="3"/>
      <c r="HAT72" s="3"/>
      <c r="HAU72" s="3"/>
      <c r="HAV72" s="3"/>
      <c r="HAW72" s="3"/>
      <c r="HAX72" s="3"/>
      <c r="HAY72" s="3"/>
      <c r="HAZ72" s="3"/>
      <c r="HBA72" s="3"/>
      <c r="HBB72" s="3"/>
      <c r="HBC72" s="3"/>
      <c r="HBD72" s="3"/>
      <c r="HBE72" s="3"/>
      <c r="HBF72" s="3"/>
      <c r="HBG72" s="3"/>
      <c r="HBH72" s="3"/>
      <c r="HBI72" s="3"/>
      <c r="HBJ72" s="3"/>
      <c r="HBK72" s="3"/>
      <c r="HBL72" s="3"/>
      <c r="HBM72" s="3"/>
      <c r="HBN72" s="3"/>
      <c r="HBO72" s="3"/>
      <c r="HBP72" s="3"/>
      <c r="HBQ72" s="3"/>
      <c r="HBR72" s="3"/>
      <c r="HBS72" s="3"/>
      <c r="HBT72" s="3"/>
      <c r="HBU72" s="3"/>
      <c r="HBV72" s="3"/>
      <c r="HBW72" s="3"/>
      <c r="HBX72" s="3"/>
      <c r="HBY72" s="3"/>
      <c r="HBZ72" s="3"/>
      <c r="HCA72" s="3"/>
      <c r="HCB72" s="3"/>
      <c r="HCC72" s="3"/>
      <c r="HCD72" s="3"/>
      <c r="HCE72" s="3"/>
      <c r="HCF72" s="3"/>
      <c r="HCG72" s="3"/>
      <c r="HCH72" s="3"/>
      <c r="HCI72" s="3"/>
      <c r="HCJ72" s="3"/>
      <c r="HCK72" s="3"/>
      <c r="HCL72" s="3"/>
      <c r="HCM72" s="3"/>
      <c r="HCN72" s="3"/>
      <c r="HCO72" s="3"/>
      <c r="HCP72" s="3"/>
      <c r="HCQ72" s="3"/>
      <c r="HCR72" s="3"/>
      <c r="HCS72" s="3"/>
      <c r="HCT72" s="3"/>
      <c r="HCU72" s="3"/>
      <c r="HCV72" s="3"/>
      <c r="HCW72" s="3"/>
      <c r="HCX72" s="3"/>
      <c r="HCY72" s="3"/>
      <c r="HCZ72" s="3"/>
      <c r="HDA72" s="3"/>
      <c r="HDB72" s="3"/>
      <c r="HDC72" s="3"/>
      <c r="HDD72" s="3"/>
      <c r="HDE72" s="3"/>
      <c r="HDF72" s="3"/>
      <c r="HDG72" s="3"/>
      <c r="HDH72" s="3"/>
      <c r="HDI72" s="3"/>
      <c r="HDJ72" s="3"/>
      <c r="HDK72" s="3"/>
      <c r="HDL72" s="3"/>
      <c r="HDM72" s="3"/>
      <c r="HDN72" s="3"/>
      <c r="HDO72" s="3"/>
      <c r="HDP72" s="3"/>
      <c r="HDQ72" s="3"/>
      <c r="HDR72" s="3"/>
      <c r="HDS72" s="3"/>
      <c r="HDT72" s="3"/>
      <c r="HDU72" s="3"/>
      <c r="HDV72" s="3"/>
      <c r="HDW72" s="3"/>
      <c r="HDX72" s="3"/>
      <c r="HDY72" s="3"/>
      <c r="HDZ72" s="3"/>
      <c r="HEA72" s="3"/>
      <c r="HEB72" s="3"/>
      <c r="HEC72" s="3"/>
      <c r="HED72" s="3"/>
      <c r="HEE72" s="3"/>
      <c r="HEF72" s="3"/>
      <c r="HEG72" s="3"/>
      <c r="HEH72" s="3"/>
      <c r="HEI72" s="3"/>
      <c r="HEJ72" s="3"/>
      <c r="HEK72" s="3"/>
      <c r="HEL72" s="3"/>
      <c r="HEM72" s="3"/>
      <c r="HEN72" s="3"/>
      <c r="HEO72" s="3"/>
      <c r="HEP72" s="3"/>
      <c r="HEQ72" s="3"/>
      <c r="HER72" s="3"/>
      <c r="HES72" s="3"/>
      <c r="HET72" s="3"/>
      <c r="HEU72" s="3"/>
      <c r="HEV72" s="3"/>
      <c r="HEW72" s="3"/>
      <c r="HEX72" s="3"/>
      <c r="HEY72" s="3"/>
      <c r="HEZ72" s="3"/>
      <c r="HFA72" s="3"/>
      <c r="HFB72" s="3"/>
      <c r="HFC72" s="3"/>
      <c r="HFD72" s="3"/>
      <c r="HFE72" s="3"/>
      <c r="HFF72" s="3"/>
      <c r="HFG72" s="3"/>
      <c r="HFH72" s="3"/>
      <c r="HFI72" s="3"/>
      <c r="HFJ72" s="3"/>
      <c r="HFK72" s="3"/>
      <c r="HFL72" s="3"/>
      <c r="HFM72" s="3"/>
      <c r="HFN72" s="3"/>
      <c r="HFO72" s="3"/>
      <c r="HFP72" s="3"/>
      <c r="HFQ72" s="3"/>
      <c r="HFR72" s="3"/>
      <c r="HFS72" s="3"/>
      <c r="HFT72" s="3"/>
      <c r="HFU72" s="3"/>
      <c r="HFV72" s="3"/>
      <c r="HFW72" s="3"/>
      <c r="HFX72" s="3"/>
      <c r="HFY72" s="3"/>
      <c r="HFZ72" s="3"/>
      <c r="HGA72" s="3"/>
      <c r="HGB72" s="3"/>
      <c r="HGC72" s="3"/>
      <c r="HGD72" s="3"/>
      <c r="HGE72" s="3"/>
      <c r="HGF72" s="3"/>
      <c r="HGG72" s="3"/>
      <c r="HGH72" s="3"/>
      <c r="HGI72" s="3"/>
      <c r="HGJ72" s="3"/>
      <c r="HGK72" s="3"/>
      <c r="HGL72" s="3"/>
      <c r="HGM72" s="3"/>
      <c r="HGN72" s="3"/>
      <c r="HGO72" s="3"/>
      <c r="HGP72" s="3"/>
      <c r="HGQ72" s="3"/>
      <c r="HGR72" s="3"/>
      <c r="HGS72" s="3"/>
      <c r="HGT72" s="3"/>
      <c r="HGU72" s="3"/>
      <c r="HGV72" s="3"/>
      <c r="HGW72" s="3"/>
      <c r="HGX72" s="3"/>
      <c r="HGY72" s="3"/>
      <c r="HGZ72" s="3"/>
      <c r="HHA72" s="3"/>
      <c r="HHB72" s="3"/>
      <c r="HHC72" s="3"/>
      <c r="HHD72" s="3"/>
      <c r="HHE72" s="3"/>
      <c r="HHF72" s="3"/>
      <c r="HHG72" s="3"/>
      <c r="HHH72" s="3"/>
      <c r="HHI72" s="3"/>
      <c r="HHJ72" s="3"/>
      <c r="HHK72" s="3"/>
      <c r="HHL72" s="3"/>
      <c r="HHM72" s="3"/>
      <c r="HHN72" s="3"/>
      <c r="HHO72" s="3"/>
      <c r="HHP72" s="3"/>
      <c r="HHQ72" s="3"/>
      <c r="HHR72" s="3"/>
      <c r="HHS72" s="3"/>
      <c r="HHT72" s="3"/>
      <c r="HHU72" s="3"/>
      <c r="HHV72" s="3"/>
      <c r="HHW72" s="3"/>
      <c r="HHX72" s="3"/>
      <c r="HHY72" s="3"/>
      <c r="HHZ72" s="3"/>
      <c r="HIA72" s="3"/>
      <c r="HIB72" s="3"/>
      <c r="HIC72" s="3"/>
      <c r="HID72" s="3"/>
      <c r="HIE72" s="3"/>
      <c r="HIF72" s="3"/>
      <c r="HIG72" s="3"/>
      <c r="HIH72" s="3"/>
      <c r="HII72" s="3"/>
      <c r="HIJ72" s="3"/>
      <c r="HIK72" s="3"/>
      <c r="HIL72" s="3"/>
      <c r="HIM72" s="3"/>
      <c r="HIN72" s="3"/>
      <c r="HIO72" s="3"/>
      <c r="HIP72" s="3"/>
      <c r="HIQ72" s="3"/>
      <c r="HIR72" s="3"/>
      <c r="HIS72" s="3"/>
      <c r="HIT72" s="3"/>
      <c r="HIU72" s="3"/>
      <c r="HIV72" s="3"/>
      <c r="HIW72" s="3"/>
      <c r="HIX72" s="3"/>
      <c r="HIY72" s="3"/>
      <c r="HIZ72" s="3"/>
      <c r="HJA72" s="3"/>
      <c r="HJB72" s="3"/>
      <c r="HJC72" s="3"/>
      <c r="HJD72" s="3"/>
      <c r="HJE72" s="3"/>
      <c r="HJF72" s="3"/>
      <c r="HJG72" s="3"/>
      <c r="HJH72" s="3"/>
      <c r="HJI72" s="3"/>
      <c r="HJJ72" s="3"/>
      <c r="HJK72" s="3"/>
      <c r="HJL72" s="3"/>
      <c r="HJM72" s="3"/>
      <c r="HJN72" s="3"/>
      <c r="HJO72" s="3"/>
      <c r="HJP72" s="3"/>
      <c r="HJQ72" s="3"/>
      <c r="HJR72" s="3"/>
      <c r="HJS72" s="3"/>
      <c r="HJT72" s="3"/>
      <c r="HJU72" s="3"/>
      <c r="HJV72" s="3"/>
      <c r="HJW72" s="3"/>
      <c r="HJX72" s="3"/>
      <c r="HJY72" s="3"/>
      <c r="HJZ72" s="3"/>
      <c r="HKA72" s="3"/>
      <c r="HKB72" s="3"/>
      <c r="HKC72" s="3"/>
      <c r="HKD72" s="3"/>
      <c r="HKE72" s="3"/>
      <c r="HKF72" s="3"/>
      <c r="HKG72" s="3"/>
      <c r="HKH72" s="3"/>
      <c r="HKI72" s="3"/>
      <c r="HKJ72" s="3"/>
      <c r="HKK72" s="3"/>
      <c r="HKL72" s="3"/>
      <c r="HKM72" s="3"/>
      <c r="HKN72" s="3"/>
      <c r="HKO72" s="3"/>
      <c r="HKP72" s="3"/>
      <c r="HKQ72" s="3"/>
      <c r="HKR72" s="3"/>
      <c r="HKS72" s="3"/>
      <c r="HKT72" s="3"/>
      <c r="HKU72" s="3"/>
      <c r="HKV72" s="3"/>
      <c r="HKW72" s="3"/>
      <c r="HKX72" s="3"/>
      <c r="HKY72" s="3"/>
      <c r="HKZ72" s="3"/>
      <c r="HLA72" s="3"/>
      <c r="HLB72" s="3"/>
      <c r="HLC72" s="3"/>
      <c r="HLD72" s="3"/>
      <c r="HLE72" s="3"/>
      <c r="HLF72" s="3"/>
      <c r="HLG72" s="3"/>
      <c r="HLH72" s="3"/>
      <c r="HLI72" s="3"/>
      <c r="HLJ72" s="3"/>
      <c r="HLK72" s="3"/>
      <c r="HLL72" s="3"/>
      <c r="HLM72" s="3"/>
      <c r="HLN72" s="3"/>
      <c r="HLO72" s="3"/>
      <c r="HLP72" s="3"/>
      <c r="HLQ72" s="3"/>
      <c r="HLR72" s="3"/>
      <c r="HLS72" s="3"/>
      <c r="HLT72" s="3"/>
      <c r="HLU72" s="3"/>
      <c r="HLV72" s="3"/>
      <c r="HLW72" s="3"/>
      <c r="HLX72" s="3"/>
      <c r="HLY72" s="3"/>
      <c r="HLZ72" s="3"/>
      <c r="HMA72" s="3"/>
      <c r="HMB72" s="3"/>
      <c r="HMC72" s="3"/>
      <c r="HMD72" s="3"/>
      <c r="HME72" s="3"/>
      <c r="HMF72" s="3"/>
      <c r="HMG72" s="3"/>
      <c r="HMH72" s="3"/>
      <c r="HMI72" s="3"/>
      <c r="HMJ72" s="3"/>
      <c r="HMK72" s="3"/>
      <c r="HML72" s="3"/>
      <c r="HMM72" s="3"/>
      <c r="HMN72" s="3"/>
      <c r="HMO72" s="3"/>
      <c r="HMP72" s="3"/>
      <c r="HMQ72" s="3"/>
      <c r="HMR72" s="3"/>
      <c r="HMS72" s="3"/>
      <c r="HMT72" s="3"/>
      <c r="HMU72" s="3"/>
      <c r="HMV72" s="3"/>
      <c r="HMW72" s="3"/>
      <c r="HMX72" s="3"/>
      <c r="HMY72" s="3"/>
      <c r="HMZ72" s="3"/>
      <c r="HNA72" s="3"/>
      <c r="HNB72" s="3"/>
      <c r="HNC72" s="3"/>
      <c r="HND72" s="3"/>
      <c r="HNE72" s="3"/>
      <c r="HNF72" s="3"/>
      <c r="HNG72" s="3"/>
      <c r="HNH72" s="3"/>
      <c r="HNI72" s="3"/>
      <c r="HNJ72" s="3"/>
      <c r="HNK72" s="3"/>
      <c r="HNL72" s="3"/>
      <c r="HNM72" s="3"/>
      <c r="HNN72" s="3"/>
      <c r="HNO72" s="3"/>
      <c r="HNP72" s="3"/>
      <c r="HNQ72" s="3"/>
      <c r="HNR72" s="3"/>
      <c r="HNS72" s="3"/>
      <c r="HNT72" s="3"/>
      <c r="HNU72" s="3"/>
      <c r="HNV72" s="3"/>
      <c r="HNW72" s="3"/>
      <c r="HNX72" s="3"/>
      <c r="HNY72" s="3"/>
      <c r="HNZ72" s="3"/>
      <c r="HOA72" s="3"/>
      <c r="HOB72" s="3"/>
      <c r="HOC72" s="3"/>
      <c r="HOD72" s="3"/>
      <c r="HOE72" s="3"/>
      <c r="HOF72" s="3"/>
      <c r="HOG72" s="3"/>
      <c r="HOH72" s="3"/>
      <c r="HOI72" s="3"/>
      <c r="HOJ72" s="3"/>
      <c r="HOK72" s="3"/>
      <c r="HOL72" s="3"/>
      <c r="HOM72" s="3"/>
      <c r="HON72" s="3"/>
      <c r="HOO72" s="3"/>
      <c r="HOP72" s="3"/>
      <c r="HOQ72" s="3"/>
      <c r="HOR72" s="3"/>
      <c r="HOS72" s="3"/>
      <c r="HOT72" s="3"/>
      <c r="HOU72" s="3"/>
      <c r="HOV72" s="3"/>
      <c r="HOW72" s="3"/>
      <c r="HOX72" s="3"/>
      <c r="HOY72" s="3"/>
      <c r="HOZ72" s="3"/>
      <c r="HPA72" s="3"/>
      <c r="HPB72" s="3"/>
      <c r="HPC72" s="3"/>
      <c r="HPD72" s="3"/>
      <c r="HPE72" s="3"/>
      <c r="HPF72" s="3"/>
      <c r="HPG72" s="3"/>
      <c r="HPH72" s="3"/>
      <c r="HPI72" s="3"/>
      <c r="HPJ72" s="3"/>
      <c r="HPK72" s="3"/>
      <c r="HPL72" s="3"/>
      <c r="HPM72" s="3"/>
      <c r="HPN72" s="3"/>
      <c r="HPO72" s="3"/>
      <c r="HPP72" s="3"/>
      <c r="HPQ72" s="3"/>
      <c r="HPR72" s="3"/>
      <c r="HPS72" s="3"/>
      <c r="HPT72" s="3"/>
      <c r="HPU72" s="3"/>
      <c r="HPV72" s="3"/>
      <c r="HPW72" s="3"/>
      <c r="HPX72" s="3"/>
      <c r="HPY72" s="3"/>
      <c r="HPZ72" s="3"/>
      <c r="HQA72" s="3"/>
      <c r="HQB72" s="3"/>
      <c r="HQC72" s="3"/>
      <c r="HQD72" s="3"/>
      <c r="HQE72" s="3"/>
      <c r="HQF72" s="3"/>
      <c r="HQG72" s="3"/>
      <c r="HQH72" s="3"/>
      <c r="HQI72" s="3"/>
      <c r="HQJ72" s="3"/>
      <c r="HQK72" s="3"/>
      <c r="HQL72" s="3"/>
      <c r="HQM72" s="3"/>
      <c r="HQN72" s="3"/>
      <c r="HQO72" s="3"/>
      <c r="HQP72" s="3"/>
      <c r="HQQ72" s="3"/>
      <c r="HQR72" s="3"/>
      <c r="HQS72" s="3"/>
      <c r="HQT72" s="3"/>
      <c r="HQU72" s="3"/>
      <c r="HQV72" s="3"/>
      <c r="HQW72" s="3"/>
      <c r="HQX72" s="3"/>
      <c r="HQY72" s="3"/>
      <c r="HQZ72" s="3"/>
      <c r="HRA72" s="3"/>
      <c r="HRB72" s="3"/>
      <c r="HRC72" s="3"/>
      <c r="HRD72" s="3"/>
      <c r="HRE72" s="3"/>
      <c r="HRF72" s="3"/>
      <c r="HRG72" s="3"/>
      <c r="HRH72" s="3"/>
      <c r="HRI72" s="3"/>
      <c r="HRJ72" s="3"/>
      <c r="HRK72" s="3"/>
      <c r="HRL72" s="3"/>
      <c r="HRM72" s="3"/>
      <c r="HRN72" s="3"/>
      <c r="HRO72" s="3"/>
      <c r="HRP72" s="3"/>
      <c r="HRQ72" s="3"/>
      <c r="HRR72" s="3"/>
      <c r="HRS72" s="3"/>
      <c r="HRT72" s="3"/>
      <c r="HRU72" s="3"/>
      <c r="HRV72" s="3"/>
      <c r="HRW72" s="3"/>
      <c r="HRX72" s="3"/>
      <c r="HRY72" s="3"/>
      <c r="HRZ72" s="3"/>
      <c r="HSA72" s="3"/>
      <c r="HSB72" s="3"/>
      <c r="HSC72" s="3"/>
      <c r="HSD72" s="3"/>
      <c r="HSE72" s="3"/>
      <c r="HSF72" s="3"/>
      <c r="HSG72" s="3"/>
      <c r="HSH72" s="3"/>
      <c r="HSI72" s="3"/>
      <c r="HSJ72" s="3"/>
      <c r="HSK72" s="3"/>
      <c r="HSL72" s="3"/>
      <c r="HSM72" s="3"/>
      <c r="HSN72" s="3"/>
      <c r="HSO72" s="3"/>
      <c r="HSP72" s="3"/>
      <c r="HSQ72" s="3"/>
      <c r="HSR72" s="3"/>
      <c r="HSS72" s="3"/>
      <c r="HST72" s="3"/>
      <c r="HSU72" s="3"/>
      <c r="HSV72" s="3"/>
      <c r="HSW72" s="3"/>
      <c r="HSX72" s="3"/>
      <c r="HSY72" s="3"/>
      <c r="HSZ72" s="3"/>
      <c r="HTA72" s="3"/>
      <c r="HTB72" s="3"/>
      <c r="HTC72" s="3"/>
      <c r="HTD72" s="3"/>
      <c r="HTE72" s="3"/>
      <c r="HTF72" s="3"/>
      <c r="HTG72" s="3"/>
      <c r="HTH72" s="3"/>
      <c r="HTI72" s="3"/>
      <c r="HTJ72" s="3"/>
      <c r="HTK72" s="3"/>
      <c r="HTL72" s="3"/>
      <c r="HTM72" s="3"/>
      <c r="HTN72" s="3"/>
      <c r="HTO72" s="3"/>
      <c r="HTP72" s="3"/>
      <c r="HTQ72" s="3"/>
      <c r="HTR72" s="3"/>
      <c r="HTS72" s="3"/>
      <c r="HTT72" s="3"/>
      <c r="HTU72" s="3"/>
      <c r="HTV72" s="3"/>
      <c r="HTW72" s="3"/>
      <c r="HTX72" s="3"/>
      <c r="HTY72" s="3"/>
      <c r="HTZ72" s="3"/>
      <c r="HUA72" s="3"/>
      <c r="HUB72" s="3"/>
      <c r="HUC72" s="3"/>
      <c r="HUD72" s="3"/>
      <c r="HUE72" s="3"/>
      <c r="HUF72" s="3"/>
      <c r="HUG72" s="3"/>
      <c r="HUH72" s="3"/>
      <c r="HUI72" s="3"/>
      <c r="HUJ72" s="3"/>
      <c r="HUK72" s="3"/>
      <c r="HUL72" s="3"/>
      <c r="HUM72" s="3"/>
      <c r="HUN72" s="3"/>
      <c r="HUO72" s="3"/>
      <c r="HUP72" s="3"/>
      <c r="HUQ72" s="3"/>
      <c r="HUR72" s="3"/>
      <c r="HUS72" s="3"/>
      <c r="HUT72" s="3"/>
      <c r="HUU72" s="3"/>
      <c r="HUV72" s="3"/>
      <c r="HUW72" s="3"/>
      <c r="HUX72" s="3"/>
      <c r="HUY72" s="3"/>
      <c r="HUZ72" s="3"/>
      <c r="HVA72" s="3"/>
      <c r="HVB72" s="3"/>
      <c r="HVC72" s="3"/>
      <c r="HVD72" s="3"/>
      <c r="HVE72" s="3"/>
      <c r="HVF72" s="3"/>
      <c r="HVG72" s="3"/>
      <c r="HVH72" s="3"/>
      <c r="HVI72" s="3"/>
      <c r="HVJ72" s="3"/>
      <c r="HVK72" s="3"/>
      <c r="HVL72" s="3"/>
      <c r="HVM72" s="3"/>
      <c r="HVN72" s="3"/>
      <c r="HVO72" s="3"/>
      <c r="HVP72" s="3"/>
      <c r="HVQ72" s="3"/>
      <c r="HVR72" s="3"/>
      <c r="HVS72" s="3"/>
      <c r="HVT72" s="3"/>
      <c r="HVU72" s="3"/>
      <c r="HVV72" s="3"/>
      <c r="HVW72" s="3"/>
      <c r="HVX72" s="3"/>
      <c r="HVY72" s="3"/>
      <c r="HVZ72" s="3"/>
      <c r="HWA72" s="3"/>
      <c r="HWB72" s="3"/>
      <c r="HWC72" s="3"/>
      <c r="HWD72" s="3"/>
      <c r="HWE72" s="3"/>
      <c r="HWF72" s="3"/>
      <c r="HWG72" s="3"/>
      <c r="HWH72" s="3"/>
      <c r="HWI72" s="3"/>
      <c r="HWJ72" s="3"/>
      <c r="HWK72" s="3"/>
      <c r="HWL72" s="3"/>
      <c r="HWM72" s="3"/>
      <c r="HWN72" s="3"/>
      <c r="HWO72" s="3"/>
      <c r="HWP72" s="3"/>
      <c r="HWQ72" s="3"/>
      <c r="HWR72" s="3"/>
      <c r="HWS72" s="3"/>
      <c r="HWT72" s="3"/>
      <c r="HWU72" s="3"/>
      <c r="HWV72" s="3"/>
      <c r="HWW72" s="3"/>
      <c r="HWX72" s="3"/>
      <c r="HWY72" s="3"/>
      <c r="HWZ72" s="3"/>
      <c r="HXA72" s="3"/>
      <c r="HXB72" s="3"/>
      <c r="HXC72" s="3"/>
      <c r="HXD72" s="3"/>
      <c r="HXE72" s="3"/>
      <c r="HXF72" s="3"/>
      <c r="HXG72" s="3"/>
      <c r="HXH72" s="3"/>
      <c r="HXI72" s="3"/>
      <c r="HXJ72" s="3"/>
      <c r="HXK72" s="3"/>
      <c r="HXL72" s="3"/>
      <c r="HXM72" s="3"/>
      <c r="HXN72" s="3"/>
      <c r="HXO72" s="3"/>
      <c r="HXP72" s="3"/>
      <c r="HXQ72" s="3"/>
      <c r="HXR72" s="3"/>
      <c r="HXS72" s="3"/>
      <c r="HXT72" s="3"/>
      <c r="HXU72" s="3"/>
      <c r="HXV72" s="3"/>
      <c r="HXW72" s="3"/>
      <c r="HXX72" s="3"/>
      <c r="HXY72" s="3"/>
      <c r="HXZ72" s="3"/>
      <c r="HYA72" s="3"/>
      <c r="HYB72" s="3"/>
      <c r="HYC72" s="3"/>
      <c r="HYD72" s="3"/>
      <c r="HYE72" s="3"/>
      <c r="HYF72" s="3"/>
      <c r="HYG72" s="3"/>
      <c r="HYH72" s="3"/>
      <c r="HYI72" s="3"/>
      <c r="HYJ72" s="3"/>
      <c r="HYK72" s="3"/>
      <c r="HYL72" s="3"/>
      <c r="HYM72" s="3"/>
      <c r="HYN72" s="3"/>
      <c r="HYO72" s="3"/>
      <c r="HYP72" s="3"/>
      <c r="HYQ72" s="3"/>
      <c r="HYR72" s="3"/>
      <c r="HYS72" s="3"/>
      <c r="HYT72" s="3"/>
      <c r="HYU72" s="3"/>
      <c r="HYV72" s="3"/>
      <c r="HYW72" s="3"/>
      <c r="HYX72" s="3"/>
      <c r="HYY72" s="3"/>
      <c r="HYZ72" s="3"/>
      <c r="HZA72" s="3"/>
      <c r="HZB72" s="3"/>
      <c r="HZC72" s="3"/>
      <c r="HZD72" s="3"/>
      <c r="HZE72" s="3"/>
      <c r="HZF72" s="3"/>
      <c r="HZG72" s="3"/>
      <c r="HZH72" s="3"/>
      <c r="HZI72" s="3"/>
      <c r="HZJ72" s="3"/>
      <c r="HZK72" s="3"/>
      <c r="HZL72" s="3"/>
      <c r="HZM72" s="3"/>
      <c r="HZN72" s="3"/>
      <c r="HZO72" s="3"/>
      <c r="HZP72" s="3"/>
      <c r="HZQ72" s="3"/>
      <c r="HZR72" s="3"/>
      <c r="HZS72" s="3"/>
      <c r="HZT72" s="3"/>
      <c r="HZU72" s="3"/>
      <c r="HZV72" s="3"/>
      <c r="HZW72" s="3"/>
      <c r="HZX72" s="3"/>
      <c r="HZY72" s="3"/>
      <c r="HZZ72" s="3"/>
      <c r="IAA72" s="3"/>
      <c r="IAB72" s="3"/>
      <c r="IAC72" s="3"/>
      <c r="IAD72" s="3"/>
      <c r="IAE72" s="3"/>
      <c r="IAF72" s="3"/>
      <c r="IAG72" s="3"/>
      <c r="IAH72" s="3"/>
      <c r="IAI72" s="3"/>
      <c r="IAJ72" s="3"/>
      <c r="IAK72" s="3"/>
      <c r="IAL72" s="3"/>
      <c r="IAM72" s="3"/>
      <c r="IAN72" s="3"/>
      <c r="IAO72" s="3"/>
      <c r="IAP72" s="3"/>
      <c r="IAQ72" s="3"/>
      <c r="IAR72" s="3"/>
      <c r="IAS72" s="3"/>
      <c r="IAT72" s="3"/>
      <c r="IAU72" s="3"/>
      <c r="IAV72" s="3"/>
      <c r="IAW72" s="3"/>
      <c r="IAX72" s="3"/>
      <c r="IAY72" s="3"/>
      <c r="IAZ72" s="3"/>
      <c r="IBA72" s="3"/>
      <c r="IBB72" s="3"/>
      <c r="IBC72" s="3"/>
      <c r="IBD72" s="3"/>
      <c r="IBE72" s="3"/>
      <c r="IBF72" s="3"/>
      <c r="IBG72" s="3"/>
      <c r="IBH72" s="3"/>
      <c r="IBI72" s="3"/>
      <c r="IBJ72" s="3"/>
      <c r="IBK72" s="3"/>
      <c r="IBL72" s="3"/>
      <c r="IBM72" s="3"/>
      <c r="IBN72" s="3"/>
      <c r="IBO72" s="3"/>
      <c r="IBP72" s="3"/>
      <c r="IBQ72" s="3"/>
      <c r="IBR72" s="3"/>
      <c r="IBS72" s="3"/>
      <c r="IBT72" s="3"/>
      <c r="IBU72" s="3"/>
      <c r="IBV72" s="3"/>
      <c r="IBW72" s="3"/>
      <c r="IBX72" s="3"/>
      <c r="IBY72" s="3"/>
      <c r="IBZ72" s="3"/>
      <c r="ICA72" s="3"/>
      <c r="ICB72" s="3"/>
      <c r="ICC72" s="3"/>
      <c r="ICD72" s="3"/>
      <c r="ICE72" s="3"/>
      <c r="ICF72" s="3"/>
      <c r="ICG72" s="3"/>
      <c r="ICH72" s="3"/>
      <c r="ICI72" s="3"/>
      <c r="ICJ72" s="3"/>
      <c r="ICK72" s="3"/>
      <c r="ICL72" s="3"/>
      <c r="ICM72" s="3"/>
      <c r="ICN72" s="3"/>
      <c r="ICO72" s="3"/>
      <c r="ICP72" s="3"/>
      <c r="ICQ72" s="3"/>
      <c r="ICR72" s="3"/>
      <c r="ICS72" s="3"/>
      <c r="ICT72" s="3"/>
      <c r="ICU72" s="3"/>
      <c r="ICV72" s="3"/>
      <c r="ICW72" s="3"/>
      <c r="ICX72" s="3"/>
      <c r="ICY72" s="3"/>
      <c r="ICZ72" s="3"/>
      <c r="IDA72" s="3"/>
      <c r="IDB72" s="3"/>
      <c r="IDC72" s="3"/>
      <c r="IDD72" s="3"/>
      <c r="IDE72" s="3"/>
      <c r="IDF72" s="3"/>
      <c r="IDG72" s="3"/>
      <c r="IDH72" s="3"/>
      <c r="IDI72" s="3"/>
      <c r="IDJ72" s="3"/>
      <c r="IDK72" s="3"/>
      <c r="IDL72" s="3"/>
      <c r="IDM72" s="3"/>
      <c r="IDN72" s="3"/>
      <c r="IDO72" s="3"/>
      <c r="IDP72" s="3"/>
      <c r="IDQ72" s="3"/>
      <c r="IDR72" s="3"/>
      <c r="IDS72" s="3"/>
      <c r="IDT72" s="3"/>
      <c r="IDU72" s="3"/>
      <c r="IDV72" s="3"/>
      <c r="IDW72" s="3"/>
      <c r="IDX72" s="3"/>
      <c r="IDY72" s="3"/>
      <c r="IDZ72" s="3"/>
      <c r="IEA72" s="3"/>
      <c r="IEB72" s="3"/>
      <c r="IEC72" s="3"/>
      <c r="IED72" s="3"/>
      <c r="IEE72" s="3"/>
      <c r="IEF72" s="3"/>
      <c r="IEG72" s="3"/>
      <c r="IEH72" s="3"/>
      <c r="IEI72" s="3"/>
      <c r="IEJ72" s="3"/>
      <c r="IEK72" s="3"/>
      <c r="IEL72" s="3"/>
      <c r="IEM72" s="3"/>
      <c r="IEN72" s="3"/>
      <c r="IEO72" s="3"/>
      <c r="IEP72" s="3"/>
      <c r="IEQ72" s="3"/>
      <c r="IER72" s="3"/>
      <c r="IES72" s="3"/>
      <c r="IET72" s="3"/>
      <c r="IEU72" s="3"/>
      <c r="IEV72" s="3"/>
      <c r="IEW72" s="3"/>
      <c r="IEX72" s="3"/>
      <c r="IEY72" s="3"/>
      <c r="IEZ72" s="3"/>
      <c r="IFA72" s="3"/>
      <c r="IFB72" s="3"/>
      <c r="IFC72" s="3"/>
      <c r="IFD72" s="3"/>
      <c r="IFE72" s="3"/>
      <c r="IFF72" s="3"/>
      <c r="IFG72" s="3"/>
      <c r="IFH72" s="3"/>
      <c r="IFI72" s="3"/>
      <c r="IFJ72" s="3"/>
      <c r="IFK72" s="3"/>
      <c r="IFL72" s="3"/>
      <c r="IFM72" s="3"/>
      <c r="IFN72" s="3"/>
      <c r="IFO72" s="3"/>
      <c r="IFP72" s="3"/>
      <c r="IFQ72" s="3"/>
      <c r="IFR72" s="3"/>
      <c r="IFS72" s="3"/>
      <c r="IFT72" s="3"/>
      <c r="IFU72" s="3"/>
      <c r="IFV72" s="3"/>
      <c r="IFW72" s="3"/>
      <c r="IFX72" s="3"/>
      <c r="IFY72" s="3"/>
      <c r="IFZ72" s="3"/>
      <c r="IGA72" s="3"/>
      <c r="IGB72" s="3"/>
      <c r="IGC72" s="3"/>
      <c r="IGD72" s="3"/>
      <c r="IGE72" s="3"/>
      <c r="IGF72" s="3"/>
      <c r="IGG72" s="3"/>
      <c r="IGH72" s="3"/>
      <c r="IGI72" s="3"/>
      <c r="IGJ72" s="3"/>
      <c r="IGK72" s="3"/>
      <c r="IGL72" s="3"/>
      <c r="IGM72" s="3"/>
      <c r="IGN72" s="3"/>
      <c r="IGO72" s="3"/>
      <c r="IGP72" s="3"/>
      <c r="IGQ72" s="3"/>
      <c r="IGR72" s="3"/>
      <c r="IGS72" s="3"/>
      <c r="IGT72" s="3"/>
      <c r="IGU72" s="3"/>
      <c r="IGV72" s="3"/>
      <c r="IGW72" s="3"/>
      <c r="IGX72" s="3"/>
      <c r="IGY72" s="3"/>
      <c r="IGZ72" s="3"/>
      <c r="IHA72" s="3"/>
      <c r="IHB72" s="3"/>
      <c r="IHC72" s="3"/>
      <c r="IHD72" s="3"/>
      <c r="IHE72" s="3"/>
      <c r="IHF72" s="3"/>
      <c r="IHG72" s="3"/>
      <c r="IHH72" s="3"/>
      <c r="IHI72" s="3"/>
      <c r="IHJ72" s="3"/>
      <c r="IHK72" s="3"/>
      <c r="IHL72" s="3"/>
      <c r="IHM72" s="3"/>
      <c r="IHN72" s="3"/>
      <c r="IHO72" s="3"/>
      <c r="IHP72" s="3"/>
      <c r="IHQ72" s="3"/>
      <c r="IHR72" s="3"/>
      <c r="IHS72" s="3"/>
      <c r="IHT72" s="3"/>
      <c r="IHU72" s="3"/>
      <c r="IHV72" s="3"/>
      <c r="IHW72" s="3"/>
      <c r="IHX72" s="3"/>
      <c r="IHY72" s="3"/>
      <c r="IHZ72" s="3"/>
      <c r="IIA72" s="3"/>
      <c r="IIB72" s="3"/>
      <c r="IIC72" s="3"/>
      <c r="IID72" s="3"/>
      <c r="IIE72" s="3"/>
      <c r="IIF72" s="3"/>
      <c r="IIG72" s="3"/>
      <c r="IIH72" s="3"/>
      <c r="III72" s="3"/>
      <c r="IIJ72" s="3"/>
      <c r="IIK72" s="3"/>
      <c r="IIL72" s="3"/>
      <c r="IIM72" s="3"/>
      <c r="IIN72" s="3"/>
      <c r="IIO72" s="3"/>
      <c r="IIP72" s="3"/>
      <c r="IIQ72" s="3"/>
      <c r="IIR72" s="3"/>
      <c r="IIS72" s="3"/>
      <c r="IIT72" s="3"/>
      <c r="IIU72" s="3"/>
      <c r="IIV72" s="3"/>
      <c r="IIW72" s="3"/>
      <c r="IIX72" s="3"/>
      <c r="IIY72" s="3"/>
      <c r="IIZ72" s="3"/>
      <c r="IJA72" s="3"/>
      <c r="IJB72" s="3"/>
      <c r="IJC72" s="3"/>
      <c r="IJD72" s="3"/>
      <c r="IJE72" s="3"/>
      <c r="IJF72" s="3"/>
      <c r="IJG72" s="3"/>
      <c r="IJH72" s="3"/>
      <c r="IJI72" s="3"/>
      <c r="IJJ72" s="3"/>
      <c r="IJK72" s="3"/>
      <c r="IJL72" s="3"/>
      <c r="IJM72" s="3"/>
      <c r="IJN72" s="3"/>
      <c r="IJO72" s="3"/>
      <c r="IJP72" s="3"/>
      <c r="IJQ72" s="3"/>
      <c r="IJR72" s="3"/>
      <c r="IJS72" s="3"/>
      <c r="IJT72" s="3"/>
      <c r="IJU72" s="3"/>
      <c r="IJV72" s="3"/>
      <c r="IJW72" s="3"/>
      <c r="IJX72" s="3"/>
      <c r="IJY72" s="3"/>
      <c r="IJZ72" s="3"/>
      <c r="IKA72" s="3"/>
      <c r="IKB72" s="3"/>
      <c r="IKC72" s="3"/>
      <c r="IKD72" s="3"/>
      <c r="IKE72" s="3"/>
      <c r="IKF72" s="3"/>
      <c r="IKG72" s="3"/>
      <c r="IKH72" s="3"/>
      <c r="IKI72" s="3"/>
      <c r="IKJ72" s="3"/>
      <c r="IKK72" s="3"/>
      <c r="IKL72" s="3"/>
      <c r="IKM72" s="3"/>
      <c r="IKN72" s="3"/>
      <c r="IKO72" s="3"/>
      <c r="IKP72" s="3"/>
      <c r="IKQ72" s="3"/>
      <c r="IKR72" s="3"/>
      <c r="IKS72" s="3"/>
      <c r="IKT72" s="3"/>
      <c r="IKU72" s="3"/>
      <c r="IKV72" s="3"/>
      <c r="IKW72" s="3"/>
      <c r="IKX72" s="3"/>
      <c r="IKY72" s="3"/>
      <c r="IKZ72" s="3"/>
      <c r="ILA72" s="3"/>
      <c r="ILB72" s="3"/>
      <c r="ILC72" s="3"/>
      <c r="ILD72" s="3"/>
      <c r="ILE72" s="3"/>
      <c r="ILF72" s="3"/>
      <c r="ILG72" s="3"/>
      <c r="ILH72" s="3"/>
      <c r="ILI72" s="3"/>
      <c r="ILJ72" s="3"/>
      <c r="ILK72" s="3"/>
      <c r="ILL72" s="3"/>
      <c r="ILM72" s="3"/>
      <c r="ILN72" s="3"/>
      <c r="ILO72" s="3"/>
      <c r="ILP72" s="3"/>
      <c r="ILQ72" s="3"/>
      <c r="ILR72" s="3"/>
      <c r="ILS72" s="3"/>
      <c r="ILT72" s="3"/>
      <c r="ILU72" s="3"/>
      <c r="ILV72" s="3"/>
      <c r="ILW72" s="3"/>
      <c r="ILX72" s="3"/>
      <c r="ILY72" s="3"/>
      <c r="ILZ72" s="3"/>
      <c r="IMA72" s="3"/>
      <c r="IMB72" s="3"/>
      <c r="IMC72" s="3"/>
      <c r="IMD72" s="3"/>
      <c r="IME72" s="3"/>
      <c r="IMF72" s="3"/>
      <c r="IMG72" s="3"/>
      <c r="IMH72" s="3"/>
      <c r="IMI72" s="3"/>
      <c r="IMJ72" s="3"/>
      <c r="IMK72" s="3"/>
      <c r="IML72" s="3"/>
      <c r="IMM72" s="3"/>
      <c r="IMN72" s="3"/>
      <c r="IMO72" s="3"/>
      <c r="IMP72" s="3"/>
      <c r="IMQ72" s="3"/>
      <c r="IMR72" s="3"/>
      <c r="IMS72" s="3"/>
      <c r="IMT72" s="3"/>
      <c r="IMU72" s="3"/>
      <c r="IMV72" s="3"/>
      <c r="IMW72" s="3"/>
      <c r="IMX72" s="3"/>
      <c r="IMY72" s="3"/>
      <c r="IMZ72" s="3"/>
      <c r="INA72" s="3"/>
      <c r="INB72" s="3"/>
      <c r="INC72" s="3"/>
      <c r="IND72" s="3"/>
      <c r="INE72" s="3"/>
      <c r="INF72" s="3"/>
      <c r="ING72" s="3"/>
      <c r="INH72" s="3"/>
      <c r="INI72" s="3"/>
      <c r="INJ72" s="3"/>
      <c r="INK72" s="3"/>
      <c r="INL72" s="3"/>
      <c r="INM72" s="3"/>
      <c r="INN72" s="3"/>
      <c r="INO72" s="3"/>
      <c r="INP72" s="3"/>
      <c r="INQ72" s="3"/>
      <c r="INR72" s="3"/>
      <c r="INS72" s="3"/>
      <c r="INT72" s="3"/>
      <c r="INU72" s="3"/>
      <c r="INV72" s="3"/>
      <c r="INW72" s="3"/>
      <c r="INX72" s="3"/>
      <c r="INY72" s="3"/>
      <c r="INZ72" s="3"/>
      <c r="IOA72" s="3"/>
      <c r="IOB72" s="3"/>
      <c r="IOC72" s="3"/>
      <c r="IOD72" s="3"/>
      <c r="IOE72" s="3"/>
      <c r="IOF72" s="3"/>
      <c r="IOG72" s="3"/>
      <c r="IOH72" s="3"/>
      <c r="IOI72" s="3"/>
      <c r="IOJ72" s="3"/>
      <c r="IOK72" s="3"/>
      <c r="IOL72" s="3"/>
      <c r="IOM72" s="3"/>
      <c r="ION72" s="3"/>
      <c r="IOO72" s="3"/>
      <c r="IOP72" s="3"/>
      <c r="IOQ72" s="3"/>
      <c r="IOR72" s="3"/>
      <c r="IOS72" s="3"/>
      <c r="IOT72" s="3"/>
      <c r="IOU72" s="3"/>
      <c r="IOV72" s="3"/>
      <c r="IOW72" s="3"/>
      <c r="IOX72" s="3"/>
      <c r="IOY72" s="3"/>
      <c r="IOZ72" s="3"/>
      <c r="IPA72" s="3"/>
      <c r="IPB72" s="3"/>
      <c r="IPC72" s="3"/>
      <c r="IPD72" s="3"/>
      <c r="IPE72" s="3"/>
      <c r="IPF72" s="3"/>
      <c r="IPG72" s="3"/>
      <c r="IPH72" s="3"/>
      <c r="IPI72" s="3"/>
      <c r="IPJ72" s="3"/>
      <c r="IPK72" s="3"/>
      <c r="IPL72" s="3"/>
      <c r="IPM72" s="3"/>
      <c r="IPN72" s="3"/>
      <c r="IPO72" s="3"/>
      <c r="IPP72" s="3"/>
      <c r="IPQ72" s="3"/>
      <c r="IPR72" s="3"/>
      <c r="IPS72" s="3"/>
      <c r="IPT72" s="3"/>
      <c r="IPU72" s="3"/>
      <c r="IPV72" s="3"/>
      <c r="IPW72" s="3"/>
      <c r="IPX72" s="3"/>
      <c r="IPY72" s="3"/>
      <c r="IPZ72" s="3"/>
      <c r="IQA72" s="3"/>
      <c r="IQB72" s="3"/>
      <c r="IQC72" s="3"/>
      <c r="IQD72" s="3"/>
      <c r="IQE72" s="3"/>
      <c r="IQF72" s="3"/>
      <c r="IQG72" s="3"/>
      <c r="IQH72" s="3"/>
      <c r="IQI72" s="3"/>
      <c r="IQJ72" s="3"/>
      <c r="IQK72" s="3"/>
      <c r="IQL72" s="3"/>
      <c r="IQM72" s="3"/>
      <c r="IQN72" s="3"/>
      <c r="IQO72" s="3"/>
      <c r="IQP72" s="3"/>
      <c r="IQQ72" s="3"/>
      <c r="IQR72" s="3"/>
      <c r="IQS72" s="3"/>
      <c r="IQT72" s="3"/>
      <c r="IQU72" s="3"/>
      <c r="IQV72" s="3"/>
      <c r="IQW72" s="3"/>
      <c r="IQX72" s="3"/>
      <c r="IQY72" s="3"/>
      <c r="IQZ72" s="3"/>
      <c r="IRA72" s="3"/>
      <c r="IRB72" s="3"/>
      <c r="IRC72" s="3"/>
      <c r="IRD72" s="3"/>
      <c r="IRE72" s="3"/>
      <c r="IRF72" s="3"/>
      <c r="IRG72" s="3"/>
      <c r="IRH72" s="3"/>
      <c r="IRI72" s="3"/>
      <c r="IRJ72" s="3"/>
      <c r="IRK72" s="3"/>
      <c r="IRL72" s="3"/>
      <c r="IRM72" s="3"/>
      <c r="IRN72" s="3"/>
      <c r="IRO72" s="3"/>
      <c r="IRP72" s="3"/>
      <c r="IRQ72" s="3"/>
      <c r="IRR72" s="3"/>
      <c r="IRS72" s="3"/>
      <c r="IRT72" s="3"/>
      <c r="IRU72" s="3"/>
      <c r="IRV72" s="3"/>
      <c r="IRW72" s="3"/>
      <c r="IRX72" s="3"/>
      <c r="IRY72" s="3"/>
      <c r="IRZ72" s="3"/>
      <c r="ISA72" s="3"/>
      <c r="ISB72" s="3"/>
      <c r="ISC72" s="3"/>
      <c r="ISD72" s="3"/>
      <c r="ISE72" s="3"/>
      <c r="ISF72" s="3"/>
      <c r="ISG72" s="3"/>
      <c r="ISH72" s="3"/>
      <c r="ISI72" s="3"/>
      <c r="ISJ72" s="3"/>
      <c r="ISK72" s="3"/>
      <c r="ISL72" s="3"/>
      <c r="ISM72" s="3"/>
      <c r="ISN72" s="3"/>
      <c r="ISO72" s="3"/>
      <c r="ISP72" s="3"/>
      <c r="ISQ72" s="3"/>
      <c r="ISR72" s="3"/>
      <c r="ISS72" s="3"/>
      <c r="IST72" s="3"/>
      <c r="ISU72" s="3"/>
      <c r="ISV72" s="3"/>
      <c r="ISW72" s="3"/>
      <c r="ISX72" s="3"/>
      <c r="ISY72" s="3"/>
      <c r="ISZ72" s="3"/>
      <c r="ITA72" s="3"/>
      <c r="ITB72" s="3"/>
      <c r="ITC72" s="3"/>
      <c r="ITD72" s="3"/>
      <c r="ITE72" s="3"/>
      <c r="ITF72" s="3"/>
      <c r="ITG72" s="3"/>
      <c r="ITH72" s="3"/>
      <c r="ITI72" s="3"/>
      <c r="ITJ72" s="3"/>
      <c r="ITK72" s="3"/>
      <c r="ITL72" s="3"/>
      <c r="ITM72" s="3"/>
      <c r="ITN72" s="3"/>
      <c r="ITO72" s="3"/>
      <c r="ITP72" s="3"/>
      <c r="ITQ72" s="3"/>
      <c r="ITR72" s="3"/>
      <c r="ITS72" s="3"/>
      <c r="ITT72" s="3"/>
      <c r="ITU72" s="3"/>
      <c r="ITV72" s="3"/>
      <c r="ITW72" s="3"/>
      <c r="ITX72" s="3"/>
      <c r="ITY72" s="3"/>
      <c r="ITZ72" s="3"/>
      <c r="IUA72" s="3"/>
      <c r="IUB72" s="3"/>
      <c r="IUC72" s="3"/>
      <c r="IUD72" s="3"/>
      <c r="IUE72" s="3"/>
      <c r="IUF72" s="3"/>
      <c r="IUG72" s="3"/>
      <c r="IUH72" s="3"/>
      <c r="IUI72" s="3"/>
      <c r="IUJ72" s="3"/>
      <c r="IUK72" s="3"/>
      <c r="IUL72" s="3"/>
      <c r="IUM72" s="3"/>
      <c r="IUN72" s="3"/>
      <c r="IUO72" s="3"/>
      <c r="IUP72" s="3"/>
      <c r="IUQ72" s="3"/>
      <c r="IUR72" s="3"/>
      <c r="IUS72" s="3"/>
      <c r="IUT72" s="3"/>
      <c r="IUU72" s="3"/>
      <c r="IUV72" s="3"/>
      <c r="IUW72" s="3"/>
      <c r="IUX72" s="3"/>
      <c r="IUY72" s="3"/>
      <c r="IUZ72" s="3"/>
      <c r="IVA72" s="3"/>
      <c r="IVB72" s="3"/>
      <c r="IVC72" s="3"/>
      <c r="IVD72" s="3"/>
      <c r="IVE72" s="3"/>
      <c r="IVF72" s="3"/>
      <c r="IVG72" s="3"/>
      <c r="IVH72" s="3"/>
      <c r="IVI72" s="3"/>
      <c r="IVJ72" s="3"/>
      <c r="IVK72" s="3"/>
      <c r="IVL72" s="3"/>
      <c r="IVM72" s="3"/>
      <c r="IVN72" s="3"/>
      <c r="IVO72" s="3"/>
      <c r="IVP72" s="3"/>
      <c r="IVQ72" s="3"/>
      <c r="IVR72" s="3"/>
      <c r="IVS72" s="3"/>
      <c r="IVT72" s="3"/>
      <c r="IVU72" s="3"/>
      <c r="IVV72" s="3"/>
      <c r="IVW72" s="3"/>
      <c r="IVX72" s="3"/>
      <c r="IVY72" s="3"/>
      <c r="IVZ72" s="3"/>
      <c r="IWA72" s="3"/>
      <c r="IWB72" s="3"/>
      <c r="IWC72" s="3"/>
      <c r="IWD72" s="3"/>
      <c r="IWE72" s="3"/>
      <c r="IWF72" s="3"/>
      <c r="IWG72" s="3"/>
      <c r="IWH72" s="3"/>
      <c r="IWI72" s="3"/>
      <c r="IWJ72" s="3"/>
      <c r="IWK72" s="3"/>
      <c r="IWL72" s="3"/>
      <c r="IWM72" s="3"/>
      <c r="IWN72" s="3"/>
      <c r="IWO72" s="3"/>
      <c r="IWP72" s="3"/>
      <c r="IWQ72" s="3"/>
      <c r="IWR72" s="3"/>
      <c r="IWS72" s="3"/>
      <c r="IWT72" s="3"/>
      <c r="IWU72" s="3"/>
      <c r="IWV72" s="3"/>
      <c r="IWW72" s="3"/>
      <c r="IWX72" s="3"/>
      <c r="IWY72" s="3"/>
      <c r="IWZ72" s="3"/>
      <c r="IXA72" s="3"/>
      <c r="IXB72" s="3"/>
      <c r="IXC72" s="3"/>
      <c r="IXD72" s="3"/>
      <c r="IXE72" s="3"/>
      <c r="IXF72" s="3"/>
      <c r="IXG72" s="3"/>
      <c r="IXH72" s="3"/>
      <c r="IXI72" s="3"/>
      <c r="IXJ72" s="3"/>
      <c r="IXK72" s="3"/>
      <c r="IXL72" s="3"/>
      <c r="IXM72" s="3"/>
      <c r="IXN72" s="3"/>
      <c r="IXO72" s="3"/>
      <c r="IXP72" s="3"/>
      <c r="IXQ72" s="3"/>
      <c r="IXR72" s="3"/>
      <c r="IXS72" s="3"/>
      <c r="IXT72" s="3"/>
      <c r="IXU72" s="3"/>
      <c r="IXV72" s="3"/>
      <c r="IXW72" s="3"/>
      <c r="IXX72" s="3"/>
      <c r="IXY72" s="3"/>
      <c r="IXZ72" s="3"/>
      <c r="IYA72" s="3"/>
      <c r="IYB72" s="3"/>
      <c r="IYC72" s="3"/>
      <c r="IYD72" s="3"/>
      <c r="IYE72" s="3"/>
      <c r="IYF72" s="3"/>
      <c r="IYG72" s="3"/>
      <c r="IYH72" s="3"/>
      <c r="IYI72" s="3"/>
      <c r="IYJ72" s="3"/>
      <c r="IYK72" s="3"/>
      <c r="IYL72" s="3"/>
      <c r="IYM72" s="3"/>
      <c r="IYN72" s="3"/>
      <c r="IYO72" s="3"/>
      <c r="IYP72" s="3"/>
      <c r="IYQ72" s="3"/>
      <c r="IYR72" s="3"/>
      <c r="IYS72" s="3"/>
      <c r="IYT72" s="3"/>
      <c r="IYU72" s="3"/>
      <c r="IYV72" s="3"/>
      <c r="IYW72" s="3"/>
      <c r="IYX72" s="3"/>
      <c r="IYY72" s="3"/>
      <c r="IYZ72" s="3"/>
      <c r="IZA72" s="3"/>
      <c r="IZB72" s="3"/>
      <c r="IZC72" s="3"/>
      <c r="IZD72" s="3"/>
      <c r="IZE72" s="3"/>
      <c r="IZF72" s="3"/>
      <c r="IZG72" s="3"/>
      <c r="IZH72" s="3"/>
      <c r="IZI72" s="3"/>
      <c r="IZJ72" s="3"/>
      <c r="IZK72" s="3"/>
      <c r="IZL72" s="3"/>
      <c r="IZM72" s="3"/>
      <c r="IZN72" s="3"/>
      <c r="IZO72" s="3"/>
      <c r="IZP72" s="3"/>
      <c r="IZQ72" s="3"/>
      <c r="IZR72" s="3"/>
      <c r="IZS72" s="3"/>
      <c r="IZT72" s="3"/>
      <c r="IZU72" s="3"/>
      <c r="IZV72" s="3"/>
      <c r="IZW72" s="3"/>
      <c r="IZX72" s="3"/>
      <c r="IZY72" s="3"/>
      <c r="IZZ72" s="3"/>
      <c r="JAA72" s="3"/>
      <c r="JAB72" s="3"/>
      <c r="JAC72" s="3"/>
      <c r="JAD72" s="3"/>
      <c r="JAE72" s="3"/>
      <c r="JAF72" s="3"/>
      <c r="JAG72" s="3"/>
      <c r="JAH72" s="3"/>
      <c r="JAI72" s="3"/>
      <c r="JAJ72" s="3"/>
      <c r="JAK72" s="3"/>
      <c r="JAL72" s="3"/>
      <c r="JAM72" s="3"/>
      <c r="JAN72" s="3"/>
      <c r="JAO72" s="3"/>
      <c r="JAP72" s="3"/>
      <c r="JAQ72" s="3"/>
      <c r="JAR72" s="3"/>
      <c r="JAS72" s="3"/>
      <c r="JAT72" s="3"/>
      <c r="JAU72" s="3"/>
      <c r="JAV72" s="3"/>
      <c r="JAW72" s="3"/>
      <c r="JAX72" s="3"/>
      <c r="JAY72" s="3"/>
      <c r="JAZ72" s="3"/>
      <c r="JBA72" s="3"/>
      <c r="JBB72" s="3"/>
      <c r="JBC72" s="3"/>
      <c r="JBD72" s="3"/>
      <c r="JBE72" s="3"/>
      <c r="JBF72" s="3"/>
      <c r="JBG72" s="3"/>
      <c r="JBH72" s="3"/>
      <c r="JBI72" s="3"/>
      <c r="JBJ72" s="3"/>
      <c r="JBK72" s="3"/>
      <c r="JBL72" s="3"/>
      <c r="JBM72" s="3"/>
      <c r="JBN72" s="3"/>
      <c r="JBO72" s="3"/>
      <c r="JBP72" s="3"/>
      <c r="JBQ72" s="3"/>
      <c r="JBR72" s="3"/>
      <c r="JBS72" s="3"/>
      <c r="JBT72" s="3"/>
      <c r="JBU72" s="3"/>
      <c r="JBV72" s="3"/>
      <c r="JBW72" s="3"/>
      <c r="JBX72" s="3"/>
      <c r="JBY72" s="3"/>
      <c r="JBZ72" s="3"/>
      <c r="JCA72" s="3"/>
      <c r="JCB72" s="3"/>
      <c r="JCC72" s="3"/>
      <c r="JCD72" s="3"/>
      <c r="JCE72" s="3"/>
      <c r="JCF72" s="3"/>
      <c r="JCG72" s="3"/>
      <c r="JCH72" s="3"/>
      <c r="JCI72" s="3"/>
      <c r="JCJ72" s="3"/>
      <c r="JCK72" s="3"/>
      <c r="JCL72" s="3"/>
      <c r="JCM72" s="3"/>
      <c r="JCN72" s="3"/>
      <c r="JCO72" s="3"/>
      <c r="JCP72" s="3"/>
      <c r="JCQ72" s="3"/>
      <c r="JCR72" s="3"/>
      <c r="JCS72" s="3"/>
      <c r="JCT72" s="3"/>
      <c r="JCU72" s="3"/>
      <c r="JCV72" s="3"/>
      <c r="JCW72" s="3"/>
      <c r="JCX72" s="3"/>
      <c r="JCY72" s="3"/>
      <c r="JCZ72" s="3"/>
      <c r="JDA72" s="3"/>
      <c r="JDB72" s="3"/>
      <c r="JDC72" s="3"/>
      <c r="JDD72" s="3"/>
      <c r="JDE72" s="3"/>
      <c r="JDF72" s="3"/>
      <c r="JDG72" s="3"/>
      <c r="JDH72" s="3"/>
      <c r="JDI72" s="3"/>
      <c r="JDJ72" s="3"/>
      <c r="JDK72" s="3"/>
      <c r="JDL72" s="3"/>
      <c r="JDM72" s="3"/>
      <c r="JDN72" s="3"/>
      <c r="JDO72" s="3"/>
      <c r="JDP72" s="3"/>
      <c r="JDQ72" s="3"/>
      <c r="JDR72" s="3"/>
      <c r="JDS72" s="3"/>
      <c r="JDT72" s="3"/>
      <c r="JDU72" s="3"/>
      <c r="JDV72" s="3"/>
      <c r="JDW72" s="3"/>
      <c r="JDX72" s="3"/>
      <c r="JDY72" s="3"/>
      <c r="JDZ72" s="3"/>
      <c r="JEA72" s="3"/>
      <c r="JEB72" s="3"/>
      <c r="JEC72" s="3"/>
      <c r="JED72" s="3"/>
      <c r="JEE72" s="3"/>
      <c r="JEF72" s="3"/>
      <c r="JEG72" s="3"/>
      <c r="JEH72" s="3"/>
      <c r="JEI72" s="3"/>
      <c r="JEJ72" s="3"/>
      <c r="JEK72" s="3"/>
      <c r="JEL72" s="3"/>
      <c r="JEM72" s="3"/>
      <c r="JEN72" s="3"/>
      <c r="JEO72" s="3"/>
      <c r="JEP72" s="3"/>
      <c r="JEQ72" s="3"/>
      <c r="JER72" s="3"/>
      <c r="JES72" s="3"/>
      <c r="JET72" s="3"/>
      <c r="JEU72" s="3"/>
      <c r="JEV72" s="3"/>
      <c r="JEW72" s="3"/>
      <c r="JEX72" s="3"/>
      <c r="JEY72" s="3"/>
      <c r="JEZ72" s="3"/>
      <c r="JFA72" s="3"/>
      <c r="JFB72" s="3"/>
      <c r="JFC72" s="3"/>
      <c r="JFD72" s="3"/>
      <c r="JFE72" s="3"/>
      <c r="JFF72" s="3"/>
      <c r="JFG72" s="3"/>
      <c r="JFH72" s="3"/>
      <c r="JFI72" s="3"/>
      <c r="JFJ72" s="3"/>
      <c r="JFK72" s="3"/>
      <c r="JFL72" s="3"/>
      <c r="JFM72" s="3"/>
      <c r="JFN72" s="3"/>
      <c r="JFO72" s="3"/>
      <c r="JFP72" s="3"/>
      <c r="JFQ72" s="3"/>
      <c r="JFR72" s="3"/>
      <c r="JFS72" s="3"/>
      <c r="JFT72" s="3"/>
      <c r="JFU72" s="3"/>
      <c r="JFV72" s="3"/>
      <c r="JFW72" s="3"/>
      <c r="JFX72" s="3"/>
      <c r="JFY72" s="3"/>
      <c r="JFZ72" s="3"/>
      <c r="JGA72" s="3"/>
      <c r="JGB72" s="3"/>
      <c r="JGC72" s="3"/>
      <c r="JGD72" s="3"/>
      <c r="JGE72" s="3"/>
      <c r="JGF72" s="3"/>
      <c r="JGG72" s="3"/>
      <c r="JGH72" s="3"/>
      <c r="JGI72" s="3"/>
      <c r="JGJ72" s="3"/>
      <c r="JGK72" s="3"/>
      <c r="JGL72" s="3"/>
      <c r="JGM72" s="3"/>
      <c r="JGN72" s="3"/>
      <c r="JGO72" s="3"/>
      <c r="JGP72" s="3"/>
      <c r="JGQ72" s="3"/>
      <c r="JGR72" s="3"/>
      <c r="JGS72" s="3"/>
      <c r="JGT72" s="3"/>
      <c r="JGU72" s="3"/>
      <c r="JGV72" s="3"/>
      <c r="JGW72" s="3"/>
      <c r="JGX72" s="3"/>
      <c r="JGY72" s="3"/>
      <c r="JGZ72" s="3"/>
      <c r="JHA72" s="3"/>
      <c r="JHB72" s="3"/>
      <c r="JHC72" s="3"/>
      <c r="JHD72" s="3"/>
      <c r="JHE72" s="3"/>
      <c r="JHF72" s="3"/>
      <c r="JHG72" s="3"/>
      <c r="JHH72" s="3"/>
      <c r="JHI72" s="3"/>
      <c r="JHJ72" s="3"/>
      <c r="JHK72" s="3"/>
      <c r="JHL72" s="3"/>
      <c r="JHM72" s="3"/>
      <c r="JHN72" s="3"/>
      <c r="JHO72" s="3"/>
      <c r="JHP72" s="3"/>
      <c r="JHQ72" s="3"/>
      <c r="JHR72" s="3"/>
      <c r="JHS72" s="3"/>
      <c r="JHT72" s="3"/>
      <c r="JHU72" s="3"/>
      <c r="JHV72" s="3"/>
      <c r="JHW72" s="3"/>
      <c r="JHX72" s="3"/>
      <c r="JHY72" s="3"/>
      <c r="JHZ72" s="3"/>
      <c r="JIA72" s="3"/>
      <c r="JIB72" s="3"/>
      <c r="JIC72" s="3"/>
      <c r="JID72" s="3"/>
      <c r="JIE72" s="3"/>
      <c r="JIF72" s="3"/>
      <c r="JIG72" s="3"/>
      <c r="JIH72" s="3"/>
      <c r="JII72" s="3"/>
      <c r="JIJ72" s="3"/>
      <c r="JIK72" s="3"/>
      <c r="JIL72" s="3"/>
      <c r="JIM72" s="3"/>
      <c r="JIN72" s="3"/>
      <c r="JIO72" s="3"/>
      <c r="JIP72" s="3"/>
      <c r="JIQ72" s="3"/>
      <c r="JIR72" s="3"/>
      <c r="JIS72" s="3"/>
      <c r="JIT72" s="3"/>
      <c r="JIU72" s="3"/>
      <c r="JIV72" s="3"/>
      <c r="JIW72" s="3"/>
      <c r="JIX72" s="3"/>
      <c r="JIY72" s="3"/>
      <c r="JIZ72" s="3"/>
      <c r="JJA72" s="3"/>
      <c r="JJB72" s="3"/>
      <c r="JJC72" s="3"/>
      <c r="JJD72" s="3"/>
      <c r="JJE72" s="3"/>
      <c r="JJF72" s="3"/>
      <c r="JJG72" s="3"/>
      <c r="JJH72" s="3"/>
      <c r="JJI72" s="3"/>
      <c r="JJJ72" s="3"/>
      <c r="JJK72" s="3"/>
      <c r="JJL72" s="3"/>
      <c r="JJM72" s="3"/>
      <c r="JJN72" s="3"/>
      <c r="JJO72" s="3"/>
      <c r="JJP72" s="3"/>
      <c r="JJQ72" s="3"/>
      <c r="JJR72" s="3"/>
      <c r="JJS72" s="3"/>
      <c r="JJT72" s="3"/>
      <c r="JJU72" s="3"/>
      <c r="JJV72" s="3"/>
      <c r="JJW72" s="3"/>
      <c r="JJX72" s="3"/>
      <c r="JJY72" s="3"/>
      <c r="JJZ72" s="3"/>
      <c r="JKA72" s="3"/>
      <c r="JKB72" s="3"/>
      <c r="JKC72" s="3"/>
      <c r="JKD72" s="3"/>
      <c r="JKE72" s="3"/>
      <c r="JKF72" s="3"/>
      <c r="JKG72" s="3"/>
      <c r="JKH72" s="3"/>
      <c r="JKI72" s="3"/>
      <c r="JKJ72" s="3"/>
      <c r="JKK72" s="3"/>
      <c r="JKL72" s="3"/>
      <c r="JKM72" s="3"/>
      <c r="JKN72" s="3"/>
      <c r="JKO72" s="3"/>
      <c r="JKP72" s="3"/>
      <c r="JKQ72" s="3"/>
      <c r="JKR72" s="3"/>
      <c r="JKS72" s="3"/>
      <c r="JKT72" s="3"/>
      <c r="JKU72" s="3"/>
      <c r="JKV72" s="3"/>
      <c r="JKW72" s="3"/>
      <c r="JKX72" s="3"/>
      <c r="JKY72" s="3"/>
      <c r="JKZ72" s="3"/>
      <c r="JLA72" s="3"/>
      <c r="JLB72" s="3"/>
      <c r="JLC72" s="3"/>
      <c r="JLD72" s="3"/>
      <c r="JLE72" s="3"/>
      <c r="JLF72" s="3"/>
      <c r="JLG72" s="3"/>
      <c r="JLH72" s="3"/>
      <c r="JLI72" s="3"/>
      <c r="JLJ72" s="3"/>
      <c r="JLK72" s="3"/>
      <c r="JLL72" s="3"/>
      <c r="JLM72" s="3"/>
      <c r="JLN72" s="3"/>
      <c r="JLO72" s="3"/>
      <c r="JLP72" s="3"/>
      <c r="JLQ72" s="3"/>
      <c r="JLR72" s="3"/>
      <c r="JLS72" s="3"/>
      <c r="JLT72" s="3"/>
      <c r="JLU72" s="3"/>
      <c r="JLV72" s="3"/>
      <c r="JLW72" s="3"/>
      <c r="JLX72" s="3"/>
      <c r="JLY72" s="3"/>
      <c r="JLZ72" s="3"/>
      <c r="JMA72" s="3"/>
      <c r="JMB72" s="3"/>
      <c r="JMC72" s="3"/>
      <c r="JMD72" s="3"/>
      <c r="JME72" s="3"/>
      <c r="JMF72" s="3"/>
      <c r="JMG72" s="3"/>
      <c r="JMH72" s="3"/>
      <c r="JMI72" s="3"/>
      <c r="JMJ72" s="3"/>
      <c r="JMK72" s="3"/>
      <c r="JML72" s="3"/>
      <c r="JMM72" s="3"/>
      <c r="JMN72" s="3"/>
      <c r="JMO72" s="3"/>
      <c r="JMP72" s="3"/>
      <c r="JMQ72" s="3"/>
      <c r="JMR72" s="3"/>
      <c r="JMS72" s="3"/>
      <c r="JMT72" s="3"/>
      <c r="JMU72" s="3"/>
      <c r="JMV72" s="3"/>
      <c r="JMW72" s="3"/>
      <c r="JMX72" s="3"/>
      <c r="JMY72" s="3"/>
      <c r="JMZ72" s="3"/>
      <c r="JNA72" s="3"/>
      <c r="JNB72" s="3"/>
      <c r="JNC72" s="3"/>
      <c r="JND72" s="3"/>
      <c r="JNE72" s="3"/>
      <c r="JNF72" s="3"/>
      <c r="JNG72" s="3"/>
      <c r="JNH72" s="3"/>
      <c r="JNI72" s="3"/>
      <c r="JNJ72" s="3"/>
      <c r="JNK72" s="3"/>
      <c r="JNL72" s="3"/>
      <c r="JNM72" s="3"/>
      <c r="JNN72" s="3"/>
      <c r="JNO72" s="3"/>
      <c r="JNP72" s="3"/>
      <c r="JNQ72" s="3"/>
      <c r="JNR72" s="3"/>
      <c r="JNS72" s="3"/>
      <c r="JNT72" s="3"/>
      <c r="JNU72" s="3"/>
      <c r="JNV72" s="3"/>
      <c r="JNW72" s="3"/>
      <c r="JNX72" s="3"/>
      <c r="JNY72" s="3"/>
      <c r="JNZ72" s="3"/>
      <c r="JOA72" s="3"/>
      <c r="JOB72" s="3"/>
      <c r="JOC72" s="3"/>
      <c r="JOD72" s="3"/>
      <c r="JOE72" s="3"/>
      <c r="JOF72" s="3"/>
      <c r="JOG72" s="3"/>
      <c r="JOH72" s="3"/>
      <c r="JOI72" s="3"/>
      <c r="JOJ72" s="3"/>
      <c r="JOK72" s="3"/>
      <c r="JOL72" s="3"/>
      <c r="JOM72" s="3"/>
      <c r="JON72" s="3"/>
      <c r="JOO72" s="3"/>
      <c r="JOP72" s="3"/>
      <c r="JOQ72" s="3"/>
      <c r="JOR72" s="3"/>
      <c r="JOS72" s="3"/>
      <c r="JOT72" s="3"/>
      <c r="JOU72" s="3"/>
      <c r="JOV72" s="3"/>
      <c r="JOW72" s="3"/>
      <c r="JOX72" s="3"/>
      <c r="JOY72" s="3"/>
      <c r="JOZ72" s="3"/>
      <c r="JPA72" s="3"/>
      <c r="JPB72" s="3"/>
      <c r="JPC72" s="3"/>
      <c r="JPD72" s="3"/>
      <c r="JPE72" s="3"/>
      <c r="JPF72" s="3"/>
      <c r="JPG72" s="3"/>
      <c r="JPH72" s="3"/>
      <c r="JPI72" s="3"/>
      <c r="JPJ72" s="3"/>
      <c r="JPK72" s="3"/>
      <c r="JPL72" s="3"/>
      <c r="JPM72" s="3"/>
      <c r="JPN72" s="3"/>
      <c r="JPO72" s="3"/>
      <c r="JPP72" s="3"/>
      <c r="JPQ72" s="3"/>
      <c r="JPR72" s="3"/>
      <c r="JPS72" s="3"/>
      <c r="JPT72" s="3"/>
      <c r="JPU72" s="3"/>
      <c r="JPV72" s="3"/>
      <c r="JPW72" s="3"/>
      <c r="JPX72" s="3"/>
      <c r="JPY72" s="3"/>
      <c r="JPZ72" s="3"/>
      <c r="JQA72" s="3"/>
      <c r="JQB72" s="3"/>
      <c r="JQC72" s="3"/>
      <c r="JQD72" s="3"/>
      <c r="JQE72" s="3"/>
      <c r="JQF72" s="3"/>
      <c r="JQG72" s="3"/>
      <c r="JQH72" s="3"/>
      <c r="JQI72" s="3"/>
      <c r="JQJ72" s="3"/>
      <c r="JQK72" s="3"/>
      <c r="JQL72" s="3"/>
      <c r="JQM72" s="3"/>
      <c r="JQN72" s="3"/>
      <c r="JQO72" s="3"/>
      <c r="JQP72" s="3"/>
      <c r="JQQ72" s="3"/>
      <c r="JQR72" s="3"/>
      <c r="JQS72" s="3"/>
      <c r="JQT72" s="3"/>
      <c r="JQU72" s="3"/>
      <c r="JQV72" s="3"/>
      <c r="JQW72" s="3"/>
      <c r="JQX72" s="3"/>
      <c r="JQY72" s="3"/>
      <c r="JQZ72" s="3"/>
      <c r="JRA72" s="3"/>
      <c r="JRB72" s="3"/>
      <c r="JRC72" s="3"/>
      <c r="JRD72" s="3"/>
      <c r="JRE72" s="3"/>
      <c r="JRF72" s="3"/>
      <c r="JRG72" s="3"/>
      <c r="JRH72" s="3"/>
      <c r="JRI72" s="3"/>
      <c r="JRJ72" s="3"/>
      <c r="JRK72" s="3"/>
      <c r="JRL72" s="3"/>
      <c r="JRM72" s="3"/>
      <c r="JRN72" s="3"/>
      <c r="JRO72" s="3"/>
      <c r="JRP72" s="3"/>
      <c r="JRQ72" s="3"/>
      <c r="JRR72" s="3"/>
      <c r="JRS72" s="3"/>
      <c r="JRT72" s="3"/>
      <c r="JRU72" s="3"/>
      <c r="JRV72" s="3"/>
      <c r="JRW72" s="3"/>
      <c r="JRX72" s="3"/>
      <c r="JRY72" s="3"/>
      <c r="JRZ72" s="3"/>
      <c r="JSA72" s="3"/>
      <c r="JSB72" s="3"/>
      <c r="JSC72" s="3"/>
      <c r="JSD72" s="3"/>
      <c r="JSE72" s="3"/>
      <c r="JSF72" s="3"/>
      <c r="JSG72" s="3"/>
      <c r="JSH72" s="3"/>
      <c r="JSI72" s="3"/>
      <c r="JSJ72" s="3"/>
      <c r="JSK72" s="3"/>
      <c r="JSL72" s="3"/>
      <c r="JSM72" s="3"/>
      <c r="JSN72" s="3"/>
      <c r="JSO72" s="3"/>
      <c r="JSP72" s="3"/>
      <c r="JSQ72" s="3"/>
      <c r="JSR72" s="3"/>
      <c r="JSS72" s="3"/>
      <c r="JST72" s="3"/>
      <c r="JSU72" s="3"/>
      <c r="JSV72" s="3"/>
      <c r="JSW72" s="3"/>
      <c r="JSX72" s="3"/>
      <c r="JSY72" s="3"/>
      <c r="JSZ72" s="3"/>
      <c r="JTA72" s="3"/>
      <c r="JTB72" s="3"/>
      <c r="JTC72" s="3"/>
      <c r="JTD72" s="3"/>
      <c r="JTE72" s="3"/>
      <c r="JTF72" s="3"/>
      <c r="JTG72" s="3"/>
      <c r="JTH72" s="3"/>
      <c r="JTI72" s="3"/>
      <c r="JTJ72" s="3"/>
      <c r="JTK72" s="3"/>
      <c r="JTL72" s="3"/>
      <c r="JTM72" s="3"/>
      <c r="JTN72" s="3"/>
      <c r="JTO72" s="3"/>
      <c r="JTP72" s="3"/>
      <c r="JTQ72" s="3"/>
      <c r="JTR72" s="3"/>
      <c r="JTS72" s="3"/>
      <c r="JTT72" s="3"/>
      <c r="JTU72" s="3"/>
      <c r="JTV72" s="3"/>
      <c r="JTW72" s="3"/>
      <c r="JTX72" s="3"/>
      <c r="JTY72" s="3"/>
      <c r="JTZ72" s="3"/>
      <c r="JUA72" s="3"/>
      <c r="JUB72" s="3"/>
      <c r="JUC72" s="3"/>
      <c r="JUD72" s="3"/>
      <c r="JUE72" s="3"/>
      <c r="JUF72" s="3"/>
      <c r="JUG72" s="3"/>
      <c r="JUH72" s="3"/>
      <c r="JUI72" s="3"/>
      <c r="JUJ72" s="3"/>
      <c r="JUK72" s="3"/>
      <c r="JUL72" s="3"/>
      <c r="JUM72" s="3"/>
      <c r="JUN72" s="3"/>
      <c r="JUO72" s="3"/>
      <c r="JUP72" s="3"/>
      <c r="JUQ72" s="3"/>
      <c r="JUR72" s="3"/>
      <c r="JUS72" s="3"/>
      <c r="JUT72" s="3"/>
      <c r="JUU72" s="3"/>
      <c r="JUV72" s="3"/>
      <c r="JUW72" s="3"/>
      <c r="JUX72" s="3"/>
      <c r="JUY72" s="3"/>
      <c r="JUZ72" s="3"/>
      <c r="JVA72" s="3"/>
      <c r="JVB72" s="3"/>
      <c r="JVC72" s="3"/>
      <c r="JVD72" s="3"/>
      <c r="JVE72" s="3"/>
      <c r="JVF72" s="3"/>
      <c r="JVG72" s="3"/>
      <c r="JVH72" s="3"/>
      <c r="JVI72" s="3"/>
      <c r="JVJ72" s="3"/>
      <c r="JVK72" s="3"/>
      <c r="JVL72" s="3"/>
      <c r="JVM72" s="3"/>
      <c r="JVN72" s="3"/>
      <c r="JVO72" s="3"/>
      <c r="JVP72" s="3"/>
      <c r="JVQ72" s="3"/>
      <c r="JVR72" s="3"/>
      <c r="JVS72" s="3"/>
      <c r="JVT72" s="3"/>
      <c r="JVU72" s="3"/>
      <c r="JVV72" s="3"/>
      <c r="JVW72" s="3"/>
      <c r="JVX72" s="3"/>
      <c r="JVY72" s="3"/>
      <c r="JVZ72" s="3"/>
      <c r="JWA72" s="3"/>
      <c r="JWB72" s="3"/>
      <c r="JWC72" s="3"/>
      <c r="JWD72" s="3"/>
      <c r="JWE72" s="3"/>
      <c r="JWF72" s="3"/>
      <c r="JWG72" s="3"/>
      <c r="JWH72" s="3"/>
      <c r="JWI72" s="3"/>
      <c r="JWJ72" s="3"/>
      <c r="JWK72" s="3"/>
      <c r="JWL72" s="3"/>
      <c r="JWM72" s="3"/>
      <c r="JWN72" s="3"/>
      <c r="JWO72" s="3"/>
      <c r="JWP72" s="3"/>
      <c r="JWQ72" s="3"/>
      <c r="JWR72" s="3"/>
      <c r="JWS72" s="3"/>
      <c r="JWT72" s="3"/>
      <c r="JWU72" s="3"/>
      <c r="JWV72" s="3"/>
      <c r="JWW72" s="3"/>
      <c r="JWX72" s="3"/>
      <c r="JWY72" s="3"/>
      <c r="JWZ72" s="3"/>
      <c r="JXA72" s="3"/>
      <c r="JXB72" s="3"/>
      <c r="JXC72" s="3"/>
      <c r="JXD72" s="3"/>
      <c r="JXE72" s="3"/>
      <c r="JXF72" s="3"/>
      <c r="JXG72" s="3"/>
      <c r="JXH72" s="3"/>
      <c r="JXI72" s="3"/>
      <c r="JXJ72" s="3"/>
      <c r="JXK72" s="3"/>
      <c r="JXL72" s="3"/>
      <c r="JXM72" s="3"/>
      <c r="JXN72" s="3"/>
      <c r="JXO72" s="3"/>
      <c r="JXP72" s="3"/>
      <c r="JXQ72" s="3"/>
      <c r="JXR72" s="3"/>
      <c r="JXS72" s="3"/>
      <c r="JXT72" s="3"/>
      <c r="JXU72" s="3"/>
      <c r="JXV72" s="3"/>
      <c r="JXW72" s="3"/>
      <c r="JXX72" s="3"/>
      <c r="JXY72" s="3"/>
      <c r="JXZ72" s="3"/>
      <c r="JYA72" s="3"/>
      <c r="JYB72" s="3"/>
      <c r="JYC72" s="3"/>
      <c r="JYD72" s="3"/>
      <c r="JYE72" s="3"/>
      <c r="JYF72" s="3"/>
      <c r="JYG72" s="3"/>
      <c r="JYH72" s="3"/>
      <c r="JYI72" s="3"/>
      <c r="JYJ72" s="3"/>
      <c r="JYK72" s="3"/>
      <c r="JYL72" s="3"/>
      <c r="JYM72" s="3"/>
      <c r="JYN72" s="3"/>
      <c r="JYO72" s="3"/>
      <c r="JYP72" s="3"/>
      <c r="JYQ72" s="3"/>
      <c r="JYR72" s="3"/>
      <c r="JYS72" s="3"/>
      <c r="JYT72" s="3"/>
      <c r="JYU72" s="3"/>
      <c r="JYV72" s="3"/>
      <c r="JYW72" s="3"/>
      <c r="JYX72" s="3"/>
      <c r="JYY72" s="3"/>
      <c r="JYZ72" s="3"/>
      <c r="JZA72" s="3"/>
      <c r="JZB72" s="3"/>
      <c r="JZC72" s="3"/>
      <c r="JZD72" s="3"/>
      <c r="JZE72" s="3"/>
      <c r="JZF72" s="3"/>
      <c r="JZG72" s="3"/>
      <c r="JZH72" s="3"/>
      <c r="JZI72" s="3"/>
      <c r="JZJ72" s="3"/>
      <c r="JZK72" s="3"/>
      <c r="JZL72" s="3"/>
      <c r="JZM72" s="3"/>
      <c r="JZN72" s="3"/>
      <c r="JZO72" s="3"/>
      <c r="JZP72" s="3"/>
      <c r="JZQ72" s="3"/>
      <c r="JZR72" s="3"/>
      <c r="JZS72" s="3"/>
      <c r="JZT72" s="3"/>
      <c r="JZU72" s="3"/>
      <c r="JZV72" s="3"/>
      <c r="JZW72" s="3"/>
      <c r="JZX72" s="3"/>
      <c r="JZY72" s="3"/>
      <c r="JZZ72" s="3"/>
      <c r="KAA72" s="3"/>
      <c r="KAB72" s="3"/>
      <c r="KAC72" s="3"/>
      <c r="KAD72" s="3"/>
      <c r="KAE72" s="3"/>
      <c r="KAF72" s="3"/>
      <c r="KAG72" s="3"/>
      <c r="KAH72" s="3"/>
      <c r="KAI72" s="3"/>
      <c r="KAJ72" s="3"/>
      <c r="KAK72" s="3"/>
      <c r="KAL72" s="3"/>
      <c r="KAM72" s="3"/>
      <c r="KAN72" s="3"/>
      <c r="KAO72" s="3"/>
      <c r="KAP72" s="3"/>
      <c r="KAQ72" s="3"/>
      <c r="KAR72" s="3"/>
      <c r="KAS72" s="3"/>
      <c r="KAT72" s="3"/>
      <c r="KAU72" s="3"/>
      <c r="KAV72" s="3"/>
      <c r="KAW72" s="3"/>
      <c r="KAX72" s="3"/>
      <c r="KAY72" s="3"/>
      <c r="KAZ72" s="3"/>
      <c r="KBA72" s="3"/>
      <c r="KBB72" s="3"/>
      <c r="KBC72" s="3"/>
      <c r="KBD72" s="3"/>
      <c r="KBE72" s="3"/>
      <c r="KBF72" s="3"/>
      <c r="KBG72" s="3"/>
      <c r="KBH72" s="3"/>
      <c r="KBI72" s="3"/>
      <c r="KBJ72" s="3"/>
      <c r="KBK72" s="3"/>
      <c r="KBL72" s="3"/>
      <c r="KBM72" s="3"/>
      <c r="KBN72" s="3"/>
      <c r="KBO72" s="3"/>
      <c r="KBP72" s="3"/>
      <c r="KBQ72" s="3"/>
      <c r="KBR72" s="3"/>
      <c r="KBS72" s="3"/>
      <c r="KBT72" s="3"/>
      <c r="KBU72" s="3"/>
      <c r="KBV72" s="3"/>
      <c r="KBW72" s="3"/>
      <c r="KBX72" s="3"/>
      <c r="KBY72" s="3"/>
      <c r="KBZ72" s="3"/>
      <c r="KCA72" s="3"/>
      <c r="KCB72" s="3"/>
      <c r="KCC72" s="3"/>
      <c r="KCD72" s="3"/>
      <c r="KCE72" s="3"/>
      <c r="KCF72" s="3"/>
      <c r="KCG72" s="3"/>
      <c r="KCH72" s="3"/>
      <c r="KCI72" s="3"/>
      <c r="KCJ72" s="3"/>
      <c r="KCK72" s="3"/>
      <c r="KCL72" s="3"/>
      <c r="KCM72" s="3"/>
      <c r="KCN72" s="3"/>
      <c r="KCO72" s="3"/>
      <c r="KCP72" s="3"/>
      <c r="KCQ72" s="3"/>
      <c r="KCR72" s="3"/>
      <c r="KCS72" s="3"/>
      <c r="KCT72" s="3"/>
      <c r="KCU72" s="3"/>
      <c r="KCV72" s="3"/>
      <c r="KCW72" s="3"/>
      <c r="KCX72" s="3"/>
      <c r="KCY72" s="3"/>
      <c r="KCZ72" s="3"/>
      <c r="KDA72" s="3"/>
      <c r="KDB72" s="3"/>
      <c r="KDC72" s="3"/>
      <c r="KDD72" s="3"/>
      <c r="KDE72" s="3"/>
      <c r="KDF72" s="3"/>
      <c r="KDG72" s="3"/>
      <c r="KDH72" s="3"/>
      <c r="KDI72" s="3"/>
      <c r="KDJ72" s="3"/>
      <c r="KDK72" s="3"/>
      <c r="KDL72" s="3"/>
      <c r="KDM72" s="3"/>
      <c r="KDN72" s="3"/>
      <c r="KDO72" s="3"/>
      <c r="KDP72" s="3"/>
      <c r="KDQ72" s="3"/>
      <c r="KDR72" s="3"/>
      <c r="KDS72" s="3"/>
      <c r="KDT72" s="3"/>
      <c r="KDU72" s="3"/>
      <c r="KDV72" s="3"/>
      <c r="KDW72" s="3"/>
      <c r="KDX72" s="3"/>
      <c r="KDY72" s="3"/>
      <c r="KDZ72" s="3"/>
      <c r="KEA72" s="3"/>
      <c r="KEB72" s="3"/>
      <c r="KEC72" s="3"/>
      <c r="KED72" s="3"/>
      <c r="KEE72" s="3"/>
      <c r="KEF72" s="3"/>
      <c r="KEG72" s="3"/>
      <c r="KEH72" s="3"/>
      <c r="KEI72" s="3"/>
      <c r="KEJ72" s="3"/>
      <c r="KEK72" s="3"/>
      <c r="KEL72" s="3"/>
      <c r="KEM72" s="3"/>
      <c r="KEN72" s="3"/>
      <c r="KEO72" s="3"/>
      <c r="KEP72" s="3"/>
      <c r="KEQ72" s="3"/>
      <c r="KER72" s="3"/>
      <c r="KES72" s="3"/>
      <c r="KET72" s="3"/>
      <c r="KEU72" s="3"/>
      <c r="KEV72" s="3"/>
      <c r="KEW72" s="3"/>
      <c r="KEX72" s="3"/>
      <c r="KEY72" s="3"/>
      <c r="KEZ72" s="3"/>
      <c r="KFA72" s="3"/>
      <c r="KFB72" s="3"/>
      <c r="KFC72" s="3"/>
      <c r="KFD72" s="3"/>
      <c r="KFE72" s="3"/>
      <c r="KFF72" s="3"/>
      <c r="KFG72" s="3"/>
      <c r="KFH72" s="3"/>
      <c r="KFI72" s="3"/>
      <c r="KFJ72" s="3"/>
      <c r="KFK72" s="3"/>
      <c r="KFL72" s="3"/>
      <c r="KFM72" s="3"/>
      <c r="KFN72" s="3"/>
      <c r="KFO72" s="3"/>
      <c r="KFP72" s="3"/>
      <c r="KFQ72" s="3"/>
      <c r="KFR72" s="3"/>
      <c r="KFS72" s="3"/>
      <c r="KFT72" s="3"/>
      <c r="KFU72" s="3"/>
      <c r="KFV72" s="3"/>
      <c r="KFW72" s="3"/>
      <c r="KFX72" s="3"/>
      <c r="KFY72" s="3"/>
      <c r="KFZ72" s="3"/>
      <c r="KGA72" s="3"/>
      <c r="KGB72" s="3"/>
      <c r="KGC72" s="3"/>
      <c r="KGD72" s="3"/>
      <c r="KGE72" s="3"/>
      <c r="KGF72" s="3"/>
      <c r="KGG72" s="3"/>
      <c r="KGH72" s="3"/>
      <c r="KGI72" s="3"/>
      <c r="KGJ72" s="3"/>
      <c r="KGK72" s="3"/>
      <c r="KGL72" s="3"/>
      <c r="KGM72" s="3"/>
      <c r="KGN72" s="3"/>
      <c r="KGO72" s="3"/>
      <c r="KGP72" s="3"/>
      <c r="KGQ72" s="3"/>
      <c r="KGR72" s="3"/>
      <c r="KGS72" s="3"/>
      <c r="KGT72" s="3"/>
      <c r="KGU72" s="3"/>
      <c r="KGV72" s="3"/>
      <c r="KGW72" s="3"/>
      <c r="KGX72" s="3"/>
      <c r="KGY72" s="3"/>
      <c r="KGZ72" s="3"/>
      <c r="KHA72" s="3"/>
      <c r="KHB72" s="3"/>
      <c r="KHC72" s="3"/>
      <c r="KHD72" s="3"/>
      <c r="KHE72" s="3"/>
      <c r="KHF72" s="3"/>
      <c r="KHG72" s="3"/>
      <c r="KHH72" s="3"/>
      <c r="KHI72" s="3"/>
      <c r="KHJ72" s="3"/>
      <c r="KHK72" s="3"/>
      <c r="KHL72" s="3"/>
      <c r="KHM72" s="3"/>
      <c r="KHN72" s="3"/>
      <c r="KHO72" s="3"/>
      <c r="KHP72" s="3"/>
      <c r="KHQ72" s="3"/>
      <c r="KHR72" s="3"/>
      <c r="KHS72" s="3"/>
      <c r="KHT72" s="3"/>
      <c r="KHU72" s="3"/>
      <c r="KHV72" s="3"/>
      <c r="KHW72" s="3"/>
      <c r="KHX72" s="3"/>
      <c r="KHY72" s="3"/>
      <c r="KHZ72" s="3"/>
      <c r="KIA72" s="3"/>
      <c r="KIB72" s="3"/>
      <c r="KIC72" s="3"/>
      <c r="KID72" s="3"/>
      <c r="KIE72" s="3"/>
      <c r="KIF72" s="3"/>
      <c r="KIG72" s="3"/>
      <c r="KIH72" s="3"/>
      <c r="KII72" s="3"/>
      <c r="KIJ72" s="3"/>
      <c r="KIK72" s="3"/>
      <c r="KIL72" s="3"/>
      <c r="KIM72" s="3"/>
      <c r="KIN72" s="3"/>
      <c r="KIO72" s="3"/>
      <c r="KIP72" s="3"/>
      <c r="KIQ72" s="3"/>
      <c r="KIR72" s="3"/>
      <c r="KIS72" s="3"/>
      <c r="KIT72" s="3"/>
      <c r="KIU72" s="3"/>
      <c r="KIV72" s="3"/>
      <c r="KIW72" s="3"/>
      <c r="KIX72" s="3"/>
      <c r="KIY72" s="3"/>
      <c r="KIZ72" s="3"/>
      <c r="KJA72" s="3"/>
      <c r="KJB72" s="3"/>
      <c r="KJC72" s="3"/>
      <c r="KJD72" s="3"/>
      <c r="KJE72" s="3"/>
      <c r="KJF72" s="3"/>
      <c r="KJG72" s="3"/>
      <c r="KJH72" s="3"/>
      <c r="KJI72" s="3"/>
      <c r="KJJ72" s="3"/>
      <c r="KJK72" s="3"/>
      <c r="KJL72" s="3"/>
      <c r="KJM72" s="3"/>
      <c r="KJN72" s="3"/>
      <c r="KJO72" s="3"/>
      <c r="KJP72" s="3"/>
      <c r="KJQ72" s="3"/>
      <c r="KJR72" s="3"/>
      <c r="KJS72" s="3"/>
      <c r="KJT72" s="3"/>
      <c r="KJU72" s="3"/>
      <c r="KJV72" s="3"/>
      <c r="KJW72" s="3"/>
      <c r="KJX72" s="3"/>
      <c r="KJY72" s="3"/>
      <c r="KJZ72" s="3"/>
      <c r="KKA72" s="3"/>
      <c r="KKB72" s="3"/>
      <c r="KKC72" s="3"/>
      <c r="KKD72" s="3"/>
      <c r="KKE72" s="3"/>
      <c r="KKF72" s="3"/>
      <c r="KKG72" s="3"/>
      <c r="KKH72" s="3"/>
      <c r="KKI72" s="3"/>
      <c r="KKJ72" s="3"/>
      <c r="KKK72" s="3"/>
      <c r="KKL72" s="3"/>
      <c r="KKM72" s="3"/>
      <c r="KKN72" s="3"/>
      <c r="KKO72" s="3"/>
      <c r="KKP72" s="3"/>
      <c r="KKQ72" s="3"/>
      <c r="KKR72" s="3"/>
      <c r="KKS72" s="3"/>
      <c r="KKT72" s="3"/>
      <c r="KKU72" s="3"/>
      <c r="KKV72" s="3"/>
      <c r="KKW72" s="3"/>
      <c r="KKX72" s="3"/>
      <c r="KKY72" s="3"/>
      <c r="KKZ72" s="3"/>
      <c r="KLA72" s="3"/>
      <c r="KLB72" s="3"/>
      <c r="KLC72" s="3"/>
      <c r="KLD72" s="3"/>
      <c r="KLE72" s="3"/>
      <c r="KLF72" s="3"/>
      <c r="KLG72" s="3"/>
      <c r="KLH72" s="3"/>
      <c r="KLI72" s="3"/>
      <c r="KLJ72" s="3"/>
      <c r="KLK72" s="3"/>
      <c r="KLL72" s="3"/>
      <c r="KLM72" s="3"/>
      <c r="KLN72" s="3"/>
      <c r="KLO72" s="3"/>
      <c r="KLP72" s="3"/>
      <c r="KLQ72" s="3"/>
      <c r="KLR72" s="3"/>
      <c r="KLS72" s="3"/>
      <c r="KLT72" s="3"/>
      <c r="KLU72" s="3"/>
      <c r="KLV72" s="3"/>
      <c r="KLW72" s="3"/>
      <c r="KLX72" s="3"/>
      <c r="KLY72" s="3"/>
      <c r="KLZ72" s="3"/>
      <c r="KMA72" s="3"/>
      <c r="KMB72" s="3"/>
      <c r="KMC72" s="3"/>
      <c r="KMD72" s="3"/>
      <c r="KME72" s="3"/>
      <c r="KMF72" s="3"/>
      <c r="KMG72" s="3"/>
      <c r="KMH72" s="3"/>
      <c r="KMI72" s="3"/>
      <c r="KMJ72" s="3"/>
      <c r="KMK72" s="3"/>
      <c r="KML72" s="3"/>
      <c r="KMM72" s="3"/>
      <c r="KMN72" s="3"/>
      <c r="KMO72" s="3"/>
      <c r="KMP72" s="3"/>
      <c r="KMQ72" s="3"/>
      <c r="KMR72" s="3"/>
      <c r="KMS72" s="3"/>
      <c r="KMT72" s="3"/>
      <c r="KMU72" s="3"/>
      <c r="KMV72" s="3"/>
      <c r="KMW72" s="3"/>
      <c r="KMX72" s="3"/>
      <c r="KMY72" s="3"/>
      <c r="KMZ72" s="3"/>
      <c r="KNA72" s="3"/>
      <c r="KNB72" s="3"/>
      <c r="KNC72" s="3"/>
      <c r="KND72" s="3"/>
      <c r="KNE72" s="3"/>
      <c r="KNF72" s="3"/>
      <c r="KNG72" s="3"/>
      <c r="KNH72" s="3"/>
      <c r="KNI72" s="3"/>
      <c r="KNJ72" s="3"/>
      <c r="KNK72" s="3"/>
      <c r="KNL72" s="3"/>
      <c r="KNM72" s="3"/>
      <c r="KNN72" s="3"/>
      <c r="KNO72" s="3"/>
      <c r="KNP72" s="3"/>
      <c r="KNQ72" s="3"/>
      <c r="KNR72" s="3"/>
      <c r="KNS72" s="3"/>
      <c r="KNT72" s="3"/>
      <c r="KNU72" s="3"/>
      <c r="KNV72" s="3"/>
      <c r="KNW72" s="3"/>
      <c r="KNX72" s="3"/>
      <c r="KNY72" s="3"/>
      <c r="KNZ72" s="3"/>
      <c r="KOA72" s="3"/>
      <c r="KOB72" s="3"/>
      <c r="KOC72" s="3"/>
      <c r="KOD72" s="3"/>
      <c r="KOE72" s="3"/>
      <c r="KOF72" s="3"/>
      <c r="KOG72" s="3"/>
      <c r="KOH72" s="3"/>
      <c r="KOI72" s="3"/>
      <c r="KOJ72" s="3"/>
      <c r="KOK72" s="3"/>
      <c r="KOL72" s="3"/>
      <c r="KOM72" s="3"/>
      <c r="KON72" s="3"/>
      <c r="KOO72" s="3"/>
      <c r="KOP72" s="3"/>
      <c r="KOQ72" s="3"/>
      <c r="KOR72" s="3"/>
      <c r="KOS72" s="3"/>
      <c r="KOT72" s="3"/>
      <c r="KOU72" s="3"/>
      <c r="KOV72" s="3"/>
      <c r="KOW72" s="3"/>
      <c r="KOX72" s="3"/>
      <c r="KOY72" s="3"/>
      <c r="KOZ72" s="3"/>
      <c r="KPA72" s="3"/>
      <c r="KPB72" s="3"/>
      <c r="KPC72" s="3"/>
      <c r="KPD72" s="3"/>
      <c r="KPE72" s="3"/>
      <c r="KPF72" s="3"/>
      <c r="KPG72" s="3"/>
      <c r="KPH72" s="3"/>
      <c r="KPI72" s="3"/>
      <c r="KPJ72" s="3"/>
      <c r="KPK72" s="3"/>
      <c r="KPL72" s="3"/>
      <c r="KPM72" s="3"/>
      <c r="KPN72" s="3"/>
      <c r="KPO72" s="3"/>
      <c r="KPP72" s="3"/>
      <c r="KPQ72" s="3"/>
      <c r="KPR72" s="3"/>
      <c r="KPS72" s="3"/>
      <c r="KPT72" s="3"/>
      <c r="KPU72" s="3"/>
      <c r="KPV72" s="3"/>
      <c r="KPW72" s="3"/>
      <c r="KPX72" s="3"/>
      <c r="KPY72" s="3"/>
      <c r="KPZ72" s="3"/>
      <c r="KQA72" s="3"/>
      <c r="KQB72" s="3"/>
      <c r="KQC72" s="3"/>
      <c r="KQD72" s="3"/>
      <c r="KQE72" s="3"/>
      <c r="KQF72" s="3"/>
      <c r="KQG72" s="3"/>
      <c r="KQH72" s="3"/>
      <c r="KQI72" s="3"/>
      <c r="KQJ72" s="3"/>
      <c r="KQK72" s="3"/>
      <c r="KQL72" s="3"/>
      <c r="KQM72" s="3"/>
      <c r="KQN72" s="3"/>
      <c r="KQO72" s="3"/>
      <c r="KQP72" s="3"/>
      <c r="KQQ72" s="3"/>
      <c r="KQR72" s="3"/>
      <c r="KQS72" s="3"/>
      <c r="KQT72" s="3"/>
      <c r="KQU72" s="3"/>
      <c r="KQV72" s="3"/>
      <c r="KQW72" s="3"/>
      <c r="KQX72" s="3"/>
      <c r="KQY72" s="3"/>
      <c r="KQZ72" s="3"/>
      <c r="KRA72" s="3"/>
      <c r="KRB72" s="3"/>
      <c r="KRC72" s="3"/>
      <c r="KRD72" s="3"/>
      <c r="KRE72" s="3"/>
      <c r="KRF72" s="3"/>
      <c r="KRG72" s="3"/>
      <c r="KRH72" s="3"/>
      <c r="KRI72" s="3"/>
      <c r="KRJ72" s="3"/>
      <c r="KRK72" s="3"/>
      <c r="KRL72" s="3"/>
      <c r="KRM72" s="3"/>
      <c r="KRN72" s="3"/>
      <c r="KRO72" s="3"/>
      <c r="KRP72" s="3"/>
      <c r="KRQ72" s="3"/>
      <c r="KRR72" s="3"/>
      <c r="KRS72" s="3"/>
      <c r="KRT72" s="3"/>
      <c r="KRU72" s="3"/>
      <c r="KRV72" s="3"/>
      <c r="KRW72" s="3"/>
      <c r="KRX72" s="3"/>
      <c r="KRY72" s="3"/>
      <c r="KRZ72" s="3"/>
      <c r="KSA72" s="3"/>
      <c r="KSB72" s="3"/>
      <c r="KSC72" s="3"/>
      <c r="KSD72" s="3"/>
      <c r="KSE72" s="3"/>
      <c r="KSF72" s="3"/>
      <c r="KSG72" s="3"/>
      <c r="KSH72" s="3"/>
      <c r="KSI72" s="3"/>
      <c r="KSJ72" s="3"/>
      <c r="KSK72" s="3"/>
      <c r="KSL72" s="3"/>
      <c r="KSM72" s="3"/>
      <c r="KSN72" s="3"/>
      <c r="KSO72" s="3"/>
      <c r="KSP72" s="3"/>
      <c r="KSQ72" s="3"/>
      <c r="KSR72" s="3"/>
      <c r="KSS72" s="3"/>
      <c r="KST72" s="3"/>
      <c r="KSU72" s="3"/>
      <c r="KSV72" s="3"/>
      <c r="KSW72" s="3"/>
      <c r="KSX72" s="3"/>
      <c r="KSY72" s="3"/>
      <c r="KSZ72" s="3"/>
      <c r="KTA72" s="3"/>
      <c r="KTB72" s="3"/>
      <c r="KTC72" s="3"/>
      <c r="KTD72" s="3"/>
      <c r="KTE72" s="3"/>
      <c r="KTF72" s="3"/>
      <c r="KTG72" s="3"/>
      <c r="KTH72" s="3"/>
      <c r="KTI72" s="3"/>
      <c r="KTJ72" s="3"/>
      <c r="KTK72" s="3"/>
      <c r="KTL72" s="3"/>
      <c r="KTM72" s="3"/>
      <c r="KTN72" s="3"/>
      <c r="KTO72" s="3"/>
      <c r="KTP72" s="3"/>
      <c r="KTQ72" s="3"/>
      <c r="KTR72" s="3"/>
      <c r="KTS72" s="3"/>
      <c r="KTT72" s="3"/>
      <c r="KTU72" s="3"/>
      <c r="KTV72" s="3"/>
      <c r="KTW72" s="3"/>
      <c r="KTX72" s="3"/>
      <c r="KTY72" s="3"/>
      <c r="KTZ72" s="3"/>
      <c r="KUA72" s="3"/>
      <c r="KUB72" s="3"/>
      <c r="KUC72" s="3"/>
      <c r="KUD72" s="3"/>
      <c r="KUE72" s="3"/>
      <c r="KUF72" s="3"/>
      <c r="KUG72" s="3"/>
      <c r="KUH72" s="3"/>
      <c r="KUI72" s="3"/>
      <c r="KUJ72" s="3"/>
      <c r="KUK72" s="3"/>
      <c r="KUL72" s="3"/>
      <c r="KUM72" s="3"/>
      <c r="KUN72" s="3"/>
      <c r="KUO72" s="3"/>
      <c r="KUP72" s="3"/>
      <c r="KUQ72" s="3"/>
      <c r="KUR72" s="3"/>
      <c r="KUS72" s="3"/>
      <c r="KUT72" s="3"/>
      <c r="KUU72" s="3"/>
      <c r="KUV72" s="3"/>
      <c r="KUW72" s="3"/>
      <c r="KUX72" s="3"/>
      <c r="KUY72" s="3"/>
      <c r="KUZ72" s="3"/>
      <c r="KVA72" s="3"/>
      <c r="KVB72" s="3"/>
      <c r="KVC72" s="3"/>
      <c r="KVD72" s="3"/>
      <c r="KVE72" s="3"/>
      <c r="KVF72" s="3"/>
      <c r="KVG72" s="3"/>
      <c r="KVH72" s="3"/>
      <c r="KVI72" s="3"/>
      <c r="KVJ72" s="3"/>
      <c r="KVK72" s="3"/>
      <c r="KVL72" s="3"/>
      <c r="KVM72" s="3"/>
      <c r="KVN72" s="3"/>
      <c r="KVO72" s="3"/>
      <c r="KVP72" s="3"/>
      <c r="KVQ72" s="3"/>
      <c r="KVR72" s="3"/>
      <c r="KVS72" s="3"/>
      <c r="KVT72" s="3"/>
      <c r="KVU72" s="3"/>
      <c r="KVV72" s="3"/>
      <c r="KVW72" s="3"/>
      <c r="KVX72" s="3"/>
      <c r="KVY72" s="3"/>
      <c r="KVZ72" s="3"/>
      <c r="KWA72" s="3"/>
      <c r="KWB72" s="3"/>
      <c r="KWC72" s="3"/>
      <c r="KWD72" s="3"/>
      <c r="KWE72" s="3"/>
      <c r="KWF72" s="3"/>
      <c r="KWG72" s="3"/>
      <c r="KWH72" s="3"/>
      <c r="KWI72" s="3"/>
      <c r="KWJ72" s="3"/>
      <c r="KWK72" s="3"/>
      <c r="KWL72" s="3"/>
      <c r="KWM72" s="3"/>
      <c r="KWN72" s="3"/>
      <c r="KWO72" s="3"/>
      <c r="KWP72" s="3"/>
      <c r="KWQ72" s="3"/>
      <c r="KWR72" s="3"/>
      <c r="KWS72" s="3"/>
      <c r="KWT72" s="3"/>
      <c r="KWU72" s="3"/>
      <c r="KWV72" s="3"/>
      <c r="KWW72" s="3"/>
      <c r="KWX72" s="3"/>
      <c r="KWY72" s="3"/>
      <c r="KWZ72" s="3"/>
      <c r="KXA72" s="3"/>
      <c r="KXB72" s="3"/>
      <c r="KXC72" s="3"/>
      <c r="KXD72" s="3"/>
      <c r="KXE72" s="3"/>
      <c r="KXF72" s="3"/>
      <c r="KXG72" s="3"/>
      <c r="KXH72" s="3"/>
      <c r="KXI72" s="3"/>
      <c r="KXJ72" s="3"/>
      <c r="KXK72" s="3"/>
      <c r="KXL72" s="3"/>
      <c r="KXM72" s="3"/>
      <c r="KXN72" s="3"/>
      <c r="KXO72" s="3"/>
      <c r="KXP72" s="3"/>
      <c r="KXQ72" s="3"/>
      <c r="KXR72" s="3"/>
      <c r="KXS72" s="3"/>
      <c r="KXT72" s="3"/>
      <c r="KXU72" s="3"/>
      <c r="KXV72" s="3"/>
      <c r="KXW72" s="3"/>
      <c r="KXX72" s="3"/>
      <c r="KXY72" s="3"/>
      <c r="KXZ72" s="3"/>
      <c r="KYA72" s="3"/>
      <c r="KYB72" s="3"/>
      <c r="KYC72" s="3"/>
      <c r="KYD72" s="3"/>
      <c r="KYE72" s="3"/>
      <c r="KYF72" s="3"/>
      <c r="KYG72" s="3"/>
      <c r="KYH72" s="3"/>
      <c r="KYI72" s="3"/>
      <c r="KYJ72" s="3"/>
      <c r="KYK72" s="3"/>
      <c r="KYL72" s="3"/>
      <c r="KYM72" s="3"/>
      <c r="KYN72" s="3"/>
      <c r="KYO72" s="3"/>
      <c r="KYP72" s="3"/>
      <c r="KYQ72" s="3"/>
      <c r="KYR72" s="3"/>
      <c r="KYS72" s="3"/>
      <c r="KYT72" s="3"/>
      <c r="KYU72" s="3"/>
      <c r="KYV72" s="3"/>
      <c r="KYW72" s="3"/>
      <c r="KYX72" s="3"/>
      <c r="KYY72" s="3"/>
      <c r="KYZ72" s="3"/>
      <c r="KZA72" s="3"/>
      <c r="KZB72" s="3"/>
      <c r="KZC72" s="3"/>
      <c r="KZD72" s="3"/>
      <c r="KZE72" s="3"/>
      <c r="KZF72" s="3"/>
      <c r="KZG72" s="3"/>
      <c r="KZH72" s="3"/>
      <c r="KZI72" s="3"/>
      <c r="KZJ72" s="3"/>
      <c r="KZK72" s="3"/>
      <c r="KZL72" s="3"/>
      <c r="KZM72" s="3"/>
      <c r="KZN72" s="3"/>
      <c r="KZO72" s="3"/>
      <c r="KZP72" s="3"/>
      <c r="KZQ72" s="3"/>
      <c r="KZR72" s="3"/>
      <c r="KZS72" s="3"/>
      <c r="KZT72" s="3"/>
      <c r="KZU72" s="3"/>
      <c r="KZV72" s="3"/>
      <c r="KZW72" s="3"/>
      <c r="KZX72" s="3"/>
      <c r="KZY72" s="3"/>
      <c r="KZZ72" s="3"/>
      <c r="LAA72" s="3"/>
      <c r="LAB72" s="3"/>
      <c r="LAC72" s="3"/>
      <c r="LAD72" s="3"/>
      <c r="LAE72" s="3"/>
      <c r="LAF72" s="3"/>
      <c r="LAG72" s="3"/>
      <c r="LAH72" s="3"/>
      <c r="LAI72" s="3"/>
      <c r="LAJ72" s="3"/>
      <c r="LAK72" s="3"/>
      <c r="LAL72" s="3"/>
      <c r="LAM72" s="3"/>
      <c r="LAN72" s="3"/>
      <c r="LAO72" s="3"/>
      <c r="LAP72" s="3"/>
      <c r="LAQ72" s="3"/>
      <c r="LAR72" s="3"/>
      <c r="LAS72" s="3"/>
      <c r="LAT72" s="3"/>
      <c r="LAU72" s="3"/>
      <c r="LAV72" s="3"/>
      <c r="LAW72" s="3"/>
      <c r="LAX72" s="3"/>
      <c r="LAY72" s="3"/>
      <c r="LAZ72" s="3"/>
      <c r="LBA72" s="3"/>
      <c r="LBB72" s="3"/>
      <c r="LBC72" s="3"/>
      <c r="LBD72" s="3"/>
      <c r="LBE72" s="3"/>
      <c r="LBF72" s="3"/>
      <c r="LBG72" s="3"/>
      <c r="LBH72" s="3"/>
      <c r="LBI72" s="3"/>
      <c r="LBJ72" s="3"/>
      <c r="LBK72" s="3"/>
      <c r="LBL72" s="3"/>
      <c r="LBM72" s="3"/>
      <c r="LBN72" s="3"/>
      <c r="LBO72" s="3"/>
      <c r="LBP72" s="3"/>
      <c r="LBQ72" s="3"/>
      <c r="LBR72" s="3"/>
      <c r="LBS72" s="3"/>
      <c r="LBT72" s="3"/>
      <c r="LBU72" s="3"/>
      <c r="LBV72" s="3"/>
      <c r="LBW72" s="3"/>
      <c r="LBX72" s="3"/>
      <c r="LBY72" s="3"/>
      <c r="LBZ72" s="3"/>
      <c r="LCA72" s="3"/>
      <c r="LCB72" s="3"/>
      <c r="LCC72" s="3"/>
      <c r="LCD72" s="3"/>
      <c r="LCE72" s="3"/>
      <c r="LCF72" s="3"/>
      <c r="LCG72" s="3"/>
      <c r="LCH72" s="3"/>
      <c r="LCI72" s="3"/>
      <c r="LCJ72" s="3"/>
      <c r="LCK72" s="3"/>
      <c r="LCL72" s="3"/>
      <c r="LCM72" s="3"/>
      <c r="LCN72" s="3"/>
      <c r="LCO72" s="3"/>
      <c r="LCP72" s="3"/>
      <c r="LCQ72" s="3"/>
      <c r="LCR72" s="3"/>
      <c r="LCS72" s="3"/>
      <c r="LCT72" s="3"/>
      <c r="LCU72" s="3"/>
      <c r="LCV72" s="3"/>
      <c r="LCW72" s="3"/>
      <c r="LCX72" s="3"/>
      <c r="LCY72" s="3"/>
      <c r="LCZ72" s="3"/>
      <c r="LDA72" s="3"/>
      <c r="LDB72" s="3"/>
      <c r="LDC72" s="3"/>
      <c r="LDD72" s="3"/>
      <c r="LDE72" s="3"/>
      <c r="LDF72" s="3"/>
      <c r="LDG72" s="3"/>
      <c r="LDH72" s="3"/>
      <c r="LDI72" s="3"/>
      <c r="LDJ72" s="3"/>
      <c r="LDK72" s="3"/>
      <c r="LDL72" s="3"/>
      <c r="LDM72" s="3"/>
      <c r="LDN72" s="3"/>
      <c r="LDO72" s="3"/>
      <c r="LDP72" s="3"/>
      <c r="LDQ72" s="3"/>
      <c r="LDR72" s="3"/>
      <c r="LDS72" s="3"/>
      <c r="LDT72" s="3"/>
      <c r="LDU72" s="3"/>
      <c r="LDV72" s="3"/>
      <c r="LDW72" s="3"/>
      <c r="LDX72" s="3"/>
      <c r="LDY72" s="3"/>
      <c r="LDZ72" s="3"/>
      <c r="LEA72" s="3"/>
      <c r="LEB72" s="3"/>
      <c r="LEC72" s="3"/>
      <c r="LED72" s="3"/>
      <c r="LEE72" s="3"/>
      <c r="LEF72" s="3"/>
      <c r="LEG72" s="3"/>
      <c r="LEH72" s="3"/>
      <c r="LEI72" s="3"/>
      <c r="LEJ72" s="3"/>
      <c r="LEK72" s="3"/>
      <c r="LEL72" s="3"/>
      <c r="LEM72" s="3"/>
      <c r="LEN72" s="3"/>
      <c r="LEO72" s="3"/>
      <c r="LEP72" s="3"/>
      <c r="LEQ72" s="3"/>
      <c r="LER72" s="3"/>
      <c r="LES72" s="3"/>
      <c r="LET72" s="3"/>
      <c r="LEU72" s="3"/>
      <c r="LEV72" s="3"/>
      <c r="LEW72" s="3"/>
      <c r="LEX72" s="3"/>
      <c r="LEY72" s="3"/>
      <c r="LEZ72" s="3"/>
      <c r="LFA72" s="3"/>
      <c r="LFB72" s="3"/>
      <c r="LFC72" s="3"/>
      <c r="LFD72" s="3"/>
      <c r="LFE72" s="3"/>
      <c r="LFF72" s="3"/>
      <c r="LFG72" s="3"/>
      <c r="LFH72" s="3"/>
      <c r="LFI72" s="3"/>
      <c r="LFJ72" s="3"/>
      <c r="LFK72" s="3"/>
      <c r="LFL72" s="3"/>
      <c r="LFM72" s="3"/>
      <c r="LFN72" s="3"/>
      <c r="LFO72" s="3"/>
      <c r="LFP72" s="3"/>
      <c r="LFQ72" s="3"/>
      <c r="LFR72" s="3"/>
      <c r="LFS72" s="3"/>
      <c r="LFT72" s="3"/>
      <c r="LFU72" s="3"/>
      <c r="LFV72" s="3"/>
      <c r="LFW72" s="3"/>
      <c r="LFX72" s="3"/>
      <c r="LFY72" s="3"/>
      <c r="LFZ72" s="3"/>
      <c r="LGA72" s="3"/>
      <c r="LGB72" s="3"/>
      <c r="LGC72" s="3"/>
      <c r="LGD72" s="3"/>
      <c r="LGE72" s="3"/>
      <c r="LGF72" s="3"/>
      <c r="LGG72" s="3"/>
      <c r="LGH72" s="3"/>
      <c r="LGI72" s="3"/>
      <c r="LGJ72" s="3"/>
      <c r="LGK72" s="3"/>
      <c r="LGL72" s="3"/>
      <c r="LGM72" s="3"/>
      <c r="LGN72" s="3"/>
      <c r="LGO72" s="3"/>
      <c r="LGP72" s="3"/>
      <c r="LGQ72" s="3"/>
      <c r="LGR72" s="3"/>
      <c r="LGS72" s="3"/>
      <c r="LGT72" s="3"/>
      <c r="LGU72" s="3"/>
      <c r="LGV72" s="3"/>
      <c r="LGW72" s="3"/>
      <c r="LGX72" s="3"/>
      <c r="LGY72" s="3"/>
      <c r="LGZ72" s="3"/>
      <c r="LHA72" s="3"/>
      <c r="LHB72" s="3"/>
      <c r="LHC72" s="3"/>
      <c r="LHD72" s="3"/>
      <c r="LHE72" s="3"/>
      <c r="LHF72" s="3"/>
      <c r="LHG72" s="3"/>
      <c r="LHH72" s="3"/>
      <c r="LHI72" s="3"/>
      <c r="LHJ72" s="3"/>
      <c r="LHK72" s="3"/>
      <c r="LHL72" s="3"/>
      <c r="LHM72" s="3"/>
      <c r="LHN72" s="3"/>
      <c r="LHO72" s="3"/>
      <c r="LHP72" s="3"/>
      <c r="LHQ72" s="3"/>
      <c r="LHR72" s="3"/>
      <c r="LHS72" s="3"/>
      <c r="LHT72" s="3"/>
      <c r="LHU72" s="3"/>
      <c r="LHV72" s="3"/>
      <c r="LHW72" s="3"/>
      <c r="LHX72" s="3"/>
      <c r="LHY72" s="3"/>
      <c r="LHZ72" s="3"/>
      <c r="LIA72" s="3"/>
      <c r="LIB72" s="3"/>
      <c r="LIC72" s="3"/>
      <c r="LID72" s="3"/>
      <c r="LIE72" s="3"/>
      <c r="LIF72" s="3"/>
      <c r="LIG72" s="3"/>
      <c r="LIH72" s="3"/>
      <c r="LII72" s="3"/>
      <c r="LIJ72" s="3"/>
      <c r="LIK72" s="3"/>
      <c r="LIL72" s="3"/>
      <c r="LIM72" s="3"/>
      <c r="LIN72" s="3"/>
      <c r="LIO72" s="3"/>
      <c r="LIP72" s="3"/>
      <c r="LIQ72" s="3"/>
      <c r="LIR72" s="3"/>
      <c r="LIS72" s="3"/>
      <c r="LIT72" s="3"/>
      <c r="LIU72" s="3"/>
      <c r="LIV72" s="3"/>
      <c r="LIW72" s="3"/>
      <c r="LIX72" s="3"/>
      <c r="LIY72" s="3"/>
      <c r="LIZ72" s="3"/>
      <c r="LJA72" s="3"/>
      <c r="LJB72" s="3"/>
      <c r="LJC72" s="3"/>
      <c r="LJD72" s="3"/>
      <c r="LJE72" s="3"/>
      <c r="LJF72" s="3"/>
      <c r="LJG72" s="3"/>
      <c r="LJH72" s="3"/>
      <c r="LJI72" s="3"/>
      <c r="LJJ72" s="3"/>
      <c r="LJK72" s="3"/>
      <c r="LJL72" s="3"/>
      <c r="LJM72" s="3"/>
      <c r="LJN72" s="3"/>
      <c r="LJO72" s="3"/>
      <c r="LJP72" s="3"/>
      <c r="LJQ72" s="3"/>
      <c r="LJR72" s="3"/>
      <c r="LJS72" s="3"/>
      <c r="LJT72" s="3"/>
      <c r="LJU72" s="3"/>
      <c r="LJV72" s="3"/>
      <c r="LJW72" s="3"/>
      <c r="LJX72" s="3"/>
      <c r="LJY72" s="3"/>
      <c r="LJZ72" s="3"/>
      <c r="LKA72" s="3"/>
      <c r="LKB72" s="3"/>
      <c r="LKC72" s="3"/>
      <c r="LKD72" s="3"/>
      <c r="LKE72" s="3"/>
      <c r="LKF72" s="3"/>
      <c r="LKG72" s="3"/>
      <c r="LKH72" s="3"/>
      <c r="LKI72" s="3"/>
      <c r="LKJ72" s="3"/>
      <c r="LKK72" s="3"/>
      <c r="LKL72" s="3"/>
      <c r="LKM72" s="3"/>
      <c r="LKN72" s="3"/>
      <c r="LKO72" s="3"/>
      <c r="LKP72" s="3"/>
      <c r="LKQ72" s="3"/>
      <c r="LKR72" s="3"/>
      <c r="LKS72" s="3"/>
      <c r="LKT72" s="3"/>
      <c r="LKU72" s="3"/>
      <c r="LKV72" s="3"/>
      <c r="LKW72" s="3"/>
      <c r="LKX72" s="3"/>
      <c r="LKY72" s="3"/>
      <c r="LKZ72" s="3"/>
      <c r="LLA72" s="3"/>
      <c r="LLB72" s="3"/>
      <c r="LLC72" s="3"/>
      <c r="LLD72" s="3"/>
      <c r="LLE72" s="3"/>
      <c r="LLF72" s="3"/>
      <c r="LLG72" s="3"/>
      <c r="LLH72" s="3"/>
      <c r="LLI72" s="3"/>
      <c r="LLJ72" s="3"/>
      <c r="LLK72" s="3"/>
      <c r="LLL72" s="3"/>
      <c r="LLM72" s="3"/>
      <c r="LLN72" s="3"/>
      <c r="LLO72" s="3"/>
      <c r="LLP72" s="3"/>
      <c r="LLQ72" s="3"/>
      <c r="LLR72" s="3"/>
      <c r="LLS72" s="3"/>
      <c r="LLT72" s="3"/>
      <c r="LLU72" s="3"/>
      <c r="LLV72" s="3"/>
      <c r="LLW72" s="3"/>
      <c r="LLX72" s="3"/>
      <c r="LLY72" s="3"/>
      <c r="LLZ72" s="3"/>
      <c r="LMA72" s="3"/>
      <c r="LMB72" s="3"/>
      <c r="LMC72" s="3"/>
      <c r="LMD72" s="3"/>
      <c r="LME72" s="3"/>
      <c r="LMF72" s="3"/>
      <c r="LMG72" s="3"/>
      <c r="LMH72" s="3"/>
      <c r="LMI72" s="3"/>
      <c r="LMJ72" s="3"/>
      <c r="LMK72" s="3"/>
      <c r="LML72" s="3"/>
      <c r="LMM72" s="3"/>
      <c r="LMN72" s="3"/>
      <c r="LMO72" s="3"/>
      <c r="LMP72" s="3"/>
      <c r="LMQ72" s="3"/>
      <c r="LMR72" s="3"/>
      <c r="LMS72" s="3"/>
      <c r="LMT72" s="3"/>
      <c r="LMU72" s="3"/>
      <c r="LMV72" s="3"/>
      <c r="LMW72" s="3"/>
      <c r="LMX72" s="3"/>
      <c r="LMY72" s="3"/>
      <c r="LMZ72" s="3"/>
      <c r="LNA72" s="3"/>
      <c r="LNB72" s="3"/>
      <c r="LNC72" s="3"/>
      <c r="LND72" s="3"/>
      <c r="LNE72" s="3"/>
      <c r="LNF72" s="3"/>
      <c r="LNG72" s="3"/>
      <c r="LNH72" s="3"/>
      <c r="LNI72" s="3"/>
      <c r="LNJ72" s="3"/>
      <c r="LNK72" s="3"/>
      <c r="LNL72" s="3"/>
      <c r="LNM72" s="3"/>
      <c r="LNN72" s="3"/>
      <c r="LNO72" s="3"/>
      <c r="LNP72" s="3"/>
      <c r="LNQ72" s="3"/>
      <c r="LNR72" s="3"/>
      <c r="LNS72" s="3"/>
      <c r="LNT72" s="3"/>
      <c r="LNU72" s="3"/>
      <c r="LNV72" s="3"/>
      <c r="LNW72" s="3"/>
      <c r="LNX72" s="3"/>
      <c r="LNY72" s="3"/>
      <c r="LNZ72" s="3"/>
      <c r="LOA72" s="3"/>
      <c r="LOB72" s="3"/>
      <c r="LOC72" s="3"/>
      <c r="LOD72" s="3"/>
      <c r="LOE72" s="3"/>
      <c r="LOF72" s="3"/>
      <c r="LOG72" s="3"/>
      <c r="LOH72" s="3"/>
      <c r="LOI72" s="3"/>
      <c r="LOJ72" s="3"/>
      <c r="LOK72" s="3"/>
      <c r="LOL72" s="3"/>
      <c r="LOM72" s="3"/>
      <c r="LON72" s="3"/>
      <c r="LOO72" s="3"/>
      <c r="LOP72" s="3"/>
      <c r="LOQ72" s="3"/>
      <c r="LOR72" s="3"/>
      <c r="LOS72" s="3"/>
      <c r="LOT72" s="3"/>
      <c r="LOU72" s="3"/>
      <c r="LOV72" s="3"/>
      <c r="LOW72" s="3"/>
      <c r="LOX72" s="3"/>
      <c r="LOY72" s="3"/>
      <c r="LOZ72" s="3"/>
      <c r="LPA72" s="3"/>
      <c r="LPB72" s="3"/>
      <c r="LPC72" s="3"/>
      <c r="LPD72" s="3"/>
      <c r="LPE72" s="3"/>
      <c r="LPF72" s="3"/>
      <c r="LPG72" s="3"/>
      <c r="LPH72" s="3"/>
      <c r="LPI72" s="3"/>
      <c r="LPJ72" s="3"/>
      <c r="LPK72" s="3"/>
      <c r="LPL72" s="3"/>
      <c r="LPM72" s="3"/>
      <c r="LPN72" s="3"/>
      <c r="LPO72" s="3"/>
      <c r="LPP72" s="3"/>
      <c r="LPQ72" s="3"/>
      <c r="LPR72" s="3"/>
      <c r="LPS72" s="3"/>
      <c r="LPT72" s="3"/>
      <c r="LPU72" s="3"/>
      <c r="LPV72" s="3"/>
      <c r="LPW72" s="3"/>
      <c r="LPX72" s="3"/>
      <c r="LPY72" s="3"/>
      <c r="LPZ72" s="3"/>
      <c r="LQA72" s="3"/>
      <c r="LQB72" s="3"/>
      <c r="LQC72" s="3"/>
      <c r="LQD72" s="3"/>
      <c r="LQE72" s="3"/>
      <c r="LQF72" s="3"/>
      <c r="LQG72" s="3"/>
      <c r="LQH72" s="3"/>
      <c r="LQI72" s="3"/>
      <c r="LQJ72" s="3"/>
      <c r="LQK72" s="3"/>
      <c r="LQL72" s="3"/>
      <c r="LQM72" s="3"/>
      <c r="LQN72" s="3"/>
      <c r="LQO72" s="3"/>
      <c r="LQP72" s="3"/>
      <c r="LQQ72" s="3"/>
      <c r="LQR72" s="3"/>
      <c r="LQS72" s="3"/>
      <c r="LQT72" s="3"/>
      <c r="LQU72" s="3"/>
      <c r="LQV72" s="3"/>
      <c r="LQW72" s="3"/>
      <c r="LQX72" s="3"/>
      <c r="LQY72" s="3"/>
      <c r="LQZ72" s="3"/>
      <c r="LRA72" s="3"/>
      <c r="LRB72" s="3"/>
      <c r="LRC72" s="3"/>
      <c r="LRD72" s="3"/>
      <c r="LRE72" s="3"/>
      <c r="LRF72" s="3"/>
      <c r="LRG72" s="3"/>
      <c r="LRH72" s="3"/>
      <c r="LRI72" s="3"/>
      <c r="LRJ72" s="3"/>
      <c r="LRK72" s="3"/>
      <c r="LRL72" s="3"/>
      <c r="LRM72" s="3"/>
      <c r="LRN72" s="3"/>
      <c r="LRO72" s="3"/>
      <c r="LRP72" s="3"/>
      <c r="LRQ72" s="3"/>
      <c r="LRR72" s="3"/>
      <c r="LRS72" s="3"/>
      <c r="LRT72" s="3"/>
      <c r="LRU72" s="3"/>
      <c r="LRV72" s="3"/>
      <c r="LRW72" s="3"/>
      <c r="LRX72" s="3"/>
      <c r="LRY72" s="3"/>
      <c r="LRZ72" s="3"/>
      <c r="LSA72" s="3"/>
      <c r="LSB72" s="3"/>
      <c r="LSC72" s="3"/>
      <c r="LSD72" s="3"/>
      <c r="LSE72" s="3"/>
      <c r="LSF72" s="3"/>
      <c r="LSG72" s="3"/>
      <c r="LSH72" s="3"/>
      <c r="LSI72" s="3"/>
      <c r="LSJ72" s="3"/>
      <c r="LSK72" s="3"/>
      <c r="LSL72" s="3"/>
      <c r="LSM72" s="3"/>
      <c r="LSN72" s="3"/>
      <c r="LSO72" s="3"/>
      <c r="LSP72" s="3"/>
      <c r="LSQ72" s="3"/>
      <c r="LSR72" s="3"/>
      <c r="LSS72" s="3"/>
      <c r="LST72" s="3"/>
      <c r="LSU72" s="3"/>
      <c r="LSV72" s="3"/>
      <c r="LSW72" s="3"/>
      <c r="LSX72" s="3"/>
      <c r="LSY72" s="3"/>
      <c r="LSZ72" s="3"/>
      <c r="LTA72" s="3"/>
      <c r="LTB72" s="3"/>
      <c r="LTC72" s="3"/>
      <c r="LTD72" s="3"/>
      <c r="LTE72" s="3"/>
      <c r="LTF72" s="3"/>
      <c r="LTG72" s="3"/>
      <c r="LTH72" s="3"/>
      <c r="LTI72" s="3"/>
      <c r="LTJ72" s="3"/>
      <c r="LTK72" s="3"/>
      <c r="LTL72" s="3"/>
      <c r="LTM72" s="3"/>
      <c r="LTN72" s="3"/>
      <c r="LTO72" s="3"/>
      <c r="LTP72" s="3"/>
      <c r="LTQ72" s="3"/>
      <c r="LTR72" s="3"/>
      <c r="LTS72" s="3"/>
      <c r="LTT72" s="3"/>
      <c r="LTU72" s="3"/>
      <c r="LTV72" s="3"/>
      <c r="LTW72" s="3"/>
      <c r="LTX72" s="3"/>
      <c r="LTY72" s="3"/>
      <c r="LTZ72" s="3"/>
      <c r="LUA72" s="3"/>
      <c r="LUB72" s="3"/>
      <c r="LUC72" s="3"/>
      <c r="LUD72" s="3"/>
      <c r="LUE72" s="3"/>
      <c r="LUF72" s="3"/>
      <c r="LUG72" s="3"/>
      <c r="LUH72" s="3"/>
      <c r="LUI72" s="3"/>
      <c r="LUJ72" s="3"/>
      <c r="LUK72" s="3"/>
      <c r="LUL72" s="3"/>
      <c r="LUM72" s="3"/>
      <c r="LUN72" s="3"/>
      <c r="LUO72" s="3"/>
      <c r="LUP72" s="3"/>
      <c r="LUQ72" s="3"/>
      <c r="LUR72" s="3"/>
      <c r="LUS72" s="3"/>
      <c r="LUT72" s="3"/>
      <c r="LUU72" s="3"/>
      <c r="LUV72" s="3"/>
      <c r="LUW72" s="3"/>
      <c r="LUX72" s="3"/>
      <c r="LUY72" s="3"/>
      <c r="LUZ72" s="3"/>
      <c r="LVA72" s="3"/>
      <c r="LVB72" s="3"/>
      <c r="LVC72" s="3"/>
      <c r="LVD72" s="3"/>
      <c r="LVE72" s="3"/>
      <c r="LVF72" s="3"/>
      <c r="LVG72" s="3"/>
      <c r="LVH72" s="3"/>
      <c r="LVI72" s="3"/>
      <c r="LVJ72" s="3"/>
      <c r="LVK72" s="3"/>
      <c r="LVL72" s="3"/>
      <c r="LVM72" s="3"/>
      <c r="LVN72" s="3"/>
      <c r="LVO72" s="3"/>
      <c r="LVP72" s="3"/>
      <c r="LVQ72" s="3"/>
      <c r="LVR72" s="3"/>
      <c r="LVS72" s="3"/>
      <c r="LVT72" s="3"/>
      <c r="LVU72" s="3"/>
      <c r="LVV72" s="3"/>
      <c r="LVW72" s="3"/>
      <c r="LVX72" s="3"/>
      <c r="LVY72" s="3"/>
      <c r="LVZ72" s="3"/>
      <c r="LWA72" s="3"/>
      <c r="LWB72" s="3"/>
      <c r="LWC72" s="3"/>
      <c r="LWD72" s="3"/>
      <c r="LWE72" s="3"/>
      <c r="LWF72" s="3"/>
      <c r="LWG72" s="3"/>
      <c r="LWH72" s="3"/>
      <c r="LWI72" s="3"/>
      <c r="LWJ72" s="3"/>
      <c r="LWK72" s="3"/>
      <c r="LWL72" s="3"/>
      <c r="LWM72" s="3"/>
      <c r="LWN72" s="3"/>
      <c r="LWO72" s="3"/>
      <c r="LWP72" s="3"/>
      <c r="LWQ72" s="3"/>
      <c r="LWR72" s="3"/>
      <c r="LWS72" s="3"/>
      <c r="LWT72" s="3"/>
      <c r="LWU72" s="3"/>
      <c r="LWV72" s="3"/>
      <c r="LWW72" s="3"/>
      <c r="LWX72" s="3"/>
      <c r="LWY72" s="3"/>
      <c r="LWZ72" s="3"/>
      <c r="LXA72" s="3"/>
      <c r="LXB72" s="3"/>
      <c r="LXC72" s="3"/>
      <c r="LXD72" s="3"/>
      <c r="LXE72" s="3"/>
      <c r="LXF72" s="3"/>
      <c r="LXG72" s="3"/>
      <c r="LXH72" s="3"/>
      <c r="LXI72" s="3"/>
      <c r="LXJ72" s="3"/>
      <c r="LXK72" s="3"/>
      <c r="LXL72" s="3"/>
      <c r="LXM72" s="3"/>
      <c r="LXN72" s="3"/>
      <c r="LXO72" s="3"/>
      <c r="LXP72" s="3"/>
      <c r="LXQ72" s="3"/>
      <c r="LXR72" s="3"/>
      <c r="LXS72" s="3"/>
      <c r="LXT72" s="3"/>
      <c r="LXU72" s="3"/>
      <c r="LXV72" s="3"/>
      <c r="LXW72" s="3"/>
      <c r="LXX72" s="3"/>
      <c r="LXY72" s="3"/>
      <c r="LXZ72" s="3"/>
      <c r="LYA72" s="3"/>
      <c r="LYB72" s="3"/>
      <c r="LYC72" s="3"/>
      <c r="LYD72" s="3"/>
      <c r="LYE72" s="3"/>
      <c r="LYF72" s="3"/>
      <c r="LYG72" s="3"/>
      <c r="LYH72" s="3"/>
      <c r="LYI72" s="3"/>
      <c r="LYJ72" s="3"/>
      <c r="LYK72" s="3"/>
      <c r="LYL72" s="3"/>
      <c r="LYM72" s="3"/>
      <c r="LYN72" s="3"/>
      <c r="LYO72" s="3"/>
      <c r="LYP72" s="3"/>
      <c r="LYQ72" s="3"/>
      <c r="LYR72" s="3"/>
      <c r="LYS72" s="3"/>
      <c r="LYT72" s="3"/>
      <c r="LYU72" s="3"/>
      <c r="LYV72" s="3"/>
      <c r="LYW72" s="3"/>
      <c r="LYX72" s="3"/>
      <c r="LYY72" s="3"/>
      <c r="LYZ72" s="3"/>
      <c r="LZA72" s="3"/>
      <c r="LZB72" s="3"/>
      <c r="LZC72" s="3"/>
      <c r="LZD72" s="3"/>
      <c r="LZE72" s="3"/>
      <c r="LZF72" s="3"/>
      <c r="LZG72" s="3"/>
      <c r="LZH72" s="3"/>
      <c r="LZI72" s="3"/>
      <c r="LZJ72" s="3"/>
      <c r="LZK72" s="3"/>
      <c r="LZL72" s="3"/>
      <c r="LZM72" s="3"/>
      <c r="LZN72" s="3"/>
      <c r="LZO72" s="3"/>
      <c r="LZP72" s="3"/>
      <c r="LZQ72" s="3"/>
      <c r="LZR72" s="3"/>
      <c r="LZS72" s="3"/>
      <c r="LZT72" s="3"/>
      <c r="LZU72" s="3"/>
      <c r="LZV72" s="3"/>
      <c r="LZW72" s="3"/>
      <c r="LZX72" s="3"/>
      <c r="LZY72" s="3"/>
      <c r="LZZ72" s="3"/>
      <c r="MAA72" s="3"/>
      <c r="MAB72" s="3"/>
      <c r="MAC72" s="3"/>
      <c r="MAD72" s="3"/>
      <c r="MAE72" s="3"/>
      <c r="MAF72" s="3"/>
      <c r="MAG72" s="3"/>
      <c r="MAH72" s="3"/>
      <c r="MAI72" s="3"/>
      <c r="MAJ72" s="3"/>
      <c r="MAK72" s="3"/>
      <c r="MAL72" s="3"/>
      <c r="MAM72" s="3"/>
      <c r="MAN72" s="3"/>
      <c r="MAO72" s="3"/>
      <c r="MAP72" s="3"/>
      <c r="MAQ72" s="3"/>
      <c r="MAR72" s="3"/>
      <c r="MAS72" s="3"/>
      <c r="MAT72" s="3"/>
      <c r="MAU72" s="3"/>
      <c r="MAV72" s="3"/>
      <c r="MAW72" s="3"/>
      <c r="MAX72" s="3"/>
      <c r="MAY72" s="3"/>
      <c r="MAZ72" s="3"/>
      <c r="MBA72" s="3"/>
      <c r="MBB72" s="3"/>
      <c r="MBC72" s="3"/>
      <c r="MBD72" s="3"/>
      <c r="MBE72" s="3"/>
      <c r="MBF72" s="3"/>
      <c r="MBG72" s="3"/>
      <c r="MBH72" s="3"/>
      <c r="MBI72" s="3"/>
      <c r="MBJ72" s="3"/>
      <c r="MBK72" s="3"/>
      <c r="MBL72" s="3"/>
      <c r="MBM72" s="3"/>
      <c r="MBN72" s="3"/>
      <c r="MBO72" s="3"/>
      <c r="MBP72" s="3"/>
      <c r="MBQ72" s="3"/>
      <c r="MBR72" s="3"/>
      <c r="MBS72" s="3"/>
      <c r="MBT72" s="3"/>
      <c r="MBU72" s="3"/>
      <c r="MBV72" s="3"/>
      <c r="MBW72" s="3"/>
      <c r="MBX72" s="3"/>
      <c r="MBY72" s="3"/>
      <c r="MBZ72" s="3"/>
      <c r="MCA72" s="3"/>
      <c r="MCB72" s="3"/>
      <c r="MCC72" s="3"/>
      <c r="MCD72" s="3"/>
      <c r="MCE72" s="3"/>
      <c r="MCF72" s="3"/>
      <c r="MCG72" s="3"/>
      <c r="MCH72" s="3"/>
      <c r="MCI72" s="3"/>
      <c r="MCJ72" s="3"/>
      <c r="MCK72" s="3"/>
      <c r="MCL72" s="3"/>
      <c r="MCM72" s="3"/>
      <c r="MCN72" s="3"/>
      <c r="MCO72" s="3"/>
      <c r="MCP72" s="3"/>
      <c r="MCQ72" s="3"/>
      <c r="MCR72" s="3"/>
      <c r="MCS72" s="3"/>
      <c r="MCT72" s="3"/>
      <c r="MCU72" s="3"/>
      <c r="MCV72" s="3"/>
      <c r="MCW72" s="3"/>
      <c r="MCX72" s="3"/>
      <c r="MCY72" s="3"/>
      <c r="MCZ72" s="3"/>
      <c r="MDA72" s="3"/>
      <c r="MDB72" s="3"/>
      <c r="MDC72" s="3"/>
      <c r="MDD72" s="3"/>
      <c r="MDE72" s="3"/>
      <c r="MDF72" s="3"/>
      <c r="MDG72" s="3"/>
      <c r="MDH72" s="3"/>
      <c r="MDI72" s="3"/>
      <c r="MDJ72" s="3"/>
      <c r="MDK72" s="3"/>
      <c r="MDL72" s="3"/>
      <c r="MDM72" s="3"/>
      <c r="MDN72" s="3"/>
      <c r="MDO72" s="3"/>
      <c r="MDP72" s="3"/>
      <c r="MDQ72" s="3"/>
      <c r="MDR72" s="3"/>
      <c r="MDS72" s="3"/>
      <c r="MDT72" s="3"/>
      <c r="MDU72" s="3"/>
      <c r="MDV72" s="3"/>
      <c r="MDW72" s="3"/>
      <c r="MDX72" s="3"/>
      <c r="MDY72" s="3"/>
      <c r="MDZ72" s="3"/>
      <c r="MEA72" s="3"/>
      <c r="MEB72" s="3"/>
      <c r="MEC72" s="3"/>
      <c r="MED72" s="3"/>
      <c r="MEE72" s="3"/>
      <c r="MEF72" s="3"/>
      <c r="MEG72" s="3"/>
      <c r="MEH72" s="3"/>
      <c r="MEI72" s="3"/>
      <c r="MEJ72" s="3"/>
      <c r="MEK72" s="3"/>
      <c r="MEL72" s="3"/>
      <c r="MEM72" s="3"/>
      <c r="MEN72" s="3"/>
      <c r="MEO72" s="3"/>
      <c r="MEP72" s="3"/>
      <c r="MEQ72" s="3"/>
      <c r="MER72" s="3"/>
      <c r="MES72" s="3"/>
      <c r="MET72" s="3"/>
      <c r="MEU72" s="3"/>
      <c r="MEV72" s="3"/>
      <c r="MEW72" s="3"/>
      <c r="MEX72" s="3"/>
      <c r="MEY72" s="3"/>
      <c r="MEZ72" s="3"/>
      <c r="MFA72" s="3"/>
      <c r="MFB72" s="3"/>
      <c r="MFC72" s="3"/>
      <c r="MFD72" s="3"/>
      <c r="MFE72" s="3"/>
      <c r="MFF72" s="3"/>
      <c r="MFG72" s="3"/>
      <c r="MFH72" s="3"/>
      <c r="MFI72" s="3"/>
      <c r="MFJ72" s="3"/>
      <c r="MFK72" s="3"/>
      <c r="MFL72" s="3"/>
      <c r="MFM72" s="3"/>
      <c r="MFN72" s="3"/>
      <c r="MFO72" s="3"/>
      <c r="MFP72" s="3"/>
      <c r="MFQ72" s="3"/>
      <c r="MFR72" s="3"/>
      <c r="MFS72" s="3"/>
      <c r="MFT72" s="3"/>
      <c r="MFU72" s="3"/>
      <c r="MFV72" s="3"/>
      <c r="MFW72" s="3"/>
      <c r="MFX72" s="3"/>
      <c r="MFY72" s="3"/>
      <c r="MFZ72" s="3"/>
      <c r="MGA72" s="3"/>
      <c r="MGB72" s="3"/>
      <c r="MGC72" s="3"/>
      <c r="MGD72" s="3"/>
      <c r="MGE72" s="3"/>
      <c r="MGF72" s="3"/>
      <c r="MGG72" s="3"/>
      <c r="MGH72" s="3"/>
      <c r="MGI72" s="3"/>
      <c r="MGJ72" s="3"/>
      <c r="MGK72" s="3"/>
      <c r="MGL72" s="3"/>
      <c r="MGM72" s="3"/>
      <c r="MGN72" s="3"/>
      <c r="MGO72" s="3"/>
      <c r="MGP72" s="3"/>
      <c r="MGQ72" s="3"/>
      <c r="MGR72" s="3"/>
      <c r="MGS72" s="3"/>
      <c r="MGT72" s="3"/>
      <c r="MGU72" s="3"/>
      <c r="MGV72" s="3"/>
      <c r="MGW72" s="3"/>
      <c r="MGX72" s="3"/>
      <c r="MGY72" s="3"/>
      <c r="MGZ72" s="3"/>
      <c r="MHA72" s="3"/>
      <c r="MHB72" s="3"/>
      <c r="MHC72" s="3"/>
      <c r="MHD72" s="3"/>
      <c r="MHE72" s="3"/>
      <c r="MHF72" s="3"/>
      <c r="MHG72" s="3"/>
      <c r="MHH72" s="3"/>
      <c r="MHI72" s="3"/>
      <c r="MHJ72" s="3"/>
      <c r="MHK72" s="3"/>
      <c r="MHL72" s="3"/>
      <c r="MHM72" s="3"/>
      <c r="MHN72" s="3"/>
      <c r="MHO72" s="3"/>
      <c r="MHP72" s="3"/>
      <c r="MHQ72" s="3"/>
      <c r="MHR72" s="3"/>
      <c r="MHS72" s="3"/>
      <c r="MHT72" s="3"/>
      <c r="MHU72" s="3"/>
      <c r="MHV72" s="3"/>
      <c r="MHW72" s="3"/>
      <c r="MHX72" s="3"/>
      <c r="MHY72" s="3"/>
      <c r="MHZ72" s="3"/>
      <c r="MIA72" s="3"/>
      <c r="MIB72" s="3"/>
      <c r="MIC72" s="3"/>
      <c r="MID72" s="3"/>
      <c r="MIE72" s="3"/>
      <c r="MIF72" s="3"/>
      <c r="MIG72" s="3"/>
      <c r="MIH72" s="3"/>
      <c r="MII72" s="3"/>
      <c r="MIJ72" s="3"/>
      <c r="MIK72" s="3"/>
      <c r="MIL72" s="3"/>
      <c r="MIM72" s="3"/>
      <c r="MIN72" s="3"/>
      <c r="MIO72" s="3"/>
      <c r="MIP72" s="3"/>
      <c r="MIQ72" s="3"/>
      <c r="MIR72" s="3"/>
      <c r="MIS72" s="3"/>
      <c r="MIT72" s="3"/>
      <c r="MIU72" s="3"/>
      <c r="MIV72" s="3"/>
      <c r="MIW72" s="3"/>
      <c r="MIX72" s="3"/>
      <c r="MIY72" s="3"/>
      <c r="MIZ72" s="3"/>
      <c r="MJA72" s="3"/>
      <c r="MJB72" s="3"/>
      <c r="MJC72" s="3"/>
      <c r="MJD72" s="3"/>
      <c r="MJE72" s="3"/>
      <c r="MJF72" s="3"/>
      <c r="MJG72" s="3"/>
      <c r="MJH72" s="3"/>
      <c r="MJI72" s="3"/>
      <c r="MJJ72" s="3"/>
      <c r="MJK72" s="3"/>
      <c r="MJL72" s="3"/>
      <c r="MJM72" s="3"/>
      <c r="MJN72" s="3"/>
      <c r="MJO72" s="3"/>
      <c r="MJP72" s="3"/>
      <c r="MJQ72" s="3"/>
      <c r="MJR72" s="3"/>
      <c r="MJS72" s="3"/>
      <c r="MJT72" s="3"/>
      <c r="MJU72" s="3"/>
      <c r="MJV72" s="3"/>
      <c r="MJW72" s="3"/>
      <c r="MJX72" s="3"/>
      <c r="MJY72" s="3"/>
      <c r="MJZ72" s="3"/>
      <c r="MKA72" s="3"/>
      <c r="MKB72" s="3"/>
      <c r="MKC72" s="3"/>
      <c r="MKD72" s="3"/>
      <c r="MKE72" s="3"/>
      <c r="MKF72" s="3"/>
      <c r="MKG72" s="3"/>
      <c r="MKH72" s="3"/>
      <c r="MKI72" s="3"/>
      <c r="MKJ72" s="3"/>
      <c r="MKK72" s="3"/>
      <c r="MKL72" s="3"/>
      <c r="MKM72" s="3"/>
      <c r="MKN72" s="3"/>
      <c r="MKO72" s="3"/>
      <c r="MKP72" s="3"/>
      <c r="MKQ72" s="3"/>
      <c r="MKR72" s="3"/>
      <c r="MKS72" s="3"/>
      <c r="MKT72" s="3"/>
      <c r="MKU72" s="3"/>
      <c r="MKV72" s="3"/>
      <c r="MKW72" s="3"/>
      <c r="MKX72" s="3"/>
      <c r="MKY72" s="3"/>
      <c r="MKZ72" s="3"/>
      <c r="MLA72" s="3"/>
      <c r="MLB72" s="3"/>
      <c r="MLC72" s="3"/>
      <c r="MLD72" s="3"/>
      <c r="MLE72" s="3"/>
      <c r="MLF72" s="3"/>
      <c r="MLG72" s="3"/>
      <c r="MLH72" s="3"/>
      <c r="MLI72" s="3"/>
      <c r="MLJ72" s="3"/>
      <c r="MLK72" s="3"/>
      <c r="MLL72" s="3"/>
      <c r="MLM72" s="3"/>
      <c r="MLN72" s="3"/>
      <c r="MLO72" s="3"/>
      <c r="MLP72" s="3"/>
      <c r="MLQ72" s="3"/>
      <c r="MLR72" s="3"/>
      <c r="MLS72" s="3"/>
      <c r="MLT72" s="3"/>
      <c r="MLU72" s="3"/>
      <c r="MLV72" s="3"/>
      <c r="MLW72" s="3"/>
      <c r="MLX72" s="3"/>
      <c r="MLY72" s="3"/>
      <c r="MLZ72" s="3"/>
      <c r="MMA72" s="3"/>
      <c r="MMB72" s="3"/>
      <c r="MMC72" s="3"/>
      <c r="MMD72" s="3"/>
      <c r="MME72" s="3"/>
      <c r="MMF72" s="3"/>
      <c r="MMG72" s="3"/>
      <c r="MMH72" s="3"/>
      <c r="MMI72" s="3"/>
      <c r="MMJ72" s="3"/>
      <c r="MMK72" s="3"/>
      <c r="MML72" s="3"/>
      <c r="MMM72" s="3"/>
      <c r="MMN72" s="3"/>
      <c r="MMO72" s="3"/>
      <c r="MMP72" s="3"/>
      <c r="MMQ72" s="3"/>
      <c r="MMR72" s="3"/>
      <c r="MMS72" s="3"/>
      <c r="MMT72" s="3"/>
      <c r="MMU72" s="3"/>
      <c r="MMV72" s="3"/>
      <c r="MMW72" s="3"/>
      <c r="MMX72" s="3"/>
      <c r="MMY72" s="3"/>
      <c r="MMZ72" s="3"/>
      <c r="MNA72" s="3"/>
      <c r="MNB72" s="3"/>
      <c r="MNC72" s="3"/>
      <c r="MND72" s="3"/>
      <c r="MNE72" s="3"/>
      <c r="MNF72" s="3"/>
      <c r="MNG72" s="3"/>
      <c r="MNH72" s="3"/>
      <c r="MNI72" s="3"/>
      <c r="MNJ72" s="3"/>
      <c r="MNK72" s="3"/>
      <c r="MNL72" s="3"/>
      <c r="MNM72" s="3"/>
      <c r="MNN72" s="3"/>
      <c r="MNO72" s="3"/>
      <c r="MNP72" s="3"/>
      <c r="MNQ72" s="3"/>
      <c r="MNR72" s="3"/>
      <c r="MNS72" s="3"/>
      <c r="MNT72" s="3"/>
      <c r="MNU72" s="3"/>
      <c r="MNV72" s="3"/>
      <c r="MNW72" s="3"/>
      <c r="MNX72" s="3"/>
      <c r="MNY72" s="3"/>
      <c r="MNZ72" s="3"/>
      <c r="MOA72" s="3"/>
      <c r="MOB72" s="3"/>
      <c r="MOC72" s="3"/>
      <c r="MOD72" s="3"/>
      <c r="MOE72" s="3"/>
      <c r="MOF72" s="3"/>
      <c r="MOG72" s="3"/>
      <c r="MOH72" s="3"/>
      <c r="MOI72" s="3"/>
      <c r="MOJ72" s="3"/>
      <c r="MOK72" s="3"/>
      <c r="MOL72" s="3"/>
      <c r="MOM72" s="3"/>
      <c r="MON72" s="3"/>
      <c r="MOO72" s="3"/>
      <c r="MOP72" s="3"/>
      <c r="MOQ72" s="3"/>
      <c r="MOR72" s="3"/>
      <c r="MOS72" s="3"/>
      <c r="MOT72" s="3"/>
      <c r="MOU72" s="3"/>
      <c r="MOV72" s="3"/>
      <c r="MOW72" s="3"/>
      <c r="MOX72" s="3"/>
      <c r="MOY72" s="3"/>
      <c r="MOZ72" s="3"/>
      <c r="MPA72" s="3"/>
      <c r="MPB72" s="3"/>
      <c r="MPC72" s="3"/>
      <c r="MPD72" s="3"/>
      <c r="MPE72" s="3"/>
      <c r="MPF72" s="3"/>
      <c r="MPG72" s="3"/>
      <c r="MPH72" s="3"/>
      <c r="MPI72" s="3"/>
      <c r="MPJ72" s="3"/>
      <c r="MPK72" s="3"/>
      <c r="MPL72" s="3"/>
      <c r="MPM72" s="3"/>
      <c r="MPN72" s="3"/>
      <c r="MPO72" s="3"/>
      <c r="MPP72" s="3"/>
      <c r="MPQ72" s="3"/>
      <c r="MPR72" s="3"/>
      <c r="MPS72" s="3"/>
      <c r="MPT72" s="3"/>
      <c r="MPU72" s="3"/>
      <c r="MPV72" s="3"/>
      <c r="MPW72" s="3"/>
      <c r="MPX72" s="3"/>
      <c r="MPY72" s="3"/>
      <c r="MPZ72" s="3"/>
      <c r="MQA72" s="3"/>
      <c r="MQB72" s="3"/>
      <c r="MQC72" s="3"/>
      <c r="MQD72" s="3"/>
      <c r="MQE72" s="3"/>
      <c r="MQF72" s="3"/>
      <c r="MQG72" s="3"/>
      <c r="MQH72" s="3"/>
      <c r="MQI72" s="3"/>
      <c r="MQJ72" s="3"/>
      <c r="MQK72" s="3"/>
      <c r="MQL72" s="3"/>
      <c r="MQM72" s="3"/>
      <c r="MQN72" s="3"/>
      <c r="MQO72" s="3"/>
      <c r="MQP72" s="3"/>
      <c r="MQQ72" s="3"/>
      <c r="MQR72" s="3"/>
      <c r="MQS72" s="3"/>
      <c r="MQT72" s="3"/>
      <c r="MQU72" s="3"/>
      <c r="MQV72" s="3"/>
      <c r="MQW72" s="3"/>
      <c r="MQX72" s="3"/>
      <c r="MQY72" s="3"/>
      <c r="MQZ72" s="3"/>
      <c r="MRA72" s="3"/>
      <c r="MRB72" s="3"/>
      <c r="MRC72" s="3"/>
      <c r="MRD72" s="3"/>
      <c r="MRE72" s="3"/>
      <c r="MRF72" s="3"/>
      <c r="MRG72" s="3"/>
      <c r="MRH72" s="3"/>
      <c r="MRI72" s="3"/>
      <c r="MRJ72" s="3"/>
      <c r="MRK72" s="3"/>
      <c r="MRL72" s="3"/>
      <c r="MRM72" s="3"/>
      <c r="MRN72" s="3"/>
      <c r="MRO72" s="3"/>
      <c r="MRP72" s="3"/>
      <c r="MRQ72" s="3"/>
      <c r="MRR72" s="3"/>
      <c r="MRS72" s="3"/>
      <c r="MRT72" s="3"/>
      <c r="MRU72" s="3"/>
      <c r="MRV72" s="3"/>
      <c r="MRW72" s="3"/>
      <c r="MRX72" s="3"/>
      <c r="MRY72" s="3"/>
      <c r="MRZ72" s="3"/>
      <c r="MSA72" s="3"/>
      <c r="MSB72" s="3"/>
      <c r="MSC72" s="3"/>
      <c r="MSD72" s="3"/>
      <c r="MSE72" s="3"/>
      <c r="MSF72" s="3"/>
      <c r="MSG72" s="3"/>
      <c r="MSH72" s="3"/>
      <c r="MSI72" s="3"/>
      <c r="MSJ72" s="3"/>
      <c r="MSK72" s="3"/>
      <c r="MSL72" s="3"/>
      <c r="MSM72" s="3"/>
      <c r="MSN72" s="3"/>
      <c r="MSO72" s="3"/>
      <c r="MSP72" s="3"/>
      <c r="MSQ72" s="3"/>
      <c r="MSR72" s="3"/>
      <c r="MSS72" s="3"/>
      <c r="MST72" s="3"/>
      <c r="MSU72" s="3"/>
      <c r="MSV72" s="3"/>
      <c r="MSW72" s="3"/>
      <c r="MSX72" s="3"/>
      <c r="MSY72" s="3"/>
      <c r="MSZ72" s="3"/>
      <c r="MTA72" s="3"/>
      <c r="MTB72" s="3"/>
      <c r="MTC72" s="3"/>
      <c r="MTD72" s="3"/>
      <c r="MTE72" s="3"/>
      <c r="MTF72" s="3"/>
      <c r="MTG72" s="3"/>
      <c r="MTH72" s="3"/>
      <c r="MTI72" s="3"/>
      <c r="MTJ72" s="3"/>
      <c r="MTK72" s="3"/>
      <c r="MTL72" s="3"/>
      <c r="MTM72" s="3"/>
      <c r="MTN72" s="3"/>
      <c r="MTO72" s="3"/>
      <c r="MTP72" s="3"/>
      <c r="MTQ72" s="3"/>
      <c r="MTR72" s="3"/>
      <c r="MTS72" s="3"/>
      <c r="MTT72" s="3"/>
      <c r="MTU72" s="3"/>
      <c r="MTV72" s="3"/>
      <c r="MTW72" s="3"/>
      <c r="MTX72" s="3"/>
      <c r="MTY72" s="3"/>
      <c r="MTZ72" s="3"/>
      <c r="MUA72" s="3"/>
      <c r="MUB72" s="3"/>
      <c r="MUC72" s="3"/>
      <c r="MUD72" s="3"/>
      <c r="MUE72" s="3"/>
      <c r="MUF72" s="3"/>
      <c r="MUG72" s="3"/>
      <c r="MUH72" s="3"/>
      <c r="MUI72" s="3"/>
      <c r="MUJ72" s="3"/>
      <c r="MUK72" s="3"/>
      <c r="MUL72" s="3"/>
      <c r="MUM72" s="3"/>
      <c r="MUN72" s="3"/>
      <c r="MUO72" s="3"/>
      <c r="MUP72" s="3"/>
      <c r="MUQ72" s="3"/>
      <c r="MUR72" s="3"/>
      <c r="MUS72" s="3"/>
      <c r="MUT72" s="3"/>
      <c r="MUU72" s="3"/>
      <c r="MUV72" s="3"/>
      <c r="MUW72" s="3"/>
      <c r="MUX72" s="3"/>
      <c r="MUY72" s="3"/>
      <c r="MUZ72" s="3"/>
      <c r="MVA72" s="3"/>
      <c r="MVB72" s="3"/>
      <c r="MVC72" s="3"/>
      <c r="MVD72" s="3"/>
      <c r="MVE72" s="3"/>
      <c r="MVF72" s="3"/>
      <c r="MVG72" s="3"/>
      <c r="MVH72" s="3"/>
      <c r="MVI72" s="3"/>
      <c r="MVJ72" s="3"/>
      <c r="MVK72" s="3"/>
      <c r="MVL72" s="3"/>
      <c r="MVM72" s="3"/>
      <c r="MVN72" s="3"/>
      <c r="MVO72" s="3"/>
      <c r="MVP72" s="3"/>
      <c r="MVQ72" s="3"/>
      <c r="MVR72" s="3"/>
      <c r="MVS72" s="3"/>
      <c r="MVT72" s="3"/>
      <c r="MVU72" s="3"/>
      <c r="MVV72" s="3"/>
      <c r="MVW72" s="3"/>
      <c r="MVX72" s="3"/>
      <c r="MVY72" s="3"/>
      <c r="MVZ72" s="3"/>
      <c r="MWA72" s="3"/>
      <c r="MWB72" s="3"/>
      <c r="MWC72" s="3"/>
      <c r="MWD72" s="3"/>
      <c r="MWE72" s="3"/>
      <c r="MWF72" s="3"/>
      <c r="MWG72" s="3"/>
      <c r="MWH72" s="3"/>
      <c r="MWI72" s="3"/>
      <c r="MWJ72" s="3"/>
      <c r="MWK72" s="3"/>
      <c r="MWL72" s="3"/>
      <c r="MWM72" s="3"/>
      <c r="MWN72" s="3"/>
      <c r="MWO72" s="3"/>
      <c r="MWP72" s="3"/>
      <c r="MWQ72" s="3"/>
      <c r="MWR72" s="3"/>
      <c r="MWS72" s="3"/>
      <c r="MWT72" s="3"/>
      <c r="MWU72" s="3"/>
      <c r="MWV72" s="3"/>
      <c r="MWW72" s="3"/>
      <c r="MWX72" s="3"/>
      <c r="MWY72" s="3"/>
      <c r="MWZ72" s="3"/>
      <c r="MXA72" s="3"/>
      <c r="MXB72" s="3"/>
      <c r="MXC72" s="3"/>
      <c r="MXD72" s="3"/>
      <c r="MXE72" s="3"/>
      <c r="MXF72" s="3"/>
      <c r="MXG72" s="3"/>
      <c r="MXH72" s="3"/>
      <c r="MXI72" s="3"/>
      <c r="MXJ72" s="3"/>
      <c r="MXK72" s="3"/>
      <c r="MXL72" s="3"/>
      <c r="MXM72" s="3"/>
      <c r="MXN72" s="3"/>
      <c r="MXO72" s="3"/>
      <c r="MXP72" s="3"/>
      <c r="MXQ72" s="3"/>
      <c r="MXR72" s="3"/>
      <c r="MXS72" s="3"/>
      <c r="MXT72" s="3"/>
      <c r="MXU72" s="3"/>
      <c r="MXV72" s="3"/>
      <c r="MXW72" s="3"/>
      <c r="MXX72" s="3"/>
      <c r="MXY72" s="3"/>
      <c r="MXZ72" s="3"/>
      <c r="MYA72" s="3"/>
      <c r="MYB72" s="3"/>
      <c r="MYC72" s="3"/>
      <c r="MYD72" s="3"/>
      <c r="MYE72" s="3"/>
      <c r="MYF72" s="3"/>
      <c r="MYG72" s="3"/>
      <c r="MYH72" s="3"/>
      <c r="MYI72" s="3"/>
      <c r="MYJ72" s="3"/>
      <c r="MYK72" s="3"/>
      <c r="MYL72" s="3"/>
      <c r="MYM72" s="3"/>
      <c r="MYN72" s="3"/>
      <c r="MYO72" s="3"/>
      <c r="MYP72" s="3"/>
      <c r="MYQ72" s="3"/>
      <c r="MYR72" s="3"/>
      <c r="MYS72" s="3"/>
      <c r="MYT72" s="3"/>
      <c r="MYU72" s="3"/>
      <c r="MYV72" s="3"/>
      <c r="MYW72" s="3"/>
      <c r="MYX72" s="3"/>
      <c r="MYY72" s="3"/>
      <c r="MYZ72" s="3"/>
      <c r="MZA72" s="3"/>
      <c r="MZB72" s="3"/>
      <c r="MZC72" s="3"/>
      <c r="MZD72" s="3"/>
      <c r="MZE72" s="3"/>
      <c r="MZF72" s="3"/>
      <c r="MZG72" s="3"/>
      <c r="MZH72" s="3"/>
      <c r="MZI72" s="3"/>
      <c r="MZJ72" s="3"/>
      <c r="MZK72" s="3"/>
      <c r="MZL72" s="3"/>
      <c r="MZM72" s="3"/>
      <c r="MZN72" s="3"/>
      <c r="MZO72" s="3"/>
      <c r="MZP72" s="3"/>
      <c r="MZQ72" s="3"/>
      <c r="MZR72" s="3"/>
      <c r="MZS72" s="3"/>
      <c r="MZT72" s="3"/>
      <c r="MZU72" s="3"/>
      <c r="MZV72" s="3"/>
      <c r="MZW72" s="3"/>
      <c r="MZX72" s="3"/>
      <c r="MZY72" s="3"/>
      <c r="MZZ72" s="3"/>
      <c r="NAA72" s="3"/>
      <c r="NAB72" s="3"/>
      <c r="NAC72" s="3"/>
      <c r="NAD72" s="3"/>
      <c r="NAE72" s="3"/>
      <c r="NAF72" s="3"/>
      <c r="NAG72" s="3"/>
      <c r="NAH72" s="3"/>
      <c r="NAI72" s="3"/>
      <c r="NAJ72" s="3"/>
      <c r="NAK72" s="3"/>
      <c r="NAL72" s="3"/>
      <c r="NAM72" s="3"/>
      <c r="NAN72" s="3"/>
      <c r="NAO72" s="3"/>
      <c r="NAP72" s="3"/>
      <c r="NAQ72" s="3"/>
      <c r="NAR72" s="3"/>
      <c r="NAS72" s="3"/>
      <c r="NAT72" s="3"/>
      <c r="NAU72" s="3"/>
      <c r="NAV72" s="3"/>
      <c r="NAW72" s="3"/>
      <c r="NAX72" s="3"/>
      <c r="NAY72" s="3"/>
      <c r="NAZ72" s="3"/>
      <c r="NBA72" s="3"/>
      <c r="NBB72" s="3"/>
      <c r="NBC72" s="3"/>
      <c r="NBD72" s="3"/>
      <c r="NBE72" s="3"/>
      <c r="NBF72" s="3"/>
      <c r="NBG72" s="3"/>
      <c r="NBH72" s="3"/>
      <c r="NBI72" s="3"/>
      <c r="NBJ72" s="3"/>
      <c r="NBK72" s="3"/>
      <c r="NBL72" s="3"/>
      <c r="NBM72" s="3"/>
      <c r="NBN72" s="3"/>
      <c r="NBO72" s="3"/>
      <c r="NBP72" s="3"/>
      <c r="NBQ72" s="3"/>
      <c r="NBR72" s="3"/>
      <c r="NBS72" s="3"/>
      <c r="NBT72" s="3"/>
      <c r="NBU72" s="3"/>
      <c r="NBV72" s="3"/>
      <c r="NBW72" s="3"/>
      <c r="NBX72" s="3"/>
      <c r="NBY72" s="3"/>
      <c r="NBZ72" s="3"/>
      <c r="NCA72" s="3"/>
      <c r="NCB72" s="3"/>
      <c r="NCC72" s="3"/>
      <c r="NCD72" s="3"/>
      <c r="NCE72" s="3"/>
      <c r="NCF72" s="3"/>
      <c r="NCG72" s="3"/>
      <c r="NCH72" s="3"/>
      <c r="NCI72" s="3"/>
      <c r="NCJ72" s="3"/>
      <c r="NCK72" s="3"/>
      <c r="NCL72" s="3"/>
      <c r="NCM72" s="3"/>
      <c r="NCN72" s="3"/>
      <c r="NCO72" s="3"/>
      <c r="NCP72" s="3"/>
      <c r="NCQ72" s="3"/>
      <c r="NCR72" s="3"/>
      <c r="NCS72" s="3"/>
      <c r="NCT72" s="3"/>
      <c r="NCU72" s="3"/>
      <c r="NCV72" s="3"/>
      <c r="NCW72" s="3"/>
      <c r="NCX72" s="3"/>
      <c r="NCY72" s="3"/>
      <c r="NCZ72" s="3"/>
      <c r="NDA72" s="3"/>
      <c r="NDB72" s="3"/>
      <c r="NDC72" s="3"/>
      <c r="NDD72" s="3"/>
      <c r="NDE72" s="3"/>
      <c r="NDF72" s="3"/>
      <c r="NDG72" s="3"/>
      <c r="NDH72" s="3"/>
      <c r="NDI72" s="3"/>
      <c r="NDJ72" s="3"/>
      <c r="NDK72" s="3"/>
      <c r="NDL72" s="3"/>
      <c r="NDM72" s="3"/>
      <c r="NDN72" s="3"/>
      <c r="NDO72" s="3"/>
      <c r="NDP72" s="3"/>
      <c r="NDQ72" s="3"/>
      <c r="NDR72" s="3"/>
      <c r="NDS72" s="3"/>
      <c r="NDT72" s="3"/>
      <c r="NDU72" s="3"/>
      <c r="NDV72" s="3"/>
      <c r="NDW72" s="3"/>
      <c r="NDX72" s="3"/>
      <c r="NDY72" s="3"/>
      <c r="NDZ72" s="3"/>
      <c r="NEA72" s="3"/>
      <c r="NEB72" s="3"/>
      <c r="NEC72" s="3"/>
      <c r="NED72" s="3"/>
      <c r="NEE72" s="3"/>
      <c r="NEF72" s="3"/>
      <c r="NEG72" s="3"/>
      <c r="NEH72" s="3"/>
      <c r="NEI72" s="3"/>
      <c r="NEJ72" s="3"/>
      <c r="NEK72" s="3"/>
      <c r="NEL72" s="3"/>
      <c r="NEM72" s="3"/>
      <c r="NEN72" s="3"/>
      <c r="NEO72" s="3"/>
      <c r="NEP72" s="3"/>
      <c r="NEQ72" s="3"/>
      <c r="NER72" s="3"/>
      <c r="NES72" s="3"/>
      <c r="NET72" s="3"/>
      <c r="NEU72" s="3"/>
      <c r="NEV72" s="3"/>
      <c r="NEW72" s="3"/>
      <c r="NEX72" s="3"/>
      <c r="NEY72" s="3"/>
      <c r="NEZ72" s="3"/>
      <c r="NFA72" s="3"/>
      <c r="NFB72" s="3"/>
      <c r="NFC72" s="3"/>
      <c r="NFD72" s="3"/>
      <c r="NFE72" s="3"/>
      <c r="NFF72" s="3"/>
      <c r="NFG72" s="3"/>
      <c r="NFH72" s="3"/>
      <c r="NFI72" s="3"/>
      <c r="NFJ72" s="3"/>
      <c r="NFK72" s="3"/>
      <c r="NFL72" s="3"/>
      <c r="NFM72" s="3"/>
      <c r="NFN72" s="3"/>
      <c r="NFO72" s="3"/>
      <c r="NFP72" s="3"/>
      <c r="NFQ72" s="3"/>
      <c r="NFR72" s="3"/>
      <c r="NFS72" s="3"/>
      <c r="NFT72" s="3"/>
      <c r="NFU72" s="3"/>
      <c r="NFV72" s="3"/>
      <c r="NFW72" s="3"/>
      <c r="NFX72" s="3"/>
      <c r="NFY72" s="3"/>
      <c r="NFZ72" s="3"/>
      <c r="NGA72" s="3"/>
      <c r="NGB72" s="3"/>
      <c r="NGC72" s="3"/>
      <c r="NGD72" s="3"/>
      <c r="NGE72" s="3"/>
      <c r="NGF72" s="3"/>
      <c r="NGG72" s="3"/>
      <c r="NGH72" s="3"/>
      <c r="NGI72" s="3"/>
      <c r="NGJ72" s="3"/>
      <c r="NGK72" s="3"/>
      <c r="NGL72" s="3"/>
      <c r="NGM72" s="3"/>
      <c r="NGN72" s="3"/>
      <c r="NGO72" s="3"/>
      <c r="NGP72" s="3"/>
      <c r="NGQ72" s="3"/>
      <c r="NGR72" s="3"/>
      <c r="NGS72" s="3"/>
      <c r="NGT72" s="3"/>
      <c r="NGU72" s="3"/>
      <c r="NGV72" s="3"/>
      <c r="NGW72" s="3"/>
      <c r="NGX72" s="3"/>
      <c r="NGY72" s="3"/>
      <c r="NGZ72" s="3"/>
      <c r="NHA72" s="3"/>
      <c r="NHB72" s="3"/>
      <c r="NHC72" s="3"/>
      <c r="NHD72" s="3"/>
      <c r="NHE72" s="3"/>
      <c r="NHF72" s="3"/>
      <c r="NHG72" s="3"/>
      <c r="NHH72" s="3"/>
      <c r="NHI72" s="3"/>
      <c r="NHJ72" s="3"/>
      <c r="NHK72" s="3"/>
      <c r="NHL72" s="3"/>
      <c r="NHM72" s="3"/>
      <c r="NHN72" s="3"/>
      <c r="NHO72" s="3"/>
      <c r="NHP72" s="3"/>
      <c r="NHQ72" s="3"/>
      <c r="NHR72" s="3"/>
      <c r="NHS72" s="3"/>
      <c r="NHT72" s="3"/>
      <c r="NHU72" s="3"/>
      <c r="NHV72" s="3"/>
      <c r="NHW72" s="3"/>
      <c r="NHX72" s="3"/>
      <c r="NHY72" s="3"/>
      <c r="NHZ72" s="3"/>
      <c r="NIA72" s="3"/>
      <c r="NIB72" s="3"/>
      <c r="NIC72" s="3"/>
      <c r="NID72" s="3"/>
      <c r="NIE72" s="3"/>
      <c r="NIF72" s="3"/>
      <c r="NIG72" s="3"/>
      <c r="NIH72" s="3"/>
      <c r="NII72" s="3"/>
      <c r="NIJ72" s="3"/>
      <c r="NIK72" s="3"/>
      <c r="NIL72" s="3"/>
      <c r="NIM72" s="3"/>
      <c r="NIN72" s="3"/>
      <c r="NIO72" s="3"/>
      <c r="NIP72" s="3"/>
      <c r="NIQ72" s="3"/>
      <c r="NIR72" s="3"/>
      <c r="NIS72" s="3"/>
      <c r="NIT72" s="3"/>
      <c r="NIU72" s="3"/>
      <c r="NIV72" s="3"/>
      <c r="NIW72" s="3"/>
      <c r="NIX72" s="3"/>
      <c r="NIY72" s="3"/>
      <c r="NIZ72" s="3"/>
      <c r="NJA72" s="3"/>
      <c r="NJB72" s="3"/>
      <c r="NJC72" s="3"/>
      <c r="NJD72" s="3"/>
      <c r="NJE72" s="3"/>
      <c r="NJF72" s="3"/>
      <c r="NJG72" s="3"/>
      <c r="NJH72" s="3"/>
      <c r="NJI72" s="3"/>
      <c r="NJJ72" s="3"/>
      <c r="NJK72" s="3"/>
      <c r="NJL72" s="3"/>
      <c r="NJM72" s="3"/>
      <c r="NJN72" s="3"/>
      <c r="NJO72" s="3"/>
      <c r="NJP72" s="3"/>
      <c r="NJQ72" s="3"/>
      <c r="NJR72" s="3"/>
      <c r="NJS72" s="3"/>
      <c r="NJT72" s="3"/>
      <c r="NJU72" s="3"/>
      <c r="NJV72" s="3"/>
      <c r="NJW72" s="3"/>
      <c r="NJX72" s="3"/>
      <c r="NJY72" s="3"/>
      <c r="NJZ72" s="3"/>
      <c r="NKA72" s="3"/>
      <c r="NKB72" s="3"/>
      <c r="NKC72" s="3"/>
      <c r="NKD72" s="3"/>
      <c r="NKE72" s="3"/>
      <c r="NKF72" s="3"/>
      <c r="NKG72" s="3"/>
      <c r="NKH72" s="3"/>
      <c r="NKI72" s="3"/>
      <c r="NKJ72" s="3"/>
      <c r="NKK72" s="3"/>
      <c r="NKL72" s="3"/>
      <c r="NKM72" s="3"/>
      <c r="NKN72" s="3"/>
      <c r="NKO72" s="3"/>
      <c r="NKP72" s="3"/>
      <c r="NKQ72" s="3"/>
      <c r="NKR72" s="3"/>
      <c r="NKS72" s="3"/>
      <c r="NKT72" s="3"/>
      <c r="NKU72" s="3"/>
      <c r="NKV72" s="3"/>
      <c r="NKW72" s="3"/>
      <c r="NKX72" s="3"/>
      <c r="NKY72" s="3"/>
      <c r="NKZ72" s="3"/>
      <c r="NLA72" s="3"/>
      <c r="NLB72" s="3"/>
      <c r="NLC72" s="3"/>
      <c r="NLD72" s="3"/>
      <c r="NLE72" s="3"/>
      <c r="NLF72" s="3"/>
      <c r="NLG72" s="3"/>
      <c r="NLH72" s="3"/>
      <c r="NLI72" s="3"/>
      <c r="NLJ72" s="3"/>
      <c r="NLK72" s="3"/>
      <c r="NLL72" s="3"/>
      <c r="NLM72" s="3"/>
      <c r="NLN72" s="3"/>
      <c r="NLO72" s="3"/>
      <c r="NLP72" s="3"/>
      <c r="NLQ72" s="3"/>
      <c r="NLR72" s="3"/>
      <c r="NLS72" s="3"/>
      <c r="NLT72" s="3"/>
      <c r="NLU72" s="3"/>
      <c r="NLV72" s="3"/>
      <c r="NLW72" s="3"/>
      <c r="NLX72" s="3"/>
      <c r="NLY72" s="3"/>
      <c r="NLZ72" s="3"/>
      <c r="NMA72" s="3"/>
      <c r="NMB72" s="3"/>
      <c r="NMC72" s="3"/>
      <c r="NMD72" s="3"/>
      <c r="NME72" s="3"/>
      <c r="NMF72" s="3"/>
      <c r="NMG72" s="3"/>
      <c r="NMH72" s="3"/>
      <c r="NMI72" s="3"/>
      <c r="NMJ72" s="3"/>
      <c r="NMK72" s="3"/>
      <c r="NML72" s="3"/>
      <c r="NMM72" s="3"/>
      <c r="NMN72" s="3"/>
      <c r="NMO72" s="3"/>
      <c r="NMP72" s="3"/>
      <c r="NMQ72" s="3"/>
      <c r="NMR72" s="3"/>
      <c r="NMS72" s="3"/>
      <c r="NMT72" s="3"/>
      <c r="NMU72" s="3"/>
      <c r="NMV72" s="3"/>
      <c r="NMW72" s="3"/>
      <c r="NMX72" s="3"/>
      <c r="NMY72" s="3"/>
      <c r="NMZ72" s="3"/>
      <c r="NNA72" s="3"/>
      <c r="NNB72" s="3"/>
      <c r="NNC72" s="3"/>
      <c r="NND72" s="3"/>
      <c r="NNE72" s="3"/>
      <c r="NNF72" s="3"/>
      <c r="NNG72" s="3"/>
      <c r="NNH72" s="3"/>
      <c r="NNI72" s="3"/>
      <c r="NNJ72" s="3"/>
      <c r="NNK72" s="3"/>
      <c r="NNL72" s="3"/>
      <c r="NNM72" s="3"/>
      <c r="NNN72" s="3"/>
      <c r="NNO72" s="3"/>
      <c r="NNP72" s="3"/>
      <c r="NNQ72" s="3"/>
      <c r="NNR72" s="3"/>
      <c r="NNS72" s="3"/>
      <c r="NNT72" s="3"/>
      <c r="NNU72" s="3"/>
      <c r="NNV72" s="3"/>
      <c r="NNW72" s="3"/>
      <c r="NNX72" s="3"/>
      <c r="NNY72" s="3"/>
      <c r="NNZ72" s="3"/>
      <c r="NOA72" s="3"/>
      <c r="NOB72" s="3"/>
      <c r="NOC72" s="3"/>
      <c r="NOD72" s="3"/>
      <c r="NOE72" s="3"/>
      <c r="NOF72" s="3"/>
      <c r="NOG72" s="3"/>
      <c r="NOH72" s="3"/>
      <c r="NOI72" s="3"/>
      <c r="NOJ72" s="3"/>
      <c r="NOK72" s="3"/>
      <c r="NOL72" s="3"/>
      <c r="NOM72" s="3"/>
      <c r="NON72" s="3"/>
      <c r="NOO72" s="3"/>
      <c r="NOP72" s="3"/>
      <c r="NOQ72" s="3"/>
      <c r="NOR72" s="3"/>
      <c r="NOS72" s="3"/>
      <c r="NOT72" s="3"/>
      <c r="NOU72" s="3"/>
      <c r="NOV72" s="3"/>
      <c r="NOW72" s="3"/>
      <c r="NOX72" s="3"/>
      <c r="NOY72" s="3"/>
      <c r="NOZ72" s="3"/>
      <c r="NPA72" s="3"/>
      <c r="NPB72" s="3"/>
      <c r="NPC72" s="3"/>
      <c r="NPD72" s="3"/>
      <c r="NPE72" s="3"/>
      <c r="NPF72" s="3"/>
      <c r="NPG72" s="3"/>
      <c r="NPH72" s="3"/>
      <c r="NPI72" s="3"/>
      <c r="NPJ72" s="3"/>
      <c r="NPK72" s="3"/>
      <c r="NPL72" s="3"/>
      <c r="NPM72" s="3"/>
      <c r="NPN72" s="3"/>
      <c r="NPO72" s="3"/>
      <c r="NPP72" s="3"/>
      <c r="NPQ72" s="3"/>
      <c r="NPR72" s="3"/>
      <c r="NPS72" s="3"/>
      <c r="NPT72" s="3"/>
      <c r="NPU72" s="3"/>
      <c r="NPV72" s="3"/>
      <c r="NPW72" s="3"/>
      <c r="NPX72" s="3"/>
      <c r="NPY72" s="3"/>
      <c r="NPZ72" s="3"/>
      <c r="NQA72" s="3"/>
      <c r="NQB72" s="3"/>
      <c r="NQC72" s="3"/>
      <c r="NQD72" s="3"/>
      <c r="NQE72" s="3"/>
      <c r="NQF72" s="3"/>
      <c r="NQG72" s="3"/>
      <c r="NQH72" s="3"/>
      <c r="NQI72" s="3"/>
      <c r="NQJ72" s="3"/>
      <c r="NQK72" s="3"/>
      <c r="NQL72" s="3"/>
      <c r="NQM72" s="3"/>
      <c r="NQN72" s="3"/>
      <c r="NQO72" s="3"/>
      <c r="NQP72" s="3"/>
      <c r="NQQ72" s="3"/>
      <c r="NQR72" s="3"/>
      <c r="NQS72" s="3"/>
      <c r="NQT72" s="3"/>
      <c r="NQU72" s="3"/>
      <c r="NQV72" s="3"/>
      <c r="NQW72" s="3"/>
      <c r="NQX72" s="3"/>
      <c r="NQY72" s="3"/>
      <c r="NQZ72" s="3"/>
      <c r="NRA72" s="3"/>
      <c r="NRB72" s="3"/>
      <c r="NRC72" s="3"/>
      <c r="NRD72" s="3"/>
      <c r="NRE72" s="3"/>
      <c r="NRF72" s="3"/>
      <c r="NRG72" s="3"/>
      <c r="NRH72" s="3"/>
      <c r="NRI72" s="3"/>
      <c r="NRJ72" s="3"/>
      <c r="NRK72" s="3"/>
      <c r="NRL72" s="3"/>
      <c r="NRM72" s="3"/>
      <c r="NRN72" s="3"/>
      <c r="NRO72" s="3"/>
      <c r="NRP72" s="3"/>
      <c r="NRQ72" s="3"/>
      <c r="NRR72" s="3"/>
      <c r="NRS72" s="3"/>
      <c r="NRT72" s="3"/>
      <c r="NRU72" s="3"/>
      <c r="NRV72" s="3"/>
      <c r="NRW72" s="3"/>
      <c r="NRX72" s="3"/>
      <c r="NRY72" s="3"/>
      <c r="NRZ72" s="3"/>
      <c r="NSA72" s="3"/>
      <c r="NSB72" s="3"/>
      <c r="NSC72" s="3"/>
      <c r="NSD72" s="3"/>
      <c r="NSE72" s="3"/>
      <c r="NSF72" s="3"/>
      <c r="NSG72" s="3"/>
      <c r="NSH72" s="3"/>
      <c r="NSI72" s="3"/>
      <c r="NSJ72" s="3"/>
      <c r="NSK72" s="3"/>
      <c r="NSL72" s="3"/>
      <c r="NSM72" s="3"/>
      <c r="NSN72" s="3"/>
      <c r="NSO72" s="3"/>
      <c r="NSP72" s="3"/>
      <c r="NSQ72" s="3"/>
      <c r="NSR72" s="3"/>
      <c r="NSS72" s="3"/>
      <c r="NST72" s="3"/>
      <c r="NSU72" s="3"/>
      <c r="NSV72" s="3"/>
      <c r="NSW72" s="3"/>
      <c r="NSX72" s="3"/>
      <c r="NSY72" s="3"/>
      <c r="NSZ72" s="3"/>
      <c r="NTA72" s="3"/>
      <c r="NTB72" s="3"/>
      <c r="NTC72" s="3"/>
      <c r="NTD72" s="3"/>
      <c r="NTE72" s="3"/>
      <c r="NTF72" s="3"/>
      <c r="NTG72" s="3"/>
      <c r="NTH72" s="3"/>
      <c r="NTI72" s="3"/>
      <c r="NTJ72" s="3"/>
      <c r="NTK72" s="3"/>
      <c r="NTL72" s="3"/>
      <c r="NTM72" s="3"/>
      <c r="NTN72" s="3"/>
      <c r="NTO72" s="3"/>
      <c r="NTP72" s="3"/>
      <c r="NTQ72" s="3"/>
      <c r="NTR72" s="3"/>
      <c r="NTS72" s="3"/>
      <c r="NTT72" s="3"/>
      <c r="NTU72" s="3"/>
      <c r="NTV72" s="3"/>
      <c r="NTW72" s="3"/>
      <c r="NTX72" s="3"/>
      <c r="NTY72" s="3"/>
      <c r="NTZ72" s="3"/>
      <c r="NUA72" s="3"/>
      <c r="NUB72" s="3"/>
      <c r="NUC72" s="3"/>
      <c r="NUD72" s="3"/>
      <c r="NUE72" s="3"/>
      <c r="NUF72" s="3"/>
      <c r="NUG72" s="3"/>
      <c r="NUH72" s="3"/>
      <c r="NUI72" s="3"/>
      <c r="NUJ72" s="3"/>
      <c r="NUK72" s="3"/>
      <c r="NUL72" s="3"/>
      <c r="NUM72" s="3"/>
      <c r="NUN72" s="3"/>
      <c r="NUO72" s="3"/>
      <c r="NUP72" s="3"/>
      <c r="NUQ72" s="3"/>
      <c r="NUR72" s="3"/>
      <c r="NUS72" s="3"/>
      <c r="NUT72" s="3"/>
      <c r="NUU72" s="3"/>
      <c r="NUV72" s="3"/>
      <c r="NUW72" s="3"/>
      <c r="NUX72" s="3"/>
      <c r="NUY72" s="3"/>
      <c r="NUZ72" s="3"/>
      <c r="NVA72" s="3"/>
      <c r="NVB72" s="3"/>
      <c r="NVC72" s="3"/>
      <c r="NVD72" s="3"/>
      <c r="NVE72" s="3"/>
      <c r="NVF72" s="3"/>
      <c r="NVG72" s="3"/>
      <c r="NVH72" s="3"/>
      <c r="NVI72" s="3"/>
      <c r="NVJ72" s="3"/>
      <c r="NVK72" s="3"/>
      <c r="NVL72" s="3"/>
      <c r="NVM72" s="3"/>
      <c r="NVN72" s="3"/>
      <c r="NVO72" s="3"/>
      <c r="NVP72" s="3"/>
      <c r="NVQ72" s="3"/>
      <c r="NVR72" s="3"/>
      <c r="NVS72" s="3"/>
      <c r="NVT72" s="3"/>
      <c r="NVU72" s="3"/>
      <c r="NVV72" s="3"/>
      <c r="NVW72" s="3"/>
      <c r="NVX72" s="3"/>
      <c r="NVY72" s="3"/>
      <c r="NVZ72" s="3"/>
      <c r="NWA72" s="3"/>
      <c r="NWB72" s="3"/>
      <c r="NWC72" s="3"/>
      <c r="NWD72" s="3"/>
      <c r="NWE72" s="3"/>
      <c r="NWF72" s="3"/>
      <c r="NWG72" s="3"/>
      <c r="NWH72" s="3"/>
      <c r="NWI72" s="3"/>
      <c r="NWJ72" s="3"/>
      <c r="NWK72" s="3"/>
      <c r="NWL72" s="3"/>
      <c r="NWM72" s="3"/>
      <c r="NWN72" s="3"/>
      <c r="NWO72" s="3"/>
      <c r="NWP72" s="3"/>
      <c r="NWQ72" s="3"/>
      <c r="NWR72" s="3"/>
      <c r="NWS72" s="3"/>
      <c r="NWT72" s="3"/>
      <c r="NWU72" s="3"/>
      <c r="NWV72" s="3"/>
      <c r="NWW72" s="3"/>
      <c r="NWX72" s="3"/>
      <c r="NWY72" s="3"/>
      <c r="NWZ72" s="3"/>
      <c r="NXA72" s="3"/>
      <c r="NXB72" s="3"/>
      <c r="NXC72" s="3"/>
      <c r="NXD72" s="3"/>
      <c r="NXE72" s="3"/>
      <c r="NXF72" s="3"/>
      <c r="NXG72" s="3"/>
      <c r="NXH72" s="3"/>
      <c r="NXI72" s="3"/>
      <c r="NXJ72" s="3"/>
      <c r="NXK72" s="3"/>
      <c r="NXL72" s="3"/>
      <c r="NXM72" s="3"/>
      <c r="NXN72" s="3"/>
      <c r="NXO72" s="3"/>
      <c r="NXP72" s="3"/>
      <c r="NXQ72" s="3"/>
      <c r="NXR72" s="3"/>
      <c r="NXS72" s="3"/>
      <c r="NXT72" s="3"/>
      <c r="NXU72" s="3"/>
      <c r="NXV72" s="3"/>
      <c r="NXW72" s="3"/>
      <c r="NXX72" s="3"/>
      <c r="NXY72" s="3"/>
      <c r="NXZ72" s="3"/>
      <c r="NYA72" s="3"/>
      <c r="NYB72" s="3"/>
      <c r="NYC72" s="3"/>
      <c r="NYD72" s="3"/>
      <c r="NYE72" s="3"/>
      <c r="NYF72" s="3"/>
      <c r="NYG72" s="3"/>
      <c r="NYH72" s="3"/>
      <c r="NYI72" s="3"/>
      <c r="NYJ72" s="3"/>
      <c r="NYK72" s="3"/>
      <c r="NYL72" s="3"/>
      <c r="NYM72" s="3"/>
      <c r="NYN72" s="3"/>
      <c r="NYO72" s="3"/>
      <c r="NYP72" s="3"/>
      <c r="NYQ72" s="3"/>
      <c r="NYR72" s="3"/>
      <c r="NYS72" s="3"/>
      <c r="NYT72" s="3"/>
      <c r="NYU72" s="3"/>
      <c r="NYV72" s="3"/>
      <c r="NYW72" s="3"/>
      <c r="NYX72" s="3"/>
      <c r="NYY72" s="3"/>
      <c r="NYZ72" s="3"/>
      <c r="NZA72" s="3"/>
      <c r="NZB72" s="3"/>
      <c r="NZC72" s="3"/>
      <c r="NZD72" s="3"/>
      <c r="NZE72" s="3"/>
      <c r="NZF72" s="3"/>
      <c r="NZG72" s="3"/>
      <c r="NZH72" s="3"/>
      <c r="NZI72" s="3"/>
      <c r="NZJ72" s="3"/>
      <c r="NZK72" s="3"/>
      <c r="NZL72" s="3"/>
      <c r="NZM72" s="3"/>
      <c r="NZN72" s="3"/>
      <c r="NZO72" s="3"/>
      <c r="NZP72" s="3"/>
      <c r="NZQ72" s="3"/>
      <c r="NZR72" s="3"/>
      <c r="NZS72" s="3"/>
      <c r="NZT72" s="3"/>
      <c r="NZU72" s="3"/>
      <c r="NZV72" s="3"/>
      <c r="NZW72" s="3"/>
      <c r="NZX72" s="3"/>
      <c r="NZY72" s="3"/>
      <c r="NZZ72" s="3"/>
      <c r="OAA72" s="3"/>
      <c r="OAB72" s="3"/>
      <c r="OAC72" s="3"/>
      <c r="OAD72" s="3"/>
      <c r="OAE72" s="3"/>
      <c r="OAF72" s="3"/>
      <c r="OAG72" s="3"/>
      <c r="OAH72" s="3"/>
      <c r="OAI72" s="3"/>
      <c r="OAJ72" s="3"/>
      <c r="OAK72" s="3"/>
      <c r="OAL72" s="3"/>
      <c r="OAM72" s="3"/>
      <c r="OAN72" s="3"/>
      <c r="OAO72" s="3"/>
      <c r="OAP72" s="3"/>
      <c r="OAQ72" s="3"/>
      <c r="OAR72" s="3"/>
      <c r="OAS72" s="3"/>
      <c r="OAT72" s="3"/>
      <c r="OAU72" s="3"/>
      <c r="OAV72" s="3"/>
      <c r="OAW72" s="3"/>
      <c r="OAX72" s="3"/>
      <c r="OAY72" s="3"/>
      <c r="OAZ72" s="3"/>
      <c r="OBA72" s="3"/>
      <c r="OBB72" s="3"/>
      <c r="OBC72" s="3"/>
      <c r="OBD72" s="3"/>
      <c r="OBE72" s="3"/>
      <c r="OBF72" s="3"/>
      <c r="OBG72" s="3"/>
      <c r="OBH72" s="3"/>
      <c r="OBI72" s="3"/>
      <c r="OBJ72" s="3"/>
      <c r="OBK72" s="3"/>
      <c r="OBL72" s="3"/>
      <c r="OBM72" s="3"/>
      <c r="OBN72" s="3"/>
      <c r="OBO72" s="3"/>
      <c r="OBP72" s="3"/>
      <c r="OBQ72" s="3"/>
      <c r="OBR72" s="3"/>
      <c r="OBS72" s="3"/>
      <c r="OBT72" s="3"/>
      <c r="OBU72" s="3"/>
      <c r="OBV72" s="3"/>
      <c r="OBW72" s="3"/>
      <c r="OBX72" s="3"/>
      <c r="OBY72" s="3"/>
      <c r="OBZ72" s="3"/>
      <c r="OCA72" s="3"/>
      <c r="OCB72" s="3"/>
      <c r="OCC72" s="3"/>
      <c r="OCD72" s="3"/>
      <c r="OCE72" s="3"/>
      <c r="OCF72" s="3"/>
      <c r="OCG72" s="3"/>
      <c r="OCH72" s="3"/>
      <c r="OCI72" s="3"/>
      <c r="OCJ72" s="3"/>
      <c r="OCK72" s="3"/>
      <c r="OCL72" s="3"/>
      <c r="OCM72" s="3"/>
      <c r="OCN72" s="3"/>
      <c r="OCO72" s="3"/>
      <c r="OCP72" s="3"/>
      <c r="OCQ72" s="3"/>
      <c r="OCR72" s="3"/>
      <c r="OCS72" s="3"/>
      <c r="OCT72" s="3"/>
      <c r="OCU72" s="3"/>
      <c r="OCV72" s="3"/>
      <c r="OCW72" s="3"/>
      <c r="OCX72" s="3"/>
      <c r="OCY72" s="3"/>
      <c r="OCZ72" s="3"/>
      <c r="ODA72" s="3"/>
      <c r="ODB72" s="3"/>
      <c r="ODC72" s="3"/>
      <c r="ODD72" s="3"/>
      <c r="ODE72" s="3"/>
      <c r="ODF72" s="3"/>
      <c r="ODG72" s="3"/>
      <c r="ODH72" s="3"/>
      <c r="ODI72" s="3"/>
      <c r="ODJ72" s="3"/>
      <c r="ODK72" s="3"/>
      <c r="ODL72" s="3"/>
      <c r="ODM72" s="3"/>
      <c r="ODN72" s="3"/>
      <c r="ODO72" s="3"/>
      <c r="ODP72" s="3"/>
      <c r="ODQ72" s="3"/>
      <c r="ODR72" s="3"/>
      <c r="ODS72" s="3"/>
      <c r="ODT72" s="3"/>
      <c r="ODU72" s="3"/>
      <c r="ODV72" s="3"/>
      <c r="ODW72" s="3"/>
      <c r="ODX72" s="3"/>
      <c r="ODY72" s="3"/>
      <c r="ODZ72" s="3"/>
      <c r="OEA72" s="3"/>
      <c r="OEB72" s="3"/>
      <c r="OEC72" s="3"/>
      <c r="OED72" s="3"/>
      <c r="OEE72" s="3"/>
      <c r="OEF72" s="3"/>
      <c r="OEG72" s="3"/>
      <c r="OEH72" s="3"/>
      <c r="OEI72" s="3"/>
      <c r="OEJ72" s="3"/>
      <c r="OEK72" s="3"/>
      <c r="OEL72" s="3"/>
      <c r="OEM72" s="3"/>
      <c r="OEN72" s="3"/>
      <c r="OEO72" s="3"/>
      <c r="OEP72" s="3"/>
      <c r="OEQ72" s="3"/>
      <c r="OER72" s="3"/>
      <c r="OES72" s="3"/>
      <c r="OET72" s="3"/>
      <c r="OEU72" s="3"/>
      <c r="OEV72" s="3"/>
      <c r="OEW72" s="3"/>
      <c r="OEX72" s="3"/>
      <c r="OEY72" s="3"/>
      <c r="OEZ72" s="3"/>
      <c r="OFA72" s="3"/>
      <c r="OFB72" s="3"/>
      <c r="OFC72" s="3"/>
      <c r="OFD72" s="3"/>
      <c r="OFE72" s="3"/>
      <c r="OFF72" s="3"/>
      <c r="OFG72" s="3"/>
      <c r="OFH72" s="3"/>
      <c r="OFI72" s="3"/>
      <c r="OFJ72" s="3"/>
      <c r="OFK72" s="3"/>
      <c r="OFL72" s="3"/>
      <c r="OFM72" s="3"/>
      <c r="OFN72" s="3"/>
      <c r="OFO72" s="3"/>
      <c r="OFP72" s="3"/>
      <c r="OFQ72" s="3"/>
      <c r="OFR72" s="3"/>
      <c r="OFS72" s="3"/>
      <c r="OFT72" s="3"/>
      <c r="OFU72" s="3"/>
      <c r="OFV72" s="3"/>
      <c r="OFW72" s="3"/>
      <c r="OFX72" s="3"/>
      <c r="OFY72" s="3"/>
      <c r="OFZ72" s="3"/>
      <c r="OGA72" s="3"/>
      <c r="OGB72" s="3"/>
      <c r="OGC72" s="3"/>
      <c r="OGD72" s="3"/>
      <c r="OGE72" s="3"/>
      <c r="OGF72" s="3"/>
      <c r="OGG72" s="3"/>
      <c r="OGH72" s="3"/>
      <c r="OGI72" s="3"/>
      <c r="OGJ72" s="3"/>
      <c r="OGK72" s="3"/>
      <c r="OGL72" s="3"/>
      <c r="OGM72" s="3"/>
      <c r="OGN72" s="3"/>
      <c r="OGO72" s="3"/>
      <c r="OGP72" s="3"/>
      <c r="OGQ72" s="3"/>
      <c r="OGR72" s="3"/>
      <c r="OGS72" s="3"/>
      <c r="OGT72" s="3"/>
      <c r="OGU72" s="3"/>
      <c r="OGV72" s="3"/>
      <c r="OGW72" s="3"/>
      <c r="OGX72" s="3"/>
      <c r="OGY72" s="3"/>
      <c r="OGZ72" s="3"/>
      <c r="OHA72" s="3"/>
      <c r="OHB72" s="3"/>
      <c r="OHC72" s="3"/>
      <c r="OHD72" s="3"/>
      <c r="OHE72" s="3"/>
      <c r="OHF72" s="3"/>
      <c r="OHG72" s="3"/>
      <c r="OHH72" s="3"/>
      <c r="OHI72" s="3"/>
      <c r="OHJ72" s="3"/>
      <c r="OHK72" s="3"/>
      <c r="OHL72" s="3"/>
      <c r="OHM72" s="3"/>
      <c r="OHN72" s="3"/>
      <c r="OHO72" s="3"/>
      <c r="OHP72" s="3"/>
      <c r="OHQ72" s="3"/>
      <c r="OHR72" s="3"/>
      <c r="OHS72" s="3"/>
      <c r="OHT72" s="3"/>
      <c r="OHU72" s="3"/>
      <c r="OHV72" s="3"/>
      <c r="OHW72" s="3"/>
      <c r="OHX72" s="3"/>
      <c r="OHY72" s="3"/>
      <c r="OHZ72" s="3"/>
      <c r="OIA72" s="3"/>
      <c r="OIB72" s="3"/>
      <c r="OIC72" s="3"/>
      <c r="OID72" s="3"/>
      <c r="OIE72" s="3"/>
      <c r="OIF72" s="3"/>
      <c r="OIG72" s="3"/>
      <c r="OIH72" s="3"/>
      <c r="OII72" s="3"/>
      <c r="OIJ72" s="3"/>
      <c r="OIK72" s="3"/>
      <c r="OIL72" s="3"/>
      <c r="OIM72" s="3"/>
      <c r="OIN72" s="3"/>
      <c r="OIO72" s="3"/>
      <c r="OIP72" s="3"/>
      <c r="OIQ72" s="3"/>
      <c r="OIR72" s="3"/>
      <c r="OIS72" s="3"/>
      <c r="OIT72" s="3"/>
      <c r="OIU72" s="3"/>
      <c r="OIV72" s="3"/>
      <c r="OIW72" s="3"/>
      <c r="OIX72" s="3"/>
      <c r="OIY72" s="3"/>
      <c r="OIZ72" s="3"/>
      <c r="OJA72" s="3"/>
      <c r="OJB72" s="3"/>
      <c r="OJC72" s="3"/>
      <c r="OJD72" s="3"/>
      <c r="OJE72" s="3"/>
      <c r="OJF72" s="3"/>
      <c r="OJG72" s="3"/>
      <c r="OJH72" s="3"/>
      <c r="OJI72" s="3"/>
      <c r="OJJ72" s="3"/>
      <c r="OJK72" s="3"/>
      <c r="OJL72" s="3"/>
      <c r="OJM72" s="3"/>
      <c r="OJN72" s="3"/>
      <c r="OJO72" s="3"/>
      <c r="OJP72" s="3"/>
      <c r="OJQ72" s="3"/>
      <c r="OJR72" s="3"/>
      <c r="OJS72" s="3"/>
      <c r="OJT72" s="3"/>
      <c r="OJU72" s="3"/>
      <c r="OJV72" s="3"/>
      <c r="OJW72" s="3"/>
      <c r="OJX72" s="3"/>
      <c r="OJY72" s="3"/>
      <c r="OJZ72" s="3"/>
      <c r="OKA72" s="3"/>
      <c r="OKB72" s="3"/>
      <c r="OKC72" s="3"/>
      <c r="OKD72" s="3"/>
      <c r="OKE72" s="3"/>
      <c r="OKF72" s="3"/>
      <c r="OKG72" s="3"/>
      <c r="OKH72" s="3"/>
      <c r="OKI72" s="3"/>
      <c r="OKJ72" s="3"/>
      <c r="OKK72" s="3"/>
      <c r="OKL72" s="3"/>
      <c r="OKM72" s="3"/>
      <c r="OKN72" s="3"/>
      <c r="OKO72" s="3"/>
      <c r="OKP72" s="3"/>
      <c r="OKQ72" s="3"/>
      <c r="OKR72" s="3"/>
      <c r="OKS72" s="3"/>
      <c r="OKT72" s="3"/>
      <c r="OKU72" s="3"/>
      <c r="OKV72" s="3"/>
      <c r="OKW72" s="3"/>
      <c r="OKX72" s="3"/>
      <c r="OKY72" s="3"/>
      <c r="OKZ72" s="3"/>
      <c r="OLA72" s="3"/>
      <c r="OLB72" s="3"/>
      <c r="OLC72" s="3"/>
      <c r="OLD72" s="3"/>
      <c r="OLE72" s="3"/>
      <c r="OLF72" s="3"/>
      <c r="OLG72" s="3"/>
      <c r="OLH72" s="3"/>
      <c r="OLI72" s="3"/>
      <c r="OLJ72" s="3"/>
      <c r="OLK72" s="3"/>
      <c r="OLL72" s="3"/>
      <c r="OLM72" s="3"/>
      <c r="OLN72" s="3"/>
      <c r="OLO72" s="3"/>
      <c r="OLP72" s="3"/>
      <c r="OLQ72" s="3"/>
      <c r="OLR72" s="3"/>
      <c r="OLS72" s="3"/>
      <c r="OLT72" s="3"/>
      <c r="OLU72" s="3"/>
      <c r="OLV72" s="3"/>
      <c r="OLW72" s="3"/>
      <c r="OLX72" s="3"/>
      <c r="OLY72" s="3"/>
      <c r="OLZ72" s="3"/>
      <c r="OMA72" s="3"/>
      <c r="OMB72" s="3"/>
      <c r="OMC72" s="3"/>
      <c r="OMD72" s="3"/>
      <c r="OME72" s="3"/>
      <c r="OMF72" s="3"/>
      <c r="OMG72" s="3"/>
      <c r="OMH72" s="3"/>
      <c r="OMI72" s="3"/>
      <c r="OMJ72" s="3"/>
      <c r="OMK72" s="3"/>
      <c r="OML72" s="3"/>
      <c r="OMM72" s="3"/>
      <c r="OMN72" s="3"/>
      <c r="OMO72" s="3"/>
      <c r="OMP72" s="3"/>
      <c r="OMQ72" s="3"/>
      <c r="OMR72" s="3"/>
      <c r="OMS72" s="3"/>
      <c r="OMT72" s="3"/>
      <c r="OMU72" s="3"/>
      <c r="OMV72" s="3"/>
      <c r="OMW72" s="3"/>
      <c r="OMX72" s="3"/>
      <c r="OMY72" s="3"/>
      <c r="OMZ72" s="3"/>
      <c r="ONA72" s="3"/>
      <c r="ONB72" s="3"/>
      <c r="ONC72" s="3"/>
      <c r="OND72" s="3"/>
      <c r="ONE72" s="3"/>
      <c r="ONF72" s="3"/>
      <c r="ONG72" s="3"/>
      <c r="ONH72" s="3"/>
      <c r="ONI72" s="3"/>
      <c r="ONJ72" s="3"/>
      <c r="ONK72" s="3"/>
      <c r="ONL72" s="3"/>
      <c r="ONM72" s="3"/>
      <c r="ONN72" s="3"/>
      <c r="ONO72" s="3"/>
      <c r="ONP72" s="3"/>
      <c r="ONQ72" s="3"/>
      <c r="ONR72" s="3"/>
      <c r="ONS72" s="3"/>
      <c r="ONT72" s="3"/>
      <c r="ONU72" s="3"/>
      <c r="ONV72" s="3"/>
      <c r="ONW72" s="3"/>
      <c r="ONX72" s="3"/>
      <c r="ONY72" s="3"/>
      <c r="ONZ72" s="3"/>
      <c r="OOA72" s="3"/>
      <c r="OOB72" s="3"/>
      <c r="OOC72" s="3"/>
      <c r="OOD72" s="3"/>
      <c r="OOE72" s="3"/>
      <c r="OOF72" s="3"/>
      <c r="OOG72" s="3"/>
      <c r="OOH72" s="3"/>
      <c r="OOI72" s="3"/>
      <c r="OOJ72" s="3"/>
      <c r="OOK72" s="3"/>
      <c r="OOL72" s="3"/>
      <c r="OOM72" s="3"/>
      <c r="OON72" s="3"/>
      <c r="OOO72" s="3"/>
      <c r="OOP72" s="3"/>
      <c r="OOQ72" s="3"/>
      <c r="OOR72" s="3"/>
      <c r="OOS72" s="3"/>
      <c r="OOT72" s="3"/>
      <c r="OOU72" s="3"/>
      <c r="OOV72" s="3"/>
      <c r="OOW72" s="3"/>
      <c r="OOX72" s="3"/>
      <c r="OOY72" s="3"/>
      <c r="OOZ72" s="3"/>
      <c r="OPA72" s="3"/>
      <c r="OPB72" s="3"/>
      <c r="OPC72" s="3"/>
      <c r="OPD72" s="3"/>
      <c r="OPE72" s="3"/>
      <c r="OPF72" s="3"/>
      <c r="OPG72" s="3"/>
      <c r="OPH72" s="3"/>
      <c r="OPI72" s="3"/>
      <c r="OPJ72" s="3"/>
      <c r="OPK72" s="3"/>
      <c r="OPL72" s="3"/>
      <c r="OPM72" s="3"/>
      <c r="OPN72" s="3"/>
      <c r="OPO72" s="3"/>
      <c r="OPP72" s="3"/>
      <c r="OPQ72" s="3"/>
      <c r="OPR72" s="3"/>
      <c r="OPS72" s="3"/>
      <c r="OPT72" s="3"/>
      <c r="OPU72" s="3"/>
      <c r="OPV72" s="3"/>
      <c r="OPW72" s="3"/>
      <c r="OPX72" s="3"/>
      <c r="OPY72" s="3"/>
      <c r="OPZ72" s="3"/>
      <c r="OQA72" s="3"/>
      <c r="OQB72" s="3"/>
      <c r="OQC72" s="3"/>
      <c r="OQD72" s="3"/>
      <c r="OQE72" s="3"/>
      <c r="OQF72" s="3"/>
      <c r="OQG72" s="3"/>
      <c r="OQH72" s="3"/>
      <c r="OQI72" s="3"/>
      <c r="OQJ72" s="3"/>
      <c r="OQK72" s="3"/>
      <c r="OQL72" s="3"/>
      <c r="OQM72" s="3"/>
      <c r="OQN72" s="3"/>
      <c r="OQO72" s="3"/>
      <c r="OQP72" s="3"/>
      <c r="OQQ72" s="3"/>
      <c r="OQR72" s="3"/>
      <c r="OQS72" s="3"/>
      <c r="OQT72" s="3"/>
      <c r="OQU72" s="3"/>
      <c r="OQV72" s="3"/>
      <c r="OQW72" s="3"/>
      <c r="OQX72" s="3"/>
      <c r="OQY72" s="3"/>
      <c r="OQZ72" s="3"/>
      <c r="ORA72" s="3"/>
      <c r="ORB72" s="3"/>
      <c r="ORC72" s="3"/>
      <c r="ORD72" s="3"/>
      <c r="ORE72" s="3"/>
      <c r="ORF72" s="3"/>
      <c r="ORG72" s="3"/>
      <c r="ORH72" s="3"/>
      <c r="ORI72" s="3"/>
      <c r="ORJ72" s="3"/>
      <c r="ORK72" s="3"/>
      <c r="ORL72" s="3"/>
      <c r="ORM72" s="3"/>
      <c r="ORN72" s="3"/>
      <c r="ORO72" s="3"/>
      <c r="ORP72" s="3"/>
      <c r="ORQ72" s="3"/>
      <c r="ORR72" s="3"/>
      <c r="ORS72" s="3"/>
      <c r="ORT72" s="3"/>
      <c r="ORU72" s="3"/>
      <c r="ORV72" s="3"/>
      <c r="ORW72" s="3"/>
      <c r="ORX72" s="3"/>
      <c r="ORY72" s="3"/>
      <c r="ORZ72" s="3"/>
      <c r="OSA72" s="3"/>
      <c r="OSB72" s="3"/>
      <c r="OSC72" s="3"/>
      <c r="OSD72" s="3"/>
      <c r="OSE72" s="3"/>
      <c r="OSF72" s="3"/>
      <c r="OSG72" s="3"/>
      <c r="OSH72" s="3"/>
      <c r="OSI72" s="3"/>
      <c r="OSJ72" s="3"/>
      <c r="OSK72" s="3"/>
      <c r="OSL72" s="3"/>
      <c r="OSM72" s="3"/>
      <c r="OSN72" s="3"/>
      <c r="OSO72" s="3"/>
      <c r="OSP72" s="3"/>
      <c r="OSQ72" s="3"/>
      <c r="OSR72" s="3"/>
      <c r="OSS72" s="3"/>
      <c r="OST72" s="3"/>
      <c r="OSU72" s="3"/>
      <c r="OSV72" s="3"/>
      <c r="OSW72" s="3"/>
      <c r="OSX72" s="3"/>
      <c r="OSY72" s="3"/>
      <c r="OSZ72" s="3"/>
      <c r="OTA72" s="3"/>
      <c r="OTB72" s="3"/>
      <c r="OTC72" s="3"/>
      <c r="OTD72" s="3"/>
      <c r="OTE72" s="3"/>
      <c r="OTF72" s="3"/>
      <c r="OTG72" s="3"/>
      <c r="OTH72" s="3"/>
      <c r="OTI72" s="3"/>
      <c r="OTJ72" s="3"/>
      <c r="OTK72" s="3"/>
      <c r="OTL72" s="3"/>
      <c r="OTM72" s="3"/>
      <c r="OTN72" s="3"/>
      <c r="OTO72" s="3"/>
      <c r="OTP72" s="3"/>
      <c r="OTQ72" s="3"/>
      <c r="OTR72" s="3"/>
      <c r="OTS72" s="3"/>
      <c r="OTT72" s="3"/>
      <c r="OTU72" s="3"/>
      <c r="OTV72" s="3"/>
      <c r="OTW72" s="3"/>
      <c r="OTX72" s="3"/>
      <c r="OTY72" s="3"/>
      <c r="OTZ72" s="3"/>
      <c r="OUA72" s="3"/>
      <c r="OUB72" s="3"/>
      <c r="OUC72" s="3"/>
      <c r="OUD72" s="3"/>
      <c r="OUE72" s="3"/>
      <c r="OUF72" s="3"/>
      <c r="OUG72" s="3"/>
      <c r="OUH72" s="3"/>
      <c r="OUI72" s="3"/>
      <c r="OUJ72" s="3"/>
      <c r="OUK72" s="3"/>
      <c r="OUL72" s="3"/>
      <c r="OUM72" s="3"/>
      <c r="OUN72" s="3"/>
      <c r="OUO72" s="3"/>
      <c r="OUP72" s="3"/>
      <c r="OUQ72" s="3"/>
      <c r="OUR72" s="3"/>
      <c r="OUS72" s="3"/>
      <c r="OUT72" s="3"/>
      <c r="OUU72" s="3"/>
      <c r="OUV72" s="3"/>
      <c r="OUW72" s="3"/>
      <c r="OUX72" s="3"/>
      <c r="OUY72" s="3"/>
      <c r="OUZ72" s="3"/>
      <c r="OVA72" s="3"/>
      <c r="OVB72" s="3"/>
      <c r="OVC72" s="3"/>
      <c r="OVD72" s="3"/>
      <c r="OVE72" s="3"/>
      <c r="OVF72" s="3"/>
      <c r="OVG72" s="3"/>
      <c r="OVH72" s="3"/>
      <c r="OVI72" s="3"/>
      <c r="OVJ72" s="3"/>
      <c r="OVK72" s="3"/>
      <c r="OVL72" s="3"/>
      <c r="OVM72" s="3"/>
      <c r="OVN72" s="3"/>
      <c r="OVO72" s="3"/>
      <c r="OVP72" s="3"/>
      <c r="OVQ72" s="3"/>
      <c r="OVR72" s="3"/>
      <c r="OVS72" s="3"/>
      <c r="OVT72" s="3"/>
      <c r="OVU72" s="3"/>
      <c r="OVV72" s="3"/>
      <c r="OVW72" s="3"/>
      <c r="OVX72" s="3"/>
      <c r="OVY72" s="3"/>
      <c r="OVZ72" s="3"/>
      <c r="OWA72" s="3"/>
      <c r="OWB72" s="3"/>
      <c r="OWC72" s="3"/>
      <c r="OWD72" s="3"/>
      <c r="OWE72" s="3"/>
      <c r="OWF72" s="3"/>
      <c r="OWG72" s="3"/>
      <c r="OWH72" s="3"/>
      <c r="OWI72" s="3"/>
      <c r="OWJ72" s="3"/>
      <c r="OWK72" s="3"/>
      <c r="OWL72" s="3"/>
      <c r="OWM72" s="3"/>
      <c r="OWN72" s="3"/>
      <c r="OWO72" s="3"/>
      <c r="OWP72" s="3"/>
      <c r="OWQ72" s="3"/>
      <c r="OWR72" s="3"/>
      <c r="OWS72" s="3"/>
      <c r="OWT72" s="3"/>
      <c r="OWU72" s="3"/>
      <c r="OWV72" s="3"/>
      <c r="OWW72" s="3"/>
      <c r="OWX72" s="3"/>
      <c r="OWY72" s="3"/>
      <c r="OWZ72" s="3"/>
      <c r="OXA72" s="3"/>
      <c r="OXB72" s="3"/>
      <c r="OXC72" s="3"/>
      <c r="OXD72" s="3"/>
      <c r="OXE72" s="3"/>
      <c r="OXF72" s="3"/>
      <c r="OXG72" s="3"/>
      <c r="OXH72" s="3"/>
      <c r="OXI72" s="3"/>
      <c r="OXJ72" s="3"/>
      <c r="OXK72" s="3"/>
      <c r="OXL72" s="3"/>
      <c r="OXM72" s="3"/>
      <c r="OXN72" s="3"/>
      <c r="OXO72" s="3"/>
      <c r="OXP72" s="3"/>
      <c r="OXQ72" s="3"/>
      <c r="OXR72" s="3"/>
      <c r="OXS72" s="3"/>
      <c r="OXT72" s="3"/>
      <c r="OXU72" s="3"/>
      <c r="OXV72" s="3"/>
      <c r="OXW72" s="3"/>
      <c r="OXX72" s="3"/>
      <c r="OXY72" s="3"/>
      <c r="OXZ72" s="3"/>
      <c r="OYA72" s="3"/>
      <c r="OYB72" s="3"/>
      <c r="OYC72" s="3"/>
      <c r="OYD72" s="3"/>
      <c r="OYE72" s="3"/>
      <c r="OYF72" s="3"/>
      <c r="OYG72" s="3"/>
      <c r="OYH72" s="3"/>
      <c r="OYI72" s="3"/>
      <c r="OYJ72" s="3"/>
      <c r="OYK72" s="3"/>
      <c r="OYL72" s="3"/>
      <c r="OYM72" s="3"/>
      <c r="OYN72" s="3"/>
      <c r="OYO72" s="3"/>
      <c r="OYP72" s="3"/>
      <c r="OYQ72" s="3"/>
      <c r="OYR72" s="3"/>
      <c r="OYS72" s="3"/>
      <c r="OYT72" s="3"/>
      <c r="OYU72" s="3"/>
      <c r="OYV72" s="3"/>
      <c r="OYW72" s="3"/>
      <c r="OYX72" s="3"/>
      <c r="OYY72" s="3"/>
      <c r="OYZ72" s="3"/>
      <c r="OZA72" s="3"/>
      <c r="OZB72" s="3"/>
      <c r="OZC72" s="3"/>
      <c r="OZD72" s="3"/>
      <c r="OZE72" s="3"/>
      <c r="OZF72" s="3"/>
      <c r="OZG72" s="3"/>
      <c r="OZH72" s="3"/>
      <c r="OZI72" s="3"/>
      <c r="OZJ72" s="3"/>
      <c r="OZK72" s="3"/>
      <c r="OZL72" s="3"/>
      <c r="OZM72" s="3"/>
      <c r="OZN72" s="3"/>
      <c r="OZO72" s="3"/>
      <c r="OZP72" s="3"/>
      <c r="OZQ72" s="3"/>
      <c r="OZR72" s="3"/>
      <c r="OZS72" s="3"/>
      <c r="OZT72" s="3"/>
      <c r="OZU72" s="3"/>
      <c r="OZV72" s="3"/>
      <c r="OZW72" s="3"/>
      <c r="OZX72" s="3"/>
      <c r="OZY72" s="3"/>
      <c r="OZZ72" s="3"/>
      <c r="PAA72" s="3"/>
      <c r="PAB72" s="3"/>
      <c r="PAC72" s="3"/>
      <c r="PAD72" s="3"/>
      <c r="PAE72" s="3"/>
      <c r="PAF72" s="3"/>
      <c r="PAG72" s="3"/>
      <c r="PAH72" s="3"/>
      <c r="PAI72" s="3"/>
      <c r="PAJ72" s="3"/>
      <c r="PAK72" s="3"/>
      <c r="PAL72" s="3"/>
      <c r="PAM72" s="3"/>
      <c r="PAN72" s="3"/>
      <c r="PAO72" s="3"/>
      <c r="PAP72" s="3"/>
      <c r="PAQ72" s="3"/>
      <c r="PAR72" s="3"/>
      <c r="PAS72" s="3"/>
      <c r="PAT72" s="3"/>
      <c r="PAU72" s="3"/>
      <c r="PAV72" s="3"/>
      <c r="PAW72" s="3"/>
      <c r="PAX72" s="3"/>
      <c r="PAY72" s="3"/>
      <c r="PAZ72" s="3"/>
      <c r="PBA72" s="3"/>
      <c r="PBB72" s="3"/>
      <c r="PBC72" s="3"/>
      <c r="PBD72" s="3"/>
      <c r="PBE72" s="3"/>
      <c r="PBF72" s="3"/>
      <c r="PBG72" s="3"/>
      <c r="PBH72" s="3"/>
      <c r="PBI72" s="3"/>
      <c r="PBJ72" s="3"/>
      <c r="PBK72" s="3"/>
      <c r="PBL72" s="3"/>
      <c r="PBM72" s="3"/>
      <c r="PBN72" s="3"/>
      <c r="PBO72" s="3"/>
      <c r="PBP72" s="3"/>
      <c r="PBQ72" s="3"/>
      <c r="PBR72" s="3"/>
      <c r="PBS72" s="3"/>
      <c r="PBT72" s="3"/>
      <c r="PBU72" s="3"/>
      <c r="PBV72" s="3"/>
      <c r="PBW72" s="3"/>
      <c r="PBX72" s="3"/>
      <c r="PBY72" s="3"/>
      <c r="PBZ72" s="3"/>
      <c r="PCA72" s="3"/>
      <c r="PCB72" s="3"/>
      <c r="PCC72" s="3"/>
      <c r="PCD72" s="3"/>
      <c r="PCE72" s="3"/>
      <c r="PCF72" s="3"/>
      <c r="PCG72" s="3"/>
      <c r="PCH72" s="3"/>
      <c r="PCI72" s="3"/>
      <c r="PCJ72" s="3"/>
      <c r="PCK72" s="3"/>
      <c r="PCL72" s="3"/>
      <c r="PCM72" s="3"/>
      <c r="PCN72" s="3"/>
      <c r="PCO72" s="3"/>
      <c r="PCP72" s="3"/>
      <c r="PCQ72" s="3"/>
      <c r="PCR72" s="3"/>
      <c r="PCS72" s="3"/>
      <c r="PCT72" s="3"/>
      <c r="PCU72" s="3"/>
      <c r="PCV72" s="3"/>
      <c r="PCW72" s="3"/>
      <c r="PCX72" s="3"/>
      <c r="PCY72" s="3"/>
      <c r="PCZ72" s="3"/>
      <c r="PDA72" s="3"/>
      <c r="PDB72" s="3"/>
      <c r="PDC72" s="3"/>
      <c r="PDD72" s="3"/>
      <c r="PDE72" s="3"/>
      <c r="PDF72" s="3"/>
      <c r="PDG72" s="3"/>
      <c r="PDH72" s="3"/>
      <c r="PDI72" s="3"/>
      <c r="PDJ72" s="3"/>
      <c r="PDK72" s="3"/>
      <c r="PDL72" s="3"/>
      <c r="PDM72" s="3"/>
      <c r="PDN72" s="3"/>
      <c r="PDO72" s="3"/>
      <c r="PDP72" s="3"/>
      <c r="PDQ72" s="3"/>
      <c r="PDR72" s="3"/>
      <c r="PDS72" s="3"/>
      <c r="PDT72" s="3"/>
      <c r="PDU72" s="3"/>
      <c r="PDV72" s="3"/>
      <c r="PDW72" s="3"/>
      <c r="PDX72" s="3"/>
      <c r="PDY72" s="3"/>
      <c r="PDZ72" s="3"/>
      <c r="PEA72" s="3"/>
      <c r="PEB72" s="3"/>
      <c r="PEC72" s="3"/>
      <c r="PED72" s="3"/>
      <c r="PEE72" s="3"/>
      <c r="PEF72" s="3"/>
      <c r="PEG72" s="3"/>
      <c r="PEH72" s="3"/>
      <c r="PEI72" s="3"/>
      <c r="PEJ72" s="3"/>
      <c r="PEK72" s="3"/>
      <c r="PEL72" s="3"/>
      <c r="PEM72" s="3"/>
      <c r="PEN72" s="3"/>
      <c r="PEO72" s="3"/>
      <c r="PEP72" s="3"/>
      <c r="PEQ72" s="3"/>
      <c r="PER72" s="3"/>
      <c r="PES72" s="3"/>
      <c r="PET72" s="3"/>
      <c r="PEU72" s="3"/>
      <c r="PEV72" s="3"/>
      <c r="PEW72" s="3"/>
      <c r="PEX72" s="3"/>
      <c r="PEY72" s="3"/>
      <c r="PEZ72" s="3"/>
      <c r="PFA72" s="3"/>
      <c r="PFB72" s="3"/>
      <c r="PFC72" s="3"/>
      <c r="PFD72" s="3"/>
      <c r="PFE72" s="3"/>
      <c r="PFF72" s="3"/>
      <c r="PFG72" s="3"/>
      <c r="PFH72" s="3"/>
      <c r="PFI72" s="3"/>
      <c r="PFJ72" s="3"/>
      <c r="PFK72" s="3"/>
      <c r="PFL72" s="3"/>
      <c r="PFM72" s="3"/>
      <c r="PFN72" s="3"/>
      <c r="PFO72" s="3"/>
      <c r="PFP72" s="3"/>
      <c r="PFQ72" s="3"/>
      <c r="PFR72" s="3"/>
      <c r="PFS72" s="3"/>
      <c r="PFT72" s="3"/>
      <c r="PFU72" s="3"/>
      <c r="PFV72" s="3"/>
      <c r="PFW72" s="3"/>
      <c r="PFX72" s="3"/>
      <c r="PFY72" s="3"/>
      <c r="PFZ72" s="3"/>
      <c r="PGA72" s="3"/>
      <c r="PGB72" s="3"/>
      <c r="PGC72" s="3"/>
      <c r="PGD72" s="3"/>
      <c r="PGE72" s="3"/>
      <c r="PGF72" s="3"/>
      <c r="PGG72" s="3"/>
      <c r="PGH72" s="3"/>
      <c r="PGI72" s="3"/>
      <c r="PGJ72" s="3"/>
      <c r="PGK72" s="3"/>
      <c r="PGL72" s="3"/>
      <c r="PGM72" s="3"/>
      <c r="PGN72" s="3"/>
      <c r="PGO72" s="3"/>
      <c r="PGP72" s="3"/>
      <c r="PGQ72" s="3"/>
      <c r="PGR72" s="3"/>
      <c r="PGS72" s="3"/>
      <c r="PGT72" s="3"/>
      <c r="PGU72" s="3"/>
      <c r="PGV72" s="3"/>
      <c r="PGW72" s="3"/>
      <c r="PGX72" s="3"/>
      <c r="PGY72" s="3"/>
      <c r="PGZ72" s="3"/>
      <c r="PHA72" s="3"/>
      <c r="PHB72" s="3"/>
      <c r="PHC72" s="3"/>
      <c r="PHD72" s="3"/>
      <c r="PHE72" s="3"/>
      <c r="PHF72" s="3"/>
      <c r="PHG72" s="3"/>
      <c r="PHH72" s="3"/>
      <c r="PHI72" s="3"/>
      <c r="PHJ72" s="3"/>
      <c r="PHK72" s="3"/>
      <c r="PHL72" s="3"/>
      <c r="PHM72" s="3"/>
      <c r="PHN72" s="3"/>
      <c r="PHO72" s="3"/>
      <c r="PHP72" s="3"/>
      <c r="PHQ72" s="3"/>
      <c r="PHR72" s="3"/>
      <c r="PHS72" s="3"/>
      <c r="PHT72" s="3"/>
      <c r="PHU72" s="3"/>
      <c r="PHV72" s="3"/>
      <c r="PHW72" s="3"/>
      <c r="PHX72" s="3"/>
      <c r="PHY72" s="3"/>
      <c r="PHZ72" s="3"/>
      <c r="PIA72" s="3"/>
      <c r="PIB72" s="3"/>
      <c r="PIC72" s="3"/>
      <c r="PID72" s="3"/>
      <c r="PIE72" s="3"/>
      <c r="PIF72" s="3"/>
      <c r="PIG72" s="3"/>
      <c r="PIH72" s="3"/>
      <c r="PII72" s="3"/>
      <c r="PIJ72" s="3"/>
      <c r="PIK72" s="3"/>
      <c r="PIL72" s="3"/>
      <c r="PIM72" s="3"/>
      <c r="PIN72" s="3"/>
      <c r="PIO72" s="3"/>
      <c r="PIP72" s="3"/>
      <c r="PIQ72" s="3"/>
      <c r="PIR72" s="3"/>
      <c r="PIS72" s="3"/>
      <c r="PIT72" s="3"/>
      <c r="PIU72" s="3"/>
      <c r="PIV72" s="3"/>
      <c r="PIW72" s="3"/>
      <c r="PIX72" s="3"/>
      <c r="PIY72" s="3"/>
      <c r="PIZ72" s="3"/>
      <c r="PJA72" s="3"/>
      <c r="PJB72" s="3"/>
      <c r="PJC72" s="3"/>
      <c r="PJD72" s="3"/>
      <c r="PJE72" s="3"/>
      <c r="PJF72" s="3"/>
      <c r="PJG72" s="3"/>
      <c r="PJH72" s="3"/>
      <c r="PJI72" s="3"/>
      <c r="PJJ72" s="3"/>
      <c r="PJK72" s="3"/>
      <c r="PJL72" s="3"/>
      <c r="PJM72" s="3"/>
      <c r="PJN72" s="3"/>
      <c r="PJO72" s="3"/>
      <c r="PJP72" s="3"/>
      <c r="PJQ72" s="3"/>
      <c r="PJR72" s="3"/>
      <c r="PJS72" s="3"/>
      <c r="PJT72" s="3"/>
      <c r="PJU72" s="3"/>
      <c r="PJV72" s="3"/>
      <c r="PJW72" s="3"/>
      <c r="PJX72" s="3"/>
      <c r="PJY72" s="3"/>
      <c r="PJZ72" s="3"/>
      <c r="PKA72" s="3"/>
      <c r="PKB72" s="3"/>
      <c r="PKC72" s="3"/>
      <c r="PKD72" s="3"/>
      <c r="PKE72" s="3"/>
      <c r="PKF72" s="3"/>
      <c r="PKG72" s="3"/>
      <c r="PKH72" s="3"/>
      <c r="PKI72" s="3"/>
      <c r="PKJ72" s="3"/>
      <c r="PKK72" s="3"/>
      <c r="PKL72" s="3"/>
      <c r="PKM72" s="3"/>
      <c r="PKN72" s="3"/>
      <c r="PKO72" s="3"/>
      <c r="PKP72" s="3"/>
      <c r="PKQ72" s="3"/>
      <c r="PKR72" s="3"/>
      <c r="PKS72" s="3"/>
      <c r="PKT72" s="3"/>
      <c r="PKU72" s="3"/>
      <c r="PKV72" s="3"/>
      <c r="PKW72" s="3"/>
      <c r="PKX72" s="3"/>
      <c r="PKY72" s="3"/>
      <c r="PKZ72" s="3"/>
      <c r="PLA72" s="3"/>
      <c r="PLB72" s="3"/>
      <c r="PLC72" s="3"/>
      <c r="PLD72" s="3"/>
      <c r="PLE72" s="3"/>
      <c r="PLF72" s="3"/>
      <c r="PLG72" s="3"/>
      <c r="PLH72" s="3"/>
      <c r="PLI72" s="3"/>
      <c r="PLJ72" s="3"/>
      <c r="PLK72" s="3"/>
      <c r="PLL72" s="3"/>
      <c r="PLM72" s="3"/>
      <c r="PLN72" s="3"/>
      <c r="PLO72" s="3"/>
      <c r="PLP72" s="3"/>
      <c r="PLQ72" s="3"/>
      <c r="PLR72" s="3"/>
      <c r="PLS72" s="3"/>
      <c r="PLT72" s="3"/>
      <c r="PLU72" s="3"/>
      <c r="PLV72" s="3"/>
      <c r="PLW72" s="3"/>
      <c r="PLX72" s="3"/>
      <c r="PLY72" s="3"/>
      <c r="PLZ72" s="3"/>
      <c r="PMA72" s="3"/>
      <c r="PMB72" s="3"/>
      <c r="PMC72" s="3"/>
      <c r="PMD72" s="3"/>
      <c r="PME72" s="3"/>
      <c r="PMF72" s="3"/>
      <c r="PMG72" s="3"/>
      <c r="PMH72" s="3"/>
      <c r="PMI72" s="3"/>
      <c r="PMJ72" s="3"/>
      <c r="PMK72" s="3"/>
      <c r="PML72" s="3"/>
      <c r="PMM72" s="3"/>
      <c r="PMN72" s="3"/>
      <c r="PMO72" s="3"/>
      <c r="PMP72" s="3"/>
      <c r="PMQ72" s="3"/>
      <c r="PMR72" s="3"/>
      <c r="PMS72" s="3"/>
      <c r="PMT72" s="3"/>
      <c r="PMU72" s="3"/>
      <c r="PMV72" s="3"/>
      <c r="PMW72" s="3"/>
      <c r="PMX72" s="3"/>
      <c r="PMY72" s="3"/>
      <c r="PMZ72" s="3"/>
      <c r="PNA72" s="3"/>
      <c r="PNB72" s="3"/>
      <c r="PNC72" s="3"/>
      <c r="PND72" s="3"/>
      <c r="PNE72" s="3"/>
      <c r="PNF72" s="3"/>
      <c r="PNG72" s="3"/>
      <c r="PNH72" s="3"/>
      <c r="PNI72" s="3"/>
      <c r="PNJ72" s="3"/>
      <c r="PNK72" s="3"/>
      <c r="PNL72" s="3"/>
      <c r="PNM72" s="3"/>
      <c r="PNN72" s="3"/>
      <c r="PNO72" s="3"/>
      <c r="PNP72" s="3"/>
      <c r="PNQ72" s="3"/>
      <c r="PNR72" s="3"/>
      <c r="PNS72" s="3"/>
      <c r="PNT72" s="3"/>
      <c r="PNU72" s="3"/>
      <c r="PNV72" s="3"/>
      <c r="PNW72" s="3"/>
      <c r="PNX72" s="3"/>
      <c r="PNY72" s="3"/>
      <c r="PNZ72" s="3"/>
      <c r="POA72" s="3"/>
      <c r="POB72" s="3"/>
      <c r="POC72" s="3"/>
      <c r="POD72" s="3"/>
      <c r="POE72" s="3"/>
      <c r="POF72" s="3"/>
      <c r="POG72" s="3"/>
      <c r="POH72" s="3"/>
      <c r="POI72" s="3"/>
      <c r="POJ72" s="3"/>
      <c r="POK72" s="3"/>
      <c r="POL72" s="3"/>
      <c r="POM72" s="3"/>
      <c r="PON72" s="3"/>
      <c r="POO72" s="3"/>
      <c r="POP72" s="3"/>
      <c r="POQ72" s="3"/>
      <c r="POR72" s="3"/>
      <c r="POS72" s="3"/>
      <c r="POT72" s="3"/>
      <c r="POU72" s="3"/>
      <c r="POV72" s="3"/>
      <c r="POW72" s="3"/>
      <c r="POX72" s="3"/>
      <c r="POY72" s="3"/>
      <c r="POZ72" s="3"/>
      <c r="PPA72" s="3"/>
      <c r="PPB72" s="3"/>
      <c r="PPC72" s="3"/>
      <c r="PPD72" s="3"/>
      <c r="PPE72" s="3"/>
      <c r="PPF72" s="3"/>
      <c r="PPG72" s="3"/>
      <c r="PPH72" s="3"/>
      <c r="PPI72" s="3"/>
      <c r="PPJ72" s="3"/>
      <c r="PPK72" s="3"/>
      <c r="PPL72" s="3"/>
      <c r="PPM72" s="3"/>
      <c r="PPN72" s="3"/>
      <c r="PPO72" s="3"/>
      <c r="PPP72" s="3"/>
      <c r="PPQ72" s="3"/>
      <c r="PPR72" s="3"/>
      <c r="PPS72" s="3"/>
      <c r="PPT72" s="3"/>
      <c r="PPU72" s="3"/>
      <c r="PPV72" s="3"/>
      <c r="PPW72" s="3"/>
      <c r="PPX72" s="3"/>
      <c r="PPY72" s="3"/>
      <c r="PPZ72" s="3"/>
      <c r="PQA72" s="3"/>
      <c r="PQB72" s="3"/>
      <c r="PQC72" s="3"/>
      <c r="PQD72" s="3"/>
      <c r="PQE72" s="3"/>
      <c r="PQF72" s="3"/>
      <c r="PQG72" s="3"/>
      <c r="PQH72" s="3"/>
      <c r="PQI72" s="3"/>
      <c r="PQJ72" s="3"/>
      <c r="PQK72" s="3"/>
      <c r="PQL72" s="3"/>
      <c r="PQM72" s="3"/>
      <c r="PQN72" s="3"/>
      <c r="PQO72" s="3"/>
      <c r="PQP72" s="3"/>
      <c r="PQQ72" s="3"/>
      <c r="PQR72" s="3"/>
      <c r="PQS72" s="3"/>
      <c r="PQT72" s="3"/>
      <c r="PQU72" s="3"/>
      <c r="PQV72" s="3"/>
      <c r="PQW72" s="3"/>
      <c r="PQX72" s="3"/>
      <c r="PQY72" s="3"/>
      <c r="PQZ72" s="3"/>
      <c r="PRA72" s="3"/>
      <c r="PRB72" s="3"/>
      <c r="PRC72" s="3"/>
      <c r="PRD72" s="3"/>
      <c r="PRE72" s="3"/>
      <c r="PRF72" s="3"/>
      <c r="PRG72" s="3"/>
      <c r="PRH72" s="3"/>
      <c r="PRI72" s="3"/>
      <c r="PRJ72" s="3"/>
      <c r="PRK72" s="3"/>
      <c r="PRL72" s="3"/>
      <c r="PRM72" s="3"/>
      <c r="PRN72" s="3"/>
      <c r="PRO72" s="3"/>
      <c r="PRP72" s="3"/>
      <c r="PRQ72" s="3"/>
      <c r="PRR72" s="3"/>
      <c r="PRS72" s="3"/>
      <c r="PRT72" s="3"/>
      <c r="PRU72" s="3"/>
      <c r="PRV72" s="3"/>
      <c r="PRW72" s="3"/>
      <c r="PRX72" s="3"/>
      <c r="PRY72" s="3"/>
      <c r="PRZ72" s="3"/>
      <c r="PSA72" s="3"/>
      <c r="PSB72" s="3"/>
      <c r="PSC72" s="3"/>
      <c r="PSD72" s="3"/>
      <c r="PSE72" s="3"/>
      <c r="PSF72" s="3"/>
      <c r="PSG72" s="3"/>
      <c r="PSH72" s="3"/>
      <c r="PSI72" s="3"/>
      <c r="PSJ72" s="3"/>
      <c r="PSK72" s="3"/>
      <c r="PSL72" s="3"/>
      <c r="PSM72" s="3"/>
      <c r="PSN72" s="3"/>
      <c r="PSO72" s="3"/>
      <c r="PSP72" s="3"/>
      <c r="PSQ72" s="3"/>
      <c r="PSR72" s="3"/>
      <c r="PSS72" s="3"/>
      <c r="PST72" s="3"/>
      <c r="PSU72" s="3"/>
      <c r="PSV72" s="3"/>
      <c r="PSW72" s="3"/>
      <c r="PSX72" s="3"/>
      <c r="PSY72" s="3"/>
      <c r="PSZ72" s="3"/>
      <c r="PTA72" s="3"/>
      <c r="PTB72" s="3"/>
      <c r="PTC72" s="3"/>
      <c r="PTD72" s="3"/>
      <c r="PTE72" s="3"/>
      <c r="PTF72" s="3"/>
      <c r="PTG72" s="3"/>
      <c r="PTH72" s="3"/>
      <c r="PTI72" s="3"/>
      <c r="PTJ72" s="3"/>
      <c r="PTK72" s="3"/>
      <c r="PTL72" s="3"/>
      <c r="PTM72" s="3"/>
      <c r="PTN72" s="3"/>
      <c r="PTO72" s="3"/>
      <c r="PTP72" s="3"/>
      <c r="PTQ72" s="3"/>
      <c r="PTR72" s="3"/>
      <c r="PTS72" s="3"/>
      <c r="PTT72" s="3"/>
      <c r="PTU72" s="3"/>
      <c r="PTV72" s="3"/>
      <c r="PTW72" s="3"/>
      <c r="PTX72" s="3"/>
      <c r="PTY72" s="3"/>
      <c r="PTZ72" s="3"/>
      <c r="PUA72" s="3"/>
      <c r="PUB72" s="3"/>
      <c r="PUC72" s="3"/>
      <c r="PUD72" s="3"/>
      <c r="PUE72" s="3"/>
      <c r="PUF72" s="3"/>
      <c r="PUG72" s="3"/>
      <c r="PUH72" s="3"/>
      <c r="PUI72" s="3"/>
      <c r="PUJ72" s="3"/>
      <c r="PUK72" s="3"/>
      <c r="PUL72" s="3"/>
      <c r="PUM72" s="3"/>
      <c r="PUN72" s="3"/>
      <c r="PUO72" s="3"/>
      <c r="PUP72" s="3"/>
      <c r="PUQ72" s="3"/>
      <c r="PUR72" s="3"/>
      <c r="PUS72" s="3"/>
      <c r="PUT72" s="3"/>
      <c r="PUU72" s="3"/>
      <c r="PUV72" s="3"/>
      <c r="PUW72" s="3"/>
      <c r="PUX72" s="3"/>
      <c r="PUY72" s="3"/>
      <c r="PUZ72" s="3"/>
      <c r="PVA72" s="3"/>
      <c r="PVB72" s="3"/>
      <c r="PVC72" s="3"/>
      <c r="PVD72" s="3"/>
      <c r="PVE72" s="3"/>
      <c r="PVF72" s="3"/>
      <c r="PVG72" s="3"/>
      <c r="PVH72" s="3"/>
      <c r="PVI72" s="3"/>
      <c r="PVJ72" s="3"/>
      <c r="PVK72" s="3"/>
      <c r="PVL72" s="3"/>
      <c r="PVM72" s="3"/>
      <c r="PVN72" s="3"/>
      <c r="PVO72" s="3"/>
      <c r="PVP72" s="3"/>
      <c r="PVQ72" s="3"/>
      <c r="PVR72" s="3"/>
      <c r="PVS72" s="3"/>
      <c r="PVT72" s="3"/>
      <c r="PVU72" s="3"/>
      <c r="PVV72" s="3"/>
      <c r="PVW72" s="3"/>
      <c r="PVX72" s="3"/>
      <c r="PVY72" s="3"/>
      <c r="PVZ72" s="3"/>
      <c r="PWA72" s="3"/>
      <c r="PWB72" s="3"/>
      <c r="PWC72" s="3"/>
      <c r="PWD72" s="3"/>
      <c r="PWE72" s="3"/>
      <c r="PWF72" s="3"/>
      <c r="PWG72" s="3"/>
      <c r="PWH72" s="3"/>
      <c r="PWI72" s="3"/>
      <c r="PWJ72" s="3"/>
      <c r="PWK72" s="3"/>
      <c r="PWL72" s="3"/>
      <c r="PWM72" s="3"/>
      <c r="PWN72" s="3"/>
      <c r="PWO72" s="3"/>
      <c r="PWP72" s="3"/>
      <c r="PWQ72" s="3"/>
      <c r="PWR72" s="3"/>
      <c r="PWS72" s="3"/>
      <c r="PWT72" s="3"/>
      <c r="PWU72" s="3"/>
      <c r="PWV72" s="3"/>
      <c r="PWW72" s="3"/>
      <c r="PWX72" s="3"/>
      <c r="PWY72" s="3"/>
      <c r="PWZ72" s="3"/>
      <c r="PXA72" s="3"/>
      <c r="PXB72" s="3"/>
      <c r="PXC72" s="3"/>
      <c r="PXD72" s="3"/>
      <c r="PXE72" s="3"/>
      <c r="PXF72" s="3"/>
      <c r="PXG72" s="3"/>
      <c r="PXH72" s="3"/>
      <c r="PXI72" s="3"/>
      <c r="PXJ72" s="3"/>
      <c r="PXK72" s="3"/>
      <c r="PXL72" s="3"/>
      <c r="PXM72" s="3"/>
      <c r="PXN72" s="3"/>
      <c r="PXO72" s="3"/>
      <c r="PXP72" s="3"/>
      <c r="PXQ72" s="3"/>
      <c r="PXR72" s="3"/>
      <c r="PXS72" s="3"/>
      <c r="PXT72" s="3"/>
      <c r="PXU72" s="3"/>
      <c r="PXV72" s="3"/>
      <c r="PXW72" s="3"/>
      <c r="PXX72" s="3"/>
      <c r="PXY72" s="3"/>
      <c r="PXZ72" s="3"/>
      <c r="PYA72" s="3"/>
      <c r="PYB72" s="3"/>
      <c r="PYC72" s="3"/>
      <c r="PYD72" s="3"/>
      <c r="PYE72" s="3"/>
      <c r="PYF72" s="3"/>
      <c r="PYG72" s="3"/>
      <c r="PYH72" s="3"/>
      <c r="PYI72" s="3"/>
      <c r="PYJ72" s="3"/>
      <c r="PYK72" s="3"/>
      <c r="PYL72" s="3"/>
      <c r="PYM72" s="3"/>
      <c r="PYN72" s="3"/>
      <c r="PYO72" s="3"/>
      <c r="PYP72" s="3"/>
      <c r="PYQ72" s="3"/>
      <c r="PYR72" s="3"/>
      <c r="PYS72" s="3"/>
      <c r="PYT72" s="3"/>
      <c r="PYU72" s="3"/>
      <c r="PYV72" s="3"/>
      <c r="PYW72" s="3"/>
      <c r="PYX72" s="3"/>
      <c r="PYY72" s="3"/>
      <c r="PYZ72" s="3"/>
      <c r="PZA72" s="3"/>
      <c r="PZB72" s="3"/>
      <c r="PZC72" s="3"/>
      <c r="PZD72" s="3"/>
      <c r="PZE72" s="3"/>
      <c r="PZF72" s="3"/>
      <c r="PZG72" s="3"/>
      <c r="PZH72" s="3"/>
      <c r="PZI72" s="3"/>
      <c r="PZJ72" s="3"/>
      <c r="PZK72" s="3"/>
      <c r="PZL72" s="3"/>
      <c r="PZM72" s="3"/>
      <c r="PZN72" s="3"/>
      <c r="PZO72" s="3"/>
      <c r="PZP72" s="3"/>
      <c r="PZQ72" s="3"/>
      <c r="PZR72" s="3"/>
      <c r="PZS72" s="3"/>
      <c r="PZT72" s="3"/>
      <c r="PZU72" s="3"/>
      <c r="PZV72" s="3"/>
      <c r="PZW72" s="3"/>
      <c r="PZX72" s="3"/>
      <c r="PZY72" s="3"/>
      <c r="PZZ72" s="3"/>
      <c r="QAA72" s="3"/>
      <c r="QAB72" s="3"/>
      <c r="QAC72" s="3"/>
      <c r="QAD72" s="3"/>
      <c r="QAE72" s="3"/>
      <c r="QAF72" s="3"/>
      <c r="QAG72" s="3"/>
      <c r="QAH72" s="3"/>
      <c r="QAI72" s="3"/>
      <c r="QAJ72" s="3"/>
      <c r="QAK72" s="3"/>
      <c r="QAL72" s="3"/>
      <c r="QAM72" s="3"/>
      <c r="QAN72" s="3"/>
      <c r="QAO72" s="3"/>
      <c r="QAP72" s="3"/>
      <c r="QAQ72" s="3"/>
      <c r="QAR72" s="3"/>
      <c r="QAS72" s="3"/>
      <c r="QAT72" s="3"/>
      <c r="QAU72" s="3"/>
      <c r="QAV72" s="3"/>
      <c r="QAW72" s="3"/>
      <c r="QAX72" s="3"/>
      <c r="QAY72" s="3"/>
      <c r="QAZ72" s="3"/>
      <c r="QBA72" s="3"/>
      <c r="QBB72" s="3"/>
      <c r="QBC72" s="3"/>
      <c r="QBD72" s="3"/>
      <c r="QBE72" s="3"/>
      <c r="QBF72" s="3"/>
      <c r="QBG72" s="3"/>
      <c r="QBH72" s="3"/>
      <c r="QBI72" s="3"/>
      <c r="QBJ72" s="3"/>
      <c r="QBK72" s="3"/>
      <c r="QBL72" s="3"/>
      <c r="QBM72" s="3"/>
      <c r="QBN72" s="3"/>
      <c r="QBO72" s="3"/>
      <c r="QBP72" s="3"/>
      <c r="QBQ72" s="3"/>
      <c r="QBR72" s="3"/>
      <c r="QBS72" s="3"/>
      <c r="QBT72" s="3"/>
      <c r="QBU72" s="3"/>
      <c r="QBV72" s="3"/>
      <c r="QBW72" s="3"/>
      <c r="QBX72" s="3"/>
      <c r="QBY72" s="3"/>
      <c r="QBZ72" s="3"/>
      <c r="QCA72" s="3"/>
      <c r="QCB72" s="3"/>
      <c r="QCC72" s="3"/>
      <c r="QCD72" s="3"/>
      <c r="QCE72" s="3"/>
      <c r="QCF72" s="3"/>
      <c r="QCG72" s="3"/>
      <c r="QCH72" s="3"/>
      <c r="QCI72" s="3"/>
      <c r="QCJ72" s="3"/>
      <c r="QCK72" s="3"/>
      <c r="QCL72" s="3"/>
      <c r="QCM72" s="3"/>
      <c r="QCN72" s="3"/>
      <c r="QCO72" s="3"/>
      <c r="QCP72" s="3"/>
      <c r="QCQ72" s="3"/>
      <c r="QCR72" s="3"/>
      <c r="QCS72" s="3"/>
      <c r="QCT72" s="3"/>
      <c r="QCU72" s="3"/>
      <c r="QCV72" s="3"/>
      <c r="QCW72" s="3"/>
      <c r="QCX72" s="3"/>
      <c r="QCY72" s="3"/>
      <c r="QCZ72" s="3"/>
      <c r="QDA72" s="3"/>
      <c r="QDB72" s="3"/>
      <c r="QDC72" s="3"/>
      <c r="QDD72" s="3"/>
      <c r="QDE72" s="3"/>
      <c r="QDF72" s="3"/>
      <c r="QDG72" s="3"/>
      <c r="QDH72" s="3"/>
      <c r="QDI72" s="3"/>
      <c r="QDJ72" s="3"/>
      <c r="QDK72" s="3"/>
      <c r="QDL72" s="3"/>
      <c r="QDM72" s="3"/>
      <c r="QDN72" s="3"/>
      <c r="QDO72" s="3"/>
      <c r="QDP72" s="3"/>
      <c r="QDQ72" s="3"/>
      <c r="QDR72" s="3"/>
      <c r="QDS72" s="3"/>
      <c r="QDT72" s="3"/>
      <c r="QDU72" s="3"/>
      <c r="QDV72" s="3"/>
      <c r="QDW72" s="3"/>
      <c r="QDX72" s="3"/>
      <c r="QDY72" s="3"/>
      <c r="QDZ72" s="3"/>
      <c r="QEA72" s="3"/>
      <c r="QEB72" s="3"/>
      <c r="QEC72" s="3"/>
      <c r="QED72" s="3"/>
      <c r="QEE72" s="3"/>
      <c r="QEF72" s="3"/>
      <c r="QEG72" s="3"/>
      <c r="QEH72" s="3"/>
      <c r="QEI72" s="3"/>
      <c r="QEJ72" s="3"/>
      <c r="QEK72" s="3"/>
      <c r="QEL72" s="3"/>
      <c r="QEM72" s="3"/>
      <c r="QEN72" s="3"/>
      <c r="QEO72" s="3"/>
      <c r="QEP72" s="3"/>
      <c r="QEQ72" s="3"/>
      <c r="QER72" s="3"/>
      <c r="QES72" s="3"/>
      <c r="QET72" s="3"/>
      <c r="QEU72" s="3"/>
      <c r="QEV72" s="3"/>
      <c r="QEW72" s="3"/>
      <c r="QEX72" s="3"/>
      <c r="QEY72" s="3"/>
      <c r="QEZ72" s="3"/>
      <c r="QFA72" s="3"/>
      <c r="QFB72" s="3"/>
      <c r="QFC72" s="3"/>
      <c r="QFD72" s="3"/>
      <c r="QFE72" s="3"/>
      <c r="QFF72" s="3"/>
      <c r="QFG72" s="3"/>
      <c r="QFH72" s="3"/>
      <c r="QFI72" s="3"/>
      <c r="QFJ72" s="3"/>
      <c r="QFK72" s="3"/>
      <c r="QFL72" s="3"/>
      <c r="QFM72" s="3"/>
      <c r="QFN72" s="3"/>
      <c r="QFO72" s="3"/>
      <c r="QFP72" s="3"/>
      <c r="QFQ72" s="3"/>
      <c r="QFR72" s="3"/>
      <c r="QFS72" s="3"/>
      <c r="QFT72" s="3"/>
      <c r="QFU72" s="3"/>
      <c r="QFV72" s="3"/>
      <c r="QFW72" s="3"/>
      <c r="QFX72" s="3"/>
      <c r="QFY72" s="3"/>
      <c r="QFZ72" s="3"/>
      <c r="QGA72" s="3"/>
      <c r="QGB72" s="3"/>
      <c r="QGC72" s="3"/>
      <c r="QGD72" s="3"/>
      <c r="QGE72" s="3"/>
      <c r="QGF72" s="3"/>
      <c r="QGG72" s="3"/>
      <c r="QGH72" s="3"/>
      <c r="QGI72" s="3"/>
      <c r="QGJ72" s="3"/>
      <c r="QGK72" s="3"/>
      <c r="QGL72" s="3"/>
      <c r="QGM72" s="3"/>
      <c r="QGN72" s="3"/>
      <c r="QGO72" s="3"/>
      <c r="QGP72" s="3"/>
      <c r="QGQ72" s="3"/>
      <c r="QGR72" s="3"/>
      <c r="QGS72" s="3"/>
      <c r="QGT72" s="3"/>
      <c r="QGU72" s="3"/>
      <c r="QGV72" s="3"/>
      <c r="QGW72" s="3"/>
      <c r="QGX72" s="3"/>
      <c r="QGY72" s="3"/>
      <c r="QGZ72" s="3"/>
      <c r="QHA72" s="3"/>
      <c r="QHB72" s="3"/>
      <c r="QHC72" s="3"/>
      <c r="QHD72" s="3"/>
      <c r="QHE72" s="3"/>
      <c r="QHF72" s="3"/>
      <c r="QHG72" s="3"/>
      <c r="QHH72" s="3"/>
      <c r="QHI72" s="3"/>
      <c r="QHJ72" s="3"/>
      <c r="QHK72" s="3"/>
      <c r="QHL72" s="3"/>
      <c r="QHM72" s="3"/>
      <c r="QHN72" s="3"/>
      <c r="QHO72" s="3"/>
      <c r="QHP72" s="3"/>
      <c r="QHQ72" s="3"/>
      <c r="QHR72" s="3"/>
      <c r="QHS72" s="3"/>
      <c r="QHT72" s="3"/>
      <c r="QHU72" s="3"/>
      <c r="QHV72" s="3"/>
      <c r="QHW72" s="3"/>
      <c r="QHX72" s="3"/>
      <c r="QHY72" s="3"/>
      <c r="QHZ72" s="3"/>
      <c r="QIA72" s="3"/>
      <c r="QIB72" s="3"/>
      <c r="QIC72" s="3"/>
      <c r="QID72" s="3"/>
      <c r="QIE72" s="3"/>
      <c r="QIF72" s="3"/>
      <c r="QIG72" s="3"/>
      <c r="QIH72" s="3"/>
      <c r="QII72" s="3"/>
      <c r="QIJ72" s="3"/>
      <c r="QIK72" s="3"/>
      <c r="QIL72" s="3"/>
      <c r="QIM72" s="3"/>
      <c r="QIN72" s="3"/>
      <c r="QIO72" s="3"/>
      <c r="QIP72" s="3"/>
      <c r="QIQ72" s="3"/>
      <c r="QIR72" s="3"/>
      <c r="QIS72" s="3"/>
      <c r="QIT72" s="3"/>
      <c r="QIU72" s="3"/>
      <c r="QIV72" s="3"/>
      <c r="QIW72" s="3"/>
      <c r="QIX72" s="3"/>
      <c r="QIY72" s="3"/>
      <c r="QIZ72" s="3"/>
      <c r="QJA72" s="3"/>
      <c r="QJB72" s="3"/>
      <c r="QJC72" s="3"/>
      <c r="QJD72" s="3"/>
      <c r="QJE72" s="3"/>
      <c r="QJF72" s="3"/>
      <c r="QJG72" s="3"/>
      <c r="QJH72" s="3"/>
      <c r="QJI72" s="3"/>
      <c r="QJJ72" s="3"/>
      <c r="QJK72" s="3"/>
      <c r="QJL72" s="3"/>
      <c r="QJM72" s="3"/>
      <c r="QJN72" s="3"/>
      <c r="QJO72" s="3"/>
      <c r="QJP72" s="3"/>
      <c r="QJQ72" s="3"/>
      <c r="QJR72" s="3"/>
      <c r="QJS72" s="3"/>
      <c r="QJT72" s="3"/>
      <c r="QJU72" s="3"/>
      <c r="QJV72" s="3"/>
      <c r="QJW72" s="3"/>
      <c r="QJX72" s="3"/>
      <c r="QJY72" s="3"/>
      <c r="QJZ72" s="3"/>
      <c r="QKA72" s="3"/>
      <c r="QKB72" s="3"/>
      <c r="QKC72" s="3"/>
      <c r="QKD72" s="3"/>
      <c r="QKE72" s="3"/>
      <c r="QKF72" s="3"/>
      <c r="QKG72" s="3"/>
      <c r="QKH72" s="3"/>
      <c r="QKI72" s="3"/>
      <c r="QKJ72" s="3"/>
      <c r="QKK72" s="3"/>
      <c r="QKL72" s="3"/>
      <c r="QKM72" s="3"/>
      <c r="QKN72" s="3"/>
      <c r="QKO72" s="3"/>
      <c r="QKP72" s="3"/>
      <c r="QKQ72" s="3"/>
      <c r="QKR72" s="3"/>
      <c r="QKS72" s="3"/>
      <c r="QKT72" s="3"/>
      <c r="QKU72" s="3"/>
      <c r="QKV72" s="3"/>
      <c r="QKW72" s="3"/>
      <c r="QKX72" s="3"/>
      <c r="QKY72" s="3"/>
      <c r="QKZ72" s="3"/>
      <c r="QLA72" s="3"/>
      <c r="QLB72" s="3"/>
      <c r="QLC72" s="3"/>
      <c r="QLD72" s="3"/>
      <c r="QLE72" s="3"/>
      <c r="QLF72" s="3"/>
      <c r="QLG72" s="3"/>
      <c r="QLH72" s="3"/>
      <c r="QLI72" s="3"/>
      <c r="QLJ72" s="3"/>
      <c r="QLK72" s="3"/>
      <c r="QLL72" s="3"/>
      <c r="QLM72" s="3"/>
      <c r="QLN72" s="3"/>
      <c r="QLO72" s="3"/>
      <c r="QLP72" s="3"/>
      <c r="QLQ72" s="3"/>
      <c r="QLR72" s="3"/>
      <c r="QLS72" s="3"/>
      <c r="QLT72" s="3"/>
      <c r="QLU72" s="3"/>
      <c r="QLV72" s="3"/>
      <c r="QLW72" s="3"/>
      <c r="QLX72" s="3"/>
      <c r="QLY72" s="3"/>
      <c r="QLZ72" s="3"/>
      <c r="QMA72" s="3"/>
      <c r="QMB72" s="3"/>
      <c r="QMC72" s="3"/>
      <c r="QMD72" s="3"/>
      <c r="QME72" s="3"/>
      <c r="QMF72" s="3"/>
      <c r="QMG72" s="3"/>
      <c r="QMH72" s="3"/>
      <c r="QMI72" s="3"/>
      <c r="QMJ72" s="3"/>
      <c r="QMK72" s="3"/>
      <c r="QML72" s="3"/>
      <c r="QMM72" s="3"/>
      <c r="QMN72" s="3"/>
      <c r="QMO72" s="3"/>
      <c r="QMP72" s="3"/>
      <c r="QMQ72" s="3"/>
      <c r="QMR72" s="3"/>
      <c r="QMS72" s="3"/>
      <c r="QMT72" s="3"/>
      <c r="QMU72" s="3"/>
      <c r="QMV72" s="3"/>
      <c r="QMW72" s="3"/>
      <c r="QMX72" s="3"/>
      <c r="QMY72" s="3"/>
      <c r="QMZ72" s="3"/>
      <c r="QNA72" s="3"/>
      <c r="QNB72" s="3"/>
      <c r="QNC72" s="3"/>
      <c r="QND72" s="3"/>
      <c r="QNE72" s="3"/>
      <c r="QNF72" s="3"/>
      <c r="QNG72" s="3"/>
      <c r="QNH72" s="3"/>
      <c r="QNI72" s="3"/>
      <c r="QNJ72" s="3"/>
      <c r="QNK72" s="3"/>
      <c r="QNL72" s="3"/>
      <c r="QNM72" s="3"/>
      <c r="QNN72" s="3"/>
      <c r="QNO72" s="3"/>
      <c r="QNP72" s="3"/>
      <c r="QNQ72" s="3"/>
      <c r="QNR72" s="3"/>
      <c r="QNS72" s="3"/>
      <c r="QNT72" s="3"/>
      <c r="QNU72" s="3"/>
      <c r="QNV72" s="3"/>
      <c r="QNW72" s="3"/>
      <c r="QNX72" s="3"/>
      <c r="QNY72" s="3"/>
      <c r="QNZ72" s="3"/>
      <c r="QOA72" s="3"/>
      <c r="QOB72" s="3"/>
      <c r="QOC72" s="3"/>
      <c r="QOD72" s="3"/>
      <c r="QOE72" s="3"/>
      <c r="QOF72" s="3"/>
      <c r="QOG72" s="3"/>
      <c r="QOH72" s="3"/>
      <c r="QOI72" s="3"/>
      <c r="QOJ72" s="3"/>
      <c r="QOK72" s="3"/>
      <c r="QOL72" s="3"/>
      <c r="QOM72" s="3"/>
      <c r="QON72" s="3"/>
      <c r="QOO72" s="3"/>
      <c r="QOP72" s="3"/>
      <c r="QOQ72" s="3"/>
      <c r="QOR72" s="3"/>
      <c r="QOS72" s="3"/>
      <c r="QOT72" s="3"/>
      <c r="QOU72" s="3"/>
      <c r="QOV72" s="3"/>
      <c r="QOW72" s="3"/>
      <c r="QOX72" s="3"/>
      <c r="QOY72" s="3"/>
      <c r="QOZ72" s="3"/>
      <c r="QPA72" s="3"/>
      <c r="QPB72" s="3"/>
      <c r="QPC72" s="3"/>
      <c r="QPD72" s="3"/>
      <c r="QPE72" s="3"/>
      <c r="QPF72" s="3"/>
      <c r="QPG72" s="3"/>
      <c r="QPH72" s="3"/>
      <c r="QPI72" s="3"/>
      <c r="QPJ72" s="3"/>
      <c r="QPK72" s="3"/>
      <c r="QPL72" s="3"/>
      <c r="QPM72" s="3"/>
      <c r="QPN72" s="3"/>
      <c r="QPO72" s="3"/>
      <c r="QPP72" s="3"/>
      <c r="QPQ72" s="3"/>
      <c r="QPR72" s="3"/>
      <c r="QPS72" s="3"/>
      <c r="QPT72" s="3"/>
      <c r="QPU72" s="3"/>
      <c r="QPV72" s="3"/>
      <c r="QPW72" s="3"/>
      <c r="QPX72" s="3"/>
      <c r="QPY72" s="3"/>
      <c r="QPZ72" s="3"/>
      <c r="QQA72" s="3"/>
      <c r="QQB72" s="3"/>
      <c r="QQC72" s="3"/>
      <c r="QQD72" s="3"/>
      <c r="QQE72" s="3"/>
      <c r="QQF72" s="3"/>
      <c r="QQG72" s="3"/>
      <c r="QQH72" s="3"/>
      <c r="QQI72" s="3"/>
      <c r="QQJ72" s="3"/>
      <c r="QQK72" s="3"/>
      <c r="QQL72" s="3"/>
      <c r="QQM72" s="3"/>
      <c r="QQN72" s="3"/>
      <c r="QQO72" s="3"/>
      <c r="QQP72" s="3"/>
      <c r="QQQ72" s="3"/>
      <c r="QQR72" s="3"/>
      <c r="QQS72" s="3"/>
      <c r="QQT72" s="3"/>
      <c r="QQU72" s="3"/>
      <c r="QQV72" s="3"/>
      <c r="QQW72" s="3"/>
      <c r="QQX72" s="3"/>
      <c r="QQY72" s="3"/>
      <c r="QQZ72" s="3"/>
      <c r="QRA72" s="3"/>
      <c r="QRB72" s="3"/>
      <c r="QRC72" s="3"/>
      <c r="QRD72" s="3"/>
      <c r="QRE72" s="3"/>
      <c r="QRF72" s="3"/>
      <c r="QRG72" s="3"/>
      <c r="QRH72" s="3"/>
      <c r="QRI72" s="3"/>
      <c r="QRJ72" s="3"/>
      <c r="QRK72" s="3"/>
      <c r="QRL72" s="3"/>
      <c r="QRM72" s="3"/>
      <c r="QRN72" s="3"/>
      <c r="QRO72" s="3"/>
      <c r="QRP72" s="3"/>
      <c r="QRQ72" s="3"/>
      <c r="QRR72" s="3"/>
      <c r="QRS72" s="3"/>
      <c r="QRT72" s="3"/>
      <c r="QRU72" s="3"/>
      <c r="QRV72" s="3"/>
      <c r="QRW72" s="3"/>
      <c r="QRX72" s="3"/>
      <c r="QRY72" s="3"/>
      <c r="QRZ72" s="3"/>
      <c r="QSA72" s="3"/>
      <c r="QSB72" s="3"/>
      <c r="QSC72" s="3"/>
      <c r="QSD72" s="3"/>
      <c r="QSE72" s="3"/>
      <c r="QSF72" s="3"/>
      <c r="QSG72" s="3"/>
      <c r="QSH72" s="3"/>
      <c r="QSI72" s="3"/>
      <c r="QSJ72" s="3"/>
      <c r="QSK72" s="3"/>
      <c r="QSL72" s="3"/>
      <c r="QSM72" s="3"/>
      <c r="QSN72" s="3"/>
      <c r="QSO72" s="3"/>
      <c r="QSP72" s="3"/>
      <c r="QSQ72" s="3"/>
      <c r="QSR72" s="3"/>
      <c r="QSS72" s="3"/>
      <c r="QST72" s="3"/>
      <c r="QSU72" s="3"/>
      <c r="QSV72" s="3"/>
      <c r="QSW72" s="3"/>
      <c r="QSX72" s="3"/>
      <c r="QSY72" s="3"/>
      <c r="QSZ72" s="3"/>
      <c r="QTA72" s="3"/>
      <c r="QTB72" s="3"/>
      <c r="QTC72" s="3"/>
      <c r="QTD72" s="3"/>
      <c r="QTE72" s="3"/>
      <c r="QTF72" s="3"/>
      <c r="QTG72" s="3"/>
      <c r="QTH72" s="3"/>
      <c r="QTI72" s="3"/>
      <c r="QTJ72" s="3"/>
      <c r="QTK72" s="3"/>
      <c r="QTL72" s="3"/>
      <c r="QTM72" s="3"/>
      <c r="QTN72" s="3"/>
      <c r="QTO72" s="3"/>
      <c r="QTP72" s="3"/>
      <c r="QTQ72" s="3"/>
      <c r="QTR72" s="3"/>
      <c r="QTS72" s="3"/>
      <c r="QTT72" s="3"/>
      <c r="QTU72" s="3"/>
      <c r="QTV72" s="3"/>
      <c r="QTW72" s="3"/>
      <c r="QTX72" s="3"/>
      <c r="QTY72" s="3"/>
      <c r="QTZ72" s="3"/>
      <c r="QUA72" s="3"/>
      <c r="QUB72" s="3"/>
      <c r="QUC72" s="3"/>
      <c r="QUD72" s="3"/>
      <c r="QUE72" s="3"/>
      <c r="QUF72" s="3"/>
      <c r="QUG72" s="3"/>
      <c r="QUH72" s="3"/>
      <c r="QUI72" s="3"/>
      <c r="QUJ72" s="3"/>
      <c r="QUK72" s="3"/>
      <c r="QUL72" s="3"/>
      <c r="QUM72" s="3"/>
      <c r="QUN72" s="3"/>
      <c r="QUO72" s="3"/>
      <c r="QUP72" s="3"/>
      <c r="QUQ72" s="3"/>
      <c r="QUR72" s="3"/>
      <c r="QUS72" s="3"/>
      <c r="QUT72" s="3"/>
      <c r="QUU72" s="3"/>
      <c r="QUV72" s="3"/>
      <c r="QUW72" s="3"/>
      <c r="QUX72" s="3"/>
      <c r="QUY72" s="3"/>
      <c r="QUZ72" s="3"/>
      <c r="QVA72" s="3"/>
      <c r="QVB72" s="3"/>
      <c r="QVC72" s="3"/>
      <c r="QVD72" s="3"/>
      <c r="QVE72" s="3"/>
      <c r="QVF72" s="3"/>
      <c r="QVG72" s="3"/>
      <c r="QVH72" s="3"/>
      <c r="QVI72" s="3"/>
      <c r="QVJ72" s="3"/>
      <c r="QVK72" s="3"/>
      <c r="QVL72" s="3"/>
      <c r="QVM72" s="3"/>
      <c r="QVN72" s="3"/>
      <c r="QVO72" s="3"/>
      <c r="QVP72" s="3"/>
      <c r="QVQ72" s="3"/>
      <c r="QVR72" s="3"/>
      <c r="QVS72" s="3"/>
      <c r="QVT72" s="3"/>
      <c r="QVU72" s="3"/>
      <c r="QVV72" s="3"/>
      <c r="QVW72" s="3"/>
      <c r="QVX72" s="3"/>
      <c r="QVY72" s="3"/>
      <c r="QVZ72" s="3"/>
      <c r="QWA72" s="3"/>
      <c r="QWB72" s="3"/>
      <c r="QWC72" s="3"/>
      <c r="QWD72" s="3"/>
      <c r="QWE72" s="3"/>
      <c r="QWF72" s="3"/>
      <c r="QWG72" s="3"/>
      <c r="QWH72" s="3"/>
      <c r="QWI72" s="3"/>
      <c r="QWJ72" s="3"/>
      <c r="QWK72" s="3"/>
      <c r="QWL72" s="3"/>
      <c r="QWM72" s="3"/>
      <c r="QWN72" s="3"/>
      <c r="QWO72" s="3"/>
      <c r="QWP72" s="3"/>
      <c r="QWQ72" s="3"/>
      <c r="QWR72" s="3"/>
      <c r="QWS72" s="3"/>
      <c r="QWT72" s="3"/>
      <c r="QWU72" s="3"/>
      <c r="QWV72" s="3"/>
      <c r="QWW72" s="3"/>
      <c r="QWX72" s="3"/>
      <c r="QWY72" s="3"/>
      <c r="QWZ72" s="3"/>
      <c r="QXA72" s="3"/>
      <c r="QXB72" s="3"/>
      <c r="QXC72" s="3"/>
      <c r="QXD72" s="3"/>
      <c r="QXE72" s="3"/>
      <c r="QXF72" s="3"/>
      <c r="QXG72" s="3"/>
      <c r="QXH72" s="3"/>
      <c r="QXI72" s="3"/>
      <c r="QXJ72" s="3"/>
      <c r="QXK72" s="3"/>
      <c r="QXL72" s="3"/>
      <c r="QXM72" s="3"/>
      <c r="QXN72" s="3"/>
      <c r="QXO72" s="3"/>
      <c r="QXP72" s="3"/>
      <c r="QXQ72" s="3"/>
      <c r="QXR72" s="3"/>
      <c r="QXS72" s="3"/>
      <c r="QXT72" s="3"/>
      <c r="QXU72" s="3"/>
      <c r="QXV72" s="3"/>
      <c r="QXW72" s="3"/>
      <c r="QXX72" s="3"/>
      <c r="QXY72" s="3"/>
      <c r="QXZ72" s="3"/>
      <c r="QYA72" s="3"/>
      <c r="QYB72" s="3"/>
      <c r="QYC72" s="3"/>
      <c r="QYD72" s="3"/>
      <c r="QYE72" s="3"/>
      <c r="QYF72" s="3"/>
      <c r="QYG72" s="3"/>
      <c r="QYH72" s="3"/>
      <c r="QYI72" s="3"/>
      <c r="QYJ72" s="3"/>
      <c r="QYK72" s="3"/>
      <c r="QYL72" s="3"/>
      <c r="QYM72" s="3"/>
      <c r="QYN72" s="3"/>
      <c r="QYO72" s="3"/>
      <c r="QYP72" s="3"/>
      <c r="QYQ72" s="3"/>
      <c r="QYR72" s="3"/>
      <c r="QYS72" s="3"/>
      <c r="QYT72" s="3"/>
      <c r="QYU72" s="3"/>
      <c r="QYV72" s="3"/>
      <c r="QYW72" s="3"/>
      <c r="QYX72" s="3"/>
      <c r="QYY72" s="3"/>
      <c r="QYZ72" s="3"/>
      <c r="QZA72" s="3"/>
      <c r="QZB72" s="3"/>
      <c r="QZC72" s="3"/>
      <c r="QZD72" s="3"/>
      <c r="QZE72" s="3"/>
      <c r="QZF72" s="3"/>
      <c r="QZG72" s="3"/>
      <c r="QZH72" s="3"/>
      <c r="QZI72" s="3"/>
      <c r="QZJ72" s="3"/>
      <c r="QZK72" s="3"/>
      <c r="QZL72" s="3"/>
      <c r="QZM72" s="3"/>
      <c r="QZN72" s="3"/>
      <c r="QZO72" s="3"/>
      <c r="QZP72" s="3"/>
      <c r="QZQ72" s="3"/>
      <c r="QZR72" s="3"/>
      <c r="QZS72" s="3"/>
      <c r="QZT72" s="3"/>
      <c r="QZU72" s="3"/>
      <c r="QZV72" s="3"/>
      <c r="QZW72" s="3"/>
      <c r="QZX72" s="3"/>
      <c r="QZY72" s="3"/>
      <c r="QZZ72" s="3"/>
      <c r="RAA72" s="3"/>
      <c r="RAB72" s="3"/>
      <c r="RAC72" s="3"/>
      <c r="RAD72" s="3"/>
      <c r="RAE72" s="3"/>
      <c r="RAF72" s="3"/>
      <c r="RAG72" s="3"/>
      <c r="RAH72" s="3"/>
      <c r="RAI72" s="3"/>
      <c r="RAJ72" s="3"/>
      <c r="RAK72" s="3"/>
      <c r="RAL72" s="3"/>
      <c r="RAM72" s="3"/>
      <c r="RAN72" s="3"/>
      <c r="RAO72" s="3"/>
      <c r="RAP72" s="3"/>
      <c r="RAQ72" s="3"/>
      <c r="RAR72" s="3"/>
      <c r="RAS72" s="3"/>
      <c r="RAT72" s="3"/>
      <c r="RAU72" s="3"/>
      <c r="RAV72" s="3"/>
      <c r="RAW72" s="3"/>
      <c r="RAX72" s="3"/>
      <c r="RAY72" s="3"/>
      <c r="RAZ72" s="3"/>
      <c r="RBA72" s="3"/>
      <c r="RBB72" s="3"/>
      <c r="RBC72" s="3"/>
      <c r="RBD72" s="3"/>
      <c r="RBE72" s="3"/>
      <c r="RBF72" s="3"/>
      <c r="RBG72" s="3"/>
      <c r="RBH72" s="3"/>
      <c r="RBI72" s="3"/>
      <c r="RBJ72" s="3"/>
      <c r="RBK72" s="3"/>
      <c r="RBL72" s="3"/>
      <c r="RBM72" s="3"/>
      <c r="RBN72" s="3"/>
      <c r="RBO72" s="3"/>
      <c r="RBP72" s="3"/>
      <c r="RBQ72" s="3"/>
      <c r="RBR72" s="3"/>
      <c r="RBS72" s="3"/>
      <c r="RBT72" s="3"/>
      <c r="RBU72" s="3"/>
      <c r="RBV72" s="3"/>
      <c r="RBW72" s="3"/>
      <c r="RBX72" s="3"/>
      <c r="RBY72" s="3"/>
      <c r="RBZ72" s="3"/>
      <c r="RCA72" s="3"/>
      <c r="RCB72" s="3"/>
      <c r="RCC72" s="3"/>
      <c r="RCD72" s="3"/>
      <c r="RCE72" s="3"/>
      <c r="RCF72" s="3"/>
      <c r="RCG72" s="3"/>
      <c r="RCH72" s="3"/>
      <c r="RCI72" s="3"/>
      <c r="RCJ72" s="3"/>
      <c r="RCK72" s="3"/>
      <c r="RCL72" s="3"/>
      <c r="RCM72" s="3"/>
      <c r="RCN72" s="3"/>
      <c r="RCO72" s="3"/>
      <c r="RCP72" s="3"/>
      <c r="RCQ72" s="3"/>
      <c r="RCR72" s="3"/>
      <c r="RCS72" s="3"/>
      <c r="RCT72" s="3"/>
      <c r="RCU72" s="3"/>
      <c r="RCV72" s="3"/>
      <c r="RCW72" s="3"/>
      <c r="RCX72" s="3"/>
      <c r="RCY72" s="3"/>
      <c r="RCZ72" s="3"/>
      <c r="RDA72" s="3"/>
      <c r="RDB72" s="3"/>
      <c r="RDC72" s="3"/>
      <c r="RDD72" s="3"/>
      <c r="RDE72" s="3"/>
      <c r="RDF72" s="3"/>
      <c r="RDG72" s="3"/>
      <c r="RDH72" s="3"/>
      <c r="RDI72" s="3"/>
      <c r="RDJ72" s="3"/>
      <c r="RDK72" s="3"/>
      <c r="RDL72" s="3"/>
      <c r="RDM72" s="3"/>
      <c r="RDN72" s="3"/>
      <c r="RDO72" s="3"/>
      <c r="RDP72" s="3"/>
      <c r="RDQ72" s="3"/>
      <c r="RDR72" s="3"/>
      <c r="RDS72" s="3"/>
      <c r="RDT72" s="3"/>
      <c r="RDU72" s="3"/>
      <c r="RDV72" s="3"/>
      <c r="RDW72" s="3"/>
      <c r="RDX72" s="3"/>
      <c r="RDY72" s="3"/>
      <c r="RDZ72" s="3"/>
      <c r="REA72" s="3"/>
      <c r="REB72" s="3"/>
      <c r="REC72" s="3"/>
      <c r="RED72" s="3"/>
      <c r="REE72" s="3"/>
      <c r="REF72" s="3"/>
      <c r="REG72" s="3"/>
      <c r="REH72" s="3"/>
      <c r="REI72" s="3"/>
      <c r="REJ72" s="3"/>
      <c r="REK72" s="3"/>
      <c r="REL72" s="3"/>
      <c r="REM72" s="3"/>
      <c r="REN72" s="3"/>
      <c r="REO72" s="3"/>
      <c r="REP72" s="3"/>
      <c r="REQ72" s="3"/>
      <c r="RER72" s="3"/>
      <c r="RES72" s="3"/>
      <c r="RET72" s="3"/>
      <c r="REU72" s="3"/>
      <c r="REV72" s="3"/>
      <c r="REW72" s="3"/>
      <c r="REX72" s="3"/>
      <c r="REY72" s="3"/>
      <c r="REZ72" s="3"/>
      <c r="RFA72" s="3"/>
      <c r="RFB72" s="3"/>
      <c r="RFC72" s="3"/>
      <c r="RFD72" s="3"/>
      <c r="RFE72" s="3"/>
      <c r="RFF72" s="3"/>
      <c r="RFG72" s="3"/>
      <c r="RFH72" s="3"/>
      <c r="RFI72" s="3"/>
      <c r="RFJ72" s="3"/>
      <c r="RFK72" s="3"/>
      <c r="RFL72" s="3"/>
      <c r="RFM72" s="3"/>
      <c r="RFN72" s="3"/>
      <c r="RFO72" s="3"/>
      <c r="RFP72" s="3"/>
      <c r="RFQ72" s="3"/>
      <c r="RFR72" s="3"/>
      <c r="RFS72" s="3"/>
      <c r="RFT72" s="3"/>
      <c r="RFU72" s="3"/>
      <c r="RFV72" s="3"/>
      <c r="RFW72" s="3"/>
      <c r="RFX72" s="3"/>
      <c r="RFY72" s="3"/>
      <c r="RFZ72" s="3"/>
      <c r="RGA72" s="3"/>
      <c r="RGB72" s="3"/>
      <c r="RGC72" s="3"/>
      <c r="RGD72" s="3"/>
      <c r="RGE72" s="3"/>
      <c r="RGF72" s="3"/>
      <c r="RGG72" s="3"/>
      <c r="RGH72" s="3"/>
      <c r="RGI72" s="3"/>
      <c r="RGJ72" s="3"/>
      <c r="RGK72" s="3"/>
      <c r="RGL72" s="3"/>
      <c r="RGM72" s="3"/>
      <c r="RGN72" s="3"/>
      <c r="RGO72" s="3"/>
      <c r="RGP72" s="3"/>
      <c r="RGQ72" s="3"/>
      <c r="RGR72" s="3"/>
      <c r="RGS72" s="3"/>
      <c r="RGT72" s="3"/>
      <c r="RGU72" s="3"/>
      <c r="RGV72" s="3"/>
      <c r="RGW72" s="3"/>
      <c r="RGX72" s="3"/>
      <c r="RGY72" s="3"/>
      <c r="RGZ72" s="3"/>
      <c r="RHA72" s="3"/>
      <c r="RHB72" s="3"/>
      <c r="RHC72" s="3"/>
      <c r="RHD72" s="3"/>
      <c r="RHE72" s="3"/>
      <c r="RHF72" s="3"/>
      <c r="RHG72" s="3"/>
      <c r="RHH72" s="3"/>
      <c r="RHI72" s="3"/>
      <c r="RHJ72" s="3"/>
      <c r="RHK72" s="3"/>
      <c r="RHL72" s="3"/>
      <c r="RHM72" s="3"/>
      <c r="RHN72" s="3"/>
      <c r="RHO72" s="3"/>
      <c r="RHP72" s="3"/>
      <c r="RHQ72" s="3"/>
      <c r="RHR72" s="3"/>
      <c r="RHS72" s="3"/>
      <c r="RHT72" s="3"/>
      <c r="RHU72" s="3"/>
      <c r="RHV72" s="3"/>
      <c r="RHW72" s="3"/>
      <c r="RHX72" s="3"/>
      <c r="RHY72" s="3"/>
      <c r="RHZ72" s="3"/>
      <c r="RIA72" s="3"/>
      <c r="RIB72" s="3"/>
      <c r="RIC72" s="3"/>
      <c r="RID72" s="3"/>
      <c r="RIE72" s="3"/>
      <c r="RIF72" s="3"/>
      <c r="RIG72" s="3"/>
      <c r="RIH72" s="3"/>
      <c r="RII72" s="3"/>
      <c r="RIJ72" s="3"/>
      <c r="RIK72" s="3"/>
      <c r="RIL72" s="3"/>
      <c r="RIM72" s="3"/>
      <c r="RIN72" s="3"/>
      <c r="RIO72" s="3"/>
      <c r="RIP72" s="3"/>
      <c r="RIQ72" s="3"/>
      <c r="RIR72" s="3"/>
      <c r="RIS72" s="3"/>
      <c r="RIT72" s="3"/>
      <c r="RIU72" s="3"/>
      <c r="RIV72" s="3"/>
      <c r="RIW72" s="3"/>
      <c r="RIX72" s="3"/>
      <c r="RIY72" s="3"/>
      <c r="RIZ72" s="3"/>
      <c r="RJA72" s="3"/>
      <c r="RJB72" s="3"/>
      <c r="RJC72" s="3"/>
      <c r="RJD72" s="3"/>
      <c r="RJE72" s="3"/>
      <c r="RJF72" s="3"/>
      <c r="RJG72" s="3"/>
      <c r="RJH72" s="3"/>
      <c r="RJI72" s="3"/>
      <c r="RJJ72" s="3"/>
      <c r="RJK72" s="3"/>
      <c r="RJL72" s="3"/>
      <c r="RJM72" s="3"/>
      <c r="RJN72" s="3"/>
      <c r="RJO72" s="3"/>
      <c r="RJP72" s="3"/>
      <c r="RJQ72" s="3"/>
      <c r="RJR72" s="3"/>
      <c r="RJS72" s="3"/>
      <c r="RJT72" s="3"/>
      <c r="RJU72" s="3"/>
      <c r="RJV72" s="3"/>
      <c r="RJW72" s="3"/>
      <c r="RJX72" s="3"/>
      <c r="RJY72" s="3"/>
      <c r="RJZ72" s="3"/>
      <c r="RKA72" s="3"/>
      <c r="RKB72" s="3"/>
      <c r="RKC72" s="3"/>
      <c r="RKD72" s="3"/>
      <c r="RKE72" s="3"/>
      <c r="RKF72" s="3"/>
      <c r="RKG72" s="3"/>
      <c r="RKH72" s="3"/>
      <c r="RKI72" s="3"/>
      <c r="RKJ72" s="3"/>
      <c r="RKK72" s="3"/>
      <c r="RKL72" s="3"/>
      <c r="RKM72" s="3"/>
      <c r="RKN72" s="3"/>
      <c r="RKO72" s="3"/>
      <c r="RKP72" s="3"/>
      <c r="RKQ72" s="3"/>
      <c r="RKR72" s="3"/>
      <c r="RKS72" s="3"/>
      <c r="RKT72" s="3"/>
      <c r="RKU72" s="3"/>
      <c r="RKV72" s="3"/>
      <c r="RKW72" s="3"/>
      <c r="RKX72" s="3"/>
      <c r="RKY72" s="3"/>
      <c r="RKZ72" s="3"/>
      <c r="RLA72" s="3"/>
      <c r="RLB72" s="3"/>
      <c r="RLC72" s="3"/>
      <c r="RLD72" s="3"/>
      <c r="RLE72" s="3"/>
      <c r="RLF72" s="3"/>
      <c r="RLG72" s="3"/>
      <c r="RLH72" s="3"/>
      <c r="RLI72" s="3"/>
      <c r="RLJ72" s="3"/>
      <c r="RLK72" s="3"/>
      <c r="RLL72" s="3"/>
      <c r="RLM72" s="3"/>
      <c r="RLN72" s="3"/>
      <c r="RLO72" s="3"/>
      <c r="RLP72" s="3"/>
      <c r="RLQ72" s="3"/>
      <c r="RLR72" s="3"/>
      <c r="RLS72" s="3"/>
      <c r="RLT72" s="3"/>
      <c r="RLU72" s="3"/>
      <c r="RLV72" s="3"/>
      <c r="RLW72" s="3"/>
      <c r="RLX72" s="3"/>
      <c r="RLY72" s="3"/>
      <c r="RLZ72" s="3"/>
      <c r="RMA72" s="3"/>
      <c r="RMB72" s="3"/>
      <c r="RMC72" s="3"/>
      <c r="RMD72" s="3"/>
      <c r="RME72" s="3"/>
      <c r="RMF72" s="3"/>
      <c r="RMG72" s="3"/>
      <c r="RMH72" s="3"/>
      <c r="RMI72" s="3"/>
      <c r="RMJ72" s="3"/>
      <c r="RMK72" s="3"/>
      <c r="RML72" s="3"/>
      <c r="RMM72" s="3"/>
      <c r="RMN72" s="3"/>
      <c r="RMO72" s="3"/>
      <c r="RMP72" s="3"/>
      <c r="RMQ72" s="3"/>
      <c r="RMR72" s="3"/>
      <c r="RMS72" s="3"/>
      <c r="RMT72" s="3"/>
      <c r="RMU72" s="3"/>
      <c r="RMV72" s="3"/>
      <c r="RMW72" s="3"/>
      <c r="RMX72" s="3"/>
      <c r="RMY72" s="3"/>
      <c r="RMZ72" s="3"/>
      <c r="RNA72" s="3"/>
      <c r="RNB72" s="3"/>
      <c r="RNC72" s="3"/>
      <c r="RND72" s="3"/>
      <c r="RNE72" s="3"/>
      <c r="RNF72" s="3"/>
      <c r="RNG72" s="3"/>
      <c r="RNH72" s="3"/>
      <c r="RNI72" s="3"/>
      <c r="RNJ72" s="3"/>
      <c r="RNK72" s="3"/>
      <c r="RNL72" s="3"/>
      <c r="RNM72" s="3"/>
      <c r="RNN72" s="3"/>
      <c r="RNO72" s="3"/>
      <c r="RNP72" s="3"/>
      <c r="RNQ72" s="3"/>
      <c r="RNR72" s="3"/>
      <c r="RNS72" s="3"/>
      <c r="RNT72" s="3"/>
      <c r="RNU72" s="3"/>
      <c r="RNV72" s="3"/>
      <c r="RNW72" s="3"/>
      <c r="RNX72" s="3"/>
      <c r="RNY72" s="3"/>
      <c r="RNZ72" s="3"/>
      <c r="ROA72" s="3"/>
      <c r="ROB72" s="3"/>
      <c r="ROC72" s="3"/>
      <c r="ROD72" s="3"/>
      <c r="ROE72" s="3"/>
      <c r="ROF72" s="3"/>
      <c r="ROG72" s="3"/>
      <c r="ROH72" s="3"/>
      <c r="ROI72" s="3"/>
      <c r="ROJ72" s="3"/>
      <c r="ROK72" s="3"/>
      <c r="ROL72" s="3"/>
      <c r="ROM72" s="3"/>
      <c r="RON72" s="3"/>
      <c r="ROO72" s="3"/>
      <c r="ROP72" s="3"/>
      <c r="ROQ72" s="3"/>
      <c r="ROR72" s="3"/>
      <c r="ROS72" s="3"/>
      <c r="ROT72" s="3"/>
      <c r="ROU72" s="3"/>
      <c r="ROV72" s="3"/>
      <c r="ROW72" s="3"/>
      <c r="ROX72" s="3"/>
      <c r="ROY72" s="3"/>
      <c r="ROZ72" s="3"/>
      <c r="RPA72" s="3"/>
      <c r="RPB72" s="3"/>
      <c r="RPC72" s="3"/>
      <c r="RPD72" s="3"/>
      <c r="RPE72" s="3"/>
      <c r="RPF72" s="3"/>
      <c r="RPG72" s="3"/>
      <c r="RPH72" s="3"/>
      <c r="RPI72" s="3"/>
      <c r="RPJ72" s="3"/>
      <c r="RPK72" s="3"/>
      <c r="RPL72" s="3"/>
      <c r="RPM72" s="3"/>
      <c r="RPN72" s="3"/>
      <c r="RPO72" s="3"/>
      <c r="RPP72" s="3"/>
      <c r="RPQ72" s="3"/>
      <c r="RPR72" s="3"/>
      <c r="RPS72" s="3"/>
      <c r="RPT72" s="3"/>
      <c r="RPU72" s="3"/>
      <c r="RPV72" s="3"/>
      <c r="RPW72" s="3"/>
      <c r="RPX72" s="3"/>
      <c r="RPY72" s="3"/>
      <c r="RPZ72" s="3"/>
      <c r="RQA72" s="3"/>
      <c r="RQB72" s="3"/>
      <c r="RQC72" s="3"/>
      <c r="RQD72" s="3"/>
      <c r="RQE72" s="3"/>
      <c r="RQF72" s="3"/>
      <c r="RQG72" s="3"/>
      <c r="RQH72" s="3"/>
      <c r="RQI72" s="3"/>
      <c r="RQJ72" s="3"/>
      <c r="RQK72" s="3"/>
      <c r="RQL72" s="3"/>
      <c r="RQM72" s="3"/>
      <c r="RQN72" s="3"/>
      <c r="RQO72" s="3"/>
      <c r="RQP72" s="3"/>
      <c r="RQQ72" s="3"/>
      <c r="RQR72" s="3"/>
      <c r="RQS72" s="3"/>
      <c r="RQT72" s="3"/>
      <c r="RQU72" s="3"/>
      <c r="RQV72" s="3"/>
      <c r="RQW72" s="3"/>
      <c r="RQX72" s="3"/>
      <c r="RQY72" s="3"/>
      <c r="RQZ72" s="3"/>
      <c r="RRA72" s="3"/>
      <c r="RRB72" s="3"/>
      <c r="RRC72" s="3"/>
      <c r="RRD72" s="3"/>
      <c r="RRE72" s="3"/>
      <c r="RRF72" s="3"/>
      <c r="RRG72" s="3"/>
      <c r="RRH72" s="3"/>
      <c r="RRI72" s="3"/>
      <c r="RRJ72" s="3"/>
      <c r="RRK72" s="3"/>
      <c r="RRL72" s="3"/>
      <c r="RRM72" s="3"/>
      <c r="RRN72" s="3"/>
      <c r="RRO72" s="3"/>
      <c r="RRP72" s="3"/>
      <c r="RRQ72" s="3"/>
      <c r="RRR72" s="3"/>
      <c r="RRS72" s="3"/>
      <c r="RRT72" s="3"/>
      <c r="RRU72" s="3"/>
      <c r="RRV72" s="3"/>
      <c r="RRW72" s="3"/>
      <c r="RRX72" s="3"/>
      <c r="RRY72" s="3"/>
      <c r="RRZ72" s="3"/>
      <c r="RSA72" s="3"/>
      <c r="RSB72" s="3"/>
      <c r="RSC72" s="3"/>
      <c r="RSD72" s="3"/>
      <c r="RSE72" s="3"/>
      <c r="RSF72" s="3"/>
      <c r="RSG72" s="3"/>
      <c r="RSH72" s="3"/>
      <c r="RSI72" s="3"/>
      <c r="RSJ72" s="3"/>
      <c r="RSK72" s="3"/>
      <c r="RSL72" s="3"/>
      <c r="RSM72" s="3"/>
      <c r="RSN72" s="3"/>
      <c r="RSO72" s="3"/>
      <c r="RSP72" s="3"/>
      <c r="RSQ72" s="3"/>
      <c r="RSR72" s="3"/>
      <c r="RSS72" s="3"/>
      <c r="RST72" s="3"/>
      <c r="RSU72" s="3"/>
      <c r="RSV72" s="3"/>
      <c r="RSW72" s="3"/>
      <c r="RSX72" s="3"/>
      <c r="RSY72" s="3"/>
      <c r="RSZ72" s="3"/>
      <c r="RTA72" s="3"/>
      <c r="RTB72" s="3"/>
      <c r="RTC72" s="3"/>
      <c r="RTD72" s="3"/>
      <c r="RTE72" s="3"/>
      <c r="RTF72" s="3"/>
      <c r="RTG72" s="3"/>
      <c r="RTH72" s="3"/>
      <c r="RTI72" s="3"/>
      <c r="RTJ72" s="3"/>
      <c r="RTK72" s="3"/>
      <c r="RTL72" s="3"/>
      <c r="RTM72" s="3"/>
      <c r="RTN72" s="3"/>
      <c r="RTO72" s="3"/>
      <c r="RTP72" s="3"/>
      <c r="RTQ72" s="3"/>
      <c r="RTR72" s="3"/>
      <c r="RTS72" s="3"/>
      <c r="RTT72" s="3"/>
      <c r="RTU72" s="3"/>
      <c r="RTV72" s="3"/>
      <c r="RTW72" s="3"/>
      <c r="RTX72" s="3"/>
      <c r="RTY72" s="3"/>
      <c r="RTZ72" s="3"/>
      <c r="RUA72" s="3"/>
      <c r="RUB72" s="3"/>
      <c r="RUC72" s="3"/>
      <c r="RUD72" s="3"/>
      <c r="RUE72" s="3"/>
      <c r="RUF72" s="3"/>
      <c r="RUG72" s="3"/>
      <c r="RUH72" s="3"/>
      <c r="RUI72" s="3"/>
      <c r="RUJ72" s="3"/>
      <c r="RUK72" s="3"/>
      <c r="RUL72" s="3"/>
      <c r="RUM72" s="3"/>
      <c r="RUN72" s="3"/>
      <c r="RUO72" s="3"/>
      <c r="RUP72" s="3"/>
      <c r="RUQ72" s="3"/>
      <c r="RUR72" s="3"/>
      <c r="RUS72" s="3"/>
      <c r="RUT72" s="3"/>
      <c r="RUU72" s="3"/>
      <c r="RUV72" s="3"/>
      <c r="RUW72" s="3"/>
      <c r="RUX72" s="3"/>
      <c r="RUY72" s="3"/>
      <c r="RUZ72" s="3"/>
      <c r="RVA72" s="3"/>
      <c r="RVB72" s="3"/>
      <c r="RVC72" s="3"/>
      <c r="RVD72" s="3"/>
      <c r="RVE72" s="3"/>
      <c r="RVF72" s="3"/>
      <c r="RVG72" s="3"/>
      <c r="RVH72" s="3"/>
      <c r="RVI72" s="3"/>
      <c r="RVJ72" s="3"/>
      <c r="RVK72" s="3"/>
      <c r="RVL72" s="3"/>
      <c r="RVM72" s="3"/>
      <c r="RVN72" s="3"/>
      <c r="RVO72" s="3"/>
      <c r="RVP72" s="3"/>
      <c r="RVQ72" s="3"/>
      <c r="RVR72" s="3"/>
      <c r="RVS72" s="3"/>
      <c r="RVT72" s="3"/>
      <c r="RVU72" s="3"/>
      <c r="RVV72" s="3"/>
      <c r="RVW72" s="3"/>
      <c r="RVX72" s="3"/>
      <c r="RVY72" s="3"/>
      <c r="RVZ72" s="3"/>
      <c r="RWA72" s="3"/>
      <c r="RWB72" s="3"/>
      <c r="RWC72" s="3"/>
      <c r="RWD72" s="3"/>
      <c r="RWE72" s="3"/>
      <c r="RWF72" s="3"/>
      <c r="RWG72" s="3"/>
      <c r="RWH72" s="3"/>
      <c r="RWI72" s="3"/>
      <c r="RWJ72" s="3"/>
      <c r="RWK72" s="3"/>
      <c r="RWL72" s="3"/>
      <c r="RWM72" s="3"/>
      <c r="RWN72" s="3"/>
      <c r="RWO72" s="3"/>
      <c r="RWP72" s="3"/>
      <c r="RWQ72" s="3"/>
      <c r="RWR72" s="3"/>
      <c r="RWS72" s="3"/>
      <c r="RWT72" s="3"/>
      <c r="RWU72" s="3"/>
      <c r="RWV72" s="3"/>
      <c r="RWW72" s="3"/>
      <c r="RWX72" s="3"/>
      <c r="RWY72" s="3"/>
      <c r="RWZ72" s="3"/>
      <c r="RXA72" s="3"/>
      <c r="RXB72" s="3"/>
      <c r="RXC72" s="3"/>
      <c r="RXD72" s="3"/>
      <c r="RXE72" s="3"/>
      <c r="RXF72" s="3"/>
      <c r="RXG72" s="3"/>
      <c r="RXH72" s="3"/>
      <c r="RXI72" s="3"/>
      <c r="RXJ72" s="3"/>
      <c r="RXK72" s="3"/>
      <c r="RXL72" s="3"/>
      <c r="RXM72" s="3"/>
      <c r="RXN72" s="3"/>
      <c r="RXO72" s="3"/>
      <c r="RXP72" s="3"/>
      <c r="RXQ72" s="3"/>
      <c r="RXR72" s="3"/>
      <c r="RXS72" s="3"/>
      <c r="RXT72" s="3"/>
      <c r="RXU72" s="3"/>
      <c r="RXV72" s="3"/>
      <c r="RXW72" s="3"/>
      <c r="RXX72" s="3"/>
      <c r="RXY72" s="3"/>
      <c r="RXZ72" s="3"/>
      <c r="RYA72" s="3"/>
      <c r="RYB72" s="3"/>
      <c r="RYC72" s="3"/>
      <c r="RYD72" s="3"/>
      <c r="RYE72" s="3"/>
      <c r="RYF72" s="3"/>
      <c r="RYG72" s="3"/>
      <c r="RYH72" s="3"/>
      <c r="RYI72" s="3"/>
      <c r="RYJ72" s="3"/>
      <c r="RYK72" s="3"/>
      <c r="RYL72" s="3"/>
      <c r="RYM72" s="3"/>
      <c r="RYN72" s="3"/>
      <c r="RYO72" s="3"/>
      <c r="RYP72" s="3"/>
      <c r="RYQ72" s="3"/>
      <c r="RYR72" s="3"/>
      <c r="RYS72" s="3"/>
      <c r="RYT72" s="3"/>
      <c r="RYU72" s="3"/>
      <c r="RYV72" s="3"/>
      <c r="RYW72" s="3"/>
      <c r="RYX72" s="3"/>
      <c r="RYY72" s="3"/>
      <c r="RYZ72" s="3"/>
      <c r="RZA72" s="3"/>
      <c r="RZB72" s="3"/>
      <c r="RZC72" s="3"/>
      <c r="RZD72" s="3"/>
      <c r="RZE72" s="3"/>
      <c r="RZF72" s="3"/>
      <c r="RZG72" s="3"/>
      <c r="RZH72" s="3"/>
      <c r="RZI72" s="3"/>
      <c r="RZJ72" s="3"/>
      <c r="RZK72" s="3"/>
      <c r="RZL72" s="3"/>
      <c r="RZM72" s="3"/>
      <c r="RZN72" s="3"/>
      <c r="RZO72" s="3"/>
      <c r="RZP72" s="3"/>
      <c r="RZQ72" s="3"/>
      <c r="RZR72" s="3"/>
      <c r="RZS72" s="3"/>
      <c r="RZT72" s="3"/>
      <c r="RZU72" s="3"/>
      <c r="RZV72" s="3"/>
      <c r="RZW72" s="3"/>
      <c r="RZX72" s="3"/>
      <c r="RZY72" s="3"/>
      <c r="RZZ72" s="3"/>
      <c r="SAA72" s="3"/>
      <c r="SAB72" s="3"/>
      <c r="SAC72" s="3"/>
      <c r="SAD72" s="3"/>
      <c r="SAE72" s="3"/>
      <c r="SAF72" s="3"/>
      <c r="SAG72" s="3"/>
      <c r="SAH72" s="3"/>
      <c r="SAI72" s="3"/>
      <c r="SAJ72" s="3"/>
      <c r="SAK72" s="3"/>
      <c r="SAL72" s="3"/>
      <c r="SAM72" s="3"/>
      <c r="SAN72" s="3"/>
      <c r="SAO72" s="3"/>
      <c r="SAP72" s="3"/>
      <c r="SAQ72" s="3"/>
      <c r="SAR72" s="3"/>
      <c r="SAS72" s="3"/>
      <c r="SAT72" s="3"/>
      <c r="SAU72" s="3"/>
      <c r="SAV72" s="3"/>
      <c r="SAW72" s="3"/>
      <c r="SAX72" s="3"/>
      <c r="SAY72" s="3"/>
      <c r="SAZ72" s="3"/>
      <c r="SBA72" s="3"/>
      <c r="SBB72" s="3"/>
      <c r="SBC72" s="3"/>
      <c r="SBD72" s="3"/>
      <c r="SBE72" s="3"/>
      <c r="SBF72" s="3"/>
      <c r="SBG72" s="3"/>
      <c r="SBH72" s="3"/>
      <c r="SBI72" s="3"/>
      <c r="SBJ72" s="3"/>
      <c r="SBK72" s="3"/>
      <c r="SBL72" s="3"/>
      <c r="SBM72" s="3"/>
      <c r="SBN72" s="3"/>
      <c r="SBO72" s="3"/>
      <c r="SBP72" s="3"/>
      <c r="SBQ72" s="3"/>
      <c r="SBR72" s="3"/>
      <c r="SBS72" s="3"/>
      <c r="SBT72" s="3"/>
      <c r="SBU72" s="3"/>
      <c r="SBV72" s="3"/>
      <c r="SBW72" s="3"/>
      <c r="SBX72" s="3"/>
      <c r="SBY72" s="3"/>
      <c r="SBZ72" s="3"/>
      <c r="SCA72" s="3"/>
      <c r="SCB72" s="3"/>
      <c r="SCC72" s="3"/>
      <c r="SCD72" s="3"/>
      <c r="SCE72" s="3"/>
      <c r="SCF72" s="3"/>
      <c r="SCG72" s="3"/>
      <c r="SCH72" s="3"/>
      <c r="SCI72" s="3"/>
      <c r="SCJ72" s="3"/>
      <c r="SCK72" s="3"/>
      <c r="SCL72" s="3"/>
      <c r="SCM72" s="3"/>
      <c r="SCN72" s="3"/>
      <c r="SCO72" s="3"/>
      <c r="SCP72" s="3"/>
      <c r="SCQ72" s="3"/>
      <c r="SCR72" s="3"/>
      <c r="SCS72" s="3"/>
      <c r="SCT72" s="3"/>
      <c r="SCU72" s="3"/>
      <c r="SCV72" s="3"/>
      <c r="SCW72" s="3"/>
      <c r="SCX72" s="3"/>
      <c r="SCY72" s="3"/>
      <c r="SCZ72" s="3"/>
      <c r="SDA72" s="3"/>
      <c r="SDB72" s="3"/>
      <c r="SDC72" s="3"/>
      <c r="SDD72" s="3"/>
      <c r="SDE72" s="3"/>
      <c r="SDF72" s="3"/>
      <c r="SDG72" s="3"/>
      <c r="SDH72" s="3"/>
      <c r="SDI72" s="3"/>
      <c r="SDJ72" s="3"/>
      <c r="SDK72" s="3"/>
      <c r="SDL72" s="3"/>
      <c r="SDM72" s="3"/>
      <c r="SDN72" s="3"/>
      <c r="SDO72" s="3"/>
      <c r="SDP72" s="3"/>
      <c r="SDQ72" s="3"/>
      <c r="SDR72" s="3"/>
      <c r="SDS72" s="3"/>
      <c r="SDT72" s="3"/>
      <c r="SDU72" s="3"/>
      <c r="SDV72" s="3"/>
      <c r="SDW72" s="3"/>
      <c r="SDX72" s="3"/>
      <c r="SDY72" s="3"/>
      <c r="SDZ72" s="3"/>
      <c r="SEA72" s="3"/>
      <c r="SEB72" s="3"/>
      <c r="SEC72" s="3"/>
      <c r="SED72" s="3"/>
      <c r="SEE72" s="3"/>
      <c r="SEF72" s="3"/>
      <c r="SEG72" s="3"/>
      <c r="SEH72" s="3"/>
      <c r="SEI72" s="3"/>
      <c r="SEJ72" s="3"/>
      <c r="SEK72" s="3"/>
      <c r="SEL72" s="3"/>
      <c r="SEM72" s="3"/>
      <c r="SEN72" s="3"/>
      <c r="SEO72" s="3"/>
      <c r="SEP72" s="3"/>
      <c r="SEQ72" s="3"/>
      <c r="SER72" s="3"/>
      <c r="SES72" s="3"/>
      <c r="SET72" s="3"/>
      <c r="SEU72" s="3"/>
      <c r="SEV72" s="3"/>
      <c r="SEW72" s="3"/>
      <c r="SEX72" s="3"/>
      <c r="SEY72" s="3"/>
      <c r="SEZ72" s="3"/>
      <c r="SFA72" s="3"/>
      <c r="SFB72" s="3"/>
      <c r="SFC72" s="3"/>
      <c r="SFD72" s="3"/>
      <c r="SFE72" s="3"/>
      <c r="SFF72" s="3"/>
      <c r="SFG72" s="3"/>
      <c r="SFH72" s="3"/>
      <c r="SFI72" s="3"/>
      <c r="SFJ72" s="3"/>
      <c r="SFK72" s="3"/>
      <c r="SFL72" s="3"/>
      <c r="SFM72" s="3"/>
      <c r="SFN72" s="3"/>
      <c r="SFO72" s="3"/>
      <c r="SFP72" s="3"/>
      <c r="SFQ72" s="3"/>
      <c r="SFR72" s="3"/>
      <c r="SFS72" s="3"/>
      <c r="SFT72" s="3"/>
      <c r="SFU72" s="3"/>
      <c r="SFV72" s="3"/>
      <c r="SFW72" s="3"/>
      <c r="SFX72" s="3"/>
      <c r="SFY72" s="3"/>
      <c r="SFZ72" s="3"/>
      <c r="SGA72" s="3"/>
      <c r="SGB72" s="3"/>
      <c r="SGC72" s="3"/>
      <c r="SGD72" s="3"/>
      <c r="SGE72" s="3"/>
      <c r="SGF72" s="3"/>
      <c r="SGG72" s="3"/>
      <c r="SGH72" s="3"/>
      <c r="SGI72" s="3"/>
      <c r="SGJ72" s="3"/>
      <c r="SGK72" s="3"/>
      <c r="SGL72" s="3"/>
      <c r="SGM72" s="3"/>
      <c r="SGN72" s="3"/>
      <c r="SGO72" s="3"/>
      <c r="SGP72" s="3"/>
      <c r="SGQ72" s="3"/>
      <c r="SGR72" s="3"/>
      <c r="SGS72" s="3"/>
      <c r="SGT72" s="3"/>
      <c r="SGU72" s="3"/>
      <c r="SGV72" s="3"/>
      <c r="SGW72" s="3"/>
      <c r="SGX72" s="3"/>
      <c r="SGY72" s="3"/>
      <c r="SGZ72" s="3"/>
      <c r="SHA72" s="3"/>
      <c r="SHB72" s="3"/>
      <c r="SHC72" s="3"/>
      <c r="SHD72" s="3"/>
      <c r="SHE72" s="3"/>
      <c r="SHF72" s="3"/>
      <c r="SHG72" s="3"/>
      <c r="SHH72" s="3"/>
      <c r="SHI72" s="3"/>
      <c r="SHJ72" s="3"/>
      <c r="SHK72" s="3"/>
      <c r="SHL72" s="3"/>
      <c r="SHM72" s="3"/>
      <c r="SHN72" s="3"/>
      <c r="SHO72" s="3"/>
      <c r="SHP72" s="3"/>
      <c r="SHQ72" s="3"/>
      <c r="SHR72" s="3"/>
      <c r="SHS72" s="3"/>
      <c r="SHT72" s="3"/>
      <c r="SHU72" s="3"/>
      <c r="SHV72" s="3"/>
      <c r="SHW72" s="3"/>
      <c r="SHX72" s="3"/>
      <c r="SHY72" s="3"/>
      <c r="SHZ72" s="3"/>
      <c r="SIA72" s="3"/>
      <c r="SIB72" s="3"/>
      <c r="SIC72" s="3"/>
      <c r="SID72" s="3"/>
      <c r="SIE72" s="3"/>
      <c r="SIF72" s="3"/>
      <c r="SIG72" s="3"/>
      <c r="SIH72" s="3"/>
      <c r="SII72" s="3"/>
      <c r="SIJ72" s="3"/>
      <c r="SIK72" s="3"/>
      <c r="SIL72" s="3"/>
      <c r="SIM72" s="3"/>
      <c r="SIN72" s="3"/>
      <c r="SIO72" s="3"/>
      <c r="SIP72" s="3"/>
      <c r="SIQ72" s="3"/>
      <c r="SIR72" s="3"/>
      <c r="SIS72" s="3"/>
      <c r="SIT72" s="3"/>
      <c r="SIU72" s="3"/>
      <c r="SIV72" s="3"/>
      <c r="SIW72" s="3"/>
      <c r="SIX72" s="3"/>
      <c r="SIY72" s="3"/>
      <c r="SIZ72" s="3"/>
      <c r="SJA72" s="3"/>
      <c r="SJB72" s="3"/>
      <c r="SJC72" s="3"/>
      <c r="SJD72" s="3"/>
      <c r="SJE72" s="3"/>
      <c r="SJF72" s="3"/>
      <c r="SJG72" s="3"/>
      <c r="SJH72" s="3"/>
      <c r="SJI72" s="3"/>
      <c r="SJJ72" s="3"/>
      <c r="SJK72" s="3"/>
      <c r="SJL72" s="3"/>
      <c r="SJM72" s="3"/>
      <c r="SJN72" s="3"/>
      <c r="SJO72" s="3"/>
      <c r="SJP72" s="3"/>
      <c r="SJQ72" s="3"/>
      <c r="SJR72" s="3"/>
      <c r="SJS72" s="3"/>
      <c r="SJT72" s="3"/>
      <c r="SJU72" s="3"/>
      <c r="SJV72" s="3"/>
      <c r="SJW72" s="3"/>
      <c r="SJX72" s="3"/>
      <c r="SJY72" s="3"/>
      <c r="SJZ72" s="3"/>
      <c r="SKA72" s="3"/>
      <c r="SKB72" s="3"/>
      <c r="SKC72" s="3"/>
      <c r="SKD72" s="3"/>
      <c r="SKE72" s="3"/>
      <c r="SKF72" s="3"/>
      <c r="SKG72" s="3"/>
      <c r="SKH72" s="3"/>
      <c r="SKI72" s="3"/>
      <c r="SKJ72" s="3"/>
      <c r="SKK72" s="3"/>
      <c r="SKL72" s="3"/>
      <c r="SKM72" s="3"/>
      <c r="SKN72" s="3"/>
      <c r="SKO72" s="3"/>
      <c r="SKP72" s="3"/>
      <c r="SKQ72" s="3"/>
      <c r="SKR72" s="3"/>
      <c r="SKS72" s="3"/>
      <c r="SKT72" s="3"/>
      <c r="SKU72" s="3"/>
      <c r="SKV72" s="3"/>
      <c r="SKW72" s="3"/>
      <c r="SKX72" s="3"/>
      <c r="SKY72" s="3"/>
      <c r="SKZ72" s="3"/>
      <c r="SLA72" s="3"/>
      <c r="SLB72" s="3"/>
      <c r="SLC72" s="3"/>
      <c r="SLD72" s="3"/>
      <c r="SLE72" s="3"/>
      <c r="SLF72" s="3"/>
      <c r="SLG72" s="3"/>
      <c r="SLH72" s="3"/>
      <c r="SLI72" s="3"/>
      <c r="SLJ72" s="3"/>
      <c r="SLK72" s="3"/>
      <c r="SLL72" s="3"/>
      <c r="SLM72" s="3"/>
      <c r="SLN72" s="3"/>
      <c r="SLO72" s="3"/>
      <c r="SLP72" s="3"/>
      <c r="SLQ72" s="3"/>
      <c r="SLR72" s="3"/>
      <c r="SLS72" s="3"/>
      <c r="SLT72" s="3"/>
      <c r="SLU72" s="3"/>
      <c r="SLV72" s="3"/>
      <c r="SLW72" s="3"/>
      <c r="SLX72" s="3"/>
      <c r="SLY72" s="3"/>
      <c r="SLZ72" s="3"/>
      <c r="SMA72" s="3"/>
      <c r="SMB72" s="3"/>
      <c r="SMC72" s="3"/>
      <c r="SMD72" s="3"/>
      <c r="SME72" s="3"/>
      <c r="SMF72" s="3"/>
      <c r="SMG72" s="3"/>
      <c r="SMH72" s="3"/>
      <c r="SMI72" s="3"/>
      <c r="SMJ72" s="3"/>
      <c r="SMK72" s="3"/>
      <c r="SML72" s="3"/>
      <c r="SMM72" s="3"/>
      <c r="SMN72" s="3"/>
      <c r="SMO72" s="3"/>
      <c r="SMP72" s="3"/>
      <c r="SMQ72" s="3"/>
      <c r="SMR72" s="3"/>
      <c r="SMS72" s="3"/>
      <c r="SMT72" s="3"/>
      <c r="SMU72" s="3"/>
      <c r="SMV72" s="3"/>
      <c r="SMW72" s="3"/>
      <c r="SMX72" s="3"/>
      <c r="SMY72" s="3"/>
      <c r="SMZ72" s="3"/>
      <c r="SNA72" s="3"/>
      <c r="SNB72" s="3"/>
      <c r="SNC72" s="3"/>
      <c r="SND72" s="3"/>
      <c r="SNE72" s="3"/>
      <c r="SNF72" s="3"/>
      <c r="SNG72" s="3"/>
      <c r="SNH72" s="3"/>
      <c r="SNI72" s="3"/>
      <c r="SNJ72" s="3"/>
      <c r="SNK72" s="3"/>
      <c r="SNL72" s="3"/>
      <c r="SNM72" s="3"/>
      <c r="SNN72" s="3"/>
      <c r="SNO72" s="3"/>
      <c r="SNP72" s="3"/>
      <c r="SNQ72" s="3"/>
      <c r="SNR72" s="3"/>
      <c r="SNS72" s="3"/>
      <c r="SNT72" s="3"/>
      <c r="SNU72" s="3"/>
      <c r="SNV72" s="3"/>
      <c r="SNW72" s="3"/>
      <c r="SNX72" s="3"/>
      <c r="SNY72" s="3"/>
      <c r="SNZ72" s="3"/>
      <c r="SOA72" s="3"/>
      <c r="SOB72" s="3"/>
      <c r="SOC72" s="3"/>
      <c r="SOD72" s="3"/>
      <c r="SOE72" s="3"/>
      <c r="SOF72" s="3"/>
      <c r="SOG72" s="3"/>
      <c r="SOH72" s="3"/>
      <c r="SOI72" s="3"/>
      <c r="SOJ72" s="3"/>
      <c r="SOK72" s="3"/>
      <c r="SOL72" s="3"/>
      <c r="SOM72" s="3"/>
      <c r="SON72" s="3"/>
      <c r="SOO72" s="3"/>
      <c r="SOP72" s="3"/>
      <c r="SOQ72" s="3"/>
      <c r="SOR72" s="3"/>
      <c r="SOS72" s="3"/>
      <c r="SOT72" s="3"/>
      <c r="SOU72" s="3"/>
      <c r="SOV72" s="3"/>
      <c r="SOW72" s="3"/>
      <c r="SOX72" s="3"/>
      <c r="SOY72" s="3"/>
      <c r="SOZ72" s="3"/>
      <c r="SPA72" s="3"/>
      <c r="SPB72" s="3"/>
      <c r="SPC72" s="3"/>
      <c r="SPD72" s="3"/>
      <c r="SPE72" s="3"/>
      <c r="SPF72" s="3"/>
      <c r="SPG72" s="3"/>
      <c r="SPH72" s="3"/>
      <c r="SPI72" s="3"/>
      <c r="SPJ72" s="3"/>
      <c r="SPK72" s="3"/>
      <c r="SPL72" s="3"/>
      <c r="SPM72" s="3"/>
      <c r="SPN72" s="3"/>
      <c r="SPO72" s="3"/>
      <c r="SPP72" s="3"/>
      <c r="SPQ72" s="3"/>
      <c r="SPR72" s="3"/>
      <c r="SPS72" s="3"/>
      <c r="SPT72" s="3"/>
      <c r="SPU72" s="3"/>
      <c r="SPV72" s="3"/>
      <c r="SPW72" s="3"/>
      <c r="SPX72" s="3"/>
      <c r="SPY72" s="3"/>
      <c r="SPZ72" s="3"/>
      <c r="SQA72" s="3"/>
      <c r="SQB72" s="3"/>
      <c r="SQC72" s="3"/>
      <c r="SQD72" s="3"/>
      <c r="SQE72" s="3"/>
      <c r="SQF72" s="3"/>
      <c r="SQG72" s="3"/>
      <c r="SQH72" s="3"/>
      <c r="SQI72" s="3"/>
      <c r="SQJ72" s="3"/>
      <c r="SQK72" s="3"/>
      <c r="SQL72" s="3"/>
      <c r="SQM72" s="3"/>
      <c r="SQN72" s="3"/>
      <c r="SQO72" s="3"/>
      <c r="SQP72" s="3"/>
      <c r="SQQ72" s="3"/>
      <c r="SQR72" s="3"/>
      <c r="SQS72" s="3"/>
      <c r="SQT72" s="3"/>
      <c r="SQU72" s="3"/>
      <c r="SQV72" s="3"/>
      <c r="SQW72" s="3"/>
      <c r="SQX72" s="3"/>
      <c r="SQY72" s="3"/>
      <c r="SQZ72" s="3"/>
      <c r="SRA72" s="3"/>
      <c r="SRB72" s="3"/>
      <c r="SRC72" s="3"/>
      <c r="SRD72" s="3"/>
      <c r="SRE72" s="3"/>
      <c r="SRF72" s="3"/>
      <c r="SRG72" s="3"/>
      <c r="SRH72" s="3"/>
      <c r="SRI72" s="3"/>
      <c r="SRJ72" s="3"/>
      <c r="SRK72" s="3"/>
      <c r="SRL72" s="3"/>
      <c r="SRM72" s="3"/>
      <c r="SRN72" s="3"/>
      <c r="SRO72" s="3"/>
      <c r="SRP72" s="3"/>
      <c r="SRQ72" s="3"/>
      <c r="SRR72" s="3"/>
      <c r="SRS72" s="3"/>
      <c r="SRT72" s="3"/>
      <c r="SRU72" s="3"/>
      <c r="SRV72" s="3"/>
      <c r="SRW72" s="3"/>
      <c r="SRX72" s="3"/>
      <c r="SRY72" s="3"/>
      <c r="SRZ72" s="3"/>
      <c r="SSA72" s="3"/>
      <c r="SSB72" s="3"/>
      <c r="SSC72" s="3"/>
      <c r="SSD72" s="3"/>
      <c r="SSE72" s="3"/>
      <c r="SSF72" s="3"/>
      <c r="SSG72" s="3"/>
      <c r="SSH72" s="3"/>
      <c r="SSI72" s="3"/>
      <c r="SSJ72" s="3"/>
      <c r="SSK72" s="3"/>
      <c r="SSL72" s="3"/>
      <c r="SSM72" s="3"/>
      <c r="SSN72" s="3"/>
      <c r="SSO72" s="3"/>
      <c r="SSP72" s="3"/>
      <c r="SSQ72" s="3"/>
      <c r="SSR72" s="3"/>
      <c r="SSS72" s="3"/>
      <c r="SST72" s="3"/>
      <c r="SSU72" s="3"/>
      <c r="SSV72" s="3"/>
      <c r="SSW72" s="3"/>
      <c r="SSX72" s="3"/>
      <c r="SSY72" s="3"/>
      <c r="SSZ72" s="3"/>
      <c r="STA72" s="3"/>
      <c r="STB72" s="3"/>
      <c r="STC72" s="3"/>
      <c r="STD72" s="3"/>
      <c r="STE72" s="3"/>
      <c r="STF72" s="3"/>
      <c r="STG72" s="3"/>
      <c r="STH72" s="3"/>
      <c r="STI72" s="3"/>
      <c r="STJ72" s="3"/>
      <c r="STK72" s="3"/>
      <c r="STL72" s="3"/>
      <c r="STM72" s="3"/>
      <c r="STN72" s="3"/>
      <c r="STO72" s="3"/>
      <c r="STP72" s="3"/>
      <c r="STQ72" s="3"/>
      <c r="STR72" s="3"/>
      <c r="STS72" s="3"/>
      <c r="STT72" s="3"/>
      <c r="STU72" s="3"/>
      <c r="STV72" s="3"/>
      <c r="STW72" s="3"/>
      <c r="STX72" s="3"/>
      <c r="STY72" s="3"/>
      <c r="STZ72" s="3"/>
      <c r="SUA72" s="3"/>
      <c r="SUB72" s="3"/>
      <c r="SUC72" s="3"/>
      <c r="SUD72" s="3"/>
      <c r="SUE72" s="3"/>
      <c r="SUF72" s="3"/>
      <c r="SUG72" s="3"/>
      <c r="SUH72" s="3"/>
      <c r="SUI72" s="3"/>
      <c r="SUJ72" s="3"/>
      <c r="SUK72" s="3"/>
      <c r="SUL72" s="3"/>
      <c r="SUM72" s="3"/>
      <c r="SUN72" s="3"/>
      <c r="SUO72" s="3"/>
      <c r="SUP72" s="3"/>
      <c r="SUQ72" s="3"/>
      <c r="SUR72" s="3"/>
      <c r="SUS72" s="3"/>
      <c r="SUT72" s="3"/>
      <c r="SUU72" s="3"/>
      <c r="SUV72" s="3"/>
      <c r="SUW72" s="3"/>
      <c r="SUX72" s="3"/>
      <c r="SUY72" s="3"/>
      <c r="SUZ72" s="3"/>
      <c r="SVA72" s="3"/>
      <c r="SVB72" s="3"/>
      <c r="SVC72" s="3"/>
      <c r="SVD72" s="3"/>
      <c r="SVE72" s="3"/>
      <c r="SVF72" s="3"/>
      <c r="SVG72" s="3"/>
      <c r="SVH72" s="3"/>
      <c r="SVI72" s="3"/>
      <c r="SVJ72" s="3"/>
      <c r="SVK72" s="3"/>
      <c r="SVL72" s="3"/>
      <c r="SVM72" s="3"/>
      <c r="SVN72" s="3"/>
      <c r="SVO72" s="3"/>
      <c r="SVP72" s="3"/>
      <c r="SVQ72" s="3"/>
      <c r="SVR72" s="3"/>
      <c r="SVS72" s="3"/>
      <c r="SVT72" s="3"/>
      <c r="SVU72" s="3"/>
      <c r="SVV72" s="3"/>
      <c r="SVW72" s="3"/>
      <c r="SVX72" s="3"/>
      <c r="SVY72" s="3"/>
      <c r="SVZ72" s="3"/>
      <c r="SWA72" s="3"/>
      <c r="SWB72" s="3"/>
      <c r="SWC72" s="3"/>
      <c r="SWD72" s="3"/>
      <c r="SWE72" s="3"/>
      <c r="SWF72" s="3"/>
      <c r="SWG72" s="3"/>
      <c r="SWH72" s="3"/>
      <c r="SWI72" s="3"/>
      <c r="SWJ72" s="3"/>
      <c r="SWK72" s="3"/>
      <c r="SWL72" s="3"/>
      <c r="SWM72" s="3"/>
      <c r="SWN72" s="3"/>
      <c r="SWO72" s="3"/>
      <c r="SWP72" s="3"/>
      <c r="SWQ72" s="3"/>
      <c r="SWR72" s="3"/>
      <c r="SWS72" s="3"/>
      <c r="SWT72" s="3"/>
      <c r="SWU72" s="3"/>
      <c r="SWV72" s="3"/>
      <c r="SWW72" s="3"/>
      <c r="SWX72" s="3"/>
      <c r="SWY72" s="3"/>
      <c r="SWZ72" s="3"/>
      <c r="SXA72" s="3"/>
      <c r="SXB72" s="3"/>
      <c r="SXC72" s="3"/>
      <c r="SXD72" s="3"/>
      <c r="SXE72" s="3"/>
      <c r="SXF72" s="3"/>
      <c r="SXG72" s="3"/>
      <c r="SXH72" s="3"/>
      <c r="SXI72" s="3"/>
      <c r="SXJ72" s="3"/>
      <c r="SXK72" s="3"/>
      <c r="SXL72" s="3"/>
      <c r="SXM72" s="3"/>
      <c r="SXN72" s="3"/>
      <c r="SXO72" s="3"/>
      <c r="SXP72" s="3"/>
      <c r="SXQ72" s="3"/>
      <c r="SXR72" s="3"/>
      <c r="SXS72" s="3"/>
      <c r="SXT72" s="3"/>
      <c r="SXU72" s="3"/>
      <c r="SXV72" s="3"/>
      <c r="SXW72" s="3"/>
      <c r="SXX72" s="3"/>
      <c r="SXY72" s="3"/>
      <c r="SXZ72" s="3"/>
      <c r="SYA72" s="3"/>
      <c r="SYB72" s="3"/>
      <c r="SYC72" s="3"/>
      <c r="SYD72" s="3"/>
      <c r="SYE72" s="3"/>
      <c r="SYF72" s="3"/>
      <c r="SYG72" s="3"/>
      <c r="SYH72" s="3"/>
      <c r="SYI72" s="3"/>
      <c r="SYJ72" s="3"/>
      <c r="SYK72" s="3"/>
      <c r="SYL72" s="3"/>
      <c r="SYM72" s="3"/>
      <c r="SYN72" s="3"/>
      <c r="SYO72" s="3"/>
      <c r="SYP72" s="3"/>
      <c r="SYQ72" s="3"/>
      <c r="SYR72" s="3"/>
      <c r="SYS72" s="3"/>
      <c r="SYT72" s="3"/>
      <c r="SYU72" s="3"/>
      <c r="SYV72" s="3"/>
      <c r="SYW72" s="3"/>
      <c r="SYX72" s="3"/>
      <c r="SYY72" s="3"/>
      <c r="SYZ72" s="3"/>
      <c r="SZA72" s="3"/>
      <c r="SZB72" s="3"/>
      <c r="SZC72" s="3"/>
      <c r="SZD72" s="3"/>
      <c r="SZE72" s="3"/>
      <c r="SZF72" s="3"/>
      <c r="SZG72" s="3"/>
      <c r="SZH72" s="3"/>
      <c r="SZI72" s="3"/>
      <c r="SZJ72" s="3"/>
      <c r="SZK72" s="3"/>
      <c r="SZL72" s="3"/>
      <c r="SZM72" s="3"/>
      <c r="SZN72" s="3"/>
      <c r="SZO72" s="3"/>
      <c r="SZP72" s="3"/>
      <c r="SZQ72" s="3"/>
      <c r="SZR72" s="3"/>
      <c r="SZS72" s="3"/>
      <c r="SZT72" s="3"/>
      <c r="SZU72" s="3"/>
      <c r="SZV72" s="3"/>
      <c r="SZW72" s="3"/>
      <c r="SZX72" s="3"/>
      <c r="SZY72" s="3"/>
      <c r="SZZ72" s="3"/>
      <c r="TAA72" s="3"/>
      <c r="TAB72" s="3"/>
      <c r="TAC72" s="3"/>
      <c r="TAD72" s="3"/>
      <c r="TAE72" s="3"/>
      <c r="TAF72" s="3"/>
      <c r="TAG72" s="3"/>
      <c r="TAH72" s="3"/>
      <c r="TAI72" s="3"/>
      <c r="TAJ72" s="3"/>
      <c r="TAK72" s="3"/>
      <c r="TAL72" s="3"/>
      <c r="TAM72" s="3"/>
      <c r="TAN72" s="3"/>
      <c r="TAO72" s="3"/>
      <c r="TAP72" s="3"/>
      <c r="TAQ72" s="3"/>
      <c r="TAR72" s="3"/>
      <c r="TAS72" s="3"/>
      <c r="TAT72" s="3"/>
      <c r="TAU72" s="3"/>
      <c r="TAV72" s="3"/>
      <c r="TAW72" s="3"/>
      <c r="TAX72" s="3"/>
      <c r="TAY72" s="3"/>
      <c r="TAZ72" s="3"/>
      <c r="TBA72" s="3"/>
      <c r="TBB72" s="3"/>
      <c r="TBC72" s="3"/>
      <c r="TBD72" s="3"/>
      <c r="TBE72" s="3"/>
      <c r="TBF72" s="3"/>
      <c r="TBG72" s="3"/>
      <c r="TBH72" s="3"/>
      <c r="TBI72" s="3"/>
      <c r="TBJ72" s="3"/>
      <c r="TBK72" s="3"/>
      <c r="TBL72" s="3"/>
      <c r="TBM72" s="3"/>
      <c r="TBN72" s="3"/>
      <c r="TBO72" s="3"/>
      <c r="TBP72" s="3"/>
      <c r="TBQ72" s="3"/>
      <c r="TBR72" s="3"/>
      <c r="TBS72" s="3"/>
      <c r="TBT72" s="3"/>
      <c r="TBU72" s="3"/>
      <c r="TBV72" s="3"/>
      <c r="TBW72" s="3"/>
      <c r="TBX72" s="3"/>
      <c r="TBY72" s="3"/>
      <c r="TBZ72" s="3"/>
      <c r="TCA72" s="3"/>
      <c r="TCB72" s="3"/>
      <c r="TCC72" s="3"/>
      <c r="TCD72" s="3"/>
      <c r="TCE72" s="3"/>
      <c r="TCF72" s="3"/>
      <c r="TCG72" s="3"/>
      <c r="TCH72" s="3"/>
      <c r="TCI72" s="3"/>
      <c r="TCJ72" s="3"/>
      <c r="TCK72" s="3"/>
      <c r="TCL72" s="3"/>
      <c r="TCM72" s="3"/>
      <c r="TCN72" s="3"/>
      <c r="TCO72" s="3"/>
      <c r="TCP72" s="3"/>
      <c r="TCQ72" s="3"/>
      <c r="TCR72" s="3"/>
      <c r="TCS72" s="3"/>
      <c r="TCT72" s="3"/>
      <c r="TCU72" s="3"/>
      <c r="TCV72" s="3"/>
      <c r="TCW72" s="3"/>
      <c r="TCX72" s="3"/>
      <c r="TCY72" s="3"/>
      <c r="TCZ72" s="3"/>
      <c r="TDA72" s="3"/>
      <c r="TDB72" s="3"/>
      <c r="TDC72" s="3"/>
      <c r="TDD72" s="3"/>
      <c r="TDE72" s="3"/>
      <c r="TDF72" s="3"/>
      <c r="TDG72" s="3"/>
      <c r="TDH72" s="3"/>
      <c r="TDI72" s="3"/>
      <c r="TDJ72" s="3"/>
      <c r="TDK72" s="3"/>
      <c r="TDL72" s="3"/>
      <c r="TDM72" s="3"/>
      <c r="TDN72" s="3"/>
      <c r="TDO72" s="3"/>
      <c r="TDP72" s="3"/>
      <c r="TDQ72" s="3"/>
      <c r="TDR72" s="3"/>
      <c r="TDS72" s="3"/>
      <c r="TDT72" s="3"/>
      <c r="TDU72" s="3"/>
      <c r="TDV72" s="3"/>
      <c r="TDW72" s="3"/>
      <c r="TDX72" s="3"/>
      <c r="TDY72" s="3"/>
      <c r="TDZ72" s="3"/>
      <c r="TEA72" s="3"/>
      <c r="TEB72" s="3"/>
      <c r="TEC72" s="3"/>
      <c r="TED72" s="3"/>
      <c r="TEE72" s="3"/>
      <c r="TEF72" s="3"/>
      <c r="TEG72" s="3"/>
      <c r="TEH72" s="3"/>
      <c r="TEI72" s="3"/>
      <c r="TEJ72" s="3"/>
      <c r="TEK72" s="3"/>
      <c r="TEL72" s="3"/>
      <c r="TEM72" s="3"/>
      <c r="TEN72" s="3"/>
      <c r="TEO72" s="3"/>
      <c r="TEP72" s="3"/>
      <c r="TEQ72" s="3"/>
      <c r="TER72" s="3"/>
      <c r="TES72" s="3"/>
      <c r="TET72" s="3"/>
      <c r="TEU72" s="3"/>
      <c r="TEV72" s="3"/>
      <c r="TEW72" s="3"/>
      <c r="TEX72" s="3"/>
      <c r="TEY72" s="3"/>
      <c r="TEZ72" s="3"/>
      <c r="TFA72" s="3"/>
      <c r="TFB72" s="3"/>
      <c r="TFC72" s="3"/>
      <c r="TFD72" s="3"/>
      <c r="TFE72" s="3"/>
      <c r="TFF72" s="3"/>
      <c r="TFG72" s="3"/>
      <c r="TFH72" s="3"/>
      <c r="TFI72" s="3"/>
      <c r="TFJ72" s="3"/>
      <c r="TFK72" s="3"/>
      <c r="TFL72" s="3"/>
      <c r="TFM72" s="3"/>
      <c r="TFN72" s="3"/>
      <c r="TFO72" s="3"/>
      <c r="TFP72" s="3"/>
      <c r="TFQ72" s="3"/>
      <c r="TFR72" s="3"/>
      <c r="TFS72" s="3"/>
      <c r="TFT72" s="3"/>
      <c r="TFU72" s="3"/>
      <c r="TFV72" s="3"/>
      <c r="TFW72" s="3"/>
      <c r="TFX72" s="3"/>
      <c r="TFY72" s="3"/>
      <c r="TFZ72" s="3"/>
      <c r="TGA72" s="3"/>
      <c r="TGB72" s="3"/>
      <c r="TGC72" s="3"/>
      <c r="TGD72" s="3"/>
      <c r="TGE72" s="3"/>
      <c r="TGF72" s="3"/>
      <c r="TGG72" s="3"/>
      <c r="TGH72" s="3"/>
      <c r="TGI72" s="3"/>
      <c r="TGJ72" s="3"/>
      <c r="TGK72" s="3"/>
      <c r="TGL72" s="3"/>
      <c r="TGM72" s="3"/>
      <c r="TGN72" s="3"/>
      <c r="TGO72" s="3"/>
      <c r="TGP72" s="3"/>
      <c r="TGQ72" s="3"/>
      <c r="TGR72" s="3"/>
      <c r="TGS72" s="3"/>
      <c r="TGT72" s="3"/>
      <c r="TGU72" s="3"/>
      <c r="TGV72" s="3"/>
      <c r="TGW72" s="3"/>
      <c r="TGX72" s="3"/>
      <c r="TGY72" s="3"/>
      <c r="TGZ72" s="3"/>
      <c r="THA72" s="3"/>
      <c r="THB72" s="3"/>
      <c r="THC72" s="3"/>
      <c r="THD72" s="3"/>
      <c r="THE72" s="3"/>
      <c r="THF72" s="3"/>
      <c r="THG72" s="3"/>
      <c r="THH72" s="3"/>
      <c r="THI72" s="3"/>
      <c r="THJ72" s="3"/>
      <c r="THK72" s="3"/>
      <c r="THL72" s="3"/>
      <c r="THM72" s="3"/>
      <c r="THN72" s="3"/>
      <c r="THO72" s="3"/>
      <c r="THP72" s="3"/>
      <c r="THQ72" s="3"/>
      <c r="THR72" s="3"/>
      <c r="THS72" s="3"/>
      <c r="THT72" s="3"/>
      <c r="THU72" s="3"/>
      <c r="THV72" s="3"/>
      <c r="THW72" s="3"/>
      <c r="THX72" s="3"/>
      <c r="THY72" s="3"/>
      <c r="THZ72" s="3"/>
      <c r="TIA72" s="3"/>
      <c r="TIB72" s="3"/>
      <c r="TIC72" s="3"/>
      <c r="TID72" s="3"/>
      <c r="TIE72" s="3"/>
      <c r="TIF72" s="3"/>
      <c r="TIG72" s="3"/>
      <c r="TIH72" s="3"/>
      <c r="TII72" s="3"/>
      <c r="TIJ72" s="3"/>
      <c r="TIK72" s="3"/>
      <c r="TIL72" s="3"/>
      <c r="TIM72" s="3"/>
      <c r="TIN72" s="3"/>
      <c r="TIO72" s="3"/>
      <c r="TIP72" s="3"/>
      <c r="TIQ72" s="3"/>
      <c r="TIR72" s="3"/>
      <c r="TIS72" s="3"/>
      <c r="TIT72" s="3"/>
      <c r="TIU72" s="3"/>
      <c r="TIV72" s="3"/>
      <c r="TIW72" s="3"/>
      <c r="TIX72" s="3"/>
      <c r="TIY72" s="3"/>
      <c r="TIZ72" s="3"/>
      <c r="TJA72" s="3"/>
      <c r="TJB72" s="3"/>
      <c r="TJC72" s="3"/>
      <c r="TJD72" s="3"/>
      <c r="TJE72" s="3"/>
      <c r="TJF72" s="3"/>
      <c r="TJG72" s="3"/>
      <c r="TJH72" s="3"/>
      <c r="TJI72" s="3"/>
      <c r="TJJ72" s="3"/>
      <c r="TJK72" s="3"/>
      <c r="TJL72" s="3"/>
      <c r="TJM72" s="3"/>
      <c r="TJN72" s="3"/>
      <c r="TJO72" s="3"/>
      <c r="TJP72" s="3"/>
      <c r="TJQ72" s="3"/>
      <c r="TJR72" s="3"/>
      <c r="TJS72" s="3"/>
      <c r="TJT72" s="3"/>
      <c r="TJU72" s="3"/>
      <c r="TJV72" s="3"/>
      <c r="TJW72" s="3"/>
      <c r="TJX72" s="3"/>
      <c r="TJY72" s="3"/>
      <c r="TJZ72" s="3"/>
      <c r="TKA72" s="3"/>
      <c r="TKB72" s="3"/>
      <c r="TKC72" s="3"/>
      <c r="TKD72" s="3"/>
      <c r="TKE72" s="3"/>
      <c r="TKF72" s="3"/>
      <c r="TKG72" s="3"/>
      <c r="TKH72" s="3"/>
      <c r="TKI72" s="3"/>
      <c r="TKJ72" s="3"/>
      <c r="TKK72" s="3"/>
      <c r="TKL72" s="3"/>
      <c r="TKM72" s="3"/>
      <c r="TKN72" s="3"/>
      <c r="TKO72" s="3"/>
      <c r="TKP72" s="3"/>
      <c r="TKQ72" s="3"/>
      <c r="TKR72" s="3"/>
      <c r="TKS72" s="3"/>
      <c r="TKT72" s="3"/>
      <c r="TKU72" s="3"/>
      <c r="TKV72" s="3"/>
      <c r="TKW72" s="3"/>
      <c r="TKX72" s="3"/>
      <c r="TKY72" s="3"/>
      <c r="TKZ72" s="3"/>
      <c r="TLA72" s="3"/>
      <c r="TLB72" s="3"/>
      <c r="TLC72" s="3"/>
      <c r="TLD72" s="3"/>
      <c r="TLE72" s="3"/>
      <c r="TLF72" s="3"/>
      <c r="TLG72" s="3"/>
      <c r="TLH72" s="3"/>
      <c r="TLI72" s="3"/>
      <c r="TLJ72" s="3"/>
      <c r="TLK72" s="3"/>
      <c r="TLL72" s="3"/>
      <c r="TLM72" s="3"/>
      <c r="TLN72" s="3"/>
      <c r="TLO72" s="3"/>
      <c r="TLP72" s="3"/>
      <c r="TLQ72" s="3"/>
      <c r="TLR72" s="3"/>
      <c r="TLS72" s="3"/>
      <c r="TLT72" s="3"/>
      <c r="TLU72" s="3"/>
      <c r="TLV72" s="3"/>
      <c r="TLW72" s="3"/>
      <c r="TLX72" s="3"/>
      <c r="TLY72" s="3"/>
      <c r="TLZ72" s="3"/>
      <c r="TMA72" s="3"/>
      <c r="TMB72" s="3"/>
      <c r="TMC72" s="3"/>
      <c r="TMD72" s="3"/>
      <c r="TME72" s="3"/>
      <c r="TMF72" s="3"/>
      <c r="TMG72" s="3"/>
      <c r="TMH72" s="3"/>
      <c r="TMI72" s="3"/>
      <c r="TMJ72" s="3"/>
      <c r="TMK72" s="3"/>
      <c r="TML72" s="3"/>
      <c r="TMM72" s="3"/>
      <c r="TMN72" s="3"/>
      <c r="TMO72" s="3"/>
      <c r="TMP72" s="3"/>
      <c r="TMQ72" s="3"/>
      <c r="TMR72" s="3"/>
      <c r="TMS72" s="3"/>
      <c r="TMT72" s="3"/>
      <c r="TMU72" s="3"/>
      <c r="TMV72" s="3"/>
      <c r="TMW72" s="3"/>
      <c r="TMX72" s="3"/>
      <c r="TMY72" s="3"/>
      <c r="TMZ72" s="3"/>
      <c r="TNA72" s="3"/>
      <c r="TNB72" s="3"/>
      <c r="TNC72" s="3"/>
      <c r="TND72" s="3"/>
      <c r="TNE72" s="3"/>
      <c r="TNF72" s="3"/>
      <c r="TNG72" s="3"/>
      <c r="TNH72" s="3"/>
      <c r="TNI72" s="3"/>
      <c r="TNJ72" s="3"/>
      <c r="TNK72" s="3"/>
      <c r="TNL72" s="3"/>
      <c r="TNM72" s="3"/>
      <c r="TNN72" s="3"/>
      <c r="TNO72" s="3"/>
      <c r="TNP72" s="3"/>
      <c r="TNQ72" s="3"/>
      <c r="TNR72" s="3"/>
      <c r="TNS72" s="3"/>
      <c r="TNT72" s="3"/>
      <c r="TNU72" s="3"/>
      <c r="TNV72" s="3"/>
      <c r="TNW72" s="3"/>
      <c r="TNX72" s="3"/>
      <c r="TNY72" s="3"/>
      <c r="TNZ72" s="3"/>
      <c r="TOA72" s="3"/>
      <c r="TOB72" s="3"/>
      <c r="TOC72" s="3"/>
      <c r="TOD72" s="3"/>
      <c r="TOE72" s="3"/>
      <c r="TOF72" s="3"/>
      <c r="TOG72" s="3"/>
      <c r="TOH72" s="3"/>
      <c r="TOI72" s="3"/>
      <c r="TOJ72" s="3"/>
      <c r="TOK72" s="3"/>
      <c r="TOL72" s="3"/>
      <c r="TOM72" s="3"/>
      <c r="TON72" s="3"/>
      <c r="TOO72" s="3"/>
      <c r="TOP72" s="3"/>
      <c r="TOQ72" s="3"/>
      <c r="TOR72" s="3"/>
      <c r="TOS72" s="3"/>
      <c r="TOT72" s="3"/>
      <c r="TOU72" s="3"/>
      <c r="TOV72" s="3"/>
      <c r="TOW72" s="3"/>
      <c r="TOX72" s="3"/>
      <c r="TOY72" s="3"/>
      <c r="TOZ72" s="3"/>
      <c r="TPA72" s="3"/>
      <c r="TPB72" s="3"/>
      <c r="TPC72" s="3"/>
      <c r="TPD72" s="3"/>
      <c r="TPE72" s="3"/>
      <c r="TPF72" s="3"/>
      <c r="TPG72" s="3"/>
      <c r="TPH72" s="3"/>
      <c r="TPI72" s="3"/>
      <c r="TPJ72" s="3"/>
      <c r="TPK72" s="3"/>
      <c r="TPL72" s="3"/>
      <c r="TPM72" s="3"/>
      <c r="TPN72" s="3"/>
      <c r="TPO72" s="3"/>
      <c r="TPP72" s="3"/>
      <c r="TPQ72" s="3"/>
      <c r="TPR72" s="3"/>
      <c r="TPS72" s="3"/>
      <c r="TPT72" s="3"/>
      <c r="TPU72" s="3"/>
      <c r="TPV72" s="3"/>
      <c r="TPW72" s="3"/>
      <c r="TPX72" s="3"/>
      <c r="TPY72" s="3"/>
      <c r="TPZ72" s="3"/>
      <c r="TQA72" s="3"/>
      <c r="TQB72" s="3"/>
      <c r="TQC72" s="3"/>
      <c r="TQD72" s="3"/>
      <c r="TQE72" s="3"/>
      <c r="TQF72" s="3"/>
      <c r="TQG72" s="3"/>
      <c r="TQH72" s="3"/>
      <c r="TQI72" s="3"/>
      <c r="TQJ72" s="3"/>
      <c r="TQK72" s="3"/>
      <c r="TQL72" s="3"/>
      <c r="TQM72" s="3"/>
      <c r="TQN72" s="3"/>
      <c r="TQO72" s="3"/>
      <c r="TQP72" s="3"/>
      <c r="TQQ72" s="3"/>
      <c r="TQR72" s="3"/>
      <c r="TQS72" s="3"/>
      <c r="TQT72" s="3"/>
      <c r="TQU72" s="3"/>
      <c r="TQV72" s="3"/>
      <c r="TQW72" s="3"/>
      <c r="TQX72" s="3"/>
      <c r="TQY72" s="3"/>
      <c r="TQZ72" s="3"/>
      <c r="TRA72" s="3"/>
      <c r="TRB72" s="3"/>
      <c r="TRC72" s="3"/>
      <c r="TRD72" s="3"/>
      <c r="TRE72" s="3"/>
      <c r="TRF72" s="3"/>
      <c r="TRG72" s="3"/>
      <c r="TRH72" s="3"/>
      <c r="TRI72" s="3"/>
      <c r="TRJ72" s="3"/>
      <c r="TRK72" s="3"/>
      <c r="TRL72" s="3"/>
      <c r="TRM72" s="3"/>
      <c r="TRN72" s="3"/>
      <c r="TRO72" s="3"/>
      <c r="TRP72" s="3"/>
      <c r="TRQ72" s="3"/>
      <c r="TRR72" s="3"/>
      <c r="TRS72" s="3"/>
      <c r="TRT72" s="3"/>
      <c r="TRU72" s="3"/>
      <c r="TRV72" s="3"/>
      <c r="TRW72" s="3"/>
      <c r="TRX72" s="3"/>
      <c r="TRY72" s="3"/>
      <c r="TRZ72" s="3"/>
      <c r="TSA72" s="3"/>
      <c r="TSB72" s="3"/>
      <c r="TSC72" s="3"/>
      <c r="TSD72" s="3"/>
      <c r="TSE72" s="3"/>
      <c r="TSF72" s="3"/>
      <c r="TSG72" s="3"/>
      <c r="TSH72" s="3"/>
      <c r="TSI72" s="3"/>
      <c r="TSJ72" s="3"/>
      <c r="TSK72" s="3"/>
      <c r="TSL72" s="3"/>
      <c r="TSM72" s="3"/>
      <c r="TSN72" s="3"/>
      <c r="TSO72" s="3"/>
      <c r="TSP72" s="3"/>
      <c r="TSQ72" s="3"/>
      <c r="TSR72" s="3"/>
      <c r="TSS72" s="3"/>
      <c r="TST72" s="3"/>
      <c r="TSU72" s="3"/>
      <c r="TSV72" s="3"/>
      <c r="TSW72" s="3"/>
      <c r="TSX72" s="3"/>
      <c r="TSY72" s="3"/>
      <c r="TSZ72" s="3"/>
      <c r="TTA72" s="3"/>
      <c r="TTB72" s="3"/>
      <c r="TTC72" s="3"/>
      <c r="TTD72" s="3"/>
      <c r="TTE72" s="3"/>
      <c r="TTF72" s="3"/>
      <c r="TTG72" s="3"/>
      <c r="TTH72" s="3"/>
      <c r="TTI72" s="3"/>
      <c r="TTJ72" s="3"/>
      <c r="TTK72" s="3"/>
      <c r="TTL72" s="3"/>
      <c r="TTM72" s="3"/>
      <c r="TTN72" s="3"/>
      <c r="TTO72" s="3"/>
      <c r="TTP72" s="3"/>
      <c r="TTQ72" s="3"/>
      <c r="TTR72" s="3"/>
      <c r="TTS72" s="3"/>
      <c r="TTT72" s="3"/>
      <c r="TTU72" s="3"/>
      <c r="TTV72" s="3"/>
      <c r="TTW72" s="3"/>
      <c r="TTX72" s="3"/>
      <c r="TTY72" s="3"/>
      <c r="TTZ72" s="3"/>
      <c r="TUA72" s="3"/>
      <c r="TUB72" s="3"/>
      <c r="TUC72" s="3"/>
      <c r="TUD72" s="3"/>
      <c r="TUE72" s="3"/>
      <c r="TUF72" s="3"/>
      <c r="TUG72" s="3"/>
      <c r="TUH72" s="3"/>
      <c r="TUI72" s="3"/>
      <c r="TUJ72" s="3"/>
      <c r="TUK72" s="3"/>
      <c r="TUL72" s="3"/>
      <c r="TUM72" s="3"/>
      <c r="TUN72" s="3"/>
      <c r="TUO72" s="3"/>
      <c r="TUP72" s="3"/>
      <c r="TUQ72" s="3"/>
      <c r="TUR72" s="3"/>
      <c r="TUS72" s="3"/>
      <c r="TUT72" s="3"/>
      <c r="TUU72" s="3"/>
      <c r="TUV72" s="3"/>
      <c r="TUW72" s="3"/>
      <c r="TUX72" s="3"/>
      <c r="TUY72" s="3"/>
      <c r="TUZ72" s="3"/>
      <c r="TVA72" s="3"/>
      <c r="TVB72" s="3"/>
      <c r="TVC72" s="3"/>
      <c r="TVD72" s="3"/>
      <c r="TVE72" s="3"/>
      <c r="TVF72" s="3"/>
      <c r="TVG72" s="3"/>
      <c r="TVH72" s="3"/>
      <c r="TVI72" s="3"/>
      <c r="TVJ72" s="3"/>
      <c r="TVK72" s="3"/>
      <c r="TVL72" s="3"/>
      <c r="TVM72" s="3"/>
      <c r="TVN72" s="3"/>
      <c r="TVO72" s="3"/>
      <c r="TVP72" s="3"/>
      <c r="TVQ72" s="3"/>
      <c r="TVR72" s="3"/>
      <c r="TVS72" s="3"/>
      <c r="TVT72" s="3"/>
      <c r="TVU72" s="3"/>
      <c r="TVV72" s="3"/>
      <c r="TVW72" s="3"/>
      <c r="TVX72" s="3"/>
      <c r="TVY72" s="3"/>
      <c r="TVZ72" s="3"/>
      <c r="TWA72" s="3"/>
      <c r="TWB72" s="3"/>
      <c r="TWC72" s="3"/>
      <c r="TWD72" s="3"/>
      <c r="TWE72" s="3"/>
      <c r="TWF72" s="3"/>
      <c r="TWG72" s="3"/>
      <c r="TWH72" s="3"/>
      <c r="TWI72" s="3"/>
      <c r="TWJ72" s="3"/>
      <c r="TWK72" s="3"/>
      <c r="TWL72" s="3"/>
      <c r="TWM72" s="3"/>
      <c r="TWN72" s="3"/>
      <c r="TWO72" s="3"/>
      <c r="TWP72" s="3"/>
      <c r="TWQ72" s="3"/>
      <c r="TWR72" s="3"/>
      <c r="TWS72" s="3"/>
      <c r="TWT72" s="3"/>
      <c r="TWU72" s="3"/>
      <c r="TWV72" s="3"/>
      <c r="TWW72" s="3"/>
      <c r="TWX72" s="3"/>
      <c r="TWY72" s="3"/>
      <c r="TWZ72" s="3"/>
      <c r="TXA72" s="3"/>
      <c r="TXB72" s="3"/>
      <c r="TXC72" s="3"/>
      <c r="TXD72" s="3"/>
      <c r="TXE72" s="3"/>
      <c r="TXF72" s="3"/>
      <c r="TXG72" s="3"/>
      <c r="TXH72" s="3"/>
      <c r="TXI72" s="3"/>
      <c r="TXJ72" s="3"/>
      <c r="TXK72" s="3"/>
      <c r="TXL72" s="3"/>
      <c r="TXM72" s="3"/>
      <c r="TXN72" s="3"/>
      <c r="TXO72" s="3"/>
      <c r="TXP72" s="3"/>
      <c r="TXQ72" s="3"/>
      <c r="TXR72" s="3"/>
      <c r="TXS72" s="3"/>
      <c r="TXT72" s="3"/>
      <c r="TXU72" s="3"/>
      <c r="TXV72" s="3"/>
      <c r="TXW72" s="3"/>
      <c r="TXX72" s="3"/>
      <c r="TXY72" s="3"/>
      <c r="TXZ72" s="3"/>
      <c r="TYA72" s="3"/>
      <c r="TYB72" s="3"/>
      <c r="TYC72" s="3"/>
      <c r="TYD72" s="3"/>
      <c r="TYE72" s="3"/>
      <c r="TYF72" s="3"/>
      <c r="TYG72" s="3"/>
      <c r="TYH72" s="3"/>
      <c r="TYI72" s="3"/>
      <c r="TYJ72" s="3"/>
      <c r="TYK72" s="3"/>
      <c r="TYL72" s="3"/>
      <c r="TYM72" s="3"/>
      <c r="TYN72" s="3"/>
      <c r="TYO72" s="3"/>
      <c r="TYP72" s="3"/>
      <c r="TYQ72" s="3"/>
      <c r="TYR72" s="3"/>
      <c r="TYS72" s="3"/>
      <c r="TYT72" s="3"/>
      <c r="TYU72" s="3"/>
      <c r="TYV72" s="3"/>
      <c r="TYW72" s="3"/>
      <c r="TYX72" s="3"/>
      <c r="TYY72" s="3"/>
      <c r="TYZ72" s="3"/>
      <c r="TZA72" s="3"/>
      <c r="TZB72" s="3"/>
      <c r="TZC72" s="3"/>
      <c r="TZD72" s="3"/>
      <c r="TZE72" s="3"/>
      <c r="TZF72" s="3"/>
      <c r="TZG72" s="3"/>
      <c r="TZH72" s="3"/>
      <c r="TZI72" s="3"/>
      <c r="TZJ72" s="3"/>
      <c r="TZK72" s="3"/>
      <c r="TZL72" s="3"/>
      <c r="TZM72" s="3"/>
      <c r="TZN72" s="3"/>
      <c r="TZO72" s="3"/>
      <c r="TZP72" s="3"/>
      <c r="TZQ72" s="3"/>
      <c r="TZR72" s="3"/>
      <c r="TZS72" s="3"/>
      <c r="TZT72" s="3"/>
      <c r="TZU72" s="3"/>
      <c r="TZV72" s="3"/>
      <c r="TZW72" s="3"/>
      <c r="TZX72" s="3"/>
      <c r="TZY72" s="3"/>
      <c r="TZZ72" s="3"/>
      <c r="UAA72" s="3"/>
      <c r="UAB72" s="3"/>
      <c r="UAC72" s="3"/>
      <c r="UAD72" s="3"/>
      <c r="UAE72" s="3"/>
      <c r="UAF72" s="3"/>
      <c r="UAG72" s="3"/>
      <c r="UAH72" s="3"/>
      <c r="UAI72" s="3"/>
      <c r="UAJ72" s="3"/>
      <c r="UAK72" s="3"/>
      <c r="UAL72" s="3"/>
      <c r="UAM72" s="3"/>
      <c r="UAN72" s="3"/>
      <c r="UAO72" s="3"/>
      <c r="UAP72" s="3"/>
      <c r="UAQ72" s="3"/>
      <c r="UAR72" s="3"/>
      <c r="UAS72" s="3"/>
      <c r="UAT72" s="3"/>
      <c r="UAU72" s="3"/>
      <c r="UAV72" s="3"/>
      <c r="UAW72" s="3"/>
      <c r="UAX72" s="3"/>
      <c r="UAY72" s="3"/>
      <c r="UAZ72" s="3"/>
      <c r="UBA72" s="3"/>
      <c r="UBB72" s="3"/>
      <c r="UBC72" s="3"/>
      <c r="UBD72" s="3"/>
      <c r="UBE72" s="3"/>
      <c r="UBF72" s="3"/>
      <c r="UBG72" s="3"/>
      <c r="UBH72" s="3"/>
      <c r="UBI72" s="3"/>
      <c r="UBJ72" s="3"/>
      <c r="UBK72" s="3"/>
      <c r="UBL72" s="3"/>
      <c r="UBM72" s="3"/>
      <c r="UBN72" s="3"/>
      <c r="UBO72" s="3"/>
      <c r="UBP72" s="3"/>
      <c r="UBQ72" s="3"/>
      <c r="UBR72" s="3"/>
      <c r="UBS72" s="3"/>
      <c r="UBT72" s="3"/>
      <c r="UBU72" s="3"/>
      <c r="UBV72" s="3"/>
      <c r="UBW72" s="3"/>
      <c r="UBX72" s="3"/>
      <c r="UBY72" s="3"/>
      <c r="UBZ72" s="3"/>
      <c r="UCA72" s="3"/>
      <c r="UCB72" s="3"/>
      <c r="UCC72" s="3"/>
      <c r="UCD72" s="3"/>
      <c r="UCE72" s="3"/>
      <c r="UCF72" s="3"/>
      <c r="UCG72" s="3"/>
      <c r="UCH72" s="3"/>
      <c r="UCI72" s="3"/>
      <c r="UCJ72" s="3"/>
      <c r="UCK72" s="3"/>
      <c r="UCL72" s="3"/>
      <c r="UCM72" s="3"/>
      <c r="UCN72" s="3"/>
      <c r="UCO72" s="3"/>
      <c r="UCP72" s="3"/>
      <c r="UCQ72" s="3"/>
      <c r="UCR72" s="3"/>
      <c r="UCS72" s="3"/>
      <c r="UCT72" s="3"/>
      <c r="UCU72" s="3"/>
      <c r="UCV72" s="3"/>
      <c r="UCW72" s="3"/>
      <c r="UCX72" s="3"/>
      <c r="UCY72" s="3"/>
      <c r="UCZ72" s="3"/>
      <c r="UDA72" s="3"/>
      <c r="UDB72" s="3"/>
      <c r="UDC72" s="3"/>
      <c r="UDD72" s="3"/>
      <c r="UDE72" s="3"/>
      <c r="UDF72" s="3"/>
      <c r="UDG72" s="3"/>
      <c r="UDH72" s="3"/>
      <c r="UDI72" s="3"/>
      <c r="UDJ72" s="3"/>
      <c r="UDK72" s="3"/>
      <c r="UDL72" s="3"/>
      <c r="UDM72" s="3"/>
      <c r="UDN72" s="3"/>
      <c r="UDO72" s="3"/>
      <c r="UDP72" s="3"/>
      <c r="UDQ72" s="3"/>
      <c r="UDR72" s="3"/>
      <c r="UDS72" s="3"/>
      <c r="UDT72" s="3"/>
      <c r="UDU72" s="3"/>
      <c r="UDV72" s="3"/>
      <c r="UDW72" s="3"/>
      <c r="UDX72" s="3"/>
      <c r="UDY72" s="3"/>
      <c r="UDZ72" s="3"/>
      <c r="UEA72" s="3"/>
      <c r="UEB72" s="3"/>
      <c r="UEC72" s="3"/>
      <c r="UED72" s="3"/>
      <c r="UEE72" s="3"/>
      <c r="UEF72" s="3"/>
      <c r="UEG72" s="3"/>
      <c r="UEH72" s="3"/>
      <c r="UEI72" s="3"/>
      <c r="UEJ72" s="3"/>
      <c r="UEK72" s="3"/>
      <c r="UEL72" s="3"/>
      <c r="UEM72" s="3"/>
      <c r="UEN72" s="3"/>
      <c r="UEO72" s="3"/>
      <c r="UEP72" s="3"/>
      <c r="UEQ72" s="3"/>
      <c r="UER72" s="3"/>
      <c r="UES72" s="3"/>
      <c r="UET72" s="3"/>
      <c r="UEU72" s="3"/>
      <c r="UEV72" s="3"/>
      <c r="UEW72" s="3"/>
      <c r="UEX72" s="3"/>
      <c r="UEY72" s="3"/>
      <c r="UEZ72" s="3"/>
      <c r="UFA72" s="3"/>
      <c r="UFB72" s="3"/>
      <c r="UFC72" s="3"/>
      <c r="UFD72" s="3"/>
      <c r="UFE72" s="3"/>
      <c r="UFF72" s="3"/>
      <c r="UFG72" s="3"/>
      <c r="UFH72" s="3"/>
      <c r="UFI72" s="3"/>
      <c r="UFJ72" s="3"/>
      <c r="UFK72" s="3"/>
      <c r="UFL72" s="3"/>
      <c r="UFM72" s="3"/>
      <c r="UFN72" s="3"/>
      <c r="UFO72" s="3"/>
      <c r="UFP72" s="3"/>
      <c r="UFQ72" s="3"/>
      <c r="UFR72" s="3"/>
      <c r="UFS72" s="3"/>
      <c r="UFT72" s="3"/>
      <c r="UFU72" s="3"/>
      <c r="UFV72" s="3"/>
      <c r="UFW72" s="3"/>
      <c r="UFX72" s="3"/>
      <c r="UFY72" s="3"/>
      <c r="UFZ72" s="3"/>
      <c r="UGA72" s="3"/>
      <c r="UGB72" s="3"/>
      <c r="UGC72" s="3"/>
      <c r="UGD72" s="3"/>
      <c r="UGE72" s="3"/>
      <c r="UGF72" s="3"/>
      <c r="UGG72" s="3"/>
      <c r="UGH72" s="3"/>
      <c r="UGI72" s="3"/>
      <c r="UGJ72" s="3"/>
      <c r="UGK72" s="3"/>
      <c r="UGL72" s="3"/>
      <c r="UGM72" s="3"/>
      <c r="UGN72" s="3"/>
      <c r="UGO72" s="3"/>
      <c r="UGP72" s="3"/>
      <c r="UGQ72" s="3"/>
      <c r="UGR72" s="3"/>
      <c r="UGS72" s="3"/>
      <c r="UGT72" s="3"/>
      <c r="UGU72" s="3"/>
      <c r="UGV72" s="3"/>
      <c r="UGW72" s="3"/>
      <c r="UGX72" s="3"/>
      <c r="UGY72" s="3"/>
      <c r="UGZ72" s="3"/>
      <c r="UHA72" s="3"/>
      <c r="UHB72" s="3"/>
      <c r="UHC72" s="3"/>
      <c r="UHD72" s="3"/>
      <c r="UHE72" s="3"/>
      <c r="UHF72" s="3"/>
      <c r="UHG72" s="3"/>
      <c r="UHH72" s="3"/>
      <c r="UHI72" s="3"/>
      <c r="UHJ72" s="3"/>
      <c r="UHK72" s="3"/>
      <c r="UHL72" s="3"/>
      <c r="UHM72" s="3"/>
      <c r="UHN72" s="3"/>
      <c r="UHO72" s="3"/>
      <c r="UHP72" s="3"/>
      <c r="UHQ72" s="3"/>
      <c r="UHR72" s="3"/>
      <c r="UHS72" s="3"/>
      <c r="UHT72" s="3"/>
      <c r="UHU72" s="3"/>
      <c r="UHV72" s="3"/>
      <c r="UHW72" s="3"/>
      <c r="UHX72" s="3"/>
      <c r="UHY72" s="3"/>
      <c r="UHZ72" s="3"/>
      <c r="UIA72" s="3"/>
      <c r="UIB72" s="3"/>
      <c r="UIC72" s="3"/>
      <c r="UID72" s="3"/>
      <c r="UIE72" s="3"/>
      <c r="UIF72" s="3"/>
      <c r="UIG72" s="3"/>
      <c r="UIH72" s="3"/>
      <c r="UII72" s="3"/>
      <c r="UIJ72" s="3"/>
      <c r="UIK72" s="3"/>
      <c r="UIL72" s="3"/>
      <c r="UIM72" s="3"/>
      <c r="UIN72" s="3"/>
      <c r="UIO72" s="3"/>
      <c r="UIP72" s="3"/>
      <c r="UIQ72" s="3"/>
      <c r="UIR72" s="3"/>
      <c r="UIS72" s="3"/>
      <c r="UIT72" s="3"/>
      <c r="UIU72" s="3"/>
      <c r="UIV72" s="3"/>
      <c r="UIW72" s="3"/>
      <c r="UIX72" s="3"/>
      <c r="UIY72" s="3"/>
      <c r="UIZ72" s="3"/>
      <c r="UJA72" s="3"/>
      <c r="UJB72" s="3"/>
      <c r="UJC72" s="3"/>
      <c r="UJD72" s="3"/>
      <c r="UJE72" s="3"/>
      <c r="UJF72" s="3"/>
      <c r="UJG72" s="3"/>
      <c r="UJH72" s="3"/>
      <c r="UJI72" s="3"/>
      <c r="UJJ72" s="3"/>
      <c r="UJK72" s="3"/>
      <c r="UJL72" s="3"/>
      <c r="UJM72" s="3"/>
      <c r="UJN72" s="3"/>
      <c r="UJO72" s="3"/>
      <c r="UJP72" s="3"/>
      <c r="UJQ72" s="3"/>
      <c r="UJR72" s="3"/>
      <c r="UJS72" s="3"/>
      <c r="UJT72" s="3"/>
      <c r="UJU72" s="3"/>
      <c r="UJV72" s="3"/>
      <c r="UJW72" s="3"/>
      <c r="UJX72" s="3"/>
      <c r="UJY72" s="3"/>
      <c r="UJZ72" s="3"/>
      <c r="UKA72" s="3"/>
      <c r="UKB72" s="3"/>
      <c r="UKC72" s="3"/>
      <c r="UKD72" s="3"/>
      <c r="UKE72" s="3"/>
      <c r="UKF72" s="3"/>
      <c r="UKG72" s="3"/>
      <c r="UKH72" s="3"/>
      <c r="UKI72" s="3"/>
      <c r="UKJ72" s="3"/>
      <c r="UKK72" s="3"/>
      <c r="UKL72" s="3"/>
      <c r="UKM72" s="3"/>
      <c r="UKN72" s="3"/>
      <c r="UKO72" s="3"/>
      <c r="UKP72" s="3"/>
      <c r="UKQ72" s="3"/>
      <c r="UKR72" s="3"/>
      <c r="UKS72" s="3"/>
      <c r="UKT72" s="3"/>
      <c r="UKU72" s="3"/>
      <c r="UKV72" s="3"/>
      <c r="UKW72" s="3"/>
      <c r="UKX72" s="3"/>
      <c r="UKY72" s="3"/>
      <c r="UKZ72" s="3"/>
      <c r="ULA72" s="3"/>
      <c r="ULB72" s="3"/>
      <c r="ULC72" s="3"/>
      <c r="ULD72" s="3"/>
      <c r="ULE72" s="3"/>
      <c r="ULF72" s="3"/>
      <c r="ULG72" s="3"/>
      <c r="ULH72" s="3"/>
      <c r="ULI72" s="3"/>
      <c r="ULJ72" s="3"/>
      <c r="ULK72" s="3"/>
      <c r="ULL72" s="3"/>
      <c r="ULM72" s="3"/>
      <c r="ULN72" s="3"/>
      <c r="ULO72" s="3"/>
      <c r="ULP72" s="3"/>
      <c r="ULQ72" s="3"/>
      <c r="ULR72" s="3"/>
      <c r="ULS72" s="3"/>
      <c r="ULT72" s="3"/>
      <c r="ULU72" s="3"/>
      <c r="ULV72" s="3"/>
      <c r="ULW72" s="3"/>
      <c r="ULX72" s="3"/>
      <c r="ULY72" s="3"/>
      <c r="ULZ72" s="3"/>
      <c r="UMA72" s="3"/>
      <c r="UMB72" s="3"/>
      <c r="UMC72" s="3"/>
      <c r="UMD72" s="3"/>
      <c r="UME72" s="3"/>
      <c r="UMF72" s="3"/>
      <c r="UMG72" s="3"/>
      <c r="UMH72" s="3"/>
      <c r="UMI72" s="3"/>
      <c r="UMJ72" s="3"/>
      <c r="UMK72" s="3"/>
      <c r="UML72" s="3"/>
      <c r="UMM72" s="3"/>
      <c r="UMN72" s="3"/>
      <c r="UMO72" s="3"/>
      <c r="UMP72" s="3"/>
      <c r="UMQ72" s="3"/>
      <c r="UMR72" s="3"/>
      <c r="UMS72" s="3"/>
      <c r="UMT72" s="3"/>
      <c r="UMU72" s="3"/>
      <c r="UMV72" s="3"/>
      <c r="UMW72" s="3"/>
      <c r="UMX72" s="3"/>
      <c r="UMY72" s="3"/>
      <c r="UMZ72" s="3"/>
      <c r="UNA72" s="3"/>
      <c r="UNB72" s="3"/>
      <c r="UNC72" s="3"/>
      <c r="UND72" s="3"/>
      <c r="UNE72" s="3"/>
      <c r="UNF72" s="3"/>
      <c r="UNG72" s="3"/>
      <c r="UNH72" s="3"/>
      <c r="UNI72" s="3"/>
      <c r="UNJ72" s="3"/>
      <c r="UNK72" s="3"/>
      <c r="UNL72" s="3"/>
      <c r="UNM72" s="3"/>
      <c r="UNN72" s="3"/>
      <c r="UNO72" s="3"/>
      <c r="UNP72" s="3"/>
      <c r="UNQ72" s="3"/>
      <c r="UNR72" s="3"/>
      <c r="UNS72" s="3"/>
      <c r="UNT72" s="3"/>
      <c r="UNU72" s="3"/>
      <c r="UNV72" s="3"/>
      <c r="UNW72" s="3"/>
      <c r="UNX72" s="3"/>
      <c r="UNY72" s="3"/>
      <c r="UNZ72" s="3"/>
      <c r="UOA72" s="3"/>
      <c r="UOB72" s="3"/>
      <c r="UOC72" s="3"/>
      <c r="UOD72" s="3"/>
      <c r="UOE72" s="3"/>
      <c r="UOF72" s="3"/>
      <c r="UOG72" s="3"/>
      <c r="UOH72" s="3"/>
      <c r="UOI72" s="3"/>
      <c r="UOJ72" s="3"/>
      <c r="UOK72" s="3"/>
      <c r="UOL72" s="3"/>
      <c r="UOM72" s="3"/>
      <c r="UON72" s="3"/>
      <c r="UOO72" s="3"/>
      <c r="UOP72" s="3"/>
      <c r="UOQ72" s="3"/>
      <c r="UOR72" s="3"/>
      <c r="UOS72" s="3"/>
      <c r="UOT72" s="3"/>
      <c r="UOU72" s="3"/>
      <c r="UOV72" s="3"/>
      <c r="UOW72" s="3"/>
      <c r="UOX72" s="3"/>
      <c r="UOY72" s="3"/>
      <c r="UOZ72" s="3"/>
      <c r="UPA72" s="3"/>
      <c r="UPB72" s="3"/>
      <c r="UPC72" s="3"/>
      <c r="UPD72" s="3"/>
      <c r="UPE72" s="3"/>
      <c r="UPF72" s="3"/>
      <c r="UPG72" s="3"/>
      <c r="UPH72" s="3"/>
      <c r="UPI72" s="3"/>
      <c r="UPJ72" s="3"/>
      <c r="UPK72" s="3"/>
      <c r="UPL72" s="3"/>
      <c r="UPM72" s="3"/>
      <c r="UPN72" s="3"/>
      <c r="UPO72" s="3"/>
      <c r="UPP72" s="3"/>
      <c r="UPQ72" s="3"/>
      <c r="UPR72" s="3"/>
      <c r="UPS72" s="3"/>
      <c r="UPT72" s="3"/>
      <c r="UPU72" s="3"/>
      <c r="UPV72" s="3"/>
      <c r="UPW72" s="3"/>
      <c r="UPX72" s="3"/>
      <c r="UPY72" s="3"/>
      <c r="UPZ72" s="3"/>
      <c r="UQA72" s="3"/>
      <c r="UQB72" s="3"/>
      <c r="UQC72" s="3"/>
      <c r="UQD72" s="3"/>
      <c r="UQE72" s="3"/>
      <c r="UQF72" s="3"/>
      <c r="UQG72" s="3"/>
      <c r="UQH72" s="3"/>
      <c r="UQI72" s="3"/>
      <c r="UQJ72" s="3"/>
      <c r="UQK72" s="3"/>
      <c r="UQL72" s="3"/>
      <c r="UQM72" s="3"/>
      <c r="UQN72" s="3"/>
      <c r="UQO72" s="3"/>
      <c r="UQP72" s="3"/>
      <c r="UQQ72" s="3"/>
      <c r="UQR72" s="3"/>
      <c r="UQS72" s="3"/>
      <c r="UQT72" s="3"/>
      <c r="UQU72" s="3"/>
      <c r="UQV72" s="3"/>
      <c r="UQW72" s="3"/>
      <c r="UQX72" s="3"/>
      <c r="UQY72" s="3"/>
      <c r="UQZ72" s="3"/>
      <c r="URA72" s="3"/>
      <c r="URB72" s="3"/>
      <c r="URC72" s="3"/>
      <c r="URD72" s="3"/>
      <c r="URE72" s="3"/>
      <c r="URF72" s="3"/>
      <c r="URG72" s="3"/>
      <c r="URH72" s="3"/>
      <c r="URI72" s="3"/>
      <c r="URJ72" s="3"/>
      <c r="URK72" s="3"/>
      <c r="URL72" s="3"/>
      <c r="URM72" s="3"/>
      <c r="URN72" s="3"/>
      <c r="URO72" s="3"/>
      <c r="URP72" s="3"/>
      <c r="URQ72" s="3"/>
      <c r="URR72" s="3"/>
      <c r="URS72" s="3"/>
      <c r="URT72" s="3"/>
      <c r="URU72" s="3"/>
      <c r="URV72" s="3"/>
      <c r="URW72" s="3"/>
      <c r="URX72" s="3"/>
      <c r="URY72" s="3"/>
      <c r="URZ72" s="3"/>
      <c r="USA72" s="3"/>
      <c r="USB72" s="3"/>
      <c r="USC72" s="3"/>
      <c r="USD72" s="3"/>
      <c r="USE72" s="3"/>
      <c r="USF72" s="3"/>
      <c r="USG72" s="3"/>
      <c r="USH72" s="3"/>
      <c r="USI72" s="3"/>
      <c r="USJ72" s="3"/>
      <c r="USK72" s="3"/>
      <c r="USL72" s="3"/>
      <c r="USM72" s="3"/>
      <c r="USN72" s="3"/>
      <c r="USO72" s="3"/>
      <c r="USP72" s="3"/>
      <c r="USQ72" s="3"/>
      <c r="USR72" s="3"/>
      <c r="USS72" s="3"/>
      <c r="UST72" s="3"/>
      <c r="USU72" s="3"/>
      <c r="USV72" s="3"/>
      <c r="USW72" s="3"/>
      <c r="USX72" s="3"/>
      <c r="USY72" s="3"/>
      <c r="USZ72" s="3"/>
      <c r="UTA72" s="3"/>
      <c r="UTB72" s="3"/>
      <c r="UTC72" s="3"/>
      <c r="UTD72" s="3"/>
      <c r="UTE72" s="3"/>
      <c r="UTF72" s="3"/>
      <c r="UTG72" s="3"/>
      <c r="UTH72" s="3"/>
      <c r="UTI72" s="3"/>
      <c r="UTJ72" s="3"/>
      <c r="UTK72" s="3"/>
      <c r="UTL72" s="3"/>
      <c r="UTM72" s="3"/>
      <c r="UTN72" s="3"/>
      <c r="UTO72" s="3"/>
      <c r="UTP72" s="3"/>
      <c r="UTQ72" s="3"/>
      <c r="UTR72" s="3"/>
      <c r="UTS72" s="3"/>
      <c r="UTT72" s="3"/>
      <c r="UTU72" s="3"/>
      <c r="UTV72" s="3"/>
      <c r="UTW72" s="3"/>
      <c r="UTX72" s="3"/>
      <c r="UTY72" s="3"/>
      <c r="UTZ72" s="3"/>
      <c r="UUA72" s="3"/>
      <c r="UUB72" s="3"/>
      <c r="UUC72" s="3"/>
      <c r="UUD72" s="3"/>
      <c r="UUE72" s="3"/>
      <c r="UUF72" s="3"/>
      <c r="UUG72" s="3"/>
      <c r="UUH72" s="3"/>
      <c r="UUI72" s="3"/>
      <c r="UUJ72" s="3"/>
      <c r="UUK72" s="3"/>
      <c r="UUL72" s="3"/>
      <c r="UUM72" s="3"/>
      <c r="UUN72" s="3"/>
      <c r="UUO72" s="3"/>
      <c r="UUP72" s="3"/>
      <c r="UUQ72" s="3"/>
      <c r="UUR72" s="3"/>
      <c r="UUS72" s="3"/>
      <c r="UUT72" s="3"/>
      <c r="UUU72" s="3"/>
      <c r="UUV72" s="3"/>
      <c r="UUW72" s="3"/>
      <c r="UUX72" s="3"/>
      <c r="UUY72" s="3"/>
      <c r="UUZ72" s="3"/>
      <c r="UVA72" s="3"/>
      <c r="UVB72" s="3"/>
      <c r="UVC72" s="3"/>
      <c r="UVD72" s="3"/>
      <c r="UVE72" s="3"/>
      <c r="UVF72" s="3"/>
      <c r="UVG72" s="3"/>
      <c r="UVH72" s="3"/>
      <c r="UVI72" s="3"/>
      <c r="UVJ72" s="3"/>
      <c r="UVK72" s="3"/>
      <c r="UVL72" s="3"/>
      <c r="UVM72" s="3"/>
      <c r="UVN72" s="3"/>
      <c r="UVO72" s="3"/>
      <c r="UVP72" s="3"/>
      <c r="UVQ72" s="3"/>
      <c r="UVR72" s="3"/>
      <c r="UVS72" s="3"/>
      <c r="UVT72" s="3"/>
      <c r="UVU72" s="3"/>
      <c r="UVV72" s="3"/>
      <c r="UVW72" s="3"/>
      <c r="UVX72" s="3"/>
      <c r="UVY72" s="3"/>
      <c r="UVZ72" s="3"/>
      <c r="UWA72" s="3"/>
      <c r="UWB72" s="3"/>
      <c r="UWC72" s="3"/>
      <c r="UWD72" s="3"/>
      <c r="UWE72" s="3"/>
      <c r="UWF72" s="3"/>
      <c r="UWG72" s="3"/>
      <c r="UWH72" s="3"/>
      <c r="UWI72" s="3"/>
      <c r="UWJ72" s="3"/>
      <c r="UWK72" s="3"/>
      <c r="UWL72" s="3"/>
      <c r="UWM72" s="3"/>
      <c r="UWN72" s="3"/>
      <c r="UWO72" s="3"/>
      <c r="UWP72" s="3"/>
      <c r="UWQ72" s="3"/>
      <c r="UWR72" s="3"/>
      <c r="UWS72" s="3"/>
      <c r="UWT72" s="3"/>
      <c r="UWU72" s="3"/>
      <c r="UWV72" s="3"/>
      <c r="UWW72" s="3"/>
      <c r="UWX72" s="3"/>
      <c r="UWY72" s="3"/>
      <c r="UWZ72" s="3"/>
      <c r="UXA72" s="3"/>
      <c r="UXB72" s="3"/>
      <c r="UXC72" s="3"/>
      <c r="UXD72" s="3"/>
      <c r="UXE72" s="3"/>
      <c r="UXF72" s="3"/>
      <c r="UXG72" s="3"/>
      <c r="UXH72" s="3"/>
      <c r="UXI72" s="3"/>
      <c r="UXJ72" s="3"/>
      <c r="UXK72" s="3"/>
      <c r="UXL72" s="3"/>
      <c r="UXM72" s="3"/>
      <c r="UXN72" s="3"/>
      <c r="UXO72" s="3"/>
      <c r="UXP72" s="3"/>
      <c r="UXQ72" s="3"/>
      <c r="UXR72" s="3"/>
      <c r="UXS72" s="3"/>
      <c r="UXT72" s="3"/>
      <c r="UXU72" s="3"/>
      <c r="UXV72" s="3"/>
      <c r="UXW72" s="3"/>
      <c r="UXX72" s="3"/>
      <c r="UXY72" s="3"/>
      <c r="UXZ72" s="3"/>
      <c r="UYA72" s="3"/>
      <c r="UYB72" s="3"/>
      <c r="UYC72" s="3"/>
      <c r="UYD72" s="3"/>
      <c r="UYE72" s="3"/>
      <c r="UYF72" s="3"/>
      <c r="UYG72" s="3"/>
      <c r="UYH72" s="3"/>
      <c r="UYI72" s="3"/>
      <c r="UYJ72" s="3"/>
      <c r="UYK72" s="3"/>
      <c r="UYL72" s="3"/>
      <c r="UYM72" s="3"/>
      <c r="UYN72" s="3"/>
      <c r="UYO72" s="3"/>
      <c r="UYP72" s="3"/>
      <c r="UYQ72" s="3"/>
      <c r="UYR72" s="3"/>
      <c r="UYS72" s="3"/>
      <c r="UYT72" s="3"/>
      <c r="UYU72" s="3"/>
      <c r="UYV72" s="3"/>
      <c r="UYW72" s="3"/>
      <c r="UYX72" s="3"/>
      <c r="UYY72" s="3"/>
      <c r="UYZ72" s="3"/>
      <c r="UZA72" s="3"/>
      <c r="UZB72" s="3"/>
      <c r="UZC72" s="3"/>
      <c r="UZD72" s="3"/>
      <c r="UZE72" s="3"/>
      <c r="UZF72" s="3"/>
      <c r="UZG72" s="3"/>
      <c r="UZH72" s="3"/>
      <c r="UZI72" s="3"/>
      <c r="UZJ72" s="3"/>
      <c r="UZK72" s="3"/>
      <c r="UZL72" s="3"/>
      <c r="UZM72" s="3"/>
      <c r="UZN72" s="3"/>
      <c r="UZO72" s="3"/>
      <c r="UZP72" s="3"/>
      <c r="UZQ72" s="3"/>
      <c r="UZR72" s="3"/>
      <c r="UZS72" s="3"/>
      <c r="UZT72" s="3"/>
      <c r="UZU72" s="3"/>
      <c r="UZV72" s="3"/>
      <c r="UZW72" s="3"/>
      <c r="UZX72" s="3"/>
      <c r="UZY72" s="3"/>
      <c r="UZZ72" s="3"/>
      <c r="VAA72" s="3"/>
      <c r="VAB72" s="3"/>
      <c r="VAC72" s="3"/>
      <c r="VAD72" s="3"/>
      <c r="VAE72" s="3"/>
      <c r="VAF72" s="3"/>
      <c r="VAG72" s="3"/>
      <c r="VAH72" s="3"/>
      <c r="VAI72" s="3"/>
      <c r="VAJ72" s="3"/>
      <c r="VAK72" s="3"/>
      <c r="VAL72" s="3"/>
      <c r="VAM72" s="3"/>
      <c r="VAN72" s="3"/>
      <c r="VAO72" s="3"/>
      <c r="VAP72" s="3"/>
      <c r="VAQ72" s="3"/>
      <c r="VAR72" s="3"/>
      <c r="VAS72" s="3"/>
      <c r="VAT72" s="3"/>
      <c r="VAU72" s="3"/>
      <c r="VAV72" s="3"/>
      <c r="VAW72" s="3"/>
      <c r="VAX72" s="3"/>
      <c r="VAY72" s="3"/>
      <c r="VAZ72" s="3"/>
      <c r="VBA72" s="3"/>
      <c r="VBB72" s="3"/>
      <c r="VBC72" s="3"/>
      <c r="VBD72" s="3"/>
      <c r="VBE72" s="3"/>
      <c r="VBF72" s="3"/>
      <c r="VBG72" s="3"/>
      <c r="VBH72" s="3"/>
      <c r="VBI72" s="3"/>
      <c r="VBJ72" s="3"/>
      <c r="VBK72" s="3"/>
      <c r="VBL72" s="3"/>
      <c r="VBM72" s="3"/>
      <c r="VBN72" s="3"/>
      <c r="VBO72" s="3"/>
      <c r="VBP72" s="3"/>
      <c r="VBQ72" s="3"/>
      <c r="VBR72" s="3"/>
      <c r="VBS72" s="3"/>
      <c r="VBT72" s="3"/>
      <c r="VBU72" s="3"/>
      <c r="VBV72" s="3"/>
      <c r="VBW72" s="3"/>
      <c r="VBX72" s="3"/>
      <c r="VBY72" s="3"/>
      <c r="VBZ72" s="3"/>
      <c r="VCA72" s="3"/>
      <c r="VCB72" s="3"/>
      <c r="VCC72" s="3"/>
      <c r="VCD72" s="3"/>
      <c r="VCE72" s="3"/>
      <c r="VCF72" s="3"/>
      <c r="VCG72" s="3"/>
      <c r="VCH72" s="3"/>
      <c r="VCI72" s="3"/>
      <c r="VCJ72" s="3"/>
      <c r="VCK72" s="3"/>
      <c r="VCL72" s="3"/>
      <c r="VCM72" s="3"/>
      <c r="VCN72" s="3"/>
      <c r="VCO72" s="3"/>
      <c r="VCP72" s="3"/>
      <c r="VCQ72" s="3"/>
      <c r="VCR72" s="3"/>
      <c r="VCS72" s="3"/>
      <c r="VCT72" s="3"/>
      <c r="VCU72" s="3"/>
      <c r="VCV72" s="3"/>
      <c r="VCW72" s="3"/>
      <c r="VCX72" s="3"/>
      <c r="VCY72" s="3"/>
      <c r="VCZ72" s="3"/>
      <c r="VDA72" s="3"/>
      <c r="VDB72" s="3"/>
      <c r="VDC72" s="3"/>
      <c r="VDD72" s="3"/>
      <c r="VDE72" s="3"/>
      <c r="VDF72" s="3"/>
      <c r="VDG72" s="3"/>
      <c r="VDH72" s="3"/>
      <c r="VDI72" s="3"/>
      <c r="VDJ72" s="3"/>
      <c r="VDK72" s="3"/>
      <c r="VDL72" s="3"/>
      <c r="VDM72" s="3"/>
      <c r="VDN72" s="3"/>
      <c r="VDO72" s="3"/>
      <c r="VDP72" s="3"/>
      <c r="VDQ72" s="3"/>
      <c r="VDR72" s="3"/>
      <c r="VDS72" s="3"/>
      <c r="VDT72" s="3"/>
      <c r="VDU72" s="3"/>
      <c r="VDV72" s="3"/>
      <c r="VDW72" s="3"/>
      <c r="VDX72" s="3"/>
      <c r="VDY72" s="3"/>
      <c r="VDZ72" s="3"/>
      <c r="VEA72" s="3"/>
      <c r="VEB72" s="3"/>
      <c r="VEC72" s="3"/>
      <c r="VED72" s="3"/>
      <c r="VEE72" s="3"/>
      <c r="VEF72" s="3"/>
      <c r="VEG72" s="3"/>
      <c r="VEH72" s="3"/>
      <c r="VEI72" s="3"/>
      <c r="VEJ72" s="3"/>
      <c r="VEK72" s="3"/>
      <c r="VEL72" s="3"/>
      <c r="VEM72" s="3"/>
      <c r="VEN72" s="3"/>
      <c r="VEO72" s="3"/>
      <c r="VEP72" s="3"/>
      <c r="VEQ72" s="3"/>
      <c r="VER72" s="3"/>
      <c r="VES72" s="3"/>
      <c r="VET72" s="3"/>
      <c r="VEU72" s="3"/>
      <c r="VEV72" s="3"/>
      <c r="VEW72" s="3"/>
      <c r="VEX72" s="3"/>
      <c r="VEY72" s="3"/>
      <c r="VEZ72" s="3"/>
      <c r="VFA72" s="3"/>
      <c r="VFB72" s="3"/>
      <c r="VFC72" s="3"/>
      <c r="VFD72" s="3"/>
      <c r="VFE72" s="3"/>
      <c r="VFF72" s="3"/>
      <c r="VFG72" s="3"/>
      <c r="VFH72" s="3"/>
      <c r="VFI72" s="3"/>
      <c r="VFJ72" s="3"/>
      <c r="VFK72" s="3"/>
      <c r="VFL72" s="3"/>
      <c r="VFM72" s="3"/>
      <c r="VFN72" s="3"/>
      <c r="VFO72" s="3"/>
      <c r="VFP72" s="3"/>
      <c r="VFQ72" s="3"/>
      <c r="VFR72" s="3"/>
      <c r="VFS72" s="3"/>
      <c r="VFT72" s="3"/>
      <c r="VFU72" s="3"/>
      <c r="VFV72" s="3"/>
      <c r="VFW72" s="3"/>
      <c r="VFX72" s="3"/>
      <c r="VFY72" s="3"/>
      <c r="VFZ72" s="3"/>
      <c r="VGA72" s="3"/>
      <c r="VGB72" s="3"/>
      <c r="VGC72" s="3"/>
      <c r="VGD72" s="3"/>
      <c r="VGE72" s="3"/>
      <c r="VGF72" s="3"/>
      <c r="VGG72" s="3"/>
      <c r="VGH72" s="3"/>
      <c r="VGI72" s="3"/>
      <c r="VGJ72" s="3"/>
      <c r="VGK72" s="3"/>
      <c r="VGL72" s="3"/>
      <c r="VGM72" s="3"/>
      <c r="VGN72" s="3"/>
      <c r="VGO72" s="3"/>
      <c r="VGP72" s="3"/>
      <c r="VGQ72" s="3"/>
      <c r="VGR72" s="3"/>
      <c r="VGS72" s="3"/>
      <c r="VGT72" s="3"/>
      <c r="VGU72" s="3"/>
      <c r="VGV72" s="3"/>
      <c r="VGW72" s="3"/>
      <c r="VGX72" s="3"/>
      <c r="VGY72" s="3"/>
      <c r="VGZ72" s="3"/>
      <c r="VHA72" s="3"/>
      <c r="VHB72" s="3"/>
      <c r="VHC72" s="3"/>
      <c r="VHD72" s="3"/>
      <c r="VHE72" s="3"/>
      <c r="VHF72" s="3"/>
      <c r="VHG72" s="3"/>
      <c r="VHH72" s="3"/>
      <c r="VHI72" s="3"/>
      <c r="VHJ72" s="3"/>
      <c r="VHK72" s="3"/>
      <c r="VHL72" s="3"/>
      <c r="VHM72" s="3"/>
      <c r="VHN72" s="3"/>
      <c r="VHO72" s="3"/>
      <c r="VHP72" s="3"/>
      <c r="VHQ72" s="3"/>
      <c r="VHR72" s="3"/>
      <c r="VHS72" s="3"/>
      <c r="VHT72" s="3"/>
      <c r="VHU72" s="3"/>
      <c r="VHV72" s="3"/>
      <c r="VHW72" s="3"/>
      <c r="VHX72" s="3"/>
      <c r="VHY72" s="3"/>
      <c r="VHZ72" s="3"/>
      <c r="VIA72" s="3"/>
      <c r="VIB72" s="3"/>
      <c r="VIC72" s="3"/>
      <c r="VID72" s="3"/>
      <c r="VIE72" s="3"/>
      <c r="VIF72" s="3"/>
      <c r="VIG72" s="3"/>
      <c r="VIH72" s="3"/>
      <c r="VII72" s="3"/>
      <c r="VIJ72" s="3"/>
      <c r="VIK72" s="3"/>
      <c r="VIL72" s="3"/>
      <c r="VIM72" s="3"/>
      <c r="VIN72" s="3"/>
      <c r="VIO72" s="3"/>
      <c r="VIP72" s="3"/>
      <c r="VIQ72" s="3"/>
      <c r="VIR72" s="3"/>
      <c r="VIS72" s="3"/>
      <c r="VIT72" s="3"/>
      <c r="VIU72" s="3"/>
      <c r="VIV72" s="3"/>
      <c r="VIW72" s="3"/>
      <c r="VIX72" s="3"/>
      <c r="VIY72" s="3"/>
      <c r="VIZ72" s="3"/>
      <c r="VJA72" s="3"/>
      <c r="VJB72" s="3"/>
      <c r="VJC72" s="3"/>
      <c r="VJD72" s="3"/>
      <c r="VJE72" s="3"/>
      <c r="VJF72" s="3"/>
      <c r="VJG72" s="3"/>
      <c r="VJH72" s="3"/>
      <c r="VJI72" s="3"/>
      <c r="VJJ72" s="3"/>
      <c r="VJK72" s="3"/>
      <c r="VJL72" s="3"/>
      <c r="VJM72" s="3"/>
      <c r="VJN72" s="3"/>
      <c r="VJO72" s="3"/>
      <c r="VJP72" s="3"/>
      <c r="VJQ72" s="3"/>
      <c r="VJR72" s="3"/>
      <c r="VJS72" s="3"/>
      <c r="VJT72" s="3"/>
      <c r="VJU72" s="3"/>
      <c r="VJV72" s="3"/>
      <c r="VJW72" s="3"/>
      <c r="VJX72" s="3"/>
      <c r="VJY72" s="3"/>
      <c r="VJZ72" s="3"/>
      <c r="VKA72" s="3"/>
      <c r="VKB72" s="3"/>
      <c r="VKC72" s="3"/>
      <c r="VKD72" s="3"/>
      <c r="VKE72" s="3"/>
      <c r="VKF72" s="3"/>
      <c r="VKG72" s="3"/>
      <c r="VKH72" s="3"/>
      <c r="VKI72" s="3"/>
      <c r="VKJ72" s="3"/>
      <c r="VKK72" s="3"/>
      <c r="VKL72" s="3"/>
      <c r="VKM72" s="3"/>
      <c r="VKN72" s="3"/>
      <c r="VKO72" s="3"/>
      <c r="VKP72" s="3"/>
      <c r="VKQ72" s="3"/>
      <c r="VKR72" s="3"/>
      <c r="VKS72" s="3"/>
      <c r="VKT72" s="3"/>
      <c r="VKU72" s="3"/>
      <c r="VKV72" s="3"/>
      <c r="VKW72" s="3"/>
      <c r="VKX72" s="3"/>
      <c r="VKY72" s="3"/>
      <c r="VKZ72" s="3"/>
      <c r="VLA72" s="3"/>
      <c r="VLB72" s="3"/>
      <c r="VLC72" s="3"/>
      <c r="VLD72" s="3"/>
      <c r="VLE72" s="3"/>
      <c r="VLF72" s="3"/>
      <c r="VLG72" s="3"/>
      <c r="VLH72" s="3"/>
      <c r="VLI72" s="3"/>
      <c r="VLJ72" s="3"/>
      <c r="VLK72" s="3"/>
      <c r="VLL72" s="3"/>
      <c r="VLM72" s="3"/>
      <c r="VLN72" s="3"/>
      <c r="VLO72" s="3"/>
      <c r="VLP72" s="3"/>
      <c r="VLQ72" s="3"/>
      <c r="VLR72" s="3"/>
      <c r="VLS72" s="3"/>
      <c r="VLT72" s="3"/>
      <c r="VLU72" s="3"/>
      <c r="VLV72" s="3"/>
      <c r="VLW72" s="3"/>
      <c r="VLX72" s="3"/>
      <c r="VLY72" s="3"/>
      <c r="VLZ72" s="3"/>
      <c r="VMA72" s="3"/>
      <c r="VMB72" s="3"/>
      <c r="VMC72" s="3"/>
      <c r="VMD72" s="3"/>
      <c r="VME72" s="3"/>
      <c r="VMF72" s="3"/>
      <c r="VMG72" s="3"/>
      <c r="VMH72" s="3"/>
      <c r="VMI72" s="3"/>
      <c r="VMJ72" s="3"/>
      <c r="VMK72" s="3"/>
      <c r="VML72" s="3"/>
      <c r="VMM72" s="3"/>
      <c r="VMN72" s="3"/>
      <c r="VMO72" s="3"/>
      <c r="VMP72" s="3"/>
      <c r="VMQ72" s="3"/>
      <c r="VMR72" s="3"/>
      <c r="VMS72" s="3"/>
      <c r="VMT72" s="3"/>
      <c r="VMU72" s="3"/>
      <c r="VMV72" s="3"/>
      <c r="VMW72" s="3"/>
      <c r="VMX72" s="3"/>
      <c r="VMY72" s="3"/>
      <c r="VMZ72" s="3"/>
      <c r="VNA72" s="3"/>
      <c r="VNB72" s="3"/>
      <c r="VNC72" s="3"/>
      <c r="VND72" s="3"/>
      <c r="VNE72" s="3"/>
      <c r="VNF72" s="3"/>
      <c r="VNG72" s="3"/>
      <c r="VNH72" s="3"/>
      <c r="VNI72" s="3"/>
      <c r="VNJ72" s="3"/>
      <c r="VNK72" s="3"/>
      <c r="VNL72" s="3"/>
      <c r="VNM72" s="3"/>
      <c r="VNN72" s="3"/>
      <c r="VNO72" s="3"/>
      <c r="VNP72" s="3"/>
      <c r="VNQ72" s="3"/>
      <c r="VNR72" s="3"/>
      <c r="VNS72" s="3"/>
      <c r="VNT72" s="3"/>
      <c r="VNU72" s="3"/>
      <c r="VNV72" s="3"/>
      <c r="VNW72" s="3"/>
      <c r="VNX72" s="3"/>
      <c r="VNY72" s="3"/>
      <c r="VNZ72" s="3"/>
      <c r="VOA72" s="3"/>
      <c r="VOB72" s="3"/>
      <c r="VOC72" s="3"/>
      <c r="VOD72" s="3"/>
      <c r="VOE72" s="3"/>
      <c r="VOF72" s="3"/>
      <c r="VOG72" s="3"/>
      <c r="VOH72" s="3"/>
      <c r="VOI72" s="3"/>
      <c r="VOJ72" s="3"/>
      <c r="VOK72" s="3"/>
      <c r="VOL72" s="3"/>
      <c r="VOM72" s="3"/>
      <c r="VON72" s="3"/>
      <c r="VOO72" s="3"/>
      <c r="VOP72" s="3"/>
      <c r="VOQ72" s="3"/>
      <c r="VOR72" s="3"/>
      <c r="VOS72" s="3"/>
      <c r="VOT72" s="3"/>
      <c r="VOU72" s="3"/>
      <c r="VOV72" s="3"/>
      <c r="VOW72" s="3"/>
      <c r="VOX72" s="3"/>
      <c r="VOY72" s="3"/>
      <c r="VOZ72" s="3"/>
      <c r="VPA72" s="3"/>
      <c r="VPB72" s="3"/>
      <c r="VPC72" s="3"/>
      <c r="VPD72" s="3"/>
      <c r="VPE72" s="3"/>
      <c r="VPF72" s="3"/>
      <c r="VPG72" s="3"/>
      <c r="VPH72" s="3"/>
      <c r="VPI72" s="3"/>
      <c r="VPJ72" s="3"/>
      <c r="VPK72" s="3"/>
      <c r="VPL72" s="3"/>
      <c r="VPM72" s="3"/>
      <c r="VPN72" s="3"/>
      <c r="VPO72" s="3"/>
      <c r="VPP72" s="3"/>
      <c r="VPQ72" s="3"/>
      <c r="VPR72" s="3"/>
      <c r="VPS72" s="3"/>
      <c r="VPT72" s="3"/>
      <c r="VPU72" s="3"/>
      <c r="VPV72" s="3"/>
      <c r="VPW72" s="3"/>
      <c r="VPX72" s="3"/>
      <c r="VPY72" s="3"/>
      <c r="VPZ72" s="3"/>
      <c r="VQA72" s="3"/>
      <c r="VQB72" s="3"/>
      <c r="VQC72" s="3"/>
      <c r="VQD72" s="3"/>
      <c r="VQE72" s="3"/>
      <c r="VQF72" s="3"/>
      <c r="VQG72" s="3"/>
      <c r="VQH72" s="3"/>
      <c r="VQI72" s="3"/>
      <c r="VQJ72" s="3"/>
      <c r="VQK72" s="3"/>
      <c r="VQL72" s="3"/>
      <c r="VQM72" s="3"/>
      <c r="VQN72" s="3"/>
      <c r="VQO72" s="3"/>
      <c r="VQP72" s="3"/>
      <c r="VQQ72" s="3"/>
      <c r="VQR72" s="3"/>
      <c r="VQS72" s="3"/>
      <c r="VQT72" s="3"/>
      <c r="VQU72" s="3"/>
      <c r="VQV72" s="3"/>
      <c r="VQW72" s="3"/>
      <c r="VQX72" s="3"/>
      <c r="VQY72" s="3"/>
      <c r="VQZ72" s="3"/>
      <c r="VRA72" s="3"/>
      <c r="VRB72" s="3"/>
      <c r="VRC72" s="3"/>
      <c r="VRD72" s="3"/>
      <c r="VRE72" s="3"/>
      <c r="VRF72" s="3"/>
      <c r="VRG72" s="3"/>
      <c r="VRH72" s="3"/>
      <c r="VRI72" s="3"/>
      <c r="VRJ72" s="3"/>
      <c r="VRK72" s="3"/>
      <c r="VRL72" s="3"/>
      <c r="VRM72" s="3"/>
      <c r="VRN72" s="3"/>
      <c r="VRO72" s="3"/>
      <c r="VRP72" s="3"/>
      <c r="VRQ72" s="3"/>
      <c r="VRR72" s="3"/>
      <c r="VRS72" s="3"/>
      <c r="VRT72" s="3"/>
      <c r="VRU72" s="3"/>
      <c r="VRV72" s="3"/>
      <c r="VRW72" s="3"/>
      <c r="VRX72" s="3"/>
      <c r="VRY72" s="3"/>
      <c r="VRZ72" s="3"/>
      <c r="VSA72" s="3"/>
      <c r="VSB72" s="3"/>
      <c r="VSC72" s="3"/>
      <c r="VSD72" s="3"/>
      <c r="VSE72" s="3"/>
      <c r="VSF72" s="3"/>
      <c r="VSG72" s="3"/>
      <c r="VSH72" s="3"/>
      <c r="VSI72" s="3"/>
      <c r="VSJ72" s="3"/>
      <c r="VSK72" s="3"/>
      <c r="VSL72" s="3"/>
      <c r="VSM72" s="3"/>
      <c r="VSN72" s="3"/>
      <c r="VSO72" s="3"/>
      <c r="VSP72" s="3"/>
      <c r="VSQ72" s="3"/>
      <c r="VSR72" s="3"/>
      <c r="VSS72" s="3"/>
      <c r="VST72" s="3"/>
      <c r="VSU72" s="3"/>
      <c r="VSV72" s="3"/>
      <c r="VSW72" s="3"/>
      <c r="VSX72" s="3"/>
      <c r="VSY72" s="3"/>
      <c r="VSZ72" s="3"/>
      <c r="VTA72" s="3"/>
      <c r="VTB72" s="3"/>
      <c r="VTC72" s="3"/>
      <c r="VTD72" s="3"/>
      <c r="VTE72" s="3"/>
      <c r="VTF72" s="3"/>
      <c r="VTG72" s="3"/>
      <c r="VTH72" s="3"/>
      <c r="VTI72" s="3"/>
      <c r="VTJ72" s="3"/>
      <c r="VTK72" s="3"/>
      <c r="VTL72" s="3"/>
      <c r="VTM72" s="3"/>
      <c r="VTN72" s="3"/>
      <c r="VTO72" s="3"/>
      <c r="VTP72" s="3"/>
      <c r="VTQ72" s="3"/>
      <c r="VTR72" s="3"/>
      <c r="VTS72" s="3"/>
      <c r="VTT72" s="3"/>
      <c r="VTU72" s="3"/>
      <c r="VTV72" s="3"/>
      <c r="VTW72" s="3"/>
      <c r="VTX72" s="3"/>
      <c r="VTY72" s="3"/>
      <c r="VTZ72" s="3"/>
      <c r="VUA72" s="3"/>
      <c r="VUB72" s="3"/>
      <c r="VUC72" s="3"/>
      <c r="VUD72" s="3"/>
      <c r="VUE72" s="3"/>
      <c r="VUF72" s="3"/>
      <c r="VUG72" s="3"/>
      <c r="VUH72" s="3"/>
      <c r="VUI72" s="3"/>
      <c r="VUJ72" s="3"/>
      <c r="VUK72" s="3"/>
      <c r="VUL72" s="3"/>
      <c r="VUM72" s="3"/>
      <c r="VUN72" s="3"/>
      <c r="VUO72" s="3"/>
      <c r="VUP72" s="3"/>
      <c r="VUQ72" s="3"/>
      <c r="VUR72" s="3"/>
      <c r="VUS72" s="3"/>
      <c r="VUT72" s="3"/>
      <c r="VUU72" s="3"/>
      <c r="VUV72" s="3"/>
      <c r="VUW72" s="3"/>
      <c r="VUX72" s="3"/>
      <c r="VUY72" s="3"/>
      <c r="VUZ72" s="3"/>
      <c r="VVA72" s="3"/>
      <c r="VVB72" s="3"/>
      <c r="VVC72" s="3"/>
      <c r="VVD72" s="3"/>
      <c r="VVE72" s="3"/>
      <c r="VVF72" s="3"/>
      <c r="VVG72" s="3"/>
      <c r="VVH72" s="3"/>
      <c r="VVI72" s="3"/>
      <c r="VVJ72" s="3"/>
      <c r="VVK72" s="3"/>
      <c r="VVL72" s="3"/>
      <c r="VVM72" s="3"/>
      <c r="VVN72" s="3"/>
      <c r="VVO72" s="3"/>
      <c r="VVP72" s="3"/>
      <c r="VVQ72" s="3"/>
      <c r="VVR72" s="3"/>
      <c r="VVS72" s="3"/>
      <c r="VVT72" s="3"/>
      <c r="VVU72" s="3"/>
      <c r="VVV72" s="3"/>
      <c r="VVW72" s="3"/>
      <c r="VVX72" s="3"/>
      <c r="VVY72" s="3"/>
      <c r="VVZ72" s="3"/>
      <c r="VWA72" s="3"/>
      <c r="VWB72" s="3"/>
      <c r="VWC72" s="3"/>
      <c r="VWD72" s="3"/>
      <c r="VWE72" s="3"/>
      <c r="VWF72" s="3"/>
      <c r="VWG72" s="3"/>
      <c r="VWH72" s="3"/>
      <c r="VWI72" s="3"/>
      <c r="VWJ72" s="3"/>
      <c r="VWK72" s="3"/>
      <c r="VWL72" s="3"/>
      <c r="VWM72" s="3"/>
      <c r="VWN72" s="3"/>
      <c r="VWO72" s="3"/>
      <c r="VWP72" s="3"/>
      <c r="VWQ72" s="3"/>
      <c r="VWR72" s="3"/>
      <c r="VWS72" s="3"/>
      <c r="VWT72" s="3"/>
      <c r="VWU72" s="3"/>
      <c r="VWV72" s="3"/>
      <c r="VWW72" s="3"/>
      <c r="VWX72" s="3"/>
      <c r="VWY72" s="3"/>
      <c r="VWZ72" s="3"/>
      <c r="VXA72" s="3"/>
      <c r="VXB72" s="3"/>
      <c r="VXC72" s="3"/>
      <c r="VXD72" s="3"/>
      <c r="VXE72" s="3"/>
      <c r="VXF72" s="3"/>
      <c r="VXG72" s="3"/>
      <c r="VXH72" s="3"/>
      <c r="VXI72" s="3"/>
      <c r="VXJ72" s="3"/>
      <c r="VXK72" s="3"/>
      <c r="VXL72" s="3"/>
      <c r="VXM72" s="3"/>
      <c r="VXN72" s="3"/>
      <c r="VXO72" s="3"/>
      <c r="VXP72" s="3"/>
      <c r="VXQ72" s="3"/>
      <c r="VXR72" s="3"/>
      <c r="VXS72" s="3"/>
      <c r="VXT72" s="3"/>
      <c r="VXU72" s="3"/>
      <c r="VXV72" s="3"/>
      <c r="VXW72" s="3"/>
      <c r="VXX72" s="3"/>
      <c r="VXY72" s="3"/>
      <c r="VXZ72" s="3"/>
      <c r="VYA72" s="3"/>
      <c r="VYB72" s="3"/>
      <c r="VYC72" s="3"/>
      <c r="VYD72" s="3"/>
      <c r="VYE72" s="3"/>
      <c r="VYF72" s="3"/>
      <c r="VYG72" s="3"/>
      <c r="VYH72" s="3"/>
      <c r="VYI72" s="3"/>
      <c r="VYJ72" s="3"/>
      <c r="VYK72" s="3"/>
      <c r="VYL72" s="3"/>
      <c r="VYM72" s="3"/>
      <c r="VYN72" s="3"/>
      <c r="VYO72" s="3"/>
      <c r="VYP72" s="3"/>
      <c r="VYQ72" s="3"/>
      <c r="VYR72" s="3"/>
      <c r="VYS72" s="3"/>
      <c r="VYT72" s="3"/>
      <c r="VYU72" s="3"/>
      <c r="VYV72" s="3"/>
      <c r="VYW72" s="3"/>
      <c r="VYX72" s="3"/>
      <c r="VYY72" s="3"/>
      <c r="VYZ72" s="3"/>
      <c r="VZA72" s="3"/>
      <c r="VZB72" s="3"/>
      <c r="VZC72" s="3"/>
      <c r="VZD72" s="3"/>
      <c r="VZE72" s="3"/>
      <c r="VZF72" s="3"/>
      <c r="VZG72" s="3"/>
      <c r="VZH72" s="3"/>
      <c r="VZI72" s="3"/>
      <c r="VZJ72" s="3"/>
      <c r="VZK72" s="3"/>
      <c r="VZL72" s="3"/>
      <c r="VZM72" s="3"/>
      <c r="VZN72" s="3"/>
      <c r="VZO72" s="3"/>
      <c r="VZP72" s="3"/>
      <c r="VZQ72" s="3"/>
      <c r="VZR72" s="3"/>
      <c r="VZS72" s="3"/>
      <c r="VZT72" s="3"/>
      <c r="VZU72" s="3"/>
      <c r="VZV72" s="3"/>
      <c r="VZW72" s="3"/>
      <c r="VZX72" s="3"/>
      <c r="VZY72" s="3"/>
      <c r="VZZ72" s="3"/>
      <c r="WAA72" s="3"/>
      <c r="WAB72" s="3"/>
      <c r="WAC72" s="3"/>
      <c r="WAD72" s="3"/>
      <c r="WAE72" s="3"/>
      <c r="WAF72" s="3"/>
      <c r="WAG72" s="3"/>
      <c r="WAH72" s="3"/>
      <c r="WAI72" s="3"/>
      <c r="WAJ72" s="3"/>
      <c r="WAK72" s="3"/>
      <c r="WAL72" s="3"/>
      <c r="WAM72" s="3"/>
      <c r="WAN72" s="3"/>
      <c r="WAO72" s="3"/>
      <c r="WAP72" s="3"/>
      <c r="WAQ72" s="3"/>
      <c r="WAR72" s="3"/>
      <c r="WAS72" s="3"/>
      <c r="WAT72" s="3"/>
      <c r="WAU72" s="3"/>
      <c r="WAV72" s="3"/>
      <c r="WAW72" s="3"/>
      <c r="WAX72" s="3"/>
      <c r="WAY72" s="3"/>
      <c r="WAZ72" s="3"/>
      <c r="WBA72" s="3"/>
      <c r="WBB72" s="3"/>
      <c r="WBC72" s="3"/>
      <c r="WBD72" s="3"/>
      <c r="WBE72" s="3"/>
      <c r="WBF72" s="3"/>
      <c r="WBG72" s="3"/>
      <c r="WBH72" s="3"/>
      <c r="WBI72" s="3"/>
      <c r="WBJ72" s="3"/>
      <c r="WBK72" s="3"/>
      <c r="WBL72" s="3"/>
      <c r="WBM72" s="3"/>
      <c r="WBN72" s="3"/>
      <c r="WBO72" s="3"/>
      <c r="WBP72" s="3"/>
      <c r="WBQ72" s="3"/>
      <c r="WBR72" s="3"/>
      <c r="WBS72" s="3"/>
      <c r="WBT72" s="3"/>
      <c r="WBU72" s="3"/>
      <c r="WBV72" s="3"/>
      <c r="WBW72" s="3"/>
      <c r="WBX72" s="3"/>
      <c r="WBY72" s="3"/>
      <c r="WBZ72" s="3"/>
      <c r="WCA72" s="3"/>
      <c r="WCB72" s="3"/>
      <c r="WCC72" s="3"/>
      <c r="WCD72" s="3"/>
      <c r="WCE72" s="3"/>
      <c r="WCF72" s="3"/>
      <c r="WCG72" s="3"/>
      <c r="WCH72" s="3"/>
      <c r="WCI72" s="3"/>
      <c r="WCJ72" s="3"/>
      <c r="WCK72" s="3"/>
      <c r="WCL72" s="3"/>
      <c r="WCM72" s="3"/>
      <c r="WCN72" s="3"/>
      <c r="WCO72" s="3"/>
      <c r="WCP72" s="3"/>
      <c r="WCQ72" s="3"/>
      <c r="WCR72" s="3"/>
      <c r="WCS72" s="3"/>
      <c r="WCT72" s="3"/>
      <c r="WCU72" s="3"/>
      <c r="WCV72" s="3"/>
      <c r="WCW72" s="3"/>
      <c r="WCX72" s="3"/>
      <c r="WCY72" s="3"/>
      <c r="WCZ72" s="3"/>
      <c r="WDA72" s="3"/>
      <c r="WDB72" s="3"/>
      <c r="WDC72" s="3"/>
      <c r="WDD72" s="3"/>
      <c r="WDE72" s="3"/>
      <c r="WDF72" s="3"/>
      <c r="WDG72" s="3"/>
      <c r="WDH72" s="3"/>
      <c r="WDI72" s="3"/>
      <c r="WDJ72" s="3"/>
      <c r="WDK72" s="3"/>
      <c r="WDL72" s="3"/>
      <c r="WDM72" s="3"/>
      <c r="WDN72" s="3"/>
      <c r="WDO72" s="3"/>
      <c r="WDP72" s="3"/>
      <c r="WDQ72" s="3"/>
      <c r="WDR72" s="3"/>
      <c r="WDS72" s="3"/>
      <c r="WDT72" s="3"/>
      <c r="WDU72" s="3"/>
      <c r="WDV72" s="3"/>
      <c r="WDW72" s="3"/>
      <c r="WDX72" s="3"/>
      <c r="WDY72" s="3"/>
      <c r="WDZ72" s="3"/>
      <c r="WEA72" s="3"/>
      <c r="WEB72" s="3"/>
      <c r="WEC72" s="3"/>
      <c r="WED72" s="3"/>
      <c r="WEE72" s="3"/>
      <c r="WEF72" s="3"/>
      <c r="WEG72" s="3"/>
      <c r="WEH72" s="3"/>
      <c r="WEI72" s="3"/>
      <c r="WEJ72" s="3"/>
      <c r="WEK72" s="3"/>
      <c r="WEL72" s="3"/>
      <c r="WEM72" s="3"/>
      <c r="WEN72" s="3"/>
      <c r="WEO72" s="3"/>
      <c r="WEP72" s="3"/>
      <c r="WEQ72" s="3"/>
      <c r="WER72" s="3"/>
      <c r="WES72" s="3"/>
      <c r="WET72" s="3"/>
      <c r="WEU72" s="3"/>
      <c r="WEV72" s="3"/>
      <c r="WEW72" s="3"/>
      <c r="WEX72" s="3"/>
      <c r="WEY72" s="3"/>
      <c r="WEZ72" s="3"/>
      <c r="WFA72" s="3"/>
      <c r="WFB72" s="3"/>
      <c r="WFC72" s="3"/>
      <c r="WFD72" s="3"/>
      <c r="WFE72" s="3"/>
      <c r="WFF72" s="3"/>
      <c r="WFG72" s="3"/>
      <c r="WFH72" s="3"/>
      <c r="WFI72" s="3"/>
      <c r="WFJ72" s="3"/>
      <c r="WFK72" s="3"/>
      <c r="WFL72" s="3"/>
      <c r="WFM72" s="3"/>
      <c r="WFN72" s="3"/>
      <c r="WFO72" s="3"/>
      <c r="WFP72" s="3"/>
      <c r="WFQ72" s="3"/>
      <c r="WFR72" s="3"/>
      <c r="WFS72" s="3"/>
      <c r="WFT72" s="3"/>
      <c r="WFU72" s="3"/>
      <c r="WFV72" s="3"/>
      <c r="WFW72" s="3"/>
      <c r="WFX72" s="3"/>
      <c r="WFY72" s="3"/>
      <c r="WFZ72" s="3"/>
      <c r="WGA72" s="3"/>
      <c r="WGB72" s="3"/>
      <c r="WGC72" s="3"/>
      <c r="WGD72" s="3"/>
      <c r="WGE72" s="3"/>
      <c r="WGF72" s="3"/>
      <c r="WGG72" s="3"/>
      <c r="WGH72" s="3"/>
      <c r="WGI72" s="3"/>
      <c r="WGJ72" s="3"/>
      <c r="WGK72" s="3"/>
      <c r="WGL72" s="3"/>
      <c r="WGM72" s="3"/>
      <c r="WGN72" s="3"/>
      <c r="WGO72" s="3"/>
      <c r="WGP72" s="3"/>
      <c r="WGQ72" s="3"/>
      <c r="WGR72" s="3"/>
      <c r="WGS72" s="3"/>
      <c r="WGT72" s="3"/>
      <c r="WGU72" s="3"/>
      <c r="WGV72" s="3"/>
      <c r="WGW72" s="3"/>
      <c r="WGX72" s="3"/>
      <c r="WGY72" s="3"/>
      <c r="WGZ72" s="3"/>
      <c r="WHA72" s="3"/>
      <c r="WHB72" s="3"/>
      <c r="WHC72" s="3"/>
      <c r="WHD72" s="3"/>
      <c r="WHE72" s="3"/>
      <c r="WHF72" s="3"/>
      <c r="WHG72" s="3"/>
      <c r="WHH72" s="3"/>
      <c r="WHI72" s="3"/>
      <c r="WHJ72" s="3"/>
      <c r="WHK72" s="3"/>
      <c r="WHL72" s="3"/>
      <c r="WHM72" s="3"/>
      <c r="WHN72" s="3"/>
      <c r="WHO72" s="3"/>
      <c r="WHP72" s="3"/>
      <c r="WHQ72" s="3"/>
      <c r="WHR72" s="3"/>
      <c r="WHS72" s="3"/>
      <c r="WHT72" s="3"/>
      <c r="WHU72" s="3"/>
      <c r="WHV72" s="3"/>
      <c r="WHW72" s="3"/>
      <c r="WHX72" s="3"/>
      <c r="WHY72" s="3"/>
      <c r="WHZ72" s="3"/>
      <c r="WIA72" s="3"/>
      <c r="WIB72" s="3"/>
      <c r="WIC72" s="3"/>
      <c r="WID72" s="3"/>
      <c r="WIE72" s="3"/>
      <c r="WIF72" s="3"/>
      <c r="WIG72" s="3"/>
      <c r="WIH72" s="3"/>
      <c r="WII72" s="3"/>
      <c r="WIJ72" s="3"/>
      <c r="WIK72" s="3"/>
      <c r="WIL72" s="3"/>
      <c r="WIM72" s="3"/>
      <c r="WIN72" s="3"/>
      <c r="WIO72" s="3"/>
      <c r="WIP72" s="3"/>
      <c r="WIQ72" s="3"/>
      <c r="WIR72" s="3"/>
      <c r="WIS72" s="3"/>
      <c r="WIT72" s="3"/>
      <c r="WIU72" s="3"/>
      <c r="WIV72" s="3"/>
      <c r="WIW72" s="3"/>
      <c r="WIX72" s="3"/>
      <c r="WIY72" s="3"/>
      <c r="WIZ72" s="3"/>
      <c r="WJA72" s="3"/>
      <c r="WJB72" s="3"/>
      <c r="WJC72" s="3"/>
      <c r="WJD72" s="3"/>
      <c r="WJE72" s="3"/>
      <c r="WJF72" s="3"/>
      <c r="WJG72" s="3"/>
      <c r="WJH72" s="3"/>
      <c r="WJI72" s="3"/>
      <c r="WJJ72" s="3"/>
      <c r="WJK72" s="3"/>
      <c r="WJL72" s="3"/>
      <c r="WJM72" s="3"/>
      <c r="WJN72" s="3"/>
      <c r="WJO72" s="3"/>
      <c r="WJP72" s="3"/>
      <c r="WJQ72" s="3"/>
      <c r="WJR72" s="3"/>
      <c r="WJS72" s="3"/>
      <c r="WJT72" s="3"/>
      <c r="WJU72" s="3"/>
      <c r="WJV72" s="3"/>
      <c r="WJW72" s="3"/>
      <c r="WJX72" s="3"/>
      <c r="WJY72" s="3"/>
      <c r="WJZ72" s="3"/>
      <c r="WKA72" s="3"/>
      <c r="WKB72" s="3"/>
      <c r="WKC72" s="3"/>
      <c r="WKD72" s="3"/>
      <c r="WKE72" s="3"/>
      <c r="WKF72" s="3"/>
      <c r="WKG72" s="3"/>
      <c r="WKH72" s="3"/>
      <c r="WKI72" s="3"/>
      <c r="WKJ72" s="3"/>
      <c r="WKK72" s="3"/>
      <c r="WKL72" s="3"/>
      <c r="WKM72" s="3"/>
      <c r="WKN72" s="3"/>
      <c r="WKO72" s="3"/>
      <c r="WKP72" s="3"/>
      <c r="WKQ72" s="3"/>
      <c r="WKR72" s="3"/>
      <c r="WKS72" s="3"/>
      <c r="WKT72" s="3"/>
      <c r="WKU72" s="3"/>
      <c r="WKV72" s="3"/>
      <c r="WKW72" s="3"/>
      <c r="WKX72" s="3"/>
      <c r="WKY72" s="3"/>
      <c r="WKZ72" s="3"/>
      <c r="WLA72" s="3"/>
      <c r="WLB72" s="3"/>
      <c r="WLC72" s="3"/>
      <c r="WLD72" s="3"/>
      <c r="WLE72" s="3"/>
      <c r="WLF72" s="3"/>
      <c r="WLG72" s="3"/>
      <c r="WLH72" s="3"/>
      <c r="WLI72" s="3"/>
      <c r="WLJ72" s="3"/>
      <c r="WLK72" s="3"/>
      <c r="WLL72" s="3"/>
      <c r="WLM72" s="3"/>
      <c r="WLN72" s="3"/>
      <c r="WLO72" s="3"/>
      <c r="WLP72" s="3"/>
      <c r="WLQ72" s="3"/>
      <c r="WLR72" s="3"/>
      <c r="WLS72" s="3"/>
      <c r="WLT72" s="3"/>
      <c r="WLU72" s="3"/>
      <c r="WLV72" s="3"/>
      <c r="WLW72" s="3"/>
      <c r="WLX72" s="3"/>
      <c r="WLY72" s="3"/>
      <c r="WLZ72" s="3"/>
      <c r="WMA72" s="3"/>
      <c r="WMB72" s="3"/>
      <c r="WMC72" s="3"/>
      <c r="WMD72" s="3"/>
      <c r="WME72" s="3"/>
      <c r="WMF72" s="3"/>
      <c r="WMG72" s="3"/>
      <c r="WMH72" s="3"/>
      <c r="WMI72" s="3"/>
      <c r="WMJ72" s="3"/>
      <c r="WMK72" s="3"/>
      <c r="WML72" s="3"/>
      <c r="WMM72" s="3"/>
      <c r="WMN72" s="3"/>
      <c r="WMO72" s="3"/>
      <c r="WMP72" s="3"/>
      <c r="WMQ72" s="3"/>
      <c r="WMR72" s="3"/>
      <c r="WMS72" s="3"/>
      <c r="WMT72" s="3"/>
      <c r="WMU72" s="3"/>
      <c r="WMV72" s="3"/>
      <c r="WMW72" s="3"/>
      <c r="WMX72" s="3"/>
      <c r="WMY72" s="3"/>
      <c r="WMZ72" s="3"/>
      <c r="WNA72" s="3"/>
      <c r="WNB72" s="3"/>
      <c r="WNC72" s="3"/>
      <c r="WND72" s="3"/>
      <c r="WNE72" s="3"/>
      <c r="WNF72" s="3"/>
      <c r="WNG72" s="3"/>
      <c r="WNH72" s="3"/>
      <c r="WNI72" s="3"/>
      <c r="WNJ72" s="3"/>
      <c r="WNK72" s="3"/>
      <c r="WNL72" s="3"/>
      <c r="WNM72" s="3"/>
      <c r="WNN72" s="3"/>
      <c r="WNO72" s="3"/>
      <c r="WNP72" s="3"/>
      <c r="WNQ72" s="3"/>
      <c r="WNR72" s="3"/>
      <c r="WNS72" s="3"/>
      <c r="WNT72" s="3"/>
      <c r="WNU72" s="3"/>
      <c r="WNV72" s="3"/>
      <c r="WNW72" s="3"/>
      <c r="WNX72" s="3"/>
      <c r="WNY72" s="3"/>
      <c r="WNZ72" s="3"/>
      <c r="WOA72" s="3"/>
      <c r="WOB72" s="3"/>
      <c r="WOC72" s="3"/>
      <c r="WOD72" s="3"/>
      <c r="WOE72" s="3"/>
      <c r="WOF72" s="3"/>
      <c r="WOG72" s="3"/>
      <c r="WOH72" s="3"/>
      <c r="WOI72" s="3"/>
      <c r="WOJ72" s="3"/>
      <c r="WOK72" s="3"/>
      <c r="WOL72" s="3"/>
      <c r="WOM72" s="3"/>
      <c r="WON72" s="3"/>
      <c r="WOO72" s="3"/>
      <c r="WOP72" s="3"/>
      <c r="WOQ72" s="3"/>
      <c r="WOR72" s="3"/>
      <c r="WOS72" s="3"/>
      <c r="WOT72" s="3"/>
      <c r="WOU72" s="3"/>
      <c r="WOV72" s="3"/>
      <c r="WOW72" s="3"/>
      <c r="WOX72" s="3"/>
      <c r="WOY72" s="3"/>
      <c r="WOZ72" s="3"/>
      <c r="WPA72" s="3"/>
      <c r="WPB72" s="3"/>
      <c r="WPC72" s="3"/>
      <c r="WPD72" s="3"/>
      <c r="WPE72" s="3"/>
      <c r="WPF72" s="3"/>
      <c r="WPG72" s="3"/>
      <c r="WPH72" s="3"/>
      <c r="WPI72" s="3"/>
      <c r="WPJ72" s="3"/>
      <c r="WPK72" s="3"/>
      <c r="WPL72" s="3"/>
      <c r="WPM72" s="3"/>
      <c r="WPN72" s="3"/>
      <c r="WPO72" s="3"/>
      <c r="WPP72" s="3"/>
      <c r="WPQ72" s="3"/>
      <c r="WPR72" s="3"/>
      <c r="WPS72" s="3"/>
      <c r="WPT72" s="3"/>
      <c r="WPU72" s="3"/>
      <c r="WPV72" s="3"/>
      <c r="WPW72" s="3"/>
      <c r="WPX72" s="3"/>
      <c r="WPY72" s="3"/>
      <c r="WPZ72" s="3"/>
      <c r="WQA72" s="3"/>
      <c r="WQB72" s="3"/>
      <c r="WQC72" s="3"/>
      <c r="WQD72" s="3"/>
      <c r="WQE72" s="3"/>
      <c r="WQF72" s="3"/>
      <c r="WQG72" s="3"/>
      <c r="WQH72" s="3"/>
      <c r="WQI72" s="3"/>
      <c r="WQJ72" s="3"/>
      <c r="WQK72" s="3"/>
      <c r="WQL72" s="3"/>
      <c r="WQM72" s="3"/>
      <c r="WQN72" s="3"/>
      <c r="WQO72" s="3"/>
      <c r="WQP72" s="3"/>
      <c r="WQQ72" s="3"/>
      <c r="WQR72" s="3"/>
      <c r="WQS72" s="3"/>
      <c r="WQT72" s="3"/>
      <c r="WQU72" s="3"/>
      <c r="WQV72" s="3"/>
      <c r="WQW72" s="3"/>
      <c r="WQX72" s="3"/>
      <c r="WQY72" s="3"/>
      <c r="WQZ72" s="3"/>
      <c r="WRA72" s="3"/>
      <c r="WRB72" s="3"/>
      <c r="WRC72" s="3"/>
      <c r="WRD72" s="3"/>
      <c r="WRE72" s="3"/>
      <c r="WRF72" s="3"/>
      <c r="WRG72" s="3"/>
      <c r="WRH72" s="3"/>
      <c r="WRI72" s="3"/>
      <c r="WRJ72" s="3"/>
      <c r="WRK72" s="3"/>
      <c r="WRL72" s="3"/>
      <c r="WRM72" s="3"/>
      <c r="WRN72" s="3"/>
      <c r="WRO72" s="3"/>
      <c r="WRP72" s="3"/>
      <c r="WRQ72" s="3"/>
      <c r="WRR72" s="3"/>
      <c r="WRS72" s="3"/>
      <c r="WRT72" s="3"/>
      <c r="WRU72" s="3"/>
      <c r="WRV72" s="3"/>
      <c r="WRW72" s="3"/>
      <c r="WRX72" s="3"/>
      <c r="WRY72" s="3"/>
      <c r="WRZ72" s="3"/>
      <c r="WSA72" s="3"/>
      <c r="WSB72" s="3"/>
      <c r="WSC72" s="3"/>
      <c r="WSD72" s="3"/>
      <c r="WSE72" s="3"/>
      <c r="WSF72" s="3"/>
      <c r="WSG72" s="3"/>
      <c r="WSH72" s="3"/>
      <c r="WSI72" s="3"/>
      <c r="WSJ72" s="3"/>
      <c r="WSK72" s="3"/>
      <c r="WSL72" s="3"/>
      <c r="WSM72" s="3"/>
      <c r="WSN72" s="3"/>
      <c r="WSO72" s="3"/>
      <c r="WSP72" s="3"/>
      <c r="WSQ72" s="3"/>
      <c r="WSR72" s="3"/>
      <c r="WSS72" s="3"/>
      <c r="WST72" s="3"/>
      <c r="WSU72" s="3"/>
      <c r="WSV72" s="3"/>
      <c r="WSW72" s="3"/>
      <c r="WSX72" s="3"/>
      <c r="WSY72" s="3"/>
      <c r="WSZ72" s="3"/>
      <c r="WTA72" s="3"/>
      <c r="WTB72" s="3"/>
      <c r="WTC72" s="3"/>
      <c r="WTD72" s="3"/>
      <c r="WTE72" s="3"/>
      <c r="WTF72" s="3"/>
      <c r="WTG72" s="3"/>
      <c r="WTH72" s="3"/>
      <c r="WTI72" s="3"/>
      <c r="WTJ72" s="3"/>
      <c r="WTK72" s="3"/>
      <c r="WTL72" s="3"/>
      <c r="WTM72" s="3"/>
      <c r="WTN72" s="3"/>
      <c r="WTO72" s="3"/>
      <c r="WTP72" s="3"/>
      <c r="WTQ72" s="3"/>
      <c r="WTR72" s="3"/>
      <c r="WTS72" s="3"/>
      <c r="WTT72" s="3"/>
      <c r="WTU72" s="3"/>
      <c r="WTV72" s="3"/>
      <c r="WTW72" s="3"/>
      <c r="WTX72" s="3"/>
      <c r="WTY72" s="3"/>
      <c r="WTZ72" s="3"/>
      <c r="WUA72" s="3"/>
      <c r="WUB72" s="3"/>
      <c r="WUC72" s="3"/>
      <c r="WUD72" s="3"/>
      <c r="WUE72" s="3"/>
      <c r="WUF72" s="3"/>
      <c r="WUG72" s="3"/>
      <c r="WUH72" s="3"/>
      <c r="WUI72" s="3"/>
      <c r="WUJ72" s="3"/>
      <c r="WUK72" s="3"/>
      <c r="WUL72" s="3"/>
      <c r="WUM72" s="3"/>
      <c r="WUN72" s="3"/>
      <c r="WUO72" s="3"/>
      <c r="WUP72" s="3"/>
      <c r="WUQ72" s="3"/>
      <c r="WUR72" s="3"/>
      <c r="WUS72" s="3"/>
      <c r="WUT72" s="3"/>
      <c r="WUU72" s="3"/>
      <c r="WUV72" s="3"/>
      <c r="WUW72" s="3"/>
      <c r="WUX72" s="3"/>
      <c r="WUY72" s="3"/>
      <c r="WUZ72" s="3"/>
      <c r="WVA72" s="3"/>
      <c r="WVB72" s="3"/>
      <c r="WVC72" s="3"/>
      <c r="WVD72" s="3"/>
      <c r="WVE72" s="3"/>
      <c r="WVF72" s="3"/>
      <c r="WVG72" s="3"/>
      <c r="WVH72" s="3"/>
      <c r="WVI72" s="3"/>
      <c r="WVJ72" s="3"/>
      <c r="WVK72" s="3"/>
      <c r="WVL72" s="3"/>
      <c r="WVM72" s="3"/>
      <c r="WVN72" s="3"/>
      <c r="WVO72" s="3"/>
      <c r="WVP72" s="3"/>
      <c r="WVQ72" s="3"/>
      <c r="WVR72" s="3"/>
      <c r="WVS72" s="3"/>
      <c r="WVT72" s="3"/>
      <c r="WVU72" s="3"/>
      <c r="WVV72" s="3"/>
      <c r="WVW72" s="3"/>
      <c r="WVX72" s="3"/>
      <c r="WVY72" s="3"/>
      <c r="WVZ72" s="3"/>
      <c r="WWA72" s="3"/>
      <c r="WWB72" s="3"/>
      <c r="WWC72" s="3"/>
      <c r="WWD72" s="3"/>
      <c r="WWE72" s="3"/>
      <c r="WWF72" s="3"/>
      <c r="WWG72" s="3"/>
      <c r="WWH72" s="3"/>
      <c r="WWI72" s="3"/>
      <c r="WWJ72" s="3"/>
      <c r="WWK72" s="3"/>
      <c r="WWL72" s="3"/>
      <c r="WWM72" s="3"/>
      <c r="WWN72" s="3"/>
      <c r="WWO72" s="3"/>
      <c r="WWP72" s="3"/>
      <c r="WWQ72" s="3"/>
      <c r="WWR72" s="3"/>
      <c r="WWS72" s="3"/>
      <c r="WWT72" s="3"/>
      <c r="WWU72" s="3"/>
      <c r="WWV72" s="3"/>
      <c r="WWW72" s="3"/>
      <c r="WWX72" s="3"/>
      <c r="WWY72" s="3"/>
      <c r="WWZ72" s="3"/>
      <c r="WXA72" s="3"/>
      <c r="WXB72" s="3"/>
      <c r="WXC72" s="3"/>
      <c r="WXD72" s="3"/>
      <c r="WXE72" s="3"/>
      <c r="WXF72" s="3"/>
      <c r="WXG72" s="3"/>
      <c r="WXH72" s="3"/>
      <c r="WXI72" s="3"/>
      <c r="WXJ72" s="3"/>
      <c r="WXK72" s="3"/>
      <c r="WXL72" s="3"/>
      <c r="WXM72" s="3"/>
      <c r="WXN72" s="3"/>
      <c r="WXO72" s="3"/>
      <c r="WXP72" s="3"/>
      <c r="WXQ72" s="3"/>
      <c r="WXR72" s="3"/>
      <c r="WXS72" s="3"/>
      <c r="WXT72" s="3"/>
      <c r="WXU72" s="3"/>
      <c r="WXV72" s="3"/>
      <c r="WXW72" s="3"/>
      <c r="WXX72" s="3"/>
      <c r="WXY72" s="3"/>
      <c r="WXZ72" s="3"/>
      <c r="WYA72" s="3"/>
      <c r="WYB72" s="3"/>
      <c r="WYC72" s="3"/>
      <c r="WYD72" s="3"/>
      <c r="WYE72" s="3"/>
      <c r="WYF72" s="3"/>
      <c r="WYG72" s="3"/>
      <c r="WYH72" s="3"/>
      <c r="WYI72" s="3"/>
      <c r="WYJ72" s="3"/>
      <c r="WYK72" s="3"/>
      <c r="WYL72" s="3"/>
      <c r="WYM72" s="3"/>
      <c r="WYN72" s="3"/>
      <c r="WYO72" s="3"/>
      <c r="WYP72" s="3"/>
      <c r="WYQ72" s="3"/>
      <c r="WYR72" s="3"/>
      <c r="WYS72" s="3"/>
      <c r="WYT72" s="3"/>
      <c r="WYU72" s="3"/>
      <c r="WYV72" s="3"/>
      <c r="WYW72" s="3"/>
      <c r="WYX72" s="3"/>
      <c r="WYY72" s="3"/>
      <c r="WYZ72" s="3"/>
      <c r="WZA72" s="3"/>
      <c r="WZB72" s="3"/>
      <c r="WZC72" s="3"/>
      <c r="WZD72" s="3"/>
      <c r="WZE72" s="3"/>
      <c r="WZF72" s="3"/>
      <c r="WZG72" s="3"/>
      <c r="WZH72" s="3"/>
      <c r="WZI72" s="3"/>
      <c r="WZJ72" s="3"/>
      <c r="WZK72" s="3"/>
      <c r="WZL72" s="3"/>
      <c r="WZM72" s="3"/>
      <c r="WZN72" s="3"/>
      <c r="WZO72" s="3"/>
      <c r="WZP72" s="3"/>
      <c r="WZQ72" s="3"/>
      <c r="WZR72" s="3"/>
      <c r="WZS72" s="3"/>
      <c r="WZT72" s="3"/>
      <c r="WZU72" s="3"/>
      <c r="WZV72" s="3"/>
      <c r="WZW72" s="3"/>
      <c r="WZX72" s="3"/>
      <c r="WZY72" s="3"/>
      <c r="WZZ72" s="3"/>
      <c r="XAA72" s="3"/>
      <c r="XAB72" s="3"/>
      <c r="XAC72" s="3"/>
      <c r="XAD72" s="3"/>
      <c r="XAE72" s="3"/>
      <c r="XAF72" s="3"/>
      <c r="XAG72" s="3"/>
      <c r="XAH72" s="3"/>
      <c r="XAI72" s="3"/>
      <c r="XAJ72" s="3"/>
      <c r="XAK72" s="3"/>
      <c r="XAL72" s="3"/>
      <c r="XAM72" s="3"/>
      <c r="XAN72" s="3"/>
      <c r="XAO72" s="3"/>
      <c r="XAP72" s="3"/>
      <c r="XAQ72" s="3"/>
      <c r="XAR72" s="3"/>
      <c r="XAS72" s="3"/>
      <c r="XAT72" s="3"/>
      <c r="XAU72" s="3"/>
      <c r="XAV72" s="3"/>
      <c r="XAW72" s="3"/>
      <c r="XAX72" s="3"/>
      <c r="XAY72" s="3"/>
      <c r="XAZ72" s="3"/>
      <c r="XBA72" s="3"/>
      <c r="XBB72" s="3"/>
      <c r="XBC72" s="3"/>
      <c r="XBD72" s="3"/>
      <c r="XBE72" s="3"/>
      <c r="XBF72" s="3"/>
      <c r="XBG72" s="3"/>
      <c r="XBH72" s="3"/>
      <c r="XBI72" s="3"/>
      <c r="XBJ72" s="3"/>
      <c r="XBK72" s="3"/>
      <c r="XBL72" s="3"/>
      <c r="XBM72" s="3"/>
      <c r="XBN72" s="3"/>
      <c r="XBO72" s="3"/>
      <c r="XBP72" s="3"/>
      <c r="XBQ72" s="3"/>
      <c r="XBR72" s="3"/>
      <c r="XBS72" s="3"/>
      <c r="XBT72" s="3"/>
      <c r="XBU72" s="3"/>
      <c r="XBV72" s="3"/>
      <c r="XBW72" s="3"/>
      <c r="XBX72" s="3"/>
      <c r="XBY72" s="3"/>
      <c r="XBZ72" s="3"/>
      <c r="XCA72" s="3"/>
      <c r="XCB72" s="3"/>
      <c r="XCC72" s="3"/>
      <c r="XCD72" s="3"/>
      <c r="XCE72" s="3"/>
      <c r="XCF72" s="3"/>
      <c r="XCG72" s="3"/>
      <c r="XCH72" s="3"/>
      <c r="XCI72" s="3"/>
      <c r="XCJ72" s="3"/>
      <c r="XCK72" s="3"/>
      <c r="XCL72" s="3"/>
      <c r="XCM72" s="3"/>
      <c r="XCN72" s="3"/>
      <c r="XCO72" s="3"/>
      <c r="XCP72" s="3"/>
      <c r="XCQ72" s="3"/>
      <c r="XCR72" s="3"/>
      <c r="XCS72" s="3"/>
      <c r="XCT72" s="3"/>
      <c r="XCU72" s="3"/>
      <c r="XCV72" s="3"/>
      <c r="XCW72" s="3"/>
      <c r="XCX72" s="3"/>
      <c r="XCY72" s="3"/>
      <c r="XCZ72" s="3"/>
      <c r="XDA72" s="3"/>
      <c r="XDB72" s="3"/>
      <c r="XDC72" s="3"/>
      <c r="XDD72" s="3"/>
      <c r="XDE72" s="3"/>
      <c r="XDF72" s="3"/>
      <c r="XDG72" s="3"/>
      <c r="XDH72" s="3"/>
      <c r="XDI72" s="3"/>
      <c r="XDJ72" s="3"/>
      <c r="XDK72" s="3"/>
      <c r="XDL72" s="3"/>
      <c r="XDM72" s="3"/>
      <c r="XDN72" s="3"/>
      <c r="XDO72" s="3"/>
      <c r="XDP72" s="3"/>
      <c r="XDQ72" s="3"/>
      <c r="XDR72" s="3"/>
      <c r="XDS72" s="3"/>
      <c r="XDT72" s="3"/>
      <c r="XDU72" s="3"/>
      <c r="XDV72" s="3"/>
      <c r="XDW72" s="3"/>
      <c r="XDX72" s="3"/>
      <c r="XDY72" s="3"/>
      <c r="XDZ72" s="3"/>
      <c r="XEA72" s="3"/>
      <c r="XEB72" s="3"/>
      <c r="XEC72" s="3"/>
      <c r="XED72" s="3"/>
      <c r="XEE72" s="3"/>
      <c r="XEF72" s="3"/>
      <c r="XEG72" s="3"/>
      <c r="XEH72" s="3"/>
      <c r="XEI72" s="3"/>
      <c r="XEJ72" s="3"/>
      <c r="XEK72" s="3"/>
      <c r="XEL72" s="3"/>
      <c r="XEM72" s="3"/>
      <c r="XEN72" s="3"/>
      <c r="XEO72" s="3"/>
      <c r="XEP72" s="3"/>
      <c r="XEQ72" s="3"/>
      <c r="XER72" s="3"/>
      <c r="XES72" s="3"/>
      <c r="XET72" s="3"/>
      <c r="XEU72" s="3"/>
      <c r="XEV72" s="3"/>
      <c r="XEW72" s="3"/>
      <c r="XEX72" s="3"/>
      <c r="XEY72" s="3"/>
      <c r="XEZ72" s="3"/>
      <c r="XFA72" s="3"/>
      <c r="XFB72" s="3"/>
      <c r="XFC72" s="3"/>
    </row>
    <row r="73" spans="1:16383" s="32" customFormat="1" ht="16" x14ac:dyDescent="0.2">
      <c r="B73" s="14" t="s">
        <v>2</v>
      </c>
      <c r="C73" s="15" t="s">
        <v>3</v>
      </c>
      <c r="D73" s="16">
        <v>2025</v>
      </c>
      <c r="E73" s="16">
        <v>2026</v>
      </c>
      <c r="F73" s="16">
        <v>2027</v>
      </c>
      <c r="G73" s="16">
        <v>2028</v>
      </c>
      <c r="H73" s="16">
        <v>2029</v>
      </c>
      <c r="I73" s="16">
        <v>2030</v>
      </c>
      <c r="J73" s="16">
        <v>2031</v>
      </c>
      <c r="K73" s="16">
        <v>2032</v>
      </c>
      <c r="L73" s="16">
        <v>2033</v>
      </c>
      <c r="M73" s="16">
        <v>2034</v>
      </c>
      <c r="N73" s="16">
        <v>2035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/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/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/>
      <c r="AIC73" s="3"/>
      <c r="AID73" s="3"/>
      <c r="AIE73" s="3"/>
      <c r="AIF73" s="3"/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/>
      <c r="AKR73" s="3"/>
      <c r="AKS73" s="3"/>
      <c r="AKT73" s="3"/>
      <c r="AKU73" s="3"/>
      <c r="AKV73" s="3"/>
      <c r="AKW73" s="3"/>
      <c r="AKX73" s="3"/>
      <c r="AKY73" s="3"/>
      <c r="AKZ73" s="3"/>
      <c r="ALA73" s="3"/>
      <c r="ALB73" s="3"/>
      <c r="ALC73" s="3"/>
      <c r="ALD73" s="3"/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  <c r="AQB73" s="3"/>
      <c r="AQC73" s="3"/>
      <c r="AQD73" s="3"/>
      <c r="AQE73" s="3"/>
      <c r="AQF73" s="3"/>
      <c r="AQG73" s="3"/>
      <c r="AQH73" s="3"/>
      <c r="AQI73" s="3"/>
      <c r="AQJ73" s="3"/>
      <c r="AQK73" s="3"/>
      <c r="AQL73" s="3"/>
      <c r="AQM73" s="3"/>
      <c r="AQN73" s="3"/>
      <c r="AQO73" s="3"/>
      <c r="AQP73" s="3"/>
      <c r="AQQ73" s="3"/>
      <c r="AQR73" s="3"/>
      <c r="AQS73" s="3"/>
      <c r="AQT73" s="3"/>
      <c r="AQU73" s="3"/>
      <c r="AQV73" s="3"/>
      <c r="AQW73" s="3"/>
      <c r="AQX73" s="3"/>
      <c r="AQY73" s="3"/>
      <c r="AQZ73" s="3"/>
      <c r="ARA73" s="3"/>
      <c r="ARB73" s="3"/>
      <c r="ARC73" s="3"/>
      <c r="ARD73" s="3"/>
      <c r="ARE73" s="3"/>
      <c r="ARF73" s="3"/>
      <c r="ARG73" s="3"/>
      <c r="ARH73" s="3"/>
      <c r="ARI73" s="3"/>
      <c r="ARJ73" s="3"/>
      <c r="ARK73" s="3"/>
      <c r="ARL73" s="3"/>
      <c r="ARM73" s="3"/>
      <c r="ARN73" s="3"/>
      <c r="ARO73" s="3"/>
      <c r="ARP73" s="3"/>
      <c r="ARQ73" s="3"/>
      <c r="ARR73" s="3"/>
      <c r="ARS73" s="3"/>
      <c r="ART73" s="3"/>
      <c r="ARU73" s="3"/>
      <c r="ARV73" s="3"/>
      <c r="ARW73" s="3"/>
      <c r="ARX73" s="3"/>
      <c r="ARY73" s="3"/>
      <c r="ARZ73" s="3"/>
      <c r="ASA73" s="3"/>
      <c r="ASB73" s="3"/>
      <c r="ASC73" s="3"/>
      <c r="ASD73" s="3"/>
      <c r="ASE73" s="3"/>
      <c r="ASF73" s="3"/>
      <c r="ASG73" s="3"/>
      <c r="ASH73" s="3"/>
      <c r="ASI73" s="3"/>
      <c r="ASJ73" s="3"/>
      <c r="ASK73" s="3"/>
      <c r="ASL73" s="3"/>
      <c r="ASM73" s="3"/>
      <c r="ASN73" s="3"/>
      <c r="ASO73" s="3"/>
      <c r="ASP73" s="3"/>
      <c r="ASQ73" s="3"/>
      <c r="ASR73" s="3"/>
      <c r="ASS73" s="3"/>
      <c r="AST73" s="3"/>
      <c r="ASU73" s="3"/>
      <c r="ASV73" s="3"/>
      <c r="ASW73" s="3"/>
      <c r="ASX73" s="3"/>
      <c r="ASY73" s="3"/>
      <c r="ASZ73" s="3"/>
      <c r="ATA73" s="3"/>
      <c r="ATB73" s="3"/>
      <c r="ATC73" s="3"/>
      <c r="ATD73" s="3"/>
      <c r="ATE73" s="3"/>
      <c r="ATF73" s="3"/>
      <c r="ATG73" s="3"/>
      <c r="ATH73" s="3"/>
      <c r="ATI73" s="3"/>
      <c r="ATJ73" s="3"/>
      <c r="ATK73" s="3"/>
      <c r="ATL73" s="3"/>
      <c r="ATM73" s="3"/>
      <c r="ATN73" s="3"/>
      <c r="ATO73" s="3"/>
      <c r="ATP73" s="3"/>
      <c r="ATQ73" s="3"/>
      <c r="ATR73" s="3"/>
      <c r="ATS73" s="3"/>
      <c r="ATT73" s="3"/>
      <c r="ATU73" s="3"/>
      <c r="ATV73" s="3"/>
      <c r="ATW73" s="3"/>
      <c r="ATX73" s="3"/>
      <c r="ATY73" s="3"/>
      <c r="ATZ73" s="3"/>
      <c r="AUA73" s="3"/>
      <c r="AUB73" s="3"/>
      <c r="AUC73" s="3"/>
      <c r="AUD73" s="3"/>
      <c r="AUE73" s="3"/>
      <c r="AUF73" s="3"/>
      <c r="AUG73" s="3"/>
      <c r="AUH73" s="3"/>
      <c r="AUI73" s="3"/>
      <c r="AUJ73" s="3"/>
      <c r="AUK73" s="3"/>
      <c r="AUL73" s="3"/>
      <c r="AUM73" s="3"/>
      <c r="AUN73" s="3"/>
      <c r="AUO73" s="3"/>
      <c r="AUP73" s="3"/>
      <c r="AUQ73" s="3"/>
      <c r="AUR73" s="3"/>
      <c r="AUS73" s="3"/>
      <c r="AUT73" s="3"/>
      <c r="AUU73" s="3"/>
      <c r="AUV73" s="3"/>
      <c r="AUW73" s="3"/>
      <c r="AUX73" s="3"/>
      <c r="AUY73" s="3"/>
      <c r="AUZ73" s="3"/>
      <c r="AVA73" s="3"/>
      <c r="AVB73" s="3"/>
      <c r="AVC73" s="3"/>
      <c r="AVD73" s="3"/>
      <c r="AVE73" s="3"/>
      <c r="AVF73" s="3"/>
      <c r="AVG73" s="3"/>
      <c r="AVH73" s="3"/>
      <c r="AVI73" s="3"/>
      <c r="AVJ73" s="3"/>
      <c r="AVK73" s="3"/>
      <c r="AVL73" s="3"/>
      <c r="AVM73" s="3"/>
      <c r="AVN73" s="3"/>
      <c r="AVO73" s="3"/>
      <c r="AVP73" s="3"/>
      <c r="AVQ73" s="3"/>
      <c r="AVR73" s="3"/>
      <c r="AVS73" s="3"/>
      <c r="AVT73" s="3"/>
      <c r="AVU73" s="3"/>
      <c r="AVV73" s="3"/>
      <c r="AVW73" s="3"/>
      <c r="AVX73" s="3"/>
      <c r="AVY73" s="3"/>
      <c r="AVZ73" s="3"/>
      <c r="AWA73" s="3"/>
      <c r="AWB73" s="3"/>
      <c r="AWC73" s="3"/>
      <c r="AWD73" s="3"/>
      <c r="AWE73" s="3"/>
      <c r="AWF73" s="3"/>
      <c r="AWG73" s="3"/>
      <c r="AWH73" s="3"/>
      <c r="AWI73" s="3"/>
      <c r="AWJ73" s="3"/>
      <c r="AWK73" s="3"/>
      <c r="AWL73" s="3"/>
      <c r="AWM73" s="3"/>
      <c r="AWN73" s="3"/>
      <c r="AWO73" s="3"/>
      <c r="AWP73" s="3"/>
      <c r="AWQ73" s="3"/>
      <c r="AWR73" s="3"/>
      <c r="AWS73" s="3"/>
      <c r="AWT73" s="3"/>
      <c r="AWU73" s="3"/>
      <c r="AWV73" s="3"/>
      <c r="AWW73" s="3"/>
      <c r="AWX73" s="3"/>
      <c r="AWY73" s="3"/>
      <c r="AWZ73" s="3"/>
      <c r="AXA73" s="3"/>
      <c r="AXB73" s="3"/>
      <c r="AXC73" s="3"/>
      <c r="AXD73" s="3"/>
      <c r="AXE73" s="3"/>
      <c r="AXF73" s="3"/>
      <c r="AXG73" s="3"/>
      <c r="AXH73" s="3"/>
      <c r="AXI73" s="3"/>
      <c r="AXJ73" s="3"/>
      <c r="AXK73" s="3"/>
      <c r="AXL73" s="3"/>
      <c r="AXM73" s="3"/>
      <c r="AXN73" s="3"/>
      <c r="AXO73" s="3"/>
      <c r="AXP73" s="3"/>
      <c r="AXQ73" s="3"/>
      <c r="AXR73" s="3"/>
      <c r="AXS73" s="3"/>
      <c r="AXT73" s="3"/>
      <c r="AXU73" s="3"/>
      <c r="AXV73" s="3"/>
      <c r="AXW73" s="3"/>
      <c r="AXX73" s="3"/>
      <c r="AXY73" s="3"/>
      <c r="AXZ73" s="3"/>
      <c r="AYA73" s="3"/>
      <c r="AYB73" s="3"/>
      <c r="AYC73" s="3"/>
      <c r="AYD73" s="3"/>
      <c r="AYE73" s="3"/>
      <c r="AYF73" s="3"/>
      <c r="AYG73" s="3"/>
      <c r="AYH73" s="3"/>
      <c r="AYI73" s="3"/>
      <c r="AYJ73" s="3"/>
      <c r="AYK73" s="3"/>
      <c r="AYL73" s="3"/>
      <c r="AYM73" s="3"/>
      <c r="AYN73" s="3"/>
      <c r="AYO73" s="3"/>
      <c r="AYP73" s="3"/>
      <c r="AYQ73" s="3"/>
      <c r="AYR73" s="3"/>
      <c r="AYS73" s="3"/>
      <c r="AYT73" s="3"/>
      <c r="AYU73" s="3"/>
      <c r="AYV73" s="3"/>
      <c r="AYW73" s="3"/>
      <c r="AYX73" s="3"/>
      <c r="AYY73" s="3"/>
      <c r="AYZ73" s="3"/>
      <c r="AZA73" s="3"/>
      <c r="AZB73" s="3"/>
      <c r="AZC73" s="3"/>
      <c r="AZD73" s="3"/>
      <c r="AZE73" s="3"/>
      <c r="AZF73" s="3"/>
      <c r="AZG73" s="3"/>
      <c r="AZH73" s="3"/>
      <c r="AZI73" s="3"/>
      <c r="AZJ73" s="3"/>
      <c r="AZK73" s="3"/>
      <c r="AZL73" s="3"/>
      <c r="AZM73" s="3"/>
      <c r="AZN73" s="3"/>
      <c r="AZO73" s="3"/>
      <c r="AZP73" s="3"/>
      <c r="AZQ73" s="3"/>
      <c r="AZR73" s="3"/>
      <c r="AZS73" s="3"/>
      <c r="AZT73" s="3"/>
      <c r="AZU73" s="3"/>
      <c r="AZV73" s="3"/>
      <c r="AZW73" s="3"/>
      <c r="AZX73" s="3"/>
      <c r="AZY73" s="3"/>
      <c r="AZZ73" s="3"/>
      <c r="BAA73" s="3"/>
      <c r="BAB73" s="3"/>
      <c r="BAC73" s="3"/>
      <c r="BAD73" s="3"/>
      <c r="BAE73" s="3"/>
      <c r="BAF73" s="3"/>
      <c r="BAG73" s="3"/>
      <c r="BAH73" s="3"/>
      <c r="BAI73" s="3"/>
      <c r="BAJ73" s="3"/>
      <c r="BAK73" s="3"/>
      <c r="BAL73" s="3"/>
      <c r="BAM73" s="3"/>
      <c r="BAN73" s="3"/>
      <c r="BAO73" s="3"/>
      <c r="BAP73" s="3"/>
      <c r="BAQ73" s="3"/>
      <c r="BAR73" s="3"/>
      <c r="BAS73" s="3"/>
      <c r="BAT73" s="3"/>
      <c r="BAU73" s="3"/>
      <c r="BAV73" s="3"/>
      <c r="BAW73" s="3"/>
      <c r="BAX73" s="3"/>
      <c r="BAY73" s="3"/>
      <c r="BAZ73" s="3"/>
      <c r="BBA73" s="3"/>
      <c r="BBB73" s="3"/>
      <c r="BBC73" s="3"/>
      <c r="BBD73" s="3"/>
      <c r="BBE73" s="3"/>
      <c r="BBF73" s="3"/>
      <c r="BBG73" s="3"/>
      <c r="BBH73" s="3"/>
      <c r="BBI73" s="3"/>
      <c r="BBJ73" s="3"/>
      <c r="BBK73" s="3"/>
      <c r="BBL73" s="3"/>
      <c r="BBM73" s="3"/>
      <c r="BBN73" s="3"/>
      <c r="BBO73" s="3"/>
      <c r="BBP73" s="3"/>
      <c r="BBQ73" s="3"/>
      <c r="BBR73" s="3"/>
      <c r="BBS73" s="3"/>
      <c r="BBT73" s="3"/>
      <c r="BBU73" s="3"/>
      <c r="BBV73" s="3"/>
      <c r="BBW73" s="3"/>
      <c r="BBX73" s="3"/>
      <c r="BBY73" s="3"/>
      <c r="BBZ73" s="3"/>
      <c r="BCA73" s="3"/>
      <c r="BCB73" s="3"/>
      <c r="BCC73" s="3"/>
      <c r="BCD73" s="3"/>
      <c r="BCE73" s="3"/>
      <c r="BCF73" s="3"/>
      <c r="BCG73" s="3"/>
      <c r="BCH73" s="3"/>
      <c r="BCI73" s="3"/>
      <c r="BCJ73" s="3"/>
      <c r="BCK73" s="3"/>
      <c r="BCL73" s="3"/>
      <c r="BCM73" s="3"/>
      <c r="BCN73" s="3"/>
      <c r="BCO73" s="3"/>
      <c r="BCP73" s="3"/>
      <c r="BCQ73" s="3"/>
      <c r="BCR73" s="3"/>
      <c r="BCS73" s="3"/>
      <c r="BCT73" s="3"/>
      <c r="BCU73" s="3"/>
      <c r="BCV73" s="3"/>
      <c r="BCW73" s="3"/>
      <c r="BCX73" s="3"/>
      <c r="BCY73" s="3"/>
      <c r="BCZ73" s="3"/>
      <c r="BDA73" s="3"/>
      <c r="BDB73" s="3"/>
      <c r="BDC73" s="3"/>
      <c r="BDD73" s="3"/>
      <c r="BDE73" s="3"/>
      <c r="BDF73" s="3"/>
      <c r="BDG73" s="3"/>
      <c r="BDH73" s="3"/>
      <c r="BDI73" s="3"/>
      <c r="BDJ73" s="3"/>
      <c r="BDK73" s="3"/>
      <c r="BDL73" s="3"/>
      <c r="BDM73" s="3"/>
      <c r="BDN73" s="3"/>
      <c r="BDO73" s="3"/>
      <c r="BDP73" s="3"/>
      <c r="BDQ73" s="3"/>
      <c r="BDR73" s="3"/>
      <c r="BDS73" s="3"/>
      <c r="BDT73" s="3"/>
      <c r="BDU73" s="3"/>
      <c r="BDV73" s="3"/>
      <c r="BDW73" s="3"/>
      <c r="BDX73" s="3"/>
      <c r="BDY73" s="3"/>
      <c r="BDZ73" s="3"/>
      <c r="BEA73" s="3"/>
      <c r="BEB73" s="3"/>
      <c r="BEC73" s="3"/>
      <c r="BED73" s="3"/>
      <c r="BEE73" s="3"/>
      <c r="BEF73" s="3"/>
      <c r="BEG73" s="3"/>
      <c r="BEH73" s="3"/>
      <c r="BEI73" s="3"/>
      <c r="BEJ73" s="3"/>
      <c r="BEK73" s="3"/>
      <c r="BEL73" s="3"/>
      <c r="BEM73" s="3"/>
      <c r="BEN73" s="3"/>
      <c r="BEO73" s="3"/>
      <c r="BEP73" s="3"/>
      <c r="BEQ73" s="3"/>
      <c r="BER73" s="3"/>
      <c r="BES73" s="3"/>
      <c r="BET73" s="3"/>
      <c r="BEU73" s="3"/>
      <c r="BEV73" s="3"/>
      <c r="BEW73" s="3"/>
      <c r="BEX73" s="3"/>
      <c r="BEY73" s="3"/>
      <c r="BEZ73" s="3"/>
      <c r="BFA73" s="3"/>
      <c r="BFB73" s="3"/>
      <c r="BFC73" s="3"/>
      <c r="BFD73" s="3"/>
      <c r="BFE73" s="3"/>
      <c r="BFF73" s="3"/>
      <c r="BFG73" s="3"/>
      <c r="BFH73" s="3"/>
      <c r="BFI73" s="3"/>
      <c r="BFJ73" s="3"/>
      <c r="BFK73" s="3"/>
      <c r="BFL73" s="3"/>
      <c r="BFM73" s="3"/>
      <c r="BFN73" s="3"/>
      <c r="BFO73" s="3"/>
      <c r="BFP73" s="3"/>
      <c r="BFQ73" s="3"/>
      <c r="BFR73" s="3"/>
      <c r="BFS73" s="3"/>
      <c r="BFT73" s="3"/>
      <c r="BFU73" s="3"/>
      <c r="BFV73" s="3"/>
      <c r="BFW73" s="3"/>
      <c r="BFX73" s="3"/>
      <c r="BFY73" s="3"/>
      <c r="BFZ73" s="3"/>
      <c r="BGA73" s="3"/>
      <c r="BGB73" s="3"/>
      <c r="BGC73" s="3"/>
      <c r="BGD73" s="3"/>
      <c r="BGE73" s="3"/>
      <c r="BGF73" s="3"/>
      <c r="BGG73" s="3"/>
      <c r="BGH73" s="3"/>
      <c r="BGI73" s="3"/>
      <c r="BGJ73" s="3"/>
      <c r="BGK73" s="3"/>
      <c r="BGL73" s="3"/>
      <c r="BGM73" s="3"/>
      <c r="BGN73" s="3"/>
      <c r="BGO73" s="3"/>
      <c r="BGP73" s="3"/>
      <c r="BGQ73" s="3"/>
      <c r="BGR73" s="3"/>
      <c r="BGS73" s="3"/>
      <c r="BGT73" s="3"/>
      <c r="BGU73" s="3"/>
      <c r="BGV73" s="3"/>
      <c r="BGW73" s="3"/>
      <c r="BGX73" s="3"/>
      <c r="BGY73" s="3"/>
      <c r="BGZ73" s="3"/>
      <c r="BHA73" s="3"/>
      <c r="BHB73" s="3"/>
      <c r="BHC73" s="3"/>
      <c r="BHD73" s="3"/>
      <c r="BHE73" s="3"/>
      <c r="BHF73" s="3"/>
      <c r="BHG73" s="3"/>
      <c r="BHH73" s="3"/>
      <c r="BHI73" s="3"/>
      <c r="BHJ73" s="3"/>
      <c r="BHK73" s="3"/>
      <c r="BHL73" s="3"/>
      <c r="BHM73" s="3"/>
      <c r="BHN73" s="3"/>
      <c r="BHO73" s="3"/>
      <c r="BHP73" s="3"/>
      <c r="BHQ73" s="3"/>
      <c r="BHR73" s="3"/>
      <c r="BHS73" s="3"/>
      <c r="BHT73" s="3"/>
      <c r="BHU73" s="3"/>
      <c r="BHV73" s="3"/>
      <c r="BHW73" s="3"/>
      <c r="BHX73" s="3"/>
      <c r="BHY73" s="3"/>
      <c r="BHZ73" s="3"/>
      <c r="BIA73" s="3"/>
      <c r="BIB73" s="3"/>
      <c r="BIC73" s="3"/>
      <c r="BID73" s="3"/>
      <c r="BIE73" s="3"/>
      <c r="BIF73" s="3"/>
      <c r="BIG73" s="3"/>
      <c r="BIH73" s="3"/>
      <c r="BII73" s="3"/>
      <c r="BIJ73" s="3"/>
      <c r="BIK73" s="3"/>
      <c r="BIL73" s="3"/>
      <c r="BIM73" s="3"/>
      <c r="BIN73" s="3"/>
      <c r="BIO73" s="3"/>
      <c r="BIP73" s="3"/>
      <c r="BIQ73" s="3"/>
      <c r="BIR73" s="3"/>
      <c r="BIS73" s="3"/>
      <c r="BIT73" s="3"/>
      <c r="BIU73" s="3"/>
      <c r="BIV73" s="3"/>
      <c r="BIW73" s="3"/>
      <c r="BIX73" s="3"/>
      <c r="BIY73" s="3"/>
      <c r="BIZ73" s="3"/>
      <c r="BJA73" s="3"/>
      <c r="BJB73" s="3"/>
      <c r="BJC73" s="3"/>
      <c r="BJD73" s="3"/>
      <c r="BJE73" s="3"/>
      <c r="BJF73" s="3"/>
      <c r="BJG73" s="3"/>
      <c r="BJH73" s="3"/>
      <c r="BJI73" s="3"/>
      <c r="BJJ73" s="3"/>
      <c r="BJK73" s="3"/>
      <c r="BJL73" s="3"/>
      <c r="BJM73" s="3"/>
      <c r="BJN73" s="3"/>
      <c r="BJO73" s="3"/>
      <c r="BJP73" s="3"/>
      <c r="BJQ73" s="3"/>
      <c r="BJR73" s="3"/>
      <c r="BJS73" s="3"/>
      <c r="BJT73" s="3"/>
      <c r="BJU73" s="3"/>
      <c r="BJV73" s="3"/>
      <c r="BJW73" s="3"/>
      <c r="BJX73" s="3"/>
      <c r="BJY73" s="3"/>
      <c r="BJZ73" s="3"/>
      <c r="BKA73" s="3"/>
      <c r="BKB73" s="3"/>
      <c r="BKC73" s="3"/>
      <c r="BKD73" s="3"/>
      <c r="BKE73" s="3"/>
      <c r="BKF73" s="3"/>
      <c r="BKG73" s="3"/>
      <c r="BKH73" s="3"/>
      <c r="BKI73" s="3"/>
      <c r="BKJ73" s="3"/>
      <c r="BKK73" s="3"/>
      <c r="BKL73" s="3"/>
      <c r="BKM73" s="3"/>
      <c r="BKN73" s="3"/>
      <c r="BKO73" s="3"/>
      <c r="BKP73" s="3"/>
      <c r="BKQ73" s="3"/>
      <c r="BKR73" s="3"/>
      <c r="BKS73" s="3"/>
      <c r="BKT73" s="3"/>
      <c r="BKU73" s="3"/>
      <c r="BKV73" s="3"/>
      <c r="BKW73" s="3"/>
      <c r="BKX73" s="3"/>
      <c r="BKY73" s="3"/>
      <c r="BKZ73" s="3"/>
      <c r="BLA73" s="3"/>
      <c r="BLB73" s="3"/>
      <c r="BLC73" s="3"/>
      <c r="BLD73" s="3"/>
      <c r="BLE73" s="3"/>
      <c r="BLF73" s="3"/>
      <c r="BLG73" s="3"/>
      <c r="BLH73" s="3"/>
      <c r="BLI73" s="3"/>
      <c r="BLJ73" s="3"/>
      <c r="BLK73" s="3"/>
      <c r="BLL73" s="3"/>
      <c r="BLM73" s="3"/>
      <c r="BLN73" s="3"/>
      <c r="BLO73" s="3"/>
      <c r="BLP73" s="3"/>
      <c r="BLQ73" s="3"/>
      <c r="BLR73" s="3"/>
      <c r="BLS73" s="3"/>
      <c r="BLT73" s="3"/>
      <c r="BLU73" s="3"/>
      <c r="BLV73" s="3"/>
      <c r="BLW73" s="3"/>
      <c r="BLX73" s="3"/>
      <c r="BLY73" s="3"/>
      <c r="BLZ73" s="3"/>
      <c r="BMA73" s="3"/>
      <c r="BMB73" s="3"/>
      <c r="BMC73" s="3"/>
      <c r="BMD73" s="3"/>
      <c r="BME73" s="3"/>
      <c r="BMF73" s="3"/>
      <c r="BMG73" s="3"/>
      <c r="BMH73" s="3"/>
      <c r="BMI73" s="3"/>
      <c r="BMJ73" s="3"/>
      <c r="BMK73" s="3"/>
      <c r="BML73" s="3"/>
      <c r="BMM73" s="3"/>
      <c r="BMN73" s="3"/>
      <c r="BMO73" s="3"/>
      <c r="BMP73" s="3"/>
      <c r="BMQ73" s="3"/>
      <c r="BMR73" s="3"/>
      <c r="BMS73" s="3"/>
      <c r="BMT73" s="3"/>
      <c r="BMU73" s="3"/>
      <c r="BMV73" s="3"/>
      <c r="BMW73" s="3"/>
      <c r="BMX73" s="3"/>
      <c r="BMY73" s="3"/>
      <c r="BMZ73" s="3"/>
      <c r="BNA73" s="3"/>
      <c r="BNB73" s="3"/>
      <c r="BNC73" s="3"/>
      <c r="BND73" s="3"/>
      <c r="BNE73" s="3"/>
      <c r="BNF73" s="3"/>
      <c r="BNG73" s="3"/>
      <c r="BNH73" s="3"/>
      <c r="BNI73" s="3"/>
      <c r="BNJ73" s="3"/>
      <c r="BNK73" s="3"/>
      <c r="BNL73" s="3"/>
      <c r="BNM73" s="3"/>
      <c r="BNN73" s="3"/>
      <c r="BNO73" s="3"/>
      <c r="BNP73" s="3"/>
      <c r="BNQ73" s="3"/>
      <c r="BNR73" s="3"/>
      <c r="BNS73" s="3"/>
      <c r="BNT73" s="3"/>
      <c r="BNU73" s="3"/>
      <c r="BNV73" s="3"/>
      <c r="BNW73" s="3"/>
      <c r="BNX73" s="3"/>
      <c r="BNY73" s="3"/>
      <c r="BNZ73" s="3"/>
      <c r="BOA73" s="3"/>
      <c r="BOB73" s="3"/>
      <c r="BOC73" s="3"/>
      <c r="BOD73" s="3"/>
      <c r="BOE73" s="3"/>
      <c r="BOF73" s="3"/>
      <c r="BOG73" s="3"/>
      <c r="BOH73" s="3"/>
      <c r="BOI73" s="3"/>
      <c r="BOJ73" s="3"/>
      <c r="BOK73" s="3"/>
      <c r="BOL73" s="3"/>
      <c r="BOM73" s="3"/>
      <c r="BON73" s="3"/>
      <c r="BOO73" s="3"/>
      <c r="BOP73" s="3"/>
      <c r="BOQ73" s="3"/>
      <c r="BOR73" s="3"/>
      <c r="BOS73" s="3"/>
      <c r="BOT73" s="3"/>
      <c r="BOU73" s="3"/>
      <c r="BOV73" s="3"/>
      <c r="BOW73" s="3"/>
      <c r="BOX73" s="3"/>
      <c r="BOY73" s="3"/>
      <c r="BOZ73" s="3"/>
      <c r="BPA73" s="3"/>
      <c r="BPB73" s="3"/>
      <c r="BPC73" s="3"/>
      <c r="BPD73" s="3"/>
      <c r="BPE73" s="3"/>
      <c r="BPF73" s="3"/>
      <c r="BPG73" s="3"/>
      <c r="BPH73" s="3"/>
      <c r="BPI73" s="3"/>
      <c r="BPJ73" s="3"/>
      <c r="BPK73" s="3"/>
      <c r="BPL73" s="3"/>
      <c r="BPM73" s="3"/>
      <c r="BPN73" s="3"/>
      <c r="BPO73" s="3"/>
      <c r="BPP73" s="3"/>
      <c r="BPQ73" s="3"/>
      <c r="BPR73" s="3"/>
      <c r="BPS73" s="3"/>
      <c r="BPT73" s="3"/>
      <c r="BPU73" s="3"/>
      <c r="BPV73" s="3"/>
      <c r="BPW73" s="3"/>
      <c r="BPX73" s="3"/>
      <c r="BPY73" s="3"/>
      <c r="BPZ73" s="3"/>
      <c r="BQA73" s="3"/>
      <c r="BQB73" s="3"/>
      <c r="BQC73" s="3"/>
      <c r="BQD73" s="3"/>
      <c r="BQE73" s="3"/>
      <c r="BQF73" s="3"/>
      <c r="BQG73" s="3"/>
      <c r="BQH73" s="3"/>
      <c r="BQI73" s="3"/>
      <c r="BQJ73" s="3"/>
      <c r="BQK73" s="3"/>
      <c r="BQL73" s="3"/>
      <c r="BQM73" s="3"/>
      <c r="BQN73" s="3"/>
      <c r="BQO73" s="3"/>
      <c r="BQP73" s="3"/>
      <c r="BQQ73" s="3"/>
      <c r="BQR73" s="3"/>
      <c r="BQS73" s="3"/>
      <c r="BQT73" s="3"/>
      <c r="BQU73" s="3"/>
      <c r="BQV73" s="3"/>
      <c r="BQW73" s="3"/>
      <c r="BQX73" s="3"/>
      <c r="BQY73" s="3"/>
      <c r="BQZ73" s="3"/>
      <c r="BRA73" s="3"/>
      <c r="BRB73" s="3"/>
      <c r="BRC73" s="3"/>
      <c r="BRD73" s="3"/>
      <c r="BRE73" s="3"/>
      <c r="BRF73" s="3"/>
      <c r="BRG73" s="3"/>
      <c r="BRH73" s="3"/>
      <c r="BRI73" s="3"/>
      <c r="BRJ73" s="3"/>
      <c r="BRK73" s="3"/>
      <c r="BRL73" s="3"/>
      <c r="BRM73" s="3"/>
      <c r="BRN73" s="3"/>
      <c r="BRO73" s="3"/>
      <c r="BRP73" s="3"/>
      <c r="BRQ73" s="3"/>
      <c r="BRR73" s="3"/>
      <c r="BRS73" s="3"/>
      <c r="BRT73" s="3"/>
      <c r="BRU73" s="3"/>
      <c r="BRV73" s="3"/>
      <c r="BRW73" s="3"/>
      <c r="BRX73" s="3"/>
      <c r="BRY73" s="3"/>
      <c r="BRZ73" s="3"/>
      <c r="BSA73" s="3"/>
      <c r="BSB73" s="3"/>
      <c r="BSC73" s="3"/>
      <c r="BSD73" s="3"/>
      <c r="BSE73" s="3"/>
      <c r="BSF73" s="3"/>
      <c r="BSG73" s="3"/>
      <c r="BSH73" s="3"/>
      <c r="BSI73" s="3"/>
      <c r="BSJ73" s="3"/>
      <c r="BSK73" s="3"/>
      <c r="BSL73" s="3"/>
      <c r="BSM73" s="3"/>
      <c r="BSN73" s="3"/>
      <c r="BSO73" s="3"/>
      <c r="BSP73" s="3"/>
      <c r="BSQ73" s="3"/>
      <c r="BSR73" s="3"/>
      <c r="BSS73" s="3"/>
      <c r="BST73" s="3"/>
      <c r="BSU73" s="3"/>
      <c r="BSV73" s="3"/>
      <c r="BSW73" s="3"/>
      <c r="BSX73" s="3"/>
      <c r="BSY73" s="3"/>
      <c r="BSZ73" s="3"/>
      <c r="BTA73" s="3"/>
      <c r="BTB73" s="3"/>
      <c r="BTC73" s="3"/>
      <c r="BTD73" s="3"/>
      <c r="BTE73" s="3"/>
      <c r="BTF73" s="3"/>
      <c r="BTG73" s="3"/>
      <c r="BTH73" s="3"/>
      <c r="BTI73" s="3"/>
      <c r="BTJ73" s="3"/>
      <c r="BTK73" s="3"/>
      <c r="BTL73" s="3"/>
      <c r="BTM73" s="3"/>
      <c r="BTN73" s="3"/>
      <c r="BTO73" s="3"/>
      <c r="BTP73" s="3"/>
      <c r="BTQ73" s="3"/>
      <c r="BTR73" s="3"/>
      <c r="BTS73" s="3"/>
      <c r="BTT73" s="3"/>
      <c r="BTU73" s="3"/>
      <c r="BTV73" s="3"/>
      <c r="BTW73" s="3"/>
      <c r="BTX73" s="3"/>
      <c r="BTY73" s="3"/>
      <c r="BTZ73" s="3"/>
      <c r="BUA73" s="3"/>
      <c r="BUB73" s="3"/>
      <c r="BUC73" s="3"/>
      <c r="BUD73" s="3"/>
      <c r="BUE73" s="3"/>
      <c r="BUF73" s="3"/>
      <c r="BUG73" s="3"/>
      <c r="BUH73" s="3"/>
      <c r="BUI73" s="3"/>
      <c r="BUJ73" s="3"/>
      <c r="BUK73" s="3"/>
      <c r="BUL73" s="3"/>
      <c r="BUM73" s="3"/>
      <c r="BUN73" s="3"/>
      <c r="BUO73" s="3"/>
      <c r="BUP73" s="3"/>
      <c r="BUQ73" s="3"/>
      <c r="BUR73" s="3"/>
      <c r="BUS73" s="3"/>
      <c r="BUT73" s="3"/>
      <c r="BUU73" s="3"/>
      <c r="BUV73" s="3"/>
      <c r="BUW73" s="3"/>
      <c r="BUX73" s="3"/>
      <c r="BUY73" s="3"/>
      <c r="BUZ73" s="3"/>
      <c r="BVA73" s="3"/>
      <c r="BVB73" s="3"/>
      <c r="BVC73" s="3"/>
      <c r="BVD73" s="3"/>
      <c r="BVE73" s="3"/>
      <c r="BVF73" s="3"/>
      <c r="BVG73" s="3"/>
      <c r="BVH73" s="3"/>
      <c r="BVI73" s="3"/>
      <c r="BVJ73" s="3"/>
      <c r="BVK73" s="3"/>
      <c r="BVL73" s="3"/>
      <c r="BVM73" s="3"/>
      <c r="BVN73" s="3"/>
      <c r="BVO73" s="3"/>
      <c r="BVP73" s="3"/>
      <c r="BVQ73" s="3"/>
      <c r="BVR73" s="3"/>
      <c r="BVS73" s="3"/>
      <c r="BVT73" s="3"/>
      <c r="BVU73" s="3"/>
      <c r="BVV73" s="3"/>
      <c r="BVW73" s="3"/>
      <c r="BVX73" s="3"/>
      <c r="BVY73" s="3"/>
      <c r="BVZ73" s="3"/>
      <c r="BWA73" s="3"/>
      <c r="BWB73" s="3"/>
      <c r="BWC73" s="3"/>
      <c r="BWD73" s="3"/>
      <c r="BWE73" s="3"/>
      <c r="BWF73" s="3"/>
      <c r="BWG73" s="3"/>
      <c r="BWH73" s="3"/>
      <c r="BWI73" s="3"/>
      <c r="BWJ73" s="3"/>
      <c r="BWK73" s="3"/>
      <c r="BWL73" s="3"/>
      <c r="BWM73" s="3"/>
      <c r="BWN73" s="3"/>
      <c r="BWO73" s="3"/>
      <c r="BWP73" s="3"/>
      <c r="BWQ73" s="3"/>
      <c r="BWR73" s="3"/>
      <c r="BWS73" s="3"/>
      <c r="BWT73" s="3"/>
      <c r="BWU73" s="3"/>
      <c r="BWV73" s="3"/>
      <c r="BWW73" s="3"/>
      <c r="BWX73" s="3"/>
      <c r="BWY73" s="3"/>
      <c r="BWZ73" s="3"/>
      <c r="BXA73" s="3"/>
      <c r="BXB73" s="3"/>
      <c r="BXC73" s="3"/>
      <c r="BXD73" s="3"/>
      <c r="BXE73" s="3"/>
      <c r="BXF73" s="3"/>
      <c r="BXG73" s="3"/>
      <c r="BXH73" s="3"/>
      <c r="BXI73" s="3"/>
      <c r="BXJ73" s="3"/>
      <c r="BXK73" s="3"/>
      <c r="BXL73" s="3"/>
      <c r="BXM73" s="3"/>
      <c r="BXN73" s="3"/>
      <c r="BXO73" s="3"/>
      <c r="BXP73" s="3"/>
      <c r="BXQ73" s="3"/>
      <c r="BXR73" s="3"/>
      <c r="BXS73" s="3"/>
      <c r="BXT73" s="3"/>
      <c r="BXU73" s="3"/>
      <c r="BXV73" s="3"/>
      <c r="BXW73" s="3"/>
      <c r="BXX73" s="3"/>
      <c r="BXY73" s="3"/>
      <c r="BXZ73" s="3"/>
      <c r="BYA73" s="3"/>
      <c r="BYB73" s="3"/>
      <c r="BYC73" s="3"/>
      <c r="BYD73" s="3"/>
      <c r="BYE73" s="3"/>
      <c r="BYF73" s="3"/>
      <c r="BYG73" s="3"/>
      <c r="BYH73" s="3"/>
      <c r="BYI73" s="3"/>
      <c r="BYJ73" s="3"/>
      <c r="BYK73" s="3"/>
      <c r="BYL73" s="3"/>
      <c r="BYM73" s="3"/>
      <c r="BYN73" s="3"/>
      <c r="BYO73" s="3"/>
      <c r="BYP73" s="3"/>
      <c r="BYQ73" s="3"/>
      <c r="BYR73" s="3"/>
      <c r="BYS73" s="3"/>
      <c r="BYT73" s="3"/>
      <c r="BYU73" s="3"/>
      <c r="BYV73" s="3"/>
      <c r="BYW73" s="3"/>
      <c r="BYX73" s="3"/>
      <c r="BYY73" s="3"/>
      <c r="BYZ73" s="3"/>
      <c r="BZA73" s="3"/>
      <c r="BZB73" s="3"/>
      <c r="BZC73" s="3"/>
      <c r="BZD73" s="3"/>
      <c r="BZE73" s="3"/>
      <c r="BZF73" s="3"/>
      <c r="BZG73" s="3"/>
      <c r="BZH73" s="3"/>
      <c r="BZI73" s="3"/>
      <c r="BZJ73" s="3"/>
      <c r="BZK73" s="3"/>
      <c r="BZL73" s="3"/>
      <c r="BZM73" s="3"/>
      <c r="BZN73" s="3"/>
      <c r="BZO73" s="3"/>
      <c r="BZP73" s="3"/>
      <c r="BZQ73" s="3"/>
      <c r="BZR73" s="3"/>
      <c r="BZS73" s="3"/>
      <c r="BZT73" s="3"/>
      <c r="BZU73" s="3"/>
      <c r="BZV73" s="3"/>
      <c r="BZW73" s="3"/>
      <c r="BZX73" s="3"/>
      <c r="BZY73" s="3"/>
      <c r="BZZ73" s="3"/>
      <c r="CAA73" s="3"/>
      <c r="CAB73" s="3"/>
      <c r="CAC73" s="3"/>
      <c r="CAD73" s="3"/>
      <c r="CAE73" s="3"/>
      <c r="CAF73" s="3"/>
      <c r="CAG73" s="3"/>
      <c r="CAH73" s="3"/>
      <c r="CAI73" s="3"/>
      <c r="CAJ73" s="3"/>
      <c r="CAK73" s="3"/>
      <c r="CAL73" s="3"/>
      <c r="CAM73" s="3"/>
      <c r="CAN73" s="3"/>
      <c r="CAO73" s="3"/>
      <c r="CAP73" s="3"/>
      <c r="CAQ73" s="3"/>
      <c r="CAR73" s="3"/>
      <c r="CAS73" s="3"/>
      <c r="CAT73" s="3"/>
      <c r="CAU73" s="3"/>
      <c r="CAV73" s="3"/>
      <c r="CAW73" s="3"/>
      <c r="CAX73" s="3"/>
      <c r="CAY73" s="3"/>
      <c r="CAZ73" s="3"/>
      <c r="CBA73" s="3"/>
      <c r="CBB73" s="3"/>
      <c r="CBC73" s="3"/>
      <c r="CBD73" s="3"/>
      <c r="CBE73" s="3"/>
      <c r="CBF73" s="3"/>
      <c r="CBG73" s="3"/>
      <c r="CBH73" s="3"/>
      <c r="CBI73" s="3"/>
      <c r="CBJ73" s="3"/>
      <c r="CBK73" s="3"/>
      <c r="CBL73" s="3"/>
      <c r="CBM73" s="3"/>
      <c r="CBN73" s="3"/>
      <c r="CBO73" s="3"/>
      <c r="CBP73" s="3"/>
      <c r="CBQ73" s="3"/>
      <c r="CBR73" s="3"/>
      <c r="CBS73" s="3"/>
      <c r="CBT73" s="3"/>
      <c r="CBU73" s="3"/>
      <c r="CBV73" s="3"/>
      <c r="CBW73" s="3"/>
      <c r="CBX73" s="3"/>
      <c r="CBY73" s="3"/>
      <c r="CBZ73" s="3"/>
      <c r="CCA73" s="3"/>
      <c r="CCB73" s="3"/>
      <c r="CCC73" s="3"/>
      <c r="CCD73" s="3"/>
      <c r="CCE73" s="3"/>
      <c r="CCF73" s="3"/>
      <c r="CCG73" s="3"/>
      <c r="CCH73" s="3"/>
      <c r="CCI73" s="3"/>
      <c r="CCJ73" s="3"/>
      <c r="CCK73" s="3"/>
      <c r="CCL73" s="3"/>
      <c r="CCM73" s="3"/>
      <c r="CCN73" s="3"/>
      <c r="CCO73" s="3"/>
      <c r="CCP73" s="3"/>
      <c r="CCQ73" s="3"/>
      <c r="CCR73" s="3"/>
      <c r="CCS73" s="3"/>
      <c r="CCT73" s="3"/>
      <c r="CCU73" s="3"/>
      <c r="CCV73" s="3"/>
      <c r="CCW73" s="3"/>
      <c r="CCX73" s="3"/>
      <c r="CCY73" s="3"/>
      <c r="CCZ73" s="3"/>
      <c r="CDA73" s="3"/>
      <c r="CDB73" s="3"/>
      <c r="CDC73" s="3"/>
      <c r="CDD73" s="3"/>
      <c r="CDE73" s="3"/>
      <c r="CDF73" s="3"/>
      <c r="CDG73" s="3"/>
      <c r="CDH73" s="3"/>
      <c r="CDI73" s="3"/>
      <c r="CDJ73" s="3"/>
      <c r="CDK73" s="3"/>
      <c r="CDL73" s="3"/>
      <c r="CDM73" s="3"/>
      <c r="CDN73" s="3"/>
      <c r="CDO73" s="3"/>
      <c r="CDP73" s="3"/>
      <c r="CDQ73" s="3"/>
      <c r="CDR73" s="3"/>
      <c r="CDS73" s="3"/>
      <c r="CDT73" s="3"/>
      <c r="CDU73" s="3"/>
      <c r="CDV73" s="3"/>
      <c r="CDW73" s="3"/>
      <c r="CDX73" s="3"/>
      <c r="CDY73" s="3"/>
      <c r="CDZ73" s="3"/>
      <c r="CEA73" s="3"/>
      <c r="CEB73" s="3"/>
      <c r="CEC73" s="3"/>
      <c r="CED73" s="3"/>
      <c r="CEE73" s="3"/>
      <c r="CEF73" s="3"/>
      <c r="CEG73" s="3"/>
      <c r="CEH73" s="3"/>
      <c r="CEI73" s="3"/>
      <c r="CEJ73" s="3"/>
      <c r="CEK73" s="3"/>
      <c r="CEL73" s="3"/>
      <c r="CEM73" s="3"/>
      <c r="CEN73" s="3"/>
      <c r="CEO73" s="3"/>
      <c r="CEP73" s="3"/>
      <c r="CEQ73" s="3"/>
      <c r="CER73" s="3"/>
      <c r="CES73" s="3"/>
      <c r="CET73" s="3"/>
      <c r="CEU73" s="3"/>
      <c r="CEV73" s="3"/>
      <c r="CEW73" s="3"/>
      <c r="CEX73" s="3"/>
      <c r="CEY73" s="3"/>
      <c r="CEZ73" s="3"/>
      <c r="CFA73" s="3"/>
      <c r="CFB73" s="3"/>
      <c r="CFC73" s="3"/>
      <c r="CFD73" s="3"/>
      <c r="CFE73" s="3"/>
      <c r="CFF73" s="3"/>
      <c r="CFG73" s="3"/>
      <c r="CFH73" s="3"/>
      <c r="CFI73" s="3"/>
      <c r="CFJ73" s="3"/>
      <c r="CFK73" s="3"/>
      <c r="CFL73" s="3"/>
      <c r="CFM73" s="3"/>
      <c r="CFN73" s="3"/>
      <c r="CFO73" s="3"/>
      <c r="CFP73" s="3"/>
      <c r="CFQ73" s="3"/>
      <c r="CFR73" s="3"/>
      <c r="CFS73" s="3"/>
      <c r="CFT73" s="3"/>
      <c r="CFU73" s="3"/>
      <c r="CFV73" s="3"/>
      <c r="CFW73" s="3"/>
      <c r="CFX73" s="3"/>
      <c r="CFY73" s="3"/>
      <c r="CFZ73" s="3"/>
      <c r="CGA73" s="3"/>
      <c r="CGB73" s="3"/>
      <c r="CGC73" s="3"/>
      <c r="CGD73" s="3"/>
      <c r="CGE73" s="3"/>
      <c r="CGF73" s="3"/>
      <c r="CGG73" s="3"/>
      <c r="CGH73" s="3"/>
      <c r="CGI73" s="3"/>
      <c r="CGJ73" s="3"/>
      <c r="CGK73" s="3"/>
      <c r="CGL73" s="3"/>
      <c r="CGM73" s="3"/>
      <c r="CGN73" s="3"/>
      <c r="CGO73" s="3"/>
      <c r="CGP73" s="3"/>
      <c r="CGQ73" s="3"/>
      <c r="CGR73" s="3"/>
      <c r="CGS73" s="3"/>
      <c r="CGT73" s="3"/>
      <c r="CGU73" s="3"/>
      <c r="CGV73" s="3"/>
      <c r="CGW73" s="3"/>
      <c r="CGX73" s="3"/>
      <c r="CGY73" s="3"/>
      <c r="CGZ73" s="3"/>
      <c r="CHA73" s="3"/>
      <c r="CHB73" s="3"/>
      <c r="CHC73" s="3"/>
      <c r="CHD73" s="3"/>
      <c r="CHE73" s="3"/>
      <c r="CHF73" s="3"/>
      <c r="CHG73" s="3"/>
      <c r="CHH73" s="3"/>
      <c r="CHI73" s="3"/>
      <c r="CHJ73" s="3"/>
      <c r="CHK73" s="3"/>
      <c r="CHL73" s="3"/>
      <c r="CHM73" s="3"/>
      <c r="CHN73" s="3"/>
      <c r="CHO73" s="3"/>
      <c r="CHP73" s="3"/>
      <c r="CHQ73" s="3"/>
      <c r="CHR73" s="3"/>
      <c r="CHS73" s="3"/>
      <c r="CHT73" s="3"/>
      <c r="CHU73" s="3"/>
      <c r="CHV73" s="3"/>
      <c r="CHW73" s="3"/>
      <c r="CHX73" s="3"/>
      <c r="CHY73" s="3"/>
      <c r="CHZ73" s="3"/>
      <c r="CIA73" s="3"/>
      <c r="CIB73" s="3"/>
      <c r="CIC73" s="3"/>
      <c r="CID73" s="3"/>
      <c r="CIE73" s="3"/>
      <c r="CIF73" s="3"/>
      <c r="CIG73" s="3"/>
      <c r="CIH73" s="3"/>
      <c r="CII73" s="3"/>
      <c r="CIJ73" s="3"/>
      <c r="CIK73" s="3"/>
      <c r="CIL73" s="3"/>
      <c r="CIM73" s="3"/>
      <c r="CIN73" s="3"/>
      <c r="CIO73" s="3"/>
      <c r="CIP73" s="3"/>
      <c r="CIQ73" s="3"/>
      <c r="CIR73" s="3"/>
      <c r="CIS73" s="3"/>
      <c r="CIT73" s="3"/>
      <c r="CIU73" s="3"/>
      <c r="CIV73" s="3"/>
      <c r="CIW73" s="3"/>
      <c r="CIX73" s="3"/>
      <c r="CIY73" s="3"/>
      <c r="CIZ73" s="3"/>
      <c r="CJA73" s="3"/>
      <c r="CJB73" s="3"/>
      <c r="CJC73" s="3"/>
      <c r="CJD73" s="3"/>
      <c r="CJE73" s="3"/>
      <c r="CJF73" s="3"/>
      <c r="CJG73" s="3"/>
      <c r="CJH73" s="3"/>
      <c r="CJI73" s="3"/>
      <c r="CJJ73" s="3"/>
      <c r="CJK73" s="3"/>
      <c r="CJL73" s="3"/>
      <c r="CJM73" s="3"/>
      <c r="CJN73" s="3"/>
      <c r="CJO73" s="3"/>
      <c r="CJP73" s="3"/>
      <c r="CJQ73" s="3"/>
      <c r="CJR73" s="3"/>
      <c r="CJS73" s="3"/>
      <c r="CJT73" s="3"/>
      <c r="CJU73" s="3"/>
      <c r="CJV73" s="3"/>
      <c r="CJW73" s="3"/>
      <c r="CJX73" s="3"/>
      <c r="CJY73" s="3"/>
      <c r="CJZ73" s="3"/>
      <c r="CKA73" s="3"/>
      <c r="CKB73" s="3"/>
      <c r="CKC73" s="3"/>
      <c r="CKD73" s="3"/>
      <c r="CKE73" s="3"/>
      <c r="CKF73" s="3"/>
      <c r="CKG73" s="3"/>
      <c r="CKH73" s="3"/>
      <c r="CKI73" s="3"/>
      <c r="CKJ73" s="3"/>
      <c r="CKK73" s="3"/>
      <c r="CKL73" s="3"/>
      <c r="CKM73" s="3"/>
      <c r="CKN73" s="3"/>
      <c r="CKO73" s="3"/>
      <c r="CKP73" s="3"/>
      <c r="CKQ73" s="3"/>
      <c r="CKR73" s="3"/>
      <c r="CKS73" s="3"/>
      <c r="CKT73" s="3"/>
      <c r="CKU73" s="3"/>
      <c r="CKV73" s="3"/>
      <c r="CKW73" s="3"/>
      <c r="CKX73" s="3"/>
      <c r="CKY73" s="3"/>
      <c r="CKZ73" s="3"/>
      <c r="CLA73" s="3"/>
      <c r="CLB73" s="3"/>
      <c r="CLC73" s="3"/>
      <c r="CLD73" s="3"/>
      <c r="CLE73" s="3"/>
      <c r="CLF73" s="3"/>
      <c r="CLG73" s="3"/>
      <c r="CLH73" s="3"/>
      <c r="CLI73" s="3"/>
      <c r="CLJ73" s="3"/>
      <c r="CLK73" s="3"/>
      <c r="CLL73" s="3"/>
      <c r="CLM73" s="3"/>
      <c r="CLN73" s="3"/>
      <c r="CLO73" s="3"/>
      <c r="CLP73" s="3"/>
      <c r="CLQ73" s="3"/>
      <c r="CLR73" s="3"/>
      <c r="CLS73" s="3"/>
      <c r="CLT73" s="3"/>
      <c r="CLU73" s="3"/>
      <c r="CLV73" s="3"/>
      <c r="CLW73" s="3"/>
      <c r="CLX73" s="3"/>
      <c r="CLY73" s="3"/>
      <c r="CLZ73" s="3"/>
      <c r="CMA73" s="3"/>
      <c r="CMB73" s="3"/>
      <c r="CMC73" s="3"/>
      <c r="CMD73" s="3"/>
      <c r="CME73" s="3"/>
      <c r="CMF73" s="3"/>
      <c r="CMG73" s="3"/>
      <c r="CMH73" s="3"/>
      <c r="CMI73" s="3"/>
      <c r="CMJ73" s="3"/>
      <c r="CMK73" s="3"/>
      <c r="CML73" s="3"/>
      <c r="CMM73" s="3"/>
      <c r="CMN73" s="3"/>
      <c r="CMO73" s="3"/>
      <c r="CMP73" s="3"/>
      <c r="CMQ73" s="3"/>
      <c r="CMR73" s="3"/>
      <c r="CMS73" s="3"/>
      <c r="CMT73" s="3"/>
      <c r="CMU73" s="3"/>
      <c r="CMV73" s="3"/>
      <c r="CMW73" s="3"/>
      <c r="CMX73" s="3"/>
      <c r="CMY73" s="3"/>
      <c r="CMZ73" s="3"/>
      <c r="CNA73" s="3"/>
      <c r="CNB73" s="3"/>
      <c r="CNC73" s="3"/>
      <c r="CND73" s="3"/>
      <c r="CNE73" s="3"/>
      <c r="CNF73" s="3"/>
      <c r="CNG73" s="3"/>
      <c r="CNH73" s="3"/>
      <c r="CNI73" s="3"/>
      <c r="CNJ73" s="3"/>
      <c r="CNK73" s="3"/>
      <c r="CNL73" s="3"/>
      <c r="CNM73" s="3"/>
      <c r="CNN73" s="3"/>
      <c r="CNO73" s="3"/>
      <c r="CNP73" s="3"/>
      <c r="CNQ73" s="3"/>
      <c r="CNR73" s="3"/>
      <c r="CNS73" s="3"/>
      <c r="CNT73" s="3"/>
      <c r="CNU73" s="3"/>
      <c r="CNV73" s="3"/>
      <c r="CNW73" s="3"/>
      <c r="CNX73" s="3"/>
      <c r="CNY73" s="3"/>
      <c r="CNZ73" s="3"/>
      <c r="COA73" s="3"/>
      <c r="COB73" s="3"/>
      <c r="COC73" s="3"/>
      <c r="COD73" s="3"/>
      <c r="COE73" s="3"/>
      <c r="COF73" s="3"/>
      <c r="COG73" s="3"/>
      <c r="COH73" s="3"/>
      <c r="COI73" s="3"/>
      <c r="COJ73" s="3"/>
      <c r="COK73" s="3"/>
      <c r="COL73" s="3"/>
      <c r="COM73" s="3"/>
      <c r="CON73" s="3"/>
      <c r="COO73" s="3"/>
      <c r="COP73" s="3"/>
      <c r="COQ73" s="3"/>
      <c r="COR73" s="3"/>
      <c r="COS73" s="3"/>
      <c r="COT73" s="3"/>
      <c r="COU73" s="3"/>
      <c r="COV73" s="3"/>
      <c r="COW73" s="3"/>
      <c r="COX73" s="3"/>
      <c r="COY73" s="3"/>
      <c r="COZ73" s="3"/>
      <c r="CPA73" s="3"/>
      <c r="CPB73" s="3"/>
      <c r="CPC73" s="3"/>
      <c r="CPD73" s="3"/>
      <c r="CPE73" s="3"/>
      <c r="CPF73" s="3"/>
      <c r="CPG73" s="3"/>
      <c r="CPH73" s="3"/>
      <c r="CPI73" s="3"/>
      <c r="CPJ73" s="3"/>
      <c r="CPK73" s="3"/>
      <c r="CPL73" s="3"/>
      <c r="CPM73" s="3"/>
      <c r="CPN73" s="3"/>
      <c r="CPO73" s="3"/>
      <c r="CPP73" s="3"/>
      <c r="CPQ73" s="3"/>
      <c r="CPR73" s="3"/>
      <c r="CPS73" s="3"/>
      <c r="CPT73" s="3"/>
      <c r="CPU73" s="3"/>
      <c r="CPV73" s="3"/>
      <c r="CPW73" s="3"/>
      <c r="CPX73" s="3"/>
      <c r="CPY73" s="3"/>
      <c r="CPZ73" s="3"/>
      <c r="CQA73" s="3"/>
      <c r="CQB73" s="3"/>
      <c r="CQC73" s="3"/>
      <c r="CQD73" s="3"/>
      <c r="CQE73" s="3"/>
      <c r="CQF73" s="3"/>
      <c r="CQG73" s="3"/>
      <c r="CQH73" s="3"/>
      <c r="CQI73" s="3"/>
      <c r="CQJ73" s="3"/>
      <c r="CQK73" s="3"/>
      <c r="CQL73" s="3"/>
      <c r="CQM73" s="3"/>
      <c r="CQN73" s="3"/>
      <c r="CQO73" s="3"/>
      <c r="CQP73" s="3"/>
      <c r="CQQ73" s="3"/>
      <c r="CQR73" s="3"/>
      <c r="CQS73" s="3"/>
      <c r="CQT73" s="3"/>
      <c r="CQU73" s="3"/>
      <c r="CQV73" s="3"/>
      <c r="CQW73" s="3"/>
      <c r="CQX73" s="3"/>
      <c r="CQY73" s="3"/>
      <c r="CQZ73" s="3"/>
      <c r="CRA73" s="3"/>
      <c r="CRB73" s="3"/>
      <c r="CRC73" s="3"/>
      <c r="CRD73" s="3"/>
      <c r="CRE73" s="3"/>
      <c r="CRF73" s="3"/>
      <c r="CRG73" s="3"/>
      <c r="CRH73" s="3"/>
      <c r="CRI73" s="3"/>
      <c r="CRJ73" s="3"/>
      <c r="CRK73" s="3"/>
      <c r="CRL73" s="3"/>
      <c r="CRM73" s="3"/>
      <c r="CRN73" s="3"/>
      <c r="CRO73" s="3"/>
      <c r="CRP73" s="3"/>
      <c r="CRQ73" s="3"/>
      <c r="CRR73" s="3"/>
      <c r="CRS73" s="3"/>
      <c r="CRT73" s="3"/>
      <c r="CRU73" s="3"/>
      <c r="CRV73" s="3"/>
      <c r="CRW73" s="3"/>
      <c r="CRX73" s="3"/>
      <c r="CRY73" s="3"/>
      <c r="CRZ73" s="3"/>
      <c r="CSA73" s="3"/>
      <c r="CSB73" s="3"/>
      <c r="CSC73" s="3"/>
      <c r="CSD73" s="3"/>
      <c r="CSE73" s="3"/>
      <c r="CSF73" s="3"/>
      <c r="CSG73" s="3"/>
      <c r="CSH73" s="3"/>
      <c r="CSI73" s="3"/>
      <c r="CSJ73" s="3"/>
      <c r="CSK73" s="3"/>
      <c r="CSL73" s="3"/>
      <c r="CSM73" s="3"/>
      <c r="CSN73" s="3"/>
      <c r="CSO73" s="3"/>
      <c r="CSP73" s="3"/>
      <c r="CSQ73" s="3"/>
      <c r="CSR73" s="3"/>
      <c r="CSS73" s="3"/>
      <c r="CST73" s="3"/>
      <c r="CSU73" s="3"/>
      <c r="CSV73" s="3"/>
      <c r="CSW73" s="3"/>
      <c r="CSX73" s="3"/>
      <c r="CSY73" s="3"/>
      <c r="CSZ73" s="3"/>
      <c r="CTA73" s="3"/>
      <c r="CTB73" s="3"/>
      <c r="CTC73" s="3"/>
      <c r="CTD73" s="3"/>
      <c r="CTE73" s="3"/>
      <c r="CTF73" s="3"/>
      <c r="CTG73" s="3"/>
      <c r="CTH73" s="3"/>
      <c r="CTI73" s="3"/>
      <c r="CTJ73" s="3"/>
      <c r="CTK73" s="3"/>
      <c r="CTL73" s="3"/>
      <c r="CTM73" s="3"/>
      <c r="CTN73" s="3"/>
      <c r="CTO73" s="3"/>
      <c r="CTP73" s="3"/>
      <c r="CTQ73" s="3"/>
      <c r="CTR73" s="3"/>
      <c r="CTS73" s="3"/>
      <c r="CTT73" s="3"/>
      <c r="CTU73" s="3"/>
      <c r="CTV73" s="3"/>
      <c r="CTW73" s="3"/>
      <c r="CTX73" s="3"/>
      <c r="CTY73" s="3"/>
      <c r="CTZ73" s="3"/>
      <c r="CUA73" s="3"/>
      <c r="CUB73" s="3"/>
      <c r="CUC73" s="3"/>
      <c r="CUD73" s="3"/>
      <c r="CUE73" s="3"/>
      <c r="CUF73" s="3"/>
      <c r="CUG73" s="3"/>
      <c r="CUH73" s="3"/>
      <c r="CUI73" s="3"/>
      <c r="CUJ73" s="3"/>
      <c r="CUK73" s="3"/>
      <c r="CUL73" s="3"/>
      <c r="CUM73" s="3"/>
      <c r="CUN73" s="3"/>
      <c r="CUO73" s="3"/>
      <c r="CUP73" s="3"/>
      <c r="CUQ73" s="3"/>
      <c r="CUR73" s="3"/>
      <c r="CUS73" s="3"/>
      <c r="CUT73" s="3"/>
      <c r="CUU73" s="3"/>
      <c r="CUV73" s="3"/>
      <c r="CUW73" s="3"/>
      <c r="CUX73" s="3"/>
      <c r="CUY73" s="3"/>
      <c r="CUZ73" s="3"/>
      <c r="CVA73" s="3"/>
      <c r="CVB73" s="3"/>
      <c r="CVC73" s="3"/>
      <c r="CVD73" s="3"/>
      <c r="CVE73" s="3"/>
      <c r="CVF73" s="3"/>
      <c r="CVG73" s="3"/>
      <c r="CVH73" s="3"/>
      <c r="CVI73" s="3"/>
      <c r="CVJ73" s="3"/>
      <c r="CVK73" s="3"/>
      <c r="CVL73" s="3"/>
      <c r="CVM73" s="3"/>
      <c r="CVN73" s="3"/>
      <c r="CVO73" s="3"/>
      <c r="CVP73" s="3"/>
      <c r="CVQ73" s="3"/>
      <c r="CVR73" s="3"/>
      <c r="CVS73" s="3"/>
      <c r="CVT73" s="3"/>
      <c r="CVU73" s="3"/>
      <c r="CVV73" s="3"/>
      <c r="CVW73" s="3"/>
      <c r="CVX73" s="3"/>
      <c r="CVY73" s="3"/>
      <c r="CVZ73" s="3"/>
      <c r="CWA73" s="3"/>
      <c r="CWB73" s="3"/>
      <c r="CWC73" s="3"/>
      <c r="CWD73" s="3"/>
      <c r="CWE73" s="3"/>
      <c r="CWF73" s="3"/>
      <c r="CWG73" s="3"/>
      <c r="CWH73" s="3"/>
      <c r="CWI73" s="3"/>
      <c r="CWJ73" s="3"/>
      <c r="CWK73" s="3"/>
      <c r="CWL73" s="3"/>
      <c r="CWM73" s="3"/>
      <c r="CWN73" s="3"/>
      <c r="CWO73" s="3"/>
      <c r="CWP73" s="3"/>
      <c r="CWQ73" s="3"/>
      <c r="CWR73" s="3"/>
      <c r="CWS73" s="3"/>
      <c r="CWT73" s="3"/>
      <c r="CWU73" s="3"/>
      <c r="CWV73" s="3"/>
      <c r="CWW73" s="3"/>
      <c r="CWX73" s="3"/>
      <c r="CWY73" s="3"/>
      <c r="CWZ73" s="3"/>
      <c r="CXA73" s="3"/>
      <c r="CXB73" s="3"/>
      <c r="CXC73" s="3"/>
      <c r="CXD73" s="3"/>
      <c r="CXE73" s="3"/>
      <c r="CXF73" s="3"/>
      <c r="CXG73" s="3"/>
      <c r="CXH73" s="3"/>
      <c r="CXI73" s="3"/>
      <c r="CXJ73" s="3"/>
      <c r="CXK73" s="3"/>
      <c r="CXL73" s="3"/>
      <c r="CXM73" s="3"/>
      <c r="CXN73" s="3"/>
      <c r="CXO73" s="3"/>
      <c r="CXP73" s="3"/>
      <c r="CXQ73" s="3"/>
      <c r="CXR73" s="3"/>
      <c r="CXS73" s="3"/>
      <c r="CXT73" s="3"/>
      <c r="CXU73" s="3"/>
      <c r="CXV73" s="3"/>
      <c r="CXW73" s="3"/>
      <c r="CXX73" s="3"/>
      <c r="CXY73" s="3"/>
      <c r="CXZ73" s="3"/>
      <c r="CYA73" s="3"/>
      <c r="CYB73" s="3"/>
      <c r="CYC73" s="3"/>
      <c r="CYD73" s="3"/>
      <c r="CYE73" s="3"/>
      <c r="CYF73" s="3"/>
      <c r="CYG73" s="3"/>
      <c r="CYH73" s="3"/>
      <c r="CYI73" s="3"/>
      <c r="CYJ73" s="3"/>
      <c r="CYK73" s="3"/>
      <c r="CYL73" s="3"/>
      <c r="CYM73" s="3"/>
      <c r="CYN73" s="3"/>
      <c r="CYO73" s="3"/>
      <c r="CYP73" s="3"/>
      <c r="CYQ73" s="3"/>
      <c r="CYR73" s="3"/>
      <c r="CYS73" s="3"/>
      <c r="CYT73" s="3"/>
      <c r="CYU73" s="3"/>
      <c r="CYV73" s="3"/>
      <c r="CYW73" s="3"/>
      <c r="CYX73" s="3"/>
      <c r="CYY73" s="3"/>
      <c r="CYZ73" s="3"/>
      <c r="CZA73" s="3"/>
      <c r="CZB73" s="3"/>
      <c r="CZC73" s="3"/>
      <c r="CZD73" s="3"/>
      <c r="CZE73" s="3"/>
      <c r="CZF73" s="3"/>
      <c r="CZG73" s="3"/>
      <c r="CZH73" s="3"/>
      <c r="CZI73" s="3"/>
      <c r="CZJ73" s="3"/>
      <c r="CZK73" s="3"/>
      <c r="CZL73" s="3"/>
      <c r="CZM73" s="3"/>
      <c r="CZN73" s="3"/>
      <c r="CZO73" s="3"/>
      <c r="CZP73" s="3"/>
      <c r="CZQ73" s="3"/>
      <c r="CZR73" s="3"/>
      <c r="CZS73" s="3"/>
      <c r="CZT73" s="3"/>
      <c r="CZU73" s="3"/>
      <c r="CZV73" s="3"/>
      <c r="CZW73" s="3"/>
      <c r="CZX73" s="3"/>
      <c r="CZY73" s="3"/>
      <c r="CZZ73" s="3"/>
      <c r="DAA73" s="3"/>
      <c r="DAB73" s="3"/>
      <c r="DAC73" s="3"/>
      <c r="DAD73" s="3"/>
      <c r="DAE73" s="3"/>
      <c r="DAF73" s="3"/>
      <c r="DAG73" s="3"/>
      <c r="DAH73" s="3"/>
      <c r="DAI73" s="3"/>
      <c r="DAJ73" s="3"/>
      <c r="DAK73" s="3"/>
      <c r="DAL73" s="3"/>
      <c r="DAM73" s="3"/>
      <c r="DAN73" s="3"/>
      <c r="DAO73" s="3"/>
      <c r="DAP73" s="3"/>
      <c r="DAQ73" s="3"/>
      <c r="DAR73" s="3"/>
      <c r="DAS73" s="3"/>
      <c r="DAT73" s="3"/>
      <c r="DAU73" s="3"/>
      <c r="DAV73" s="3"/>
      <c r="DAW73" s="3"/>
      <c r="DAX73" s="3"/>
      <c r="DAY73" s="3"/>
      <c r="DAZ73" s="3"/>
      <c r="DBA73" s="3"/>
      <c r="DBB73" s="3"/>
      <c r="DBC73" s="3"/>
      <c r="DBD73" s="3"/>
      <c r="DBE73" s="3"/>
      <c r="DBF73" s="3"/>
      <c r="DBG73" s="3"/>
      <c r="DBH73" s="3"/>
      <c r="DBI73" s="3"/>
      <c r="DBJ73" s="3"/>
      <c r="DBK73" s="3"/>
      <c r="DBL73" s="3"/>
      <c r="DBM73" s="3"/>
      <c r="DBN73" s="3"/>
      <c r="DBO73" s="3"/>
      <c r="DBP73" s="3"/>
      <c r="DBQ73" s="3"/>
      <c r="DBR73" s="3"/>
      <c r="DBS73" s="3"/>
      <c r="DBT73" s="3"/>
      <c r="DBU73" s="3"/>
      <c r="DBV73" s="3"/>
      <c r="DBW73" s="3"/>
      <c r="DBX73" s="3"/>
      <c r="DBY73" s="3"/>
      <c r="DBZ73" s="3"/>
      <c r="DCA73" s="3"/>
      <c r="DCB73" s="3"/>
      <c r="DCC73" s="3"/>
      <c r="DCD73" s="3"/>
      <c r="DCE73" s="3"/>
      <c r="DCF73" s="3"/>
      <c r="DCG73" s="3"/>
      <c r="DCH73" s="3"/>
      <c r="DCI73" s="3"/>
      <c r="DCJ73" s="3"/>
      <c r="DCK73" s="3"/>
      <c r="DCL73" s="3"/>
      <c r="DCM73" s="3"/>
      <c r="DCN73" s="3"/>
      <c r="DCO73" s="3"/>
      <c r="DCP73" s="3"/>
      <c r="DCQ73" s="3"/>
      <c r="DCR73" s="3"/>
      <c r="DCS73" s="3"/>
      <c r="DCT73" s="3"/>
      <c r="DCU73" s="3"/>
      <c r="DCV73" s="3"/>
      <c r="DCW73" s="3"/>
      <c r="DCX73" s="3"/>
      <c r="DCY73" s="3"/>
      <c r="DCZ73" s="3"/>
      <c r="DDA73" s="3"/>
      <c r="DDB73" s="3"/>
      <c r="DDC73" s="3"/>
      <c r="DDD73" s="3"/>
      <c r="DDE73" s="3"/>
      <c r="DDF73" s="3"/>
      <c r="DDG73" s="3"/>
      <c r="DDH73" s="3"/>
      <c r="DDI73" s="3"/>
      <c r="DDJ73" s="3"/>
      <c r="DDK73" s="3"/>
      <c r="DDL73" s="3"/>
      <c r="DDM73" s="3"/>
      <c r="DDN73" s="3"/>
      <c r="DDO73" s="3"/>
      <c r="DDP73" s="3"/>
      <c r="DDQ73" s="3"/>
      <c r="DDR73" s="3"/>
      <c r="DDS73" s="3"/>
      <c r="DDT73" s="3"/>
      <c r="DDU73" s="3"/>
      <c r="DDV73" s="3"/>
      <c r="DDW73" s="3"/>
      <c r="DDX73" s="3"/>
      <c r="DDY73" s="3"/>
      <c r="DDZ73" s="3"/>
      <c r="DEA73" s="3"/>
      <c r="DEB73" s="3"/>
      <c r="DEC73" s="3"/>
      <c r="DED73" s="3"/>
      <c r="DEE73" s="3"/>
      <c r="DEF73" s="3"/>
      <c r="DEG73" s="3"/>
      <c r="DEH73" s="3"/>
      <c r="DEI73" s="3"/>
      <c r="DEJ73" s="3"/>
      <c r="DEK73" s="3"/>
      <c r="DEL73" s="3"/>
      <c r="DEM73" s="3"/>
      <c r="DEN73" s="3"/>
      <c r="DEO73" s="3"/>
      <c r="DEP73" s="3"/>
      <c r="DEQ73" s="3"/>
      <c r="DER73" s="3"/>
      <c r="DES73" s="3"/>
      <c r="DET73" s="3"/>
      <c r="DEU73" s="3"/>
      <c r="DEV73" s="3"/>
      <c r="DEW73" s="3"/>
      <c r="DEX73" s="3"/>
      <c r="DEY73" s="3"/>
      <c r="DEZ73" s="3"/>
      <c r="DFA73" s="3"/>
      <c r="DFB73" s="3"/>
      <c r="DFC73" s="3"/>
      <c r="DFD73" s="3"/>
      <c r="DFE73" s="3"/>
      <c r="DFF73" s="3"/>
      <c r="DFG73" s="3"/>
      <c r="DFH73" s="3"/>
      <c r="DFI73" s="3"/>
      <c r="DFJ73" s="3"/>
      <c r="DFK73" s="3"/>
      <c r="DFL73" s="3"/>
      <c r="DFM73" s="3"/>
      <c r="DFN73" s="3"/>
      <c r="DFO73" s="3"/>
      <c r="DFP73" s="3"/>
      <c r="DFQ73" s="3"/>
      <c r="DFR73" s="3"/>
      <c r="DFS73" s="3"/>
      <c r="DFT73" s="3"/>
      <c r="DFU73" s="3"/>
      <c r="DFV73" s="3"/>
      <c r="DFW73" s="3"/>
      <c r="DFX73" s="3"/>
      <c r="DFY73" s="3"/>
      <c r="DFZ73" s="3"/>
      <c r="DGA73" s="3"/>
      <c r="DGB73" s="3"/>
      <c r="DGC73" s="3"/>
      <c r="DGD73" s="3"/>
      <c r="DGE73" s="3"/>
      <c r="DGF73" s="3"/>
      <c r="DGG73" s="3"/>
      <c r="DGH73" s="3"/>
      <c r="DGI73" s="3"/>
      <c r="DGJ73" s="3"/>
      <c r="DGK73" s="3"/>
      <c r="DGL73" s="3"/>
      <c r="DGM73" s="3"/>
      <c r="DGN73" s="3"/>
      <c r="DGO73" s="3"/>
      <c r="DGP73" s="3"/>
      <c r="DGQ73" s="3"/>
      <c r="DGR73" s="3"/>
      <c r="DGS73" s="3"/>
      <c r="DGT73" s="3"/>
      <c r="DGU73" s="3"/>
      <c r="DGV73" s="3"/>
      <c r="DGW73" s="3"/>
      <c r="DGX73" s="3"/>
      <c r="DGY73" s="3"/>
      <c r="DGZ73" s="3"/>
      <c r="DHA73" s="3"/>
      <c r="DHB73" s="3"/>
      <c r="DHC73" s="3"/>
      <c r="DHD73" s="3"/>
      <c r="DHE73" s="3"/>
      <c r="DHF73" s="3"/>
      <c r="DHG73" s="3"/>
      <c r="DHH73" s="3"/>
      <c r="DHI73" s="3"/>
      <c r="DHJ73" s="3"/>
      <c r="DHK73" s="3"/>
      <c r="DHL73" s="3"/>
      <c r="DHM73" s="3"/>
      <c r="DHN73" s="3"/>
      <c r="DHO73" s="3"/>
      <c r="DHP73" s="3"/>
      <c r="DHQ73" s="3"/>
      <c r="DHR73" s="3"/>
      <c r="DHS73" s="3"/>
      <c r="DHT73" s="3"/>
      <c r="DHU73" s="3"/>
      <c r="DHV73" s="3"/>
      <c r="DHW73" s="3"/>
      <c r="DHX73" s="3"/>
      <c r="DHY73" s="3"/>
      <c r="DHZ73" s="3"/>
      <c r="DIA73" s="3"/>
      <c r="DIB73" s="3"/>
      <c r="DIC73" s="3"/>
      <c r="DID73" s="3"/>
      <c r="DIE73" s="3"/>
      <c r="DIF73" s="3"/>
      <c r="DIG73" s="3"/>
      <c r="DIH73" s="3"/>
      <c r="DII73" s="3"/>
      <c r="DIJ73" s="3"/>
      <c r="DIK73" s="3"/>
      <c r="DIL73" s="3"/>
      <c r="DIM73" s="3"/>
      <c r="DIN73" s="3"/>
      <c r="DIO73" s="3"/>
      <c r="DIP73" s="3"/>
      <c r="DIQ73" s="3"/>
      <c r="DIR73" s="3"/>
      <c r="DIS73" s="3"/>
      <c r="DIT73" s="3"/>
      <c r="DIU73" s="3"/>
      <c r="DIV73" s="3"/>
      <c r="DIW73" s="3"/>
      <c r="DIX73" s="3"/>
      <c r="DIY73" s="3"/>
      <c r="DIZ73" s="3"/>
      <c r="DJA73" s="3"/>
      <c r="DJB73" s="3"/>
      <c r="DJC73" s="3"/>
      <c r="DJD73" s="3"/>
      <c r="DJE73" s="3"/>
      <c r="DJF73" s="3"/>
      <c r="DJG73" s="3"/>
      <c r="DJH73" s="3"/>
      <c r="DJI73" s="3"/>
      <c r="DJJ73" s="3"/>
      <c r="DJK73" s="3"/>
      <c r="DJL73" s="3"/>
      <c r="DJM73" s="3"/>
      <c r="DJN73" s="3"/>
      <c r="DJO73" s="3"/>
      <c r="DJP73" s="3"/>
      <c r="DJQ73" s="3"/>
      <c r="DJR73" s="3"/>
      <c r="DJS73" s="3"/>
      <c r="DJT73" s="3"/>
      <c r="DJU73" s="3"/>
      <c r="DJV73" s="3"/>
      <c r="DJW73" s="3"/>
      <c r="DJX73" s="3"/>
      <c r="DJY73" s="3"/>
      <c r="DJZ73" s="3"/>
      <c r="DKA73" s="3"/>
      <c r="DKB73" s="3"/>
      <c r="DKC73" s="3"/>
      <c r="DKD73" s="3"/>
      <c r="DKE73" s="3"/>
      <c r="DKF73" s="3"/>
      <c r="DKG73" s="3"/>
      <c r="DKH73" s="3"/>
      <c r="DKI73" s="3"/>
      <c r="DKJ73" s="3"/>
      <c r="DKK73" s="3"/>
      <c r="DKL73" s="3"/>
      <c r="DKM73" s="3"/>
      <c r="DKN73" s="3"/>
      <c r="DKO73" s="3"/>
      <c r="DKP73" s="3"/>
      <c r="DKQ73" s="3"/>
      <c r="DKR73" s="3"/>
      <c r="DKS73" s="3"/>
      <c r="DKT73" s="3"/>
      <c r="DKU73" s="3"/>
      <c r="DKV73" s="3"/>
      <c r="DKW73" s="3"/>
      <c r="DKX73" s="3"/>
      <c r="DKY73" s="3"/>
      <c r="DKZ73" s="3"/>
      <c r="DLA73" s="3"/>
      <c r="DLB73" s="3"/>
      <c r="DLC73" s="3"/>
      <c r="DLD73" s="3"/>
      <c r="DLE73" s="3"/>
      <c r="DLF73" s="3"/>
      <c r="DLG73" s="3"/>
      <c r="DLH73" s="3"/>
      <c r="DLI73" s="3"/>
      <c r="DLJ73" s="3"/>
      <c r="DLK73" s="3"/>
      <c r="DLL73" s="3"/>
      <c r="DLM73" s="3"/>
      <c r="DLN73" s="3"/>
      <c r="DLO73" s="3"/>
      <c r="DLP73" s="3"/>
      <c r="DLQ73" s="3"/>
      <c r="DLR73" s="3"/>
      <c r="DLS73" s="3"/>
      <c r="DLT73" s="3"/>
      <c r="DLU73" s="3"/>
      <c r="DLV73" s="3"/>
      <c r="DLW73" s="3"/>
      <c r="DLX73" s="3"/>
      <c r="DLY73" s="3"/>
      <c r="DLZ73" s="3"/>
      <c r="DMA73" s="3"/>
      <c r="DMB73" s="3"/>
      <c r="DMC73" s="3"/>
      <c r="DMD73" s="3"/>
      <c r="DME73" s="3"/>
      <c r="DMF73" s="3"/>
      <c r="DMG73" s="3"/>
      <c r="DMH73" s="3"/>
      <c r="DMI73" s="3"/>
      <c r="DMJ73" s="3"/>
      <c r="DMK73" s="3"/>
      <c r="DML73" s="3"/>
      <c r="DMM73" s="3"/>
      <c r="DMN73" s="3"/>
      <c r="DMO73" s="3"/>
      <c r="DMP73" s="3"/>
      <c r="DMQ73" s="3"/>
      <c r="DMR73" s="3"/>
      <c r="DMS73" s="3"/>
      <c r="DMT73" s="3"/>
      <c r="DMU73" s="3"/>
      <c r="DMV73" s="3"/>
      <c r="DMW73" s="3"/>
      <c r="DMX73" s="3"/>
      <c r="DMY73" s="3"/>
      <c r="DMZ73" s="3"/>
      <c r="DNA73" s="3"/>
      <c r="DNB73" s="3"/>
      <c r="DNC73" s="3"/>
      <c r="DND73" s="3"/>
      <c r="DNE73" s="3"/>
      <c r="DNF73" s="3"/>
      <c r="DNG73" s="3"/>
      <c r="DNH73" s="3"/>
      <c r="DNI73" s="3"/>
      <c r="DNJ73" s="3"/>
      <c r="DNK73" s="3"/>
      <c r="DNL73" s="3"/>
      <c r="DNM73" s="3"/>
      <c r="DNN73" s="3"/>
      <c r="DNO73" s="3"/>
      <c r="DNP73" s="3"/>
      <c r="DNQ73" s="3"/>
      <c r="DNR73" s="3"/>
      <c r="DNS73" s="3"/>
      <c r="DNT73" s="3"/>
      <c r="DNU73" s="3"/>
      <c r="DNV73" s="3"/>
      <c r="DNW73" s="3"/>
      <c r="DNX73" s="3"/>
      <c r="DNY73" s="3"/>
      <c r="DNZ73" s="3"/>
      <c r="DOA73" s="3"/>
      <c r="DOB73" s="3"/>
      <c r="DOC73" s="3"/>
      <c r="DOD73" s="3"/>
      <c r="DOE73" s="3"/>
      <c r="DOF73" s="3"/>
      <c r="DOG73" s="3"/>
      <c r="DOH73" s="3"/>
      <c r="DOI73" s="3"/>
      <c r="DOJ73" s="3"/>
      <c r="DOK73" s="3"/>
      <c r="DOL73" s="3"/>
      <c r="DOM73" s="3"/>
      <c r="DON73" s="3"/>
      <c r="DOO73" s="3"/>
      <c r="DOP73" s="3"/>
      <c r="DOQ73" s="3"/>
      <c r="DOR73" s="3"/>
      <c r="DOS73" s="3"/>
      <c r="DOT73" s="3"/>
      <c r="DOU73" s="3"/>
      <c r="DOV73" s="3"/>
      <c r="DOW73" s="3"/>
      <c r="DOX73" s="3"/>
      <c r="DOY73" s="3"/>
      <c r="DOZ73" s="3"/>
      <c r="DPA73" s="3"/>
      <c r="DPB73" s="3"/>
      <c r="DPC73" s="3"/>
      <c r="DPD73" s="3"/>
      <c r="DPE73" s="3"/>
      <c r="DPF73" s="3"/>
      <c r="DPG73" s="3"/>
      <c r="DPH73" s="3"/>
      <c r="DPI73" s="3"/>
      <c r="DPJ73" s="3"/>
      <c r="DPK73" s="3"/>
      <c r="DPL73" s="3"/>
      <c r="DPM73" s="3"/>
      <c r="DPN73" s="3"/>
      <c r="DPO73" s="3"/>
      <c r="DPP73" s="3"/>
      <c r="DPQ73" s="3"/>
      <c r="DPR73" s="3"/>
      <c r="DPS73" s="3"/>
      <c r="DPT73" s="3"/>
      <c r="DPU73" s="3"/>
      <c r="DPV73" s="3"/>
      <c r="DPW73" s="3"/>
      <c r="DPX73" s="3"/>
      <c r="DPY73" s="3"/>
      <c r="DPZ73" s="3"/>
      <c r="DQA73" s="3"/>
      <c r="DQB73" s="3"/>
      <c r="DQC73" s="3"/>
      <c r="DQD73" s="3"/>
      <c r="DQE73" s="3"/>
      <c r="DQF73" s="3"/>
      <c r="DQG73" s="3"/>
      <c r="DQH73" s="3"/>
      <c r="DQI73" s="3"/>
      <c r="DQJ73" s="3"/>
      <c r="DQK73" s="3"/>
      <c r="DQL73" s="3"/>
      <c r="DQM73" s="3"/>
      <c r="DQN73" s="3"/>
      <c r="DQO73" s="3"/>
      <c r="DQP73" s="3"/>
      <c r="DQQ73" s="3"/>
      <c r="DQR73" s="3"/>
      <c r="DQS73" s="3"/>
      <c r="DQT73" s="3"/>
      <c r="DQU73" s="3"/>
      <c r="DQV73" s="3"/>
      <c r="DQW73" s="3"/>
      <c r="DQX73" s="3"/>
      <c r="DQY73" s="3"/>
      <c r="DQZ73" s="3"/>
      <c r="DRA73" s="3"/>
      <c r="DRB73" s="3"/>
      <c r="DRC73" s="3"/>
      <c r="DRD73" s="3"/>
      <c r="DRE73" s="3"/>
      <c r="DRF73" s="3"/>
      <c r="DRG73" s="3"/>
      <c r="DRH73" s="3"/>
      <c r="DRI73" s="3"/>
      <c r="DRJ73" s="3"/>
      <c r="DRK73" s="3"/>
      <c r="DRL73" s="3"/>
      <c r="DRM73" s="3"/>
      <c r="DRN73" s="3"/>
      <c r="DRO73" s="3"/>
      <c r="DRP73" s="3"/>
      <c r="DRQ73" s="3"/>
      <c r="DRR73" s="3"/>
      <c r="DRS73" s="3"/>
      <c r="DRT73" s="3"/>
      <c r="DRU73" s="3"/>
      <c r="DRV73" s="3"/>
      <c r="DRW73" s="3"/>
      <c r="DRX73" s="3"/>
      <c r="DRY73" s="3"/>
      <c r="DRZ73" s="3"/>
      <c r="DSA73" s="3"/>
      <c r="DSB73" s="3"/>
      <c r="DSC73" s="3"/>
      <c r="DSD73" s="3"/>
      <c r="DSE73" s="3"/>
      <c r="DSF73" s="3"/>
      <c r="DSG73" s="3"/>
      <c r="DSH73" s="3"/>
      <c r="DSI73" s="3"/>
      <c r="DSJ73" s="3"/>
      <c r="DSK73" s="3"/>
      <c r="DSL73" s="3"/>
      <c r="DSM73" s="3"/>
      <c r="DSN73" s="3"/>
      <c r="DSO73" s="3"/>
      <c r="DSP73" s="3"/>
      <c r="DSQ73" s="3"/>
      <c r="DSR73" s="3"/>
      <c r="DSS73" s="3"/>
      <c r="DST73" s="3"/>
      <c r="DSU73" s="3"/>
      <c r="DSV73" s="3"/>
      <c r="DSW73" s="3"/>
      <c r="DSX73" s="3"/>
      <c r="DSY73" s="3"/>
      <c r="DSZ73" s="3"/>
      <c r="DTA73" s="3"/>
      <c r="DTB73" s="3"/>
      <c r="DTC73" s="3"/>
      <c r="DTD73" s="3"/>
      <c r="DTE73" s="3"/>
      <c r="DTF73" s="3"/>
      <c r="DTG73" s="3"/>
      <c r="DTH73" s="3"/>
      <c r="DTI73" s="3"/>
      <c r="DTJ73" s="3"/>
      <c r="DTK73" s="3"/>
      <c r="DTL73" s="3"/>
      <c r="DTM73" s="3"/>
      <c r="DTN73" s="3"/>
      <c r="DTO73" s="3"/>
      <c r="DTP73" s="3"/>
      <c r="DTQ73" s="3"/>
      <c r="DTR73" s="3"/>
      <c r="DTS73" s="3"/>
      <c r="DTT73" s="3"/>
      <c r="DTU73" s="3"/>
      <c r="DTV73" s="3"/>
      <c r="DTW73" s="3"/>
      <c r="DTX73" s="3"/>
      <c r="DTY73" s="3"/>
      <c r="DTZ73" s="3"/>
      <c r="DUA73" s="3"/>
      <c r="DUB73" s="3"/>
      <c r="DUC73" s="3"/>
      <c r="DUD73" s="3"/>
      <c r="DUE73" s="3"/>
      <c r="DUF73" s="3"/>
      <c r="DUG73" s="3"/>
      <c r="DUH73" s="3"/>
      <c r="DUI73" s="3"/>
      <c r="DUJ73" s="3"/>
      <c r="DUK73" s="3"/>
      <c r="DUL73" s="3"/>
      <c r="DUM73" s="3"/>
      <c r="DUN73" s="3"/>
      <c r="DUO73" s="3"/>
      <c r="DUP73" s="3"/>
      <c r="DUQ73" s="3"/>
      <c r="DUR73" s="3"/>
      <c r="DUS73" s="3"/>
      <c r="DUT73" s="3"/>
      <c r="DUU73" s="3"/>
      <c r="DUV73" s="3"/>
      <c r="DUW73" s="3"/>
      <c r="DUX73" s="3"/>
      <c r="DUY73" s="3"/>
      <c r="DUZ73" s="3"/>
      <c r="DVA73" s="3"/>
      <c r="DVB73" s="3"/>
      <c r="DVC73" s="3"/>
      <c r="DVD73" s="3"/>
      <c r="DVE73" s="3"/>
      <c r="DVF73" s="3"/>
      <c r="DVG73" s="3"/>
      <c r="DVH73" s="3"/>
      <c r="DVI73" s="3"/>
      <c r="DVJ73" s="3"/>
      <c r="DVK73" s="3"/>
      <c r="DVL73" s="3"/>
      <c r="DVM73" s="3"/>
      <c r="DVN73" s="3"/>
      <c r="DVO73" s="3"/>
      <c r="DVP73" s="3"/>
      <c r="DVQ73" s="3"/>
      <c r="DVR73" s="3"/>
      <c r="DVS73" s="3"/>
      <c r="DVT73" s="3"/>
      <c r="DVU73" s="3"/>
      <c r="DVV73" s="3"/>
      <c r="DVW73" s="3"/>
      <c r="DVX73" s="3"/>
      <c r="DVY73" s="3"/>
      <c r="DVZ73" s="3"/>
      <c r="DWA73" s="3"/>
      <c r="DWB73" s="3"/>
      <c r="DWC73" s="3"/>
      <c r="DWD73" s="3"/>
      <c r="DWE73" s="3"/>
      <c r="DWF73" s="3"/>
      <c r="DWG73" s="3"/>
      <c r="DWH73" s="3"/>
      <c r="DWI73" s="3"/>
      <c r="DWJ73" s="3"/>
      <c r="DWK73" s="3"/>
      <c r="DWL73" s="3"/>
      <c r="DWM73" s="3"/>
      <c r="DWN73" s="3"/>
      <c r="DWO73" s="3"/>
      <c r="DWP73" s="3"/>
      <c r="DWQ73" s="3"/>
      <c r="DWR73" s="3"/>
      <c r="DWS73" s="3"/>
      <c r="DWT73" s="3"/>
      <c r="DWU73" s="3"/>
      <c r="DWV73" s="3"/>
      <c r="DWW73" s="3"/>
      <c r="DWX73" s="3"/>
      <c r="DWY73" s="3"/>
      <c r="DWZ73" s="3"/>
      <c r="DXA73" s="3"/>
      <c r="DXB73" s="3"/>
      <c r="DXC73" s="3"/>
      <c r="DXD73" s="3"/>
      <c r="DXE73" s="3"/>
      <c r="DXF73" s="3"/>
      <c r="DXG73" s="3"/>
      <c r="DXH73" s="3"/>
      <c r="DXI73" s="3"/>
      <c r="DXJ73" s="3"/>
      <c r="DXK73" s="3"/>
      <c r="DXL73" s="3"/>
      <c r="DXM73" s="3"/>
      <c r="DXN73" s="3"/>
      <c r="DXO73" s="3"/>
      <c r="DXP73" s="3"/>
      <c r="DXQ73" s="3"/>
      <c r="DXR73" s="3"/>
      <c r="DXS73" s="3"/>
      <c r="DXT73" s="3"/>
      <c r="DXU73" s="3"/>
      <c r="DXV73" s="3"/>
      <c r="DXW73" s="3"/>
      <c r="DXX73" s="3"/>
      <c r="DXY73" s="3"/>
      <c r="DXZ73" s="3"/>
      <c r="DYA73" s="3"/>
      <c r="DYB73" s="3"/>
      <c r="DYC73" s="3"/>
      <c r="DYD73" s="3"/>
      <c r="DYE73" s="3"/>
      <c r="DYF73" s="3"/>
      <c r="DYG73" s="3"/>
      <c r="DYH73" s="3"/>
      <c r="DYI73" s="3"/>
      <c r="DYJ73" s="3"/>
      <c r="DYK73" s="3"/>
      <c r="DYL73" s="3"/>
      <c r="DYM73" s="3"/>
      <c r="DYN73" s="3"/>
      <c r="DYO73" s="3"/>
      <c r="DYP73" s="3"/>
      <c r="DYQ73" s="3"/>
      <c r="DYR73" s="3"/>
      <c r="DYS73" s="3"/>
      <c r="DYT73" s="3"/>
      <c r="DYU73" s="3"/>
      <c r="DYV73" s="3"/>
      <c r="DYW73" s="3"/>
      <c r="DYX73" s="3"/>
      <c r="DYY73" s="3"/>
      <c r="DYZ73" s="3"/>
      <c r="DZA73" s="3"/>
      <c r="DZB73" s="3"/>
      <c r="DZC73" s="3"/>
      <c r="DZD73" s="3"/>
      <c r="DZE73" s="3"/>
      <c r="DZF73" s="3"/>
      <c r="DZG73" s="3"/>
      <c r="DZH73" s="3"/>
      <c r="DZI73" s="3"/>
      <c r="DZJ73" s="3"/>
      <c r="DZK73" s="3"/>
      <c r="DZL73" s="3"/>
      <c r="DZM73" s="3"/>
      <c r="DZN73" s="3"/>
      <c r="DZO73" s="3"/>
      <c r="DZP73" s="3"/>
      <c r="DZQ73" s="3"/>
      <c r="DZR73" s="3"/>
      <c r="DZS73" s="3"/>
      <c r="DZT73" s="3"/>
      <c r="DZU73" s="3"/>
      <c r="DZV73" s="3"/>
      <c r="DZW73" s="3"/>
      <c r="DZX73" s="3"/>
      <c r="DZY73" s="3"/>
      <c r="DZZ73" s="3"/>
      <c r="EAA73" s="3"/>
      <c r="EAB73" s="3"/>
      <c r="EAC73" s="3"/>
      <c r="EAD73" s="3"/>
      <c r="EAE73" s="3"/>
      <c r="EAF73" s="3"/>
      <c r="EAG73" s="3"/>
      <c r="EAH73" s="3"/>
      <c r="EAI73" s="3"/>
      <c r="EAJ73" s="3"/>
      <c r="EAK73" s="3"/>
      <c r="EAL73" s="3"/>
      <c r="EAM73" s="3"/>
      <c r="EAN73" s="3"/>
      <c r="EAO73" s="3"/>
      <c r="EAP73" s="3"/>
      <c r="EAQ73" s="3"/>
      <c r="EAR73" s="3"/>
      <c r="EAS73" s="3"/>
      <c r="EAT73" s="3"/>
      <c r="EAU73" s="3"/>
      <c r="EAV73" s="3"/>
      <c r="EAW73" s="3"/>
      <c r="EAX73" s="3"/>
      <c r="EAY73" s="3"/>
      <c r="EAZ73" s="3"/>
      <c r="EBA73" s="3"/>
      <c r="EBB73" s="3"/>
      <c r="EBC73" s="3"/>
      <c r="EBD73" s="3"/>
      <c r="EBE73" s="3"/>
      <c r="EBF73" s="3"/>
      <c r="EBG73" s="3"/>
      <c r="EBH73" s="3"/>
      <c r="EBI73" s="3"/>
      <c r="EBJ73" s="3"/>
      <c r="EBK73" s="3"/>
      <c r="EBL73" s="3"/>
      <c r="EBM73" s="3"/>
      <c r="EBN73" s="3"/>
      <c r="EBO73" s="3"/>
      <c r="EBP73" s="3"/>
      <c r="EBQ73" s="3"/>
      <c r="EBR73" s="3"/>
      <c r="EBS73" s="3"/>
      <c r="EBT73" s="3"/>
      <c r="EBU73" s="3"/>
      <c r="EBV73" s="3"/>
      <c r="EBW73" s="3"/>
      <c r="EBX73" s="3"/>
      <c r="EBY73" s="3"/>
      <c r="EBZ73" s="3"/>
      <c r="ECA73" s="3"/>
      <c r="ECB73" s="3"/>
      <c r="ECC73" s="3"/>
      <c r="ECD73" s="3"/>
      <c r="ECE73" s="3"/>
      <c r="ECF73" s="3"/>
      <c r="ECG73" s="3"/>
      <c r="ECH73" s="3"/>
      <c r="ECI73" s="3"/>
      <c r="ECJ73" s="3"/>
      <c r="ECK73" s="3"/>
      <c r="ECL73" s="3"/>
      <c r="ECM73" s="3"/>
      <c r="ECN73" s="3"/>
      <c r="ECO73" s="3"/>
      <c r="ECP73" s="3"/>
      <c r="ECQ73" s="3"/>
      <c r="ECR73" s="3"/>
      <c r="ECS73" s="3"/>
      <c r="ECT73" s="3"/>
      <c r="ECU73" s="3"/>
      <c r="ECV73" s="3"/>
      <c r="ECW73" s="3"/>
      <c r="ECX73" s="3"/>
      <c r="ECY73" s="3"/>
      <c r="ECZ73" s="3"/>
      <c r="EDA73" s="3"/>
      <c r="EDB73" s="3"/>
      <c r="EDC73" s="3"/>
      <c r="EDD73" s="3"/>
      <c r="EDE73" s="3"/>
      <c r="EDF73" s="3"/>
      <c r="EDG73" s="3"/>
      <c r="EDH73" s="3"/>
      <c r="EDI73" s="3"/>
      <c r="EDJ73" s="3"/>
      <c r="EDK73" s="3"/>
      <c r="EDL73" s="3"/>
      <c r="EDM73" s="3"/>
      <c r="EDN73" s="3"/>
      <c r="EDO73" s="3"/>
      <c r="EDP73" s="3"/>
      <c r="EDQ73" s="3"/>
      <c r="EDR73" s="3"/>
      <c r="EDS73" s="3"/>
      <c r="EDT73" s="3"/>
      <c r="EDU73" s="3"/>
      <c r="EDV73" s="3"/>
      <c r="EDW73" s="3"/>
      <c r="EDX73" s="3"/>
      <c r="EDY73" s="3"/>
      <c r="EDZ73" s="3"/>
      <c r="EEA73" s="3"/>
      <c r="EEB73" s="3"/>
      <c r="EEC73" s="3"/>
      <c r="EED73" s="3"/>
      <c r="EEE73" s="3"/>
      <c r="EEF73" s="3"/>
      <c r="EEG73" s="3"/>
      <c r="EEH73" s="3"/>
      <c r="EEI73" s="3"/>
      <c r="EEJ73" s="3"/>
      <c r="EEK73" s="3"/>
      <c r="EEL73" s="3"/>
      <c r="EEM73" s="3"/>
      <c r="EEN73" s="3"/>
      <c r="EEO73" s="3"/>
      <c r="EEP73" s="3"/>
      <c r="EEQ73" s="3"/>
      <c r="EER73" s="3"/>
      <c r="EES73" s="3"/>
      <c r="EET73" s="3"/>
      <c r="EEU73" s="3"/>
      <c r="EEV73" s="3"/>
      <c r="EEW73" s="3"/>
      <c r="EEX73" s="3"/>
      <c r="EEY73" s="3"/>
      <c r="EEZ73" s="3"/>
      <c r="EFA73" s="3"/>
      <c r="EFB73" s="3"/>
      <c r="EFC73" s="3"/>
      <c r="EFD73" s="3"/>
      <c r="EFE73" s="3"/>
      <c r="EFF73" s="3"/>
      <c r="EFG73" s="3"/>
      <c r="EFH73" s="3"/>
      <c r="EFI73" s="3"/>
      <c r="EFJ73" s="3"/>
      <c r="EFK73" s="3"/>
      <c r="EFL73" s="3"/>
      <c r="EFM73" s="3"/>
      <c r="EFN73" s="3"/>
      <c r="EFO73" s="3"/>
      <c r="EFP73" s="3"/>
      <c r="EFQ73" s="3"/>
      <c r="EFR73" s="3"/>
      <c r="EFS73" s="3"/>
      <c r="EFT73" s="3"/>
      <c r="EFU73" s="3"/>
      <c r="EFV73" s="3"/>
      <c r="EFW73" s="3"/>
      <c r="EFX73" s="3"/>
      <c r="EFY73" s="3"/>
      <c r="EFZ73" s="3"/>
      <c r="EGA73" s="3"/>
      <c r="EGB73" s="3"/>
      <c r="EGC73" s="3"/>
      <c r="EGD73" s="3"/>
      <c r="EGE73" s="3"/>
      <c r="EGF73" s="3"/>
      <c r="EGG73" s="3"/>
      <c r="EGH73" s="3"/>
      <c r="EGI73" s="3"/>
      <c r="EGJ73" s="3"/>
      <c r="EGK73" s="3"/>
      <c r="EGL73" s="3"/>
      <c r="EGM73" s="3"/>
      <c r="EGN73" s="3"/>
      <c r="EGO73" s="3"/>
      <c r="EGP73" s="3"/>
      <c r="EGQ73" s="3"/>
      <c r="EGR73" s="3"/>
      <c r="EGS73" s="3"/>
      <c r="EGT73" s="3"/>
      <c r="EGU73" s="3"/>
      <c r="EGV73" s="3"/>
      <c r="EGW73" s="3"/>
      <c r="EGX73" s="3"/>
      <c r="EGY73" s="3"/>
      <c r="EGZ73" s="3"/>
      <c r="EHA73" s="3"/>
      <c r="EHB73" s="3"/>
      <c r="EHC73" s="3"/>
      <c r="EHD73" s="3"/>
      <c r="EHE73" s="3"/>
      <c r="EHF73" s="3"/>
      <c r="EHG73" s="3"/>
      <c r="EHH73" s="3"/>
      <c r="EHI73" s="3"/>
      <c r="EHJ73" s="3"/>
      <c r="EHK73" s="3"/>
      <c r="EHL73" s="3"/>
      <c r="EHM73" s="3"/>
      <c r="EHN73" s="3"/>
      <c r="EHO73" s="3"/>
      <c r="EHP73" s="3"/>
      <c r="EHQ73" s="3"/>
      <c r="EHR73" s="3"/>
      <c r="EHS73" s="3"/>
      <c r="EHT73" s="3"/>
      <c r="EHU73" s="3"/>
      <c r="EHV73" s="3"/>
      <c r="EHW73" s="3"/>
      <c r="EHX73" s="3"/>
      <c r="EHY73" s="3"/>
      <c r="EHZ73" s="3"/>
      <c r="EIA73" s="3"/>
      <c r="EIB73" s="3"/>
      <c r="EIC73" s="3"/>
      <c r="EID73" s="3"/>
      <c r="EIE73" s="3"/>
      <c r="EIF73" s="3"/>
      <c r="EIG73" s="3"/>
      <c r="EIH73" s="3"/>
      <c r="EII73" s="3"/>
      <c r="EIJ73" s="3"/>
      <c r="EIK73" s="3"/>
      <c r="EIL73" s="3"/>
      <c r="EIM73" s="3"/>
      <c r="EIN73" s="3"/>
      <c r="EIO73" s="3"/>
      <c r="EIP73" s="3"/>
      <c r="EIQ73" s="3"/>
      <c r="EIR73" s="3"/>
      <c r="EIS73" s="3"/>
      <c r="EIT73" s="3"/>
      <c r="EIU73" s="3"/>
      <c r="EIV73" s="3"/>
      <c r="EIW73" s="3"/>
      <c r="EIX73" s="3"/>
      <c r="EIY73" s="3"/>
      <c r="EIZ73" s="3"/>
      <c r="EJA73" s="3"/>
      <c r="EJB73" s="3"/>
      <c r="EJC73" s="3"/>
      <c r="EJD73" s="3"/>
      <c r="EJE73" s="3"/>
      <c r="EJF73" s="3"/>
      <c r="EJG73" s="3"/>
      <c r="EJH73" s="3"/>
      <c r="EJI73" s="3"/>
      <c r="EJJ73" s="3"/>
      <c r="EJK73" s="3"/>
      <c r="EJL73" s="3"/>
      <c r="EJM73" s="3"/>
      <c r="EJN73" s="3"/>
      <c r="EJO73" s="3"/>
      <c r="EJP73" s="3"/>
      <c r="EJQ73" s="3"/>
      <c r="EJR73" s="3"/>
      <c r="EJS73" s="3"/>
      <c r="EJT73" s="3"/>
      <c r="EJU73" s="3"/>
      <c r="EJV73" s="3"/>
      <c r="EJW73" s="3"/>
      <c r="EJX73" s="3"/>
      <c r="EJY73" s="3"/>
      <c r="EJZ73" s="3"/>
      <c r="EKA73" s="3"/>
      <c r="EKB73" s="3"/>
      <c r="EKC73" s="3"/>
      <c r="EKD73" s="3"/>
      <c r="EKE73" s="3"/>
      <c r="EKF73" s="3"/>
      <c r="EKG73" s="3"/>
      <c r="EKH73" s="3"/>
      <c r="EKI73" s="3"/>
      <c r="EKJ73" s="3"/>
      <c r="EKK73" s="3"/>
      <c r="EKL73" s="3"/>
      <c r="EKM73" s="3"/>
      <c r="EKN73" s="3"/>
      <c r="EKO73" s="3"/>
      <c r="EKP73" s="3"/>
      <c r="EKQ73" s="3"/>
      <c r="EKR73" s="3"/>
      <c r="EKS73" s="3"/>
      <c r="EKT73" s="3"/>
      <c r="EKU73" s="3"/>
      <c r="EKV73" s="3"/>
      <c r="EKW73" s="3"/>
      <c r="EKX73" s="3"/>
      <c r="EKY73" s="3"/>
      <c r="EKZ73" s="3"/>
      <c r="ELA73" s="3"/>
      <c r="ELB73" s="3"/>
      <c r="ELC73" s="3"/>
      <c r="ELD73" s="3"/>
      <c r="ELE73" s="3"/>
      <c r="ELF73" s="3"/>
      <c r="ELG73" s="3"/>
      <c r="ELH73" s="3"/>
      <c r="ELI73" s="3"/>
      <c r="ELJ73" s="3"/>
      <c r="ELK73" s="3"/>
      <c r="ELL73" s="3"/>
      <c r="ELM73" s="3"/>
      <c r="ELN73" s="3"/>
      <c r="ELO73" s="3"/>
      <c r="ELP73" s="3"/>
      <c r="ELQ73" s="3"/>
      <c r="ELR73" s="3"/>
      <c r="ELS73" s="3"/>
      <c r="ELT73" s="3"/>
      <c r="ELU73" s="3"/>
      <c r="ELV73" s="3"/>
      <c r="ELW73" s="3"/>
      <c r="ELX73" s="3"/>
      <c r="ELY73" s="3"/>
      <c r="ELZ73" s="3"/>
      <c r="EMA73" s="3"/>
      <c r="EMB73" s="3"/>
      <c r="EMC73" s="3"/>
      <c r="EMD73" s="3"/>
      <c r="EME73" s="3"/>
      <c r="EMF73" s="3"/>
      <c r="EMG73" s="3"/>
      <c r="EMH73" s="3"/>
      <c r="EMI73" s="3"/>
      <c r="EMJ73" s="3"/>
      <c r="EMK73" s="3"/>
      <c r="EML73" s="3"/>
      <c r="EMM73" s="3"/>
      <c r="EMN73" s="3"/>
      <c r="EMO73" s="3"/>
      <c r="EMP73" s="3"/>
      <c r="EMQ73" s="3"/>
      <c r="EMR73" s="3"/>
      <c r="EMS73" s="3"/>
      <c r="EMT73" s="3"/>
      <c r="EMU73" s="3"/>
      <c r="EMV73" s="3"/>
      <c r="EMW73" s="3"/>
      <c r="EMX73" s="3"/>
      <c r="EMY73" s="3"/>
      <c r="EMZ73" s="3"/>
      <c r="ENA73" s="3"/>
      <c r="ENB73" s="3"/>
      <c r="ENC73" s="3"/>
      <c r="END73" s="3"/>
      <c r="ENE73" s="3"/>
      <c r="ENF73" s="3"/>
      <c r="ENG73" s="3"/>
      <c r="ENH73" s="3"/>
      <c r="ENI73" s="3"/>
      <c r="ENJ73" s="3"/>
      <c r="ENK73" s="3"/>
      <c r="ENL73" s="3"/>
      <c r="ENM73" s="3"/>
      <c r="ENN73" s="3"/>
      <c r="ENO73" s="3"/>
      <c r="ENP73" s="3"/>
      <c r="ENQ73" s="3"/>
      <c r="ENR73" s="3"/>
      <c r="ENS73" s="3"/>
      <c r="ENT73" s="3"/>
      <c r="ENU73" s="3"/>
      <c r="ENV73" s="3"/>
      <c r="ENW73" s="3"/>
      <c r="ENX73" s="3"/>
      <c r="ENY73" s="3"/>
      <c r="ENZ73" s="3"/>
      <c r="EOA73" s="3"/>
      <c r="EOB73" s="3"/>
      <c r="EOC73" s="3"/>
      <c r="EOD73" s="3"/>
      <c r="EOE73" s="3"/>
      <c r="EOF73" s="3"/>
      <c r="EOG73" s="3"/>
      <c r="EOH73" s="3"/>
      <c r="EOI73" s="3"/>
      <c r="EOJ73" s="3"/>
      <c r="EOK73" s="3"/>
      <c r="EOL73" s="3"/>
      <c r="EOM73" s="3"/>
      <c r="EON73" s="3"/>
      <c r="EOO73" s="3"/>
      <c r="EOP73" s="3"/>
      <c r="EOQ73" s="3"/>
      <c r="EOR73" s="3"/>
      <c r="EOS73" s="3"/>
      <c r="EOT73" s="3"/>
      <c r="EOU73" s="3"/>
      <c r="EOV73" s="3"/>
      <c r="EOW73" s="3"/>
      <c r="EOX73" s="3"/>
      <c r="EOY73" s="3"/>
      <c r="EOZ73" s="3"/>
      <c r="EPA73" s="3"/>
      <c r="EPB73" s="3"/>
      <c r="EPC73" s="3"/>
      <c r="EPD73" s="3"/>
      <c r="EPE73" s="3"/>
      <c r="EPF73" s="3"/>
      <c r="EPG73" s="3"/>
      <c r="EPH73" s="3"/>
      <c r="EPI73" s="3"/>
      <c r="EPJ73" s="3"/>
      <c r="EPK73" s="3"/>
      <c r="EPL73" s="3"/>
      <c r="EPM73" s="3"/>
      <c r="EPN73" s="3"/>
      <c r="EPO73" s="3"/>
      <c r="EPP73" s="3"/>
      <c r="EPQ73" s="3"/>
      <c r="EPR73" s="3"/>
      <c r="EPS73" s="3"/>
      <c r="EPT73" s="3"/>
      <c r="EPU73" s="3"/>
      <c r="EPV73" s="3"/>
      <c r="EPW73" s="3"/>
      <c r="EPX73" s="3"/>
      <c r="EPY73" s="3"/>
      <c r="EPZ73" s="3"/>
      <c r="EQA73" s="3"/>
      <c r="EQB73" s="3"/>
      <c r="EQC73" s="3"/>
      <c r="EQD73" s="3"/>
      <c r="EQE73" s="3"/>
      <c r="EQF73" s="3"/>
      <c r="EQG73" s="3"/>
      <c r="EQH73" s="3"/>
      <c r="EQI73" s="3"/>
      <c r="EQJ73" s="3"/>
      <c r="EQK73" s="3"/>
      <c r="EQL73" s="3"/>
      <c r="EQM73" s="3"/>
      <c r="EQN73" s="3"/>
      <c r="EQO73" s="3"/>
      <c r="EQP73" s="3"/>
      <c r="EQQ73" s="3"/>
      <c r="EQR73" s="3"/>
      <c r="EQS73" s="3"/>
      <c r="EQT73" s="3"/>
      <c r="EQU73" s="3"/>
      <c r="EQV73" s="3"/>
      <c r="EQW73" s="3"/>
      <c r="EQX73" s="3"/>
      <c r="EQY73" s="3"/>
      <c r="EQZ73" s="3"/>
      <c r="ERA73" s="3"/>
      <c r="ERB73" s="3"/>
      <c r="ERC73" s="3"/>
      <c r="ERD73" s="3"/>
      <c r="ERE73" s="3"/>
      <c r="ERF73" s="3"/>
      <c r="ERG73" s="3"/>
      <c r="ERH73" s="3"/>
      <c r="ERI73" s="3"/>
      <c r="ERJ73" s="3"/>
      <c r="ERK73" s="3"/>
      <c r="ERL73" s="3"/>
      <c r="ERM73" s="3"/>
      <c r="ERN73" s="3"/>
      <c r="ERO73" s="3"/>
      <c r="ERP73" s="3"/>
      <c r="ERQ73" s="3"/>
      <c r="ERR73" s="3"/>
      <c r="ERS73" s="3"/>
      <c r="ERT73" s="3"/>
      <c r="ERU73" s="3"/>
      <c r="ERV73" s="3"/>
      <c r="ERW73" s="3"/>
      <c r="ERX73" s="3"/>
      <c r="ERY73" s="3"/>
      <c r="ERZ73" s="3"/>
      <c r="ESA73" s="3"/>
      <c r="ESB73" s="3"/>
      <c r="ESC73" s="3"/>
      <c r="ESD73" s="3"/>
      <c r="ESE73" s="3"/>
      <c r="ESF73" s="3"/>
      <c r="ESG73" s="3"/>
      <c r="ESH73" s="3"/>
      <c r="ESI73" s="3"/>
      <c r="ESJ73" s="3"/>
      <c r="ESK73" s="3"/>
      <c r="ESL73" s="3"/>
      <c r="ESM73" s="3"/>
      <c r="ESN73" s="3"/>
      <c r="ESO73" s="3"/>
      <c r="ESP73" s="3"/>
      <c r="ESQ73" s="3"/>
      <c r="ESR73" s="3"/>
      <c r="ESS73" s="3"/>
      <c r="EST73" s="3"/>
      <c r="ESU73" s="3"/>
      <c r="ESV73" s="3"/>
      <c r="ESW73" s="3"/>
      <c r="ESX73" s="3"/>
      <c r="ESY73" s="3"/>
      <c r="ESZ73" s="3"/>
      <c r="ETA73" s="3"/>
      <c r="ETB73" s="3"/>
      <c r="ETC73" s="3"/>
      <c r="ETD73" s="3"/>
      <c r="ETE73" s="3"/>
      <c r="ETF73" s="3"/>
      <c r="ETG73" s="3"/>
      <c r="ETH73" s="3"/>
      <c r="ETI73" s="3"/>
      <c r="ETJ73" s="3"/>
      <c r="ETK73" s="3"/>
      <c r="ETL73" s="3"/>
      <c r="ETM73" s="3"/>
      <c r="ETN73" s="3"/>
      <c r="ETO73" s="3"/>
      <c r="ETP73" s="3"/>
      <c r="ETQ73" s="3"/>
      <c r="ETR73" s="3"/>
      <c r="ETS73" s="3"/>
      <c r="ETT73" s="3"/>
      <c r="ETU73" s="3"/>
      <c r="ETV73" s="3"/>
      <c r="ETW73" s="3"/>
      <c r="ETX73" s="3"/>
      <c r="ETY73" s="3"/>
      <c r="ETZ73" s="3"/>
      <c r="EUA73" s="3"/>
      <c r="EUB73" s="3"/>
      <c r="EUC73" s="3"/>
      <c r="EUD73" s="3"/>
      <c r="EUE73" s="3"/>
      <c r="EUF73" s="3"/>
      <c r="EUG73" s="3"/>
      <c r="EUH73" s="3"/>
      <c r="EUI73" s="3"/>
      <c r="EUJ73" s="3"/>
      <c r="EUK73" s="3"/>
      <c r="EUL73" s="3"/>
      <c r="EUM73" s="3"/>
      <c r="EUN73" s="3"/>
      <c r="EUO73" s="3"/>
      <c r="EUP73" s="3"/>
      <c r="EUQ73" s="3"/>
      <c r="EUR73" s="3"/>
      <c r="EUS73" s="3"/>
      <c r="EUT73" s="3"/>
      <c r="EUU73" s="3"/>
      <c r="EUV73" s="3"/>
      <c r="EUW73" s="3"/>
      <c r="EUX73" s="3"/>
      <c r="EUY73" s="3"/>
      <c r="EUZ73" s="3"/>
      <c r="EVA73" s="3"/>
      <c r="EVB73" s="3"/>
      <c r="EVC73" s="3"/>
      <c r="EVD73" s="3"/>
      <c r="EVE73" s="3"/>
      <c r="EVF73" s="3"/>
      <c r="EVG73" s="3"/>
      <c r="EVH73" s="3"/>
      <c r="EVI73" s="3"/>
      <c r="EVJ73" s="3"/>
      <c r="EVK73" s="3"/>
      <c r="EVL73" s="3"/>
      <c r="EVM73" s="3"/>
      <c r="EVN73" s="3"/>
      <c r="EVO73" s="3"/>
      <c r="EVP73" s="3"/>
      <c r="EVQ73" s="3"/>
      <c r="EVR73" s="3"/>
      <c r="EVS73" s="3"/>
      <c r="EVT73" s="3"/>
      <c r="EVU73" s="3"/>
      <c r="EVV73" s="3"/>
      <c r="EVW73" s="3"/>
      <c r="EVX73" s="3"/>
      <c r="EVY73" s="3"/>
      <c r="EVZ73" s="3"/>
      <c r="EWA73" s="3"/>
      <c r="EWB73" s="3"/>
      <c r="EWC73" s="3"/>
      <c r="EWD73" s="3"/>
      <c r="EWE73" s="3"/>
      <c r="EWF73" s="3"/>
      <c r="EWG73" s="3"/>
      <c r="EWH73" s="3"/>
      <c r="EWI73" s="3"/>
      <c r="EWJ73" s="3"/>
      <c r="EWK73" s="3"/>
      <c r="EWL73" s="3"/>
      <c r="EWM73" s="3"/>
      <c r="EWN73" s="3"/>
      <c r="EWO73" s="3"/>
      <c r="EWP73" s="3"/>
      <c r="EWQ73" s="3"/>
      <c r="EWR73" s="3"/>
      <c r="EWS73" s="3"/>
      <c r="EWT73" s="3"/>
      <c r="EWU73" s="3"/>
      <c r="EWV73" s="3"/>
      <c r="EWW73" s="3"/>
      <c r="EWX73" s="3"/>
      <c r="EWY73" s="3"/>
      <c r="EWZ73" s="3"/>
      <c r="EXA73" s="3"/>
      <c r="EXB73" s="3"/>
      <c r="EXC73" s="3"/>
      <c r="EXD73" s="3"/>
      <c r="EXE73" s="3"/>
      <c r="EXF73" s="3"/>
      <c r="EXG73" s="3"/>
      <c r="EXH73" s="3"/>
      <c r="EXI73" s="3"/>
      <c r="EXJ73" s="3"/>
      <c r="EXK73" s="3"/>
      <c r="EXL73" s="3"/>
      <c r="EXM73" s="3"/>
      <c r="EXN73" s="3"/>
      <c r="EXO73" s="3"/>
      <c r="EXP73" s="3"/>
      <c r="EXQ73" s="3"/>
      <c r="EXR73" s="3"/>
      <c r="EXS73" s="3"/>
      <c r="EXT73" s="3"/>
      <c r="EXU73" s="3"/>
      <c r="EXV73" s="3"/>
      <c r="EXW73" s="3"/>
      <c r="EXX73" s="3"/>
      <c r="EXY73" s="3"/>
      <c r="EXZ73" s="3"/>
      <c r="EYA73" s="3"/>
      <c r="EYB73" s="3"/>
      <c r="EYC73" s="3"/>
      <c r="EYD73" s="3"/>
      <c r="EYE73" s="3"/>
      <c r="EYF73" s="3"/>
      <c r="EYG73" s="3"/>
      <c r="EYH73" s="3"/>
      <c r="EYI73" s="3"/>
      <c r="EYJ73" s="3"/>
      <c r="EYK73" s="3"/>
      <c r="EYL73" s="3"/>
      <c r="EYM73" s="3"/>
      <c r="EYN73" s="3"/>
      <c r="EYO73" s="3"/>
      <c r="EYP73" s="3"/>
      <c r="EYQ73" s="3"/>
      <c r="EYR73" s="3"/>
      <c r="EYS73" s="3"/>
      <c r="EYT73" s="3"/>
      <c r="EYU73" s="3"/>
      <c r="EYV73" s="3"/>
      <c r="EYW73" s="3"/>
      <c r="EYX73" s="3"/>
      <c r="EYY73" s="3"/>
      <c r="EYZ73" s="3"/>
      <c r="EZA73" s="3"/>
      <c r="EZB73" s="3"/>
      <c r="EZC73" s="3"/>
      <c r="EZD73" s="3"/>
      <c r="EZE73" s="3"/>
      <c r="EZF73" s="3"/>
      <c r="EZG73" s="3"/>
      <c r="EZH73" s="3"/>
      <c r="EZI73" s="3"/>
      <c r="EZJ73" s="3"/>
      <c r="EZK73" s="3"/>
      <c r="EZL73" s="3"/>
      <c r="EZM73" s="3"/>
      <c r="EZN73" s="3"/>
      <c r="EZO73" s="3"/>
      <c r="EZP73" s="3"/>
      <c r="EZQ73" s="3"/>
      <c r="EZR73" s="3"/>
      <c r="EZS73" s="3"/>
      <c r="EZT73" s="3"/>
      <c r="EZU73" s="3"/>
      <c r="EZV73" s="3"/>
      <c r="EZW73" s="3"/>
      <c r="EZX73" s="3"/>
      <c r="EZY73" s="3"/>
      <c r="EZZ73" s="3"/>
      <c r="FAA73" s="3"/>
      <c r="FAB73" s="3"/>
      <c r="FAC73" s="3"/>
      <c r="FAD73" s="3"/>
      <c r="FAE73" s="3"/>
      <c r="FAF73" s="3"/>
      <c r="FAG73" s="3"/>
      <c r="FAH73" s="3"/>
      <c r="FAI73" s="3"/>
      <c r="FAJ73" s="3"/>
      <c r="FAK73" s="3"/>
      <c r="FAL73" s="3"/>
      <c r="FAM73" s="3"/>
      <c r="FAN73" s="3"/>
      <c r="FAO73" s="3"/>
      <c r="FAP73" s="3"/>
      <c r="FAQ73" s="3"/>
      <c r="FAR73" s="3"/>
      <c r="FAS73" s="3"/>
      <c r="FAT73" s="3"/>
      <c r="FAU73" s="3"/>
      <c r="FAV73" s="3"/>
      <c r="FAW73" s="3"/>
      <c r="FAX73" s="3"/>
      <c r="FAY73" s="3"/>
      <c r="FAZ73" s="3"/>
      <c r="FBA73" s="3"/>
      <c r="FBB73" s="3"/>
      <c r="FBC73" s="3"/>
      <c r="FBD73" s="3"/>
      <c r="FBE73" s="3"/>
      <c r="FBF73" s="3"/>
      <c r="FBG73" s="3"/>
      <c r="FBH73" s="3"/>
      <c r="FBI73" s="3"/>
      <c r="FBJ73" s="3"/>
      <c r="FBK73" s="3"/>
      <c r="FBL73" s="3"/>
      <c r="FBM73" s="3"/>
      <c r="FBN73" s="3"/>
      <c r="FBO73" s="3"/>
      <c r="FBP73" s="3"/>
      <c r="FBQ73" s="3"/>
      <c r="FBR73" s="3"/>
      <c r="FBS73" s="3"/>
      <c r="FBT73" s="3"/>
      <c r="FBU73" s="3"/>
      <c r="FBV73" s="3"/>
      <c r="FBW73" s="3"/>
      <c r="FBX73" s="3"/>
      <c r="FBY73" s="3"/>
      <c r="FBZ73" s="3"/>
      <c r="FCA73" s="3"/>
      <c r="FCB73" s="3"/>
      <c r="FCC73" s="3"/>
      <c r="FCD73" s="3"/>
      <c r="FCE73" s="3"/>
      <c r="FCF73" s="3"/>
      <c r="FCG73" s="3"/>
      <c r="FCH73" s="3"/>
      <c r="FCI73" s="3"/>
      <c r="FCJ73" s="3"/>
      <c r="FCK73" s="3"/>
      <c r="FCL73" s="3"/>
      <c r="FCM73" s="3"/>
      <c r="FCN73" s="3"/>
      <c r="FCO73" s="3"/>
      <c r="FCP73" s="3"/>
      <c r="FCQ73" s="3"/>
      <c r="FCR73" s="3"/>
      <c r="FCS73" s="3"/>
      <c r="FCT73" s="3"/>
      <c r="FCU73" s="3"/>
      <c r="FCV73" s="3"/>
      <c r="FCW73" s="3"/>
      <c r="FCX73" s="3"/>
      <c r="FCY73" s="3"/>
      <c r="FCZ73" s="3"/>
      <c r="FDA73" s="3"/>
      <c r="FDB73" s="3"/>
      <c r="FDC73" s="3"/>
      <c r="FDD73" s="3"/>
      <c r="FDE73" s="3"/>
      <c r="FDF73" s="3"/>
      <c r="FDG73" s="3"/>
      <c r="FDH73" s="3"/>
      <c r="FDI73" s="3"/>
      <c r="FDJ73" s="3"/>
      <c r="FDK73" s="3"/>
      <c r="FDL73" s="3"/>
      <c r="FDM73" s="3"/>
      <c r="FDN73" s="3"/>
      <c r="FDO73" s="3"/>
      <c r="FDP73" s="3"/>
      <c r="FDQ73" s="3"/>
      <c r="FDR73" s="3"/>
      <c r="FDS73" s="3"/>
      <c r="FDT73" s="3"/>
      <c r="FDU73" s="3"/>
      <c r="FDV73" s="3"/>
      <c r="FDW73" s="3"/>
      <c r="FDX73" s="3"/>
      <c r="FDY73" s="3"/>
      <c r="FDZ73" s="3"/>
      <c r="FEA73" s="3"/>
      <c r="FEB73" s="3"/>
      <c r="FEC73" s="3"/>
      <c r="FED73" s="3"/>
      <c r="FEE73" s="3"/>
      <c r="FEF73" s="3"/>
      <c r="FEG73" s="3"/>
      <c r="FEH73" s="3"/>
      <c r="FEI73" s="3"/>
      <c r="FEJ73" s="3"/>
      <c r="FEK73" s="3"/>
      <c r="FEL73" s="3"/>
      <c r="FEM73" s="3"/>
      <c r="FEN73" s="3"/>
      <c r="FEO73" s="3"/>
      <c r="FEP73" s="3"/>
      <c r="FEQ73" s="3"/>
      <c r="FER73" s="3"/>
      <c r="FES73" s="3"/>
      <c r="FET73" s="3"/>
      <c r="FEU73" s="3"/>
      <c r="FEV73" s="3"/>
      <c r="FEW73" s="3"/>
      <c r="FEX73" s="3"/>
      <c r="FEY73" s="3"/>
      <c r="FEZ73" s="3"/>
      <c r="FFA73" s="3"/>
      <c r="FFB73" s="3"/>
      <c r="FFC73" s="3"/>
      <c r="FFD73" s="3"/>
      <c r="FFE73" s="3"/>
      <c r="FFF73" s="3"/>
      <c r="FFG73" s="3"/>
      <c r="FFH73" s="3"/>
      <c r="FFI73" s="3"/>
      <c r="FFJ73" s="3"/>
      <c r="FFK73" s="3"/>
      <c r="FFL73" s="3"/>
      <c r="FFM73" s="3"/>
      <c r="FFN73" s="3"/>
      <c r="FFO73" s="3"/>
      <c r="FFP73" s="3"/>
      <c r="FFQ73" s="3"/>
      <c r="FFR73" s="3"/>
      <c r="FFS73" s="3"/>
      <c r="FFT73" s="3"/>
      <c r="FFU73" s="3"/>
      <c r="FFV73" s="3"/>
      <c r="FFW73" s="3"/>
      <c r="FFX73" s="3"/>
      <c r="FFY73" s="3"/>
      <c r="FFZ73" s="3"/>
      <c r="FGA73" s="3"/>
      <c r="FGB73" s="3"/>
      <c r="FGC73" s="3"/>
      <c r="FGD73" s="3"/>
      <c r="FGE73" s="3"/>
      <c r="FGF73" s="3"/>
      <c r="FGG73" s="3"/>
      <c r="FGH73" s="3"/>
      <c r="FGI73" s="3"/>
      <c r="FGJ73" s="3"/>
      <c r="FGK73" s="3"/>
      <c r="FGL73" s="3"/>
      <c r="FGM73" s="3"/>
      <c r="FGN73" s="3"/>
      <c r="FGO73" s="3"/>
      <c r="FGP73" s="3"/>
      <c r="FGQ73" s="3"/>
      <c r="FGR73" s="3"/>
      <c r="FGS73" s="3"/>
      <c r="FGT73" s="3"/>
      <c r="FGU73" s="3"/>
      <c r="FGV73" s="3"/>
      <c r="FGW73" s="3"/>
      <c r="FGX73" s="3"/>
      <c r="FGY73" s="3"/>
      <c r="FGZ73" s="3"/>
      <c r="FHA73" s="3"/>
      <c r="FHB73" s="3"/>
      <c r="FHC73" s="3"/>
      <c r="FHD73" s="3"/>
      <c r="FHE73" s="3"/>
      <c r="FHF73" s="3"/>
      <c r="FHG73" s="3"/>
      <c r="FHH73" s="3"/>
      <c r="FHI73" s="3"/>
      <c r="FHJ73" s="3"/>
      <c r="FHK73" s="3"/>
      <c r="FHL73" s="3"/>
      <c r="FHM73" s="3"/>
      <c r="FHN73" s="3"/>
      <c r="FHO73" s="3"/>
      <c r="FHP73" s="3"/>
      <c r="FHQ73" s="3"/>
      <c r="FHR73" s="3"/>
      <c r="FHS73" s="3"/>
      <c r="FHT73" s="3"/>
      <c r="FHU73" s="3"/>
      <c r="FHV73" s="3"/>
      <c r="FHW73" s="3"/>
      <c r="FHX73" s="3"/>
      <c r="FHY73" s="3"/>
      <c r="FHZ73" s="3"/>
      <c r="FIA73" s="3"/>
      <c r="FIB73" s="3"/>
      <c r="FIC73" s="3"/>
      <c r="FID73" s="3"/>
      <c r="FIE73" s="3"/>
      <c r="FIF73" s="3"/>
      <c r="FIG73" s="3"/>
      <c r="FIH73" s="3"/>
      <c r="FII73" s="3"/>
      <c r="FIJ73" s="3"/>
      <c r="FIK73" s="3"/>
      <c r="FIL73" s="3"/>
      <c r="FIM73" s="3"/>
      <c r="FIN73" s="3"/>
      <c r="FIO73" s="3"/>
      <c r="FIP73" s="3"/>
      <c r="FIQ73" s="3"/>
      <c r="FIR73" s="3"/>
      <c r="FIS73" s="3"/>
      <c r="FIT73" s="3"/>
      <c r="FIU73" s="3"/>
      <c r="FIV73" s="3"/>
      <c r="FIW73" s="3"/>
      <c r="FIX73" s="3"/>
      <c r="FIY73" s="3"/>
      <c r="FIZ73" s="3"/>
      <c r="FJA73" s="3"/>
      <c r="FJB73" s="3"/>
      <c r="FJC73" s="3"/>
      <c r="FJD73" s="3"/>
      <c r="FJE73" s="3"/>
      <c r="FJF73" s="3"/>
      <c r="FJG73" s="3"/>
      <c r="FJH73" s="3"/>
      <c r="FJI73" s="3"/>
      <c r="FJJ73" s="3"/>
      <c r="FJK73" s="3"/>
      <c r="FJL73" s="3"/>
      <c r="FJM73" s="3"/>
      <c r="FJN73" s="3"/>
      <c r="FJO73" s="3"/>
      <c r="FJP73" s="3"/>
      <c r="FJQ73" s="3"/>
      <c r="FJR73" s="3"/>
      <c r="FJS73" s="3"/>
      <c r="FJT73" s="3"/>
      <c r="FJU73" s="3"/>
      <c r="FJV73" s="3"/>
      <c r="FJW73" s="3"/>
      <c r="FJX73" s="3"/>
      <c r="FJY73" s="3"/>
      <c r="FJZ73" s="3"/>
      <c r="FKA73" s="3"/>
      <c r="FKB73" s="3"/>
      <c r="FKC73" s="3"/>
      <c r="FKD73" s="3"/>
      <c r="FKE73" s="3"/>
      <c r="FKF73" s="3"/>
      <c r="FKG73" s="3"/>
      <c r="FKH73" s="3"/>
      <c r="FKI73" s="3"/>
      <c r="FKJ73" s="3"/>
      <c r="FKK73" s="3"/>
      <c r="FKL73" s="3"/>
      <c r="FKM73" s="3"/>
      <c r="FKN73" s="3"/>
      <c r="FKO73" s="3"/>
      <c r="FKP73" s="3"/>
      <c r="FKQ73" s="3"/>
      <c r="FKR73" s="3"/>
      <c r="FKS73" s="3"/>
      <c r="FKT73" s="3"/>
      <c r="FKU73" s="3"/>
      <c r="FKV73" s="3"/>
      <c r="FKW73" s="3"/>
      <c r="FKX73" s="3"/>
      <c r="FKY73" s="3"/>
      <c r="FKZ73" s="3"/>
      <c r="FLA73" s="3"/>
      <c r="FLB73" s="3"/>
      <c r="FLC73" s="3"/>
      <c r="FLD73" s="3"/>
      <c r="FLE73" s="3"/>
      <c r="FLF73" s="3"/>
      <c r="FLG73" s="3"/>
      <c r="FLH73" s="3"/>
      <c r="FLI73" s="3"/>
      <c r="FLJ73" s="3"/>
      <c r="FLK73" s="3"/>
      <c r="FLL73" s="3"/>
      <c r="FLM73" s="3"/>
      <c r="FLN73" s="3"/>
      <c r="FLO73" s="3"/>
      <c r="FLP73" s="3"/>
      <c r="FLQ73" s="3"/>
      <c r="FLR73" s="3"/>
      <c r="FLS73" s="3"/>
      <c r="FLT73" s="3"/>
      <c r="FLU73" s="3"/>
      <c r="FLV73" s="3"/>
      <c r="FLW73" s="3"/>
      <c r="FLX73" s="3"/>
      <c r="FLY73" s="3"/>
      <c r="FLZ73" s="3"/>
      <c r="FMA73" s="3"/>
      <c r="FMB73" s="3"/>
      <c r="FMC73" s="3"/>
      <c r="FMD73" s="3"/>
      <c r="FME73" s="3"/>
      <c r="FMF73" s="3"/>
      <c r="FMG73" s="3"/>
      <c r="FMH73" s="3"/>
      <c r="FMI73" s="3"/>
      <c r="FMJ73" s="3"/>
      <c r="FMK73" s="3"/>
      <c r="FML73" s="3"/>
      <c r="FMM73" s="3"/>
      <c r="FMN73" s="3"/>
      <c r="FMO73" s="3"/>
      <c r="FMP73" s="3"/>
      <c r="FMQ73" s="3"/>
      <c r="FMR73" s="3"/>
      <c r="FMS73" s="3"/>
      <c r="FMT73" s="3"/>
      <c r="FMU73" s="3"/>
      <c r="FMV73" s="3"/>
      <c r="FMW73" s="3"/>
      <c r="FMX73" s="3"/>
      <c r="FMY73" s="3"/>
      <c r="FMZ73" s="3"/>
      <c r="FNA73" s="3"/>
      <c r="FNB73" s="3"/>
      <c r="FNC73" s="3"/>
      <c r="FND73" s="3"/>
      <c r="FNE73" s="3"/>
      <c r="FNF73" s="3"/>
      <c r="FNG73" s="3"/>
      <c r="FNH73" s="3"/>
      <c r="FNI73" s="3"/>
      <c r="FNJ73" s="3"/>
      <c r="FNK73" s="3"/>
      <c r="FNL73" s="3"/>
      <c r="FNM73" s="3"/>
      <c r="FNN73" s="3"/>
      <c r="FNO73" s="3"/>
      <c r="FNP73" s="3"/>
      <c r="FNQ73" s="3"/>
      <c r="FNR73" s="3"/>
      <c r="FNS73" s="3"/>
      <c r="FNT73" s="3"/>
      <c r="FNU73" s="3"/>
      <c r="FNV73" s="3"/>
      <c r="FNW73" s="3"/>
      <c r="FNX73" s="3"/>
      <c r="FNY73" s="3"/>
      <c r="FNZ73" s="3"/>
      <c r="FOA73" s="3"/>
      <c r="FOB73" s="3"/>
      <c r="FOC73" s="3"/>
      <c r="FOD73" s="3"/>
      <c r="FOE73" s="3"/>
      <c r="FOF73" s="3"/>
      <c r="FOG73" s="3"/>
      <c r="FOH73" s="3"/>
      <c r="FOI73" s="3"/>
      <c r="FOJ73" s="3"/>
      <c r="FOK73" s="3"/>
      <c r="FOL73" s="3"/>
      <c r="FOM73" s="3"/>
      <c r="FON73" s="3"/>
      <c r="FOO73" s="3"/>
      <c r="FOP73" s="3"/>
      <c r="FOQ73" s="3"/>
      <c r="FOR73" s="3"/>
      <c r="FOS73" s="3"/>
      <c r="FOT73" s="3"/>
      <c r="FOU73" s="3"/>
      <c r="FOV73" s="3"/>
      <c r="FOW73" s="3"/>
      <c r="FOX73" s="3"/>
      <c r="FOY73" s="3"/>
      <c r="FOZ73" s="3"/>
      <c r="FPA73" s="3"/>
      <c r="FPB73" s="3"/>
      <c r="FPC73" s="3"/>
      <c r="FPD73" s="3"/>
      <c r="FPE73" s="3"/>
      <c r="FPF73" s="3"/>
      <c r="FPG73" s="3"/>
      <c r="FPH73" s="3"/>
      <c r="FPI73" s="3"/>
      <c r="FPJ73" s="3"/>
      <c r="FPK73" s="3"/>
      <c r="FPL73" s="3"/>
      <c r="FPM73" s="3"/>
      <c r="FPN73" s="3"/>
      <c r="FPO73" s="3"/>
      <c r="FPP73" s="3"/>
      <c r="FPQ73" s="3"/>
      <c r="FPR73" s="3"/>
      <c r="FPS73" s="3"/>
      <c r="FPT73" s="3"/>
      <c r="FPU73" s="3"/>
      <c r="FPV73" s="3"/>
      <c r="FPW73" s="3"/>
      <c r="FPX73" s="3"/>
      <c r="FPY73" s="3"/>
      <c r="FPZ73" s="3"/>
      <c r="FQA73" s="3"/>
      <c r="FQB73" s="3"/>
      <c r="FQC73" s="3"/>
      <c r="FQD73" s="3"/>
      <c r="FQE73" s="3"/>
      <c r="FQF73" s="3"/>
      <c r="FQG73" s="3"/>
      <c r="FQH73" s="3"/>
      <c r="FQI73" s="3"/>
      <c r="FQJ73" s="3"/>
      <c r="FQK73" s="3"/>
      <c r="FQL73" s="3"/>
      <c r="FQM73" s="3"/>
      <c r="FQN73" s="3"/>
      <c r="FQO73" s="3"/>
      <c r="FQP73" s="3"/>
      <c r="FQQ73" s="3"/>
      <c r="FQR73" s="3"/>
      <c r="FQS73" s="3"/>
      <c r="FQT73" s="3"/>
      <c r="FQU73" s="3"/>
      <c r="FQV73" s="3"/>
      <c r="FQW73" s="3"/>
      <c r="FQX73" s="3"/>
      <c r="FQY73" s="3"/>
      <c r="FQZ73" s="3"/>
      <c r="FRA73" s="3"/>
      <c r="FRB73" s="3"/>
      <c r="FRC73" s="3"/>
      <c r="FRD73" s="3"/>
      <c r="FRE73" s="3"/>
      <c r="FRF73" s="3"/>
      <c r="FRG73" s="3"/>
      <c r="FRH73" s="3"/>
      <c r="FRI73" s="3"/>
      <c r="FRJ73" s="3"/>
      <c r="FRK73" s="3"/>
      <c r="FRL73" s="3"/>
      <c r="FRM73" s="3"/>
      <c r="FRN73" s="3"/>
      <c r="FRO73" s="3"/>
      <c r="FRP73" s="3"/>
      <c r="FRQ73" s="3"/>
      <c r="FRR73" s="3"/>
      <c r="FRS73" s="3"/>
      <c r="FRT73" s="3"/>
      <c r="FRU73" s="3"/>
      <c r="FRV73" s="3"/>
      <c r="FRW73" s="3"/>
      <c r="FRX73" s="3"/>
      <c r="FRY73" s="3"/>
      <c r="FRZ73" s="3"/>
      <c r="FSA73" s="3"/>
      <c r="FSB73" s="3"/>
      <c r="FSC73" s="3"/>
      <c r="FSD73" s="3"/>
      <c r="FSE73" s="3"/>
      <c r="FSF73" s="3"/>
      <c r="FSG73" s="3"/>
      <c r="FSH73" s="3"/>
      <c r="FSI73" s="3"/>
      <c r="FSJ73" s="3"/>
      <c r="FSK73" s="3"/>
      <c r="FSL73" s="3"/>
      <c r="FSM73" s="3"/>
      <c r="FSN73" s="3"/>
      <c r="FSO73" s="3"/>
      <c r="FSP73" s="3"/>
      <c r="FSQ73" s="3"/>
      <c r="FSR73" s="3"/>
      <c r="FSS73" s="3"/>
      <c r="FST73" s="3"/>
      <c r="FSU73" s="3"/>
      <c r="FSV73" s="3"/>
      <c r="FSW73" s="3"/>
      <c r="FSX73" s="3"/>
      <c r="FSY73" s="3"/>
      <c r="FSZ73" s="3"/>
      <c r="FTA73" s="3"/>
      <c r="FTB73" s="3"/>
      <c r="FTC73" s="3"/>
      <c r="FTD73" s="3"/>
      <c r="FTE73" s="3"/>
      <c r="FTF73" s="3"/>
      <c r="FTG73" s="3"/>
      <c r="FTH73" s="3"/>
      <c r="FTI73" s="3"/>
      <c r="FTJ73" s="3"/>
      <c r="FTK73" s="3"/>
      <c r="FTL73" s="3"/>
      <c r="FTM73" s="3"/>
      <c r="FTN73" s="3"/>
      <c r="FTO73" s="3"/>
      <c r="FTP73" s="3"/>
      <c r="FTQ73" s="3"/>
      <c r="FTR73" s="3"/>
      <c r="FTS73" s="3"/>
      <c r="FTT73" s="3"/>
      <c r="FTU73" s="3"/>
      <c r="FTV73" s="3"/>
      <c r="FTW73" s="3"/>
      <c r="FTX73" s="3"/>
      <c r="FTY73" s="3"/>
      <c r="FTZ73" s="3"/>
      <c r="FUA73" s="3"/>
      <c r="FUB73" s="3"/>
      <c r="FUC73" s="3"/>
      <c r="FUD73" s="3"/>
      <c r="FUE73" s="3"/>
      <c r="FUF73" s="3"/>
      <c r="FUG73" s="3"/>
      <c r="FUH73" s="3"/>
      <c r="FUI73" s="3"/>
      <c r="FUJ73" s="3"/>
      <c r="FUK73" s="3"/>
      <c r="FUL73" s="3"/>
      <c r="FUM73" s="3"/>
      <c r="FUN73" s="3"/>
      <c r="FUO73" s="3"/>
      <c r="FUP73" s="3"/>
      <c r="FUQ73" s="3"/>
      <c r="FUR73" s="3"/>
      <c r="FUS73" s="3"/>
      <c r="FUT73" s="3"/>
      <c r="FUU73" s="3"/>
      <c r="FUV73" s="3"/>
      <c r="FUW73" s="3"/>
      <c r="FUX73" s="3"/>
      <c r="FUY73" s="3"/>
      <c r="FUZ73" s="3"/>
      <c r="FVA73" s="3"/>
      <c r="FVB73" s="3"/>
      <c r="FVC73" s="3"/>
      <c r="FVD73" s="3"/>
      <c r="FVE73" s="3"/>
      <c r="FVF73" s="3"/>
      <c r="FVG73" s="3"/>
      <c r="FVH73" s="3"/>
      <c r="FVI73" s="3"/>
      <c r="FVJ73" s="3"/>
      <c r="FVK73" s="3"/>
      <c r="FVL73" s="3"/>
      <c r="FVM73" s="3"/>
      <c r="FVN73" s="3"/>
      <c r="FVO73" s="3"/>
      <c r="FVP73" s="3"/>
      <c r="FVQ73" s="3"/>
      <c r="FVR73" s="3"/>
      <c r="FVS73" s="3"/>
      <c r="FVT73" s="3"/>
      <c r="FVU73" s="3"/>
      <c r="FVV73" s="3"/>
      <c r="FVW73" s="3"/>
      <c r="FVX73" s="3"/>
      <c r="FVY73" s="3"/>
      <c r="FVZ73" s="3"/>
      <c r="FWA73" s="3"/>
      <c r="FWB73" s="3"/>
      <c r="FWC73" s="3"/>
      <c r="FWD73" s="3"/>
      <c r="FWE73" s="3"/>
      <c r="FWF73" s="3"/>
      <c r="FWG73" s="3"/>
      <c r="FWH73" s="3"/>
      <c r="FWI73" s="3"/>
      <c r="FWJ73" s="3"/>
      <c r="FWK73" s="3"/>
      <c r="FWL73" s="3"/>
      <c r="FWM73" s="3"/>
      <c r="FWN73" s="3"/>
      <c r="FWO73" s="3"/>
      <c r="FWP73" s="3"/>
      <c r="FWQ73" s="3"/>
      <c r="FWR73" s="3"/>
      <c r="FWS73" s="3"/>
      <c r="FWT73" s="3"/>
      <c r="FWU73" s="3"/>
      <c r="FWV73" s="3"/>
      <c r="FWW73" s="3"/>
      <c r="FWX73" s="3"/>
      <c r="FWY73" s="3"/>
      <c r="FWZ73" s="3"/>
      <c r="FXA73" s="3"/>
      <c r="FXB73" s="3"/>
      <c r="FXC73" s="3"/>
      <c r="FXD73" s="3"/>
      <c r="FXE73" s="3"/>
      <c r="FXF73" s="3"/>
      <c r="FXG73" s="3"/>
      <c r="FXH73" s="3"/>
      <c r="FXI73" s="3"/>
      <c r="FXJ73" s="3"/>
      <c r="FXK73" s="3"/>
      <c r="FXL73" s="3"/>
      <c r="FXM73" s="3"/>
      <c r="FXN73" s="3"/>
      <c r="FXO73" s="3"/>
      <c r="FXP73" s="3"/>
      <c r="FXQ73" s="3"/>
      <c r="FXR73" s="3"/>
      <c r="FXS73" s="3"/>
      <c r="FXT73" s="3"/>
      <c r="FXU73" s="3"/>
      <c r="FXV73" s="3"/>
      <c r="FXW73" s="3"/>
      <c r="FXX73" s="3"/>
      <c r="FXY73" s="3"/>
      <c r="FXZ73" s="3"/>
      <c r="FYA73" s="3"/>
      <c r="FYB73" s="3"/>
      <c r="FYC73" s="3"/>
      <c r="FYD73" s="3"/>
      <c r="FYE73" s="3"/>
      <c r="FYF73" s="3"/>
      <c r="FYG73" s="3"/>
      <c r="FYH73" s="3"/>
      <c r="FYI73" s="3"/>
      <c r="FYJ73" s="3"/>
      <c r="FYK73" s="3"/>
      <c r="FYL73" s="3"/>
      <c r="FYM73" s="3"/>
      <c r="FYN73" s="3"/>
      <c r="FYO73" s="3"/>
      <c r="FYP73" s="3"/>
      <c r="FYQ73" s="3"/>
      <c r="FYR73" s="3"/>
      <c r="FYS73" s="3"/>
      <c r="FYT73" s="3"/>
      <c r="FYU73" s="3"/>
      <c r="FYV73" s="3"/>
      <c r="FYW73" s="3"/>
      <c r="FYX73" s="3"/>
      <c r="FYY73" s="3"/>
      <c r="FYZ73" s="3"/>
      <c r="FZA73" s="3"/>
      <c r="FZB73" s="3"/>
      <c r="FZC73" s="3"/>
      <c r="FZD73" s="3"/>
      <c r="FZE73" s="3"/>
      <c r="FZF73" s="3"/>
      <c r="FZG73" s="3"/>
      <c r="FZH73" s="3"/>
      <c r="FZI73" s="3"/>
      <c r="FZJ73" s="3"/>
      <c r="FZK73" s="3"/>
      <c r="FZL73" s="3"/>
      <c r="FZM73" s="3"/>
      <c r="FZN73" s="3"/>
      <c r="FZO73" s="3"/>
      <c r="FZP73" s="3"/>
      <c r="FZQ73" s="3"/>
      <c r="FZR73" s="3"/>
      <c r="FZS73" s="3"/>
      <c r="FZT73" s="3"/>
      <c r="FZU73" s="3"/>
      <c r="FZV73" s="3"/>
      <c r="FZW73" s="3"/>
      <c r="FZX73" s="3"/>
      <c r="FZY73" s="3"/>
      <c r="FZZ73" s="3"/>
      <c r="GAA73" s="3"/>
      <c r="GAB73" s="3"/>
      <c r="GAC73" s="3"/>
      <c r="GAD73" s="3"/>
      <c r="GAE73" s="3"/>
      <c r="GAF73" s="3"/>
      <c r="GAG73" s="3"/>
      <c r="GAH73" s="3"/>
      <c r="GAI73" s="3"/>
      <c r="GAJ73" s="3"/>
      <c r="GAK73" s="3"/>
      <c r="GAL73" s="3"/>
      <c r="GAM73" s="3"/>
      <c r="GAN73" s="3"/>
      <c r="GAO73" s="3"/>
      <c r="GAP73" s="3"/>
      <c r="GAQ73" s="3"/>
      <c r="GAR73" s="3"/>
      <c r="GAS73" s="3"/>
      <c r="GAT73" s="3"/>
      <c r="GAU73" s="3"/>
      <c r="GAV73" s="3"/>
      <c r="GAW73" s="3"/>
      <c r="GAX73" s="3"/>
      <c r="GAY73" s="3"/>
      <c r="GAZ73" s="3"/>
      <c r="GBA73" s="3"/>
      <c r="GBB73" s="3"/>
      <c r="GBC73" s="3"/>
      <c r="GBD73" s="3"/>
      <c r="GBE73" s="3"/>
      <c r="GBF73" s="3"/>
      <c r="GBG73" s="3"/>
      <c r="GBH73" s="3"/>
      <c r="GBI73" s="3"/>
      <c r="GBJ73" s="3"/>
      <c r="GBK73" s="3"/>
      <c r="GBL73" s="3"/>
      <c r="GBM73" s="3"/>
      <c r="GBN73" s="3"/>
      <c r="GBO73" s="3"/>
      <c r="GBP73" s="3"/>
      <c r="GBQ73" s="3"/>
      <c r="GBR73" s="3"/>
      <c r="GBS73" s="3"/>
      <c r="GBT73" s="3"/>
      <c r="GBU73" s="3"/>
      <c r="GBV73" s="3"/>
      <c r="GBW73" s="3"/>
      <c r="GBX73" s="3"/>
      <c r="GBY73" s="3"/>
      <c r="GBZ73" s="3"/>
      <c r="GCA73" s="3"/>
      <c r="GCB73" s="3"/>
      <c r="GCC73" s="3"/>
      <c r="GCD73" s="3"/>
      <c r="GCE73" s="3"/>
      <c r="GCF73" s="3"/>
      <c r="GCG73" s="3"/>
      <c r="GCH73" s="3"/>
      <c r="GCI73" s="3"/>
      <c r="GCJ73" s="3"/>
      <c r="GCK73" s="3"/>
      <c r="GCL73" s="3"/>
      <c r="GCM73" s="3"/>
      <c r="GCN73" s="3"/>
      <c r="GCO73" s="3"/>
      <c r="GCP73" s="3"/>
      <c r="GCQ73" s="3"/>
      <c r="GCR73" s="3"/>
      <c r="GCS73" s="3"/>
      <c r="GCT73" s="3"/>
      <c r="GCU73" s="3"/>
      <c r="GCV73" s="3"/>
      <c r="GCW73" s="3"/>
      <c r="GCX73" s="3"/>
      <c r="GCY73" s="3"/>
      <c r="GCZ73" s="3"/>
      <c r="GDA73" s="3"/>
      <c r="GDB73" s="3"/>
      <c r="GDC73" s="3"/>
      <c r="GDD73" s="3"/>
      <c r="GDE73" s="3"/>
      <c r="GDF73" s="3"/>
      <c r="GDG73" s="3"/>
      <c r="GDH73" s="3"/>
      <c r="GDI73" s="3"/>
      <c r="GDJ73" s="3"/>
      <c r="GDK73" s="3"/>
      <c r="GDL73" s="3"/>
      <c r="GDM73" s="3"/>
      <c r="GDN73" s="3"/>
      <c r="GDO73" s="3"/>
      <c r="GDP73" s="3"/>
      <c r="GDQ73" s="3"/>
      <c r="GDR73" s="3"/>
      <c r="GDS73" s="3"/>
      <c r="GDT73" s="3"/>
      <c r="GDU73" s="3"/>
      <c r="GDV73" s="3"/>
      <c r="GDW73" s="3"/>
      <c r="GDX73" s="3"/>
      <c r="GDY73" s="3"/>
      <c r="GDZ73" s="3"/>
      <c r="GEA73" s="3"/>
      <c r="GEB73" s="3"/>
      <c r="GEC73" s="3"/>
      <c r="GED73" s="3"/>
      <c r="GEE73" s="3"/>
      <c r="GEF73" s="3"/>
      <c r="GEG73" s="3"/>
      <c r="GEH73" s="3"/>
      <c r="GEI73" s="3"/>
      <c r="GEJ73" s="3"/>
      <c r="GEK73" s="3"/>
      <c r="GEL73" s="3"/>
      <c r="GEM73" s="3"/>
      <c r="GEN73" s="3"/>
      <c r="GEO73" s="3"/>
      <c r="GEP73" s="3"/>
      <c r="GEQ73" s="3"/>
      <c r="GER73" s="3"/>
      <c r="GES73" s="3"/>
      <c r="GET73" s="3"/>
      <c r="GEU73" s="3"/>
      <c r="GEV73" s="3"/>
      <c r="GEW73" s="3"/>
      <c r="GEX73" s="3"/>
      <c r="GEY73" s="3"/>
      <c r="GEZ73" s="3"/>
      <c r="GFA73" s="3"/>
      <c r="GFB73" s="3"/>
      <c r="GFC73" s="3"/>
      <c r="GFD73" s="3"/>
      <c r="GFE73" s="3"/>
      <c r="GFF73" s="3"/>
      <c r="GFG73" s="3"/>
      <c r="GFH73" s="3"/>
      <c r="GFI73" s="3"/>
      <c r="GFJ73" s="3"/>
      <c r="GFK73" s="3"/>
      <c r="GFL73" s="3"/>
      <c r="GFM73" s="3"/>
      <c r="GFN73" s="3"/>
      <c r="GFO73" s="3"/>
      <c r="GFP73" s="3"/>
      <c r="GFQ73" s="3"/>
      <c r="GFR73" s="3"/>
      <c r="GFS73" s="3"/>
      <c r="GFT73" s="3"/>
      <c r="GFU73" s="3"/>
      <c r="GFV73" s="3"/>
      <c r="GFW73" s="3"/>
      <c r="GFX73" s="3"/>
      <c r="GFY73" s="3"/>
      <c r="GFZ73" s="3"/>
      <c r="GGA73" s="3"/>
      <c r="GGB73" s="3"/>
      <c r="GGC73" s="3"/>
      <c r="GGD73" s="3"/>
      <c r="GGE73" s="3"/>
      <c r="GGF73" s="3"/>
      <c r="GGG73" s="3"/>
      <c r="GGH73" s="3"/>
      <c r="GGI73" s="3"/>
      <c r="GGJ73" s="3"/>
      <c r="GGK73" s="3"/>
      <c r="GGL73" s="3"/>
      <c r="GGM73" s="3"/>
      <c r="GGN73" s="3"/>
      <c r="GGO73" s="3"/>
      <c r="GGP73" s="3"/>
      <c r="GGQ73" s="3"/>
      <c r="GGR73" s="3"/>
      <c r="GGS73" s="3"/>
      <c r="GGT73" s="3"/>
      <c r="GGU73" s="3"/>
      <c r="GGV73" s="3"/>
      <c r="GGW73" s="3"/>
      <c r="GGX73" s="3"/>
      <c r="GGY73" s="3"/>
      <c r="GGZ73" s="3"/>
      <c r="GHA73" s="3"/>
      <c r="GHB73" s="3"/>
      <c r="GHC73" s="3"/>
      <c r="GHD73" s="3"/>
      <c r="GHE73" s="3"/>
      <c r="GHF73" s="3"/>
      <c r="GHG73" s="3"/>
      <c r="GHH73" s="3"/>
      <c r="GHI73" s="3"/>
      <c r="GHJ73" s="3"/>
      <c r="GHK73" s="3"/>
      <c r="GHL73" s="3"/>
      <c r="GHM73" s="3"/>
      <c r="GHN73" s="3"/>
      <c r="GHO73" s="3"/>
      <c r="GHP73" s="3"/>
      <c r="GHQ73" s="3"/>
      <c r="GHR73" s="3"/>
      <c r="GHS73" s="3"/>
      <c r="GHT73" s="3"/>
      <c r="GHU73" s="3"/>
      <c r="GHV73" s="3"/>
      <c r="GHW73" s="3"/>
      <c r="GHX73" s="3"/>
      <c r="GHY73" s="3"/>
      <c r="GHZ73" s="3"/>
      <c r="GIA73" s="3"/>
      <c r="GIB73" s="3"/>
      <c r="GIC73" s="3"/>
      <c r="GID73" s="3"/>
      <c r="GIE73" s="3"/>
      <c r="GIF73" s="3"/>
      <c r="GIG73" s="3"/>
      <c r="GIH73" s="3"/>
      <c r="GII73" s="3"/>
      <c r="GIJ73" s="3"/>
      <c r="GIK73" s="3"/>
      <c r="GIL73" s="3"/>
      <c r="GIM73" s="3"/>
      <c r="GIN73" s="3"/>
      <c r="GIO73" s="3"/>
      <c r="GIP73" s="3"/>
      <c r="GIQ73" s="3"/>
      <c r="GIR73" s="3"/>
      <c r="GIS73" s="3"/>
      <c r="GIT73" s="3"/>
      <c r="GIU73" s="3"/>
      <c r="GIV73" s="3"/>
      <c r="GIW73" s="3"/>
      <c r="GIX73" s="3"/>
      <c r="GIY73" s="3"/>
      <c r="GIZ73" s="3"/>
      <c r="GJA73" s="3"/>
      <c r="GJB73" s="3"/>
      <c r="GJC73" s="3"/>
      <c r="GJD73" s="3"/>
      <c r="GJE73" s="3"/>
      <c r="GJF73" s="3"/>
      <c r="GJG73" s="3"/>
      <c r="GJH73" s="3"/>
      <c r="GJI73" s="3"/>
      <c r="GJJ73" s="3"/>
      <c r="GJK73" s="3"/>
      <c r="GJL73" s="3"/>
      <c r="GJM73" s="3"/>
      <c r="GJN73" s="3"/>
      <c r="GJO73" s="3"/>
      <c r="GJP73" s="3"/>
      <c r="GJQ73" s="3"/>
      <c r="GJR73" s="3"/>
      <c r="GJS73" s="3"/>
      <c r="GJT73" s="3"/>
      <c r="GJU73" s="3"/>
      <c r="GJV73" s="3"/>
      <c r="GJW73" s="3"/>
      <c r="GJX73" s="3"/>
      <c r="GJY73" s="3"/>
      <c r="GJZ73" s="3"/>
      <c r="GKA73" s="3"/>
      <c r="GKB73" s="3"/>
      <c r="GKC73" s="3"/>
      <c r="GKD73" s="3"/>
      <c r="GKE73" s="3"/>
      <c r="GKF73" s="3"/>
      <c r="GKG73" s="3"/>
      <c r="GKH73" s="3"/>
      <c r="GKI73" s="3"/>
      <c r="GKJ73" s="3"/>
      <c r="GKK73" s="3"/>
      <c r="GKL73" s="3"/>
      <c r="GKM73" s="3"/>
      <c r="GKN73" s="3"/>
      <c r="GKO73" s="3"/>
      <c r="GKP73" s="3"/>
      <c r="GKQ73" s="3"/>
      <c r="GKR73" s="3"/>
      <c r="GKS73" s="3"/>
      <c r="GKT73" s="3"/>
      <c r="GKU73" s="3"/>
      <c r="GKV73" s="3"/>
      <c r="GKW73" s="3"/>
      <c r="GKX73" s="3"/>
      <c r="GKY73" s="3"/>
      <c r="GKZ73" s="3"/>
      <c r="GLA73" s="3"/>
      <c r="GLB73" s="3"/>
      <c r="GLC73" s="3"/>
      <c r="GLD73" s="3"/>
      <c r="GLE73" s="3"/>
      <c r="GLF73" s="3"/>
      <c r="GLG73" s="3"/>
      <c r="GLH73" s="3"/>
      <c r="GLI73" s="3"/>
      <c r="GLJ73" s="3"/>
      <c r="GLK73" s="3"/>
      <c r="GLL73" s="3"/>
      <c r="GLM73" s="3"/>
      <c r="GLN73" s="3"/>
      <c r="GLO73" s="3"/>
      <c r="GLP73" s="3"/>
      <c r="GLQ73" s="3"/>
      <c r="GLR73" s="3"/>
      <c r="GLS73" s="3"/>
      <c r="GLT73" s="3"/>
      <c r="GLU73" s="3"/>
      <c r="GLV73" s="3"/>
      <c r="GLW73" s="3"/>
      <c r="GLX73" s="3"/>
      <c r="GLY73" s="3"/>
      <c r="GLZ73" s="3"/>
      <c r="GMA73" s="3"/>
      <c r="GMB73" s="3"/>
      <c r="GMC73" s="3"/>
      <c r="GMD73" s="3"/>
      <c r="GME73" s="3"/>
      <c r="GMF73" s="3"/>
      <c r="GMG73" s="3"/>
      <c r="GMH73" s="3"/>
      <c r="GMI73" s="3"/>
      <c r="GMJ73" s="3"/>
      <c r="GMK73" s="3"/>
      <c r="GML73" s="3"/>
      <c r="GMM73" s="3"/>
      <c r="GMN73" s="3"/>
      <c r="GMO73" s="3"/>
      <c r="GMP73" s="3"/>
      <c r="GMQ73" s="3"/>
      <c r="GMR73" s="3"/>
      <c r="GMS73" s="3"/>
      <c r="GMT73" s="3"/>
      <c r="GMU73" s="3"/>
      <c r="GMV73" s="3"/>
      <c r="GMW73" s="3"/>
      <c r="GMX73" s="3"/>
      <c r="GMY73" s="3"/>
      <c r="GMZ73" s="3"/>
      <c r="GNA73" s="3"/>
      <c r="GNB73" s="3"/>
      <c r="GNC73" s="3"/>
      <c r="GND73" s="3"/>
      <c r="GNE73" s="3"/>
      <c r="GNF73" s="3"/>
      <c r="GNG73" s="3"/>
      <c r="GNH73" s="3"/>
      <c r="GNI73" s="3"/>
      <c r="GNJ73" s="3"/>
      <c r="GNK73" s="3"/>
      <c r="GNL73" s="3"/>
      <c r="GNM73" s="3"/>
      <c r="GNN73" s="3"/>
      <c r="GNO73" s="3"/>
      <c r="GNP73" s="3"/>
      <c r="GNQ73" s="3"/>
      <c r="GNR73" s="3"/>
      <c r="GNS73" s="3"/>
      <c r="GNT73" s="3"/>
      <c r="GNU73" s="3"/>
      <c r="GNV73" s="3"/>
      <c r="GNW73" s="3"/>
      <c r="GNX73" s="3"/>
      <c r="GNY73" s="3"/>
      <c r="GNZ73" s="3"/>
      <c r="GOA73" s="3"/>
      <c r="GOB73" s="3"/>
      <c r="GOC73" s="3"/>
      <c r="GOD73" s="3"/>
      <c r="GOE73" s="3"/>
      <c r="GOF73" s="3"/>
      <c r="GOG73" s="3"/>
      <c r="GOH73" s="3"/>
      <c r="GOI73" s="3"/>
      <c r="GOJ73" s="3"/>
      <c r="GOK73" s="3"/>
      <c r="GOL73" s="3"/>
      <c r="GOM73" s="3"/>
      <c r="GON73" s="3"/>
      <c r="GOO73" s="3"/>
      <c r="GOP73" s="3"/>
      <c r="GOQ73" s="3"/>
      <c r="GOR73" s="3"/>
      <c r="GOS73" s="3"/>
      <c r="GOT73" s="3"/>
      <c r="GOU73" s="3"/>
      <c r="GOV73" s="3"/>
      <c r="GOW73" s="3"/>
      <c r="GOX73" s="3"/>
      <c r="GOY73" s="3"/>
      <c r="GOZ73" s="3"/>
      <c r="GPA73" s="3"/>
      <c r="GPB73" s="3"/>
      <c r="GPC73" s="3"/>
      <c r="GPD73" s="3"/>
      <c r="GPE73" s="3"/>
      <c r="GPF73" s="3"/>
      <c r="GPG73" s="3"/>
      <c r="GPH73" s="3"/>
      <c r="GPI73" s="3"/>
      <c r="GPJ73" s="3"/>
      <c r="GPK73" s="3"/>
      <c r="GPL73" s="3"/>
      <c r="GPM73" s="3"/>
      <c r="GPN73" s="3"/>
      <c r="GPO73" s="3"/>
      <c r="GPP73" s="3"/>
      <c r="GPQ73" s="3"/>
      <c r="GPR73" s="3"/>
      <c r="GPS73" s="3"/>
      <c r="GPT73" s="3"/>
      <c r="GPU73" s="3"/>
      <c r="GPV73" s="3"/>
      <c r="GPW73" s="3"/>
      <c r="GPX73" s="3"/>
      <c r="GPY73" s="3"/>
      <c r="GPZ73" s="3"/>
      <c r="GQA73" s="3"/>
      <c r="GQB73" s="3"/>
      <c r="GQC73" s="3"/>
      <c r="GQD73" s="3"/>
      <c r="GQE73" s="3"/>
      <c r="GQF73" s="3"/>
      <c r="GQG73" s="3"/>
      <c r="GQH73" s="3"/>
      <c r="GQI73" s="3"/>
      <c r="GQJ73" s="3"/>
      <c r="GQK73" s="3"/>
      <c r="GQL73" s="3"/>
      <c r="GQM73" s="3"/>
      <c r="GQN73" s="3"/>
      <c r="GQO73" s="3"/>
      <c r="GQP73" s="3"/>
      <c r="GQQ73" s="3"/>
      <c r="GQR73" s="3"/>
      <c r="GQS73" s="3"/>
      <c r="GQT73" s="3"/>
      <c r="GQU73" s="3"/>
      <c r="GQV73" s="3"/>
      <c r="GQW73" s="3"/>
      <c r="GQX73" s="3"/>
      <c r="GQY73" s="3"/>
      <c r="GQZ73" s="3"/>
      <c r="GRA73" s="3"/>
      <c r="GRB73" s="3"/>
      <c r="GRC73" s="3"/>
      <c r="GRD73" s="3"/>
      <c r="GRE73" s="3"/>
      <c r="GRF73" s="3"/>
      <c r="GRG73" s="3"/>
      <c r="GRH73" s="3"/>
      <c r="GRI73" s="3"/>
      <c r="GRJ73" s="3"/>
      <c r="GRK73" s="3"/>
      <c r="GRL73" s="3"/>
      <c r="GRM73" s="3"/>
      <c r="GRN73" s="3"/>
      <c r="GRO73" s="3"/>
      <c r="GRP73" s="3"/>
      <c r="GRQ73" s="3"/>
      <c r="GRR73" s="3"/>
      <c r="GRS73" s="3"/>
      <c r="GRT73" s="3"/>
      <c r="GRU73" s="3"/>
      <c r="GRV73" s="3"/>
      <c r="GRW73" s="3"/>
      <c r="GRX73" s="3"/>
      <c r="GRY73" s="3"/>
      <c r="GRZ73" s="3"/>
      <c r="GSA73" s="3"/>
      <c r="GSB73" s="3"/>
      <c r="GSC73" s="3"/>
      <c r="GSD73" s="3"/>
      <c r="GSE73" s="3"/>
      <c r="GSF73" s="3"/>
      <c r="GSG73" s="3"/>
      <c r="GSH73" s="3"/>
      <c r="GSI73" s="3"/>
      <c r="GSJ73" s="3"/>
      <c r="GSK73" s="3"/>
      <c r="GSL73" s="3"/>
      <c r="GSM73" s="3"/>
      <c r="GSN73" s="3"/>
      <c r="GSO73" s="3"/>
      <c r="GSP73" s="3"/>
      <c r="GSQ73" s="3"/>
      <c r="GSR73" s="3"/>
      <c r="GSS73" s="3"/>
      <c r="GST73" s="3"/>
      <c r="GSU73" s="3"/>
      <c r="GSV73" s="3"/>
      <c r="GSW73" s="3"/>
      <c r="GSX73" s="3"/>
      <c r="GSY73" s="3"/>
      <c r="GSZ73" s="3"/>
      <c r="GTA73" s="3"/>
      <c r="GTB73" s="3"/>
      <c r="GTC73" s="3"/>
      <c r="GTD73" s="3"/>
      <c r="GTE73" s="3"/>
      <c r="GTF73" s="3"/>
      <c r="GTG73" s="3"/>
      <c r="GTH73" s="3"/>
      <c r="GTI73" s="3"/>
      <c r="GTJ73" s="3"/>
      <c r="GTK73" s="3"/>
      <c r="GTL73" s="3"/>
      <c r="GTM73" s="3"/>
      <c r="GTN73" s="3"/>
      <c r="GTO73" s="3"/>
      <c r="GTP73" s="3"/>
      <c r="GTQ73" s="3"/>
      <c r="GTR73" s="3"/>
      <c r="GTS73" s="3"/>
      <c r="GTT73" s="3"/>
      <c r="GTU73" s="3"/>
      <c r="GTV73" s="3"/>
      <c r="GTW73" s="3"/>
      <c r="GTX73" s="3"/>
      <c r="GTY73" s="3"/>
      <c r="GTZ73" s="3"/>
      <c r="GUA73" s="3"/>
      <c r="GUB73" s="3"/>
      <c r="GUC73" s="3"/>
      <c r="GUD73" s="3"/>
      <c r="GUE73" s="3"/>
      <c r="GUF73" s="3"/>
      <c r="GUG73" s="3"/>
      <c r="GUH73" s="3"/>
      <c r="GUI73" s="3"/>
      <c r="GUJ73" s="3"/>
      <c r="GUK73" s="3"/>
      <c r="GUL73" s="3"/>
      <c r="GUM73" s="3"/>
      <c r="GUN73" s="3"/>
      <c r="GUO73" s="3"/>
      <c r="GUP73" s="3"/>
      <c r="GUQ73" s="3"/>
      <c r="GUR73" s="3"/>
      <c r="GUS73" s="3"/>
      <c r="GUT73" s="3"/>
      <c r="GUU73" s="3"/>
      <c r="GUV73" s="3"/>
      <c r="GUW73" s="3"/>
      <c r="GUX73" s="3"/>
      <c r="GUY73" s="3"/>
      <c r="GUZ73" s="3"/>
      <c r="GVA73" s="3"/>
      <c r="GVB73" s="3"/>
      <c r="GVC73" s="3"/>
      <c r="GVD73" s="3"/>
      <c r="GVE73" s="3"/>
      <c r="GVF73" s="3"/>
      <c r="GVG73" s="3"/>
      <c r="GVH73" s="3"/>
      <c r="GVI73" s="3"/>
      <c r="GVJ73" s="3"/>
      <c r="GVK73" s="3"/>
      <c r="GVL73" s="3"/>
      <c r="GVM73" s="3"/>
      <c r="GVN73" s="3"/>
      <c r="GVO73" s="3"/>
      <c r="GVP73" s="3"/>
      <c r="GVQ73" s="3"/>
      <c r="GVR73" s="3"/>
      <c r="GVS73" s="3"/>
      <c r="GVT73" s="3"/>
      <c r="GVU73" s="3"/>
      <c r="GVV73" s="3"/>
      <c r="GVW73" s="3"/>
      <c r="GVX73" s="3"/>
      <c r="GVY73" s="3"/>
      <c r="GVZ73" s="3"/>
      <c r="GWA73" s="3"/>
      <c r="GWB73" s="3"/>
      <c r="GWC73" s="3"/>
      <c r="GWD73" s="3"/>
      <c r="GWE73" s="3"/>
      <c r="GWF73" s="3"/>
      <c r="GWG73" s="3"/>
      <c r="GWH73" s="3"/>
      <c r="GWI73" s="3"/>
      <c r="GWJ73" s="3"/>
      <c r="GWK73" s="3"/>
      <c r="GWL73" s="3"/>
      <c r="GWM73" s="3"/>
      <c r="GWN73" s="3"/>
      <c r="GWO73" s="3"/>
      <c r="GWP73" s="3"/>
      <c r="GWQ73" s="3"/>
      <c r="GWR73" s="3"/>
      <c r="GWS73" s="3"/>
      <c r="GWT73" s="3"/>
      <c r="GWU73" s="3"/>
      <c r="GWV73" s="3"/>
      <c r="GWW73" s="3"/>
      <c r="GWX73" s="3"/>
      <c r="GWY73" s="3"/>
      <c r="GWZ73" s="3"/>
      <c r="GXA73" s="3"/>
      <c r="GXB73" s="3"/>
      <c r="GXC73" s="3"/>
      <c r="GXD73" s="3"/>
      <c r="GXE73" s="3"/>
      <c r="GXF73" s="3"/>
      <c r="GXG73" s="3"/>
      <c r="GXH73" s="3"/>
      <c r="GXI73" s="3"/>
      <c r="GXJ73" s="3"/>
      <c r="GXK73" s="3"/>
      <c r="GXL73" s="3"/>
      <c r="GXM73" s="3"/>
      <c r="GXN73" s="3"/>
      <c r="GXO73" s="3"/>
      <c r="GXP73" s="3"/>
      <c r="GXQ73" s="3"/>
      <c r="GXR73" s="3"/>
      <c r="GXS73" s="3"/>
      <c r="GXT73" s="3"/>
      <c r="GXU73" s="3"/>
      <c r="GXV73" s="3"/>
      <c r="GXW73" s="3"/>
      <c r="GXX73" s="3"/>
      <c r="GXY73" s="3"/>
      <c r="GXZ73" s="3"/>
      <c r="GYA73" s="3"/>
      <c r="GYB73" s="3"/>
      <c r="GYC73" s="3"/>
      <c r="GYD73" s="3"/>
      <c r="GYE73" s="3"/>
      <c r="GYF73" s="3"/>
      <c r="GYG73" s="3"/>
      <c r="GYH73" s="3"/>
      <c r="GYI73" s="3"/>
      <c r="GYJ73" s="3"/>
      <c r="GYK73" s="3"/>
      <c r="GYL73" s="3"/>
      <c r="GYM73" s="3"/>
      <c r="GYN73" s="3"/>
      <c r="GYO73" s="3"/>
      <c r="GYP73" s="3"/>
      <c r="GYQ73" s="3"/>
      <c r="GYR73" s="3"/>
      <c r="GYS73" s="3"/>
      <c r="GYT73" s="3"/>
      <c r="GYU73" s="3"/>
      <c r="GYV73" s="3"/>
      <c r="GYW73" s="3"/>
      <c r="GYX73" s="3"/>
      <c r="GYY73" s="3"/>
      <c r="GYZ73" s="3"/>
      <c r="GZA73" s="3"/>
      <c r="GZB73" s="3"/>
      <c r="GZC73" s="3"/>
      <c r="GZD73" s="3"/>
      <c r="GZE73" s="3"/>
      <c r="GZF73" s="3"/>
      <c r="GZG73" s="3"/>
      <c r="GZH73" s="3"/>
      <c r="GZI73" s="3"/>
      <c r="GZJ73" s="3"/>
      <c r="GZK73" s="3"/>
      <c r="GZL73" s="3"/>
      <c r="GZM73" s="3"/>
      <c r="GZN73" s="3"/>
      <c r="GZO73" s="3"/>
      <c r="GZP73" s="3"/>
      <c r="GZQ73" s="3"/>
      <c r="GZR73" s="3"/>
      <c r="GZS73" s="3"/>
      <c r="GZT73" s="3"/>
      <c r="GZU73" s="3"/>
      <c r="GZV73" s="3"/>
      <c r="GZW73" s="3"/>
      <c r="GZX73" s="3"/>
      <c r="GZY73" s="3"/>
      <c r="GZZ73" s="3"/>
      <c r="HAA73" s="3"/>
      <c r="HAB73" s="3"/>
      <c r="HAC73" s="3"/>
      <c r="HAD73" s="3"/>
      <c r="HAE73" s="3"/>
      <c r="HAF73" s="3"/>
      <c r="HAG73" s="3"/>
      <c r="HAH73" s="3"/>
      <c r="HAI73" s="3"/>
      <c r="HAJ73" s="3"/>
      <c r="HAK73" s="3"/>
      <c r="HAL73" s="3"/>
      <c r="HAM73" s="3"/>
      <c r="HAN73" s="3"/>
      <c r="HAO73" s="3"/>
      <c r="HAP73" s="3"/>
      <c r="HAQ73" s="3"/>
      <c r="HAR73" s="3"/>
      <c r="HAS73" s="3"/>
      <c r="HAT73" s="3"/>
      <c r="HAU73" s="3"/>
      <c r="HAV73" s="3"/>
      <c r="HAW73" s="3"/>
      <c r="HAX73" s="3"/>
      <c r="HAY73" s="3"/>
      <c r="HAZ73" s="3"/>
      <c r="HBA73" s="3"/>
      <c r="HBB73" s="3"/>
      <c r="HBC73" s="3"/>
      <c r="HBD73" s="3"/>
      <c r="HBE73" s="3"/>
      <c r="HBF73" s="3"/>
      <c r="HBG73" s="3"/>
      <c r="HBH73" s="3"/>
      <c r="HBI73" s="3"/>
      <c r="HBJ73" s="3"/>
      <c r="HBK73" s="3"/>
      <c r="HBL73" s="3"/>
      <c r="HBM73" s="3"/>
      <c r="HBN73" s="3"/>
      <c r="HBO73" s="3"/>
      <c r="HBP73" s="3"/>
      <c r="HBQ73" s="3"/>
      <c r="HBR73" s="3"/>
      <c r="HBS73" s="3"/>
      <c r="HBT73" s="3"/>
      <c r="HBU73" s="3"/>
      <c r="HBV73" s="3"/>
      <c r="HBW73" s="3"/>
      <c r="HBX73" s="3"/>
      <c r="HBY73" s="3"/>
      <c r="HBZ73" s="3"/>
      <c r="HCA73" s="3"/>
      <c r="HCB73" s="3"/>
      <c r="HCC73" s="3"/>
      <c r="HCD73" s="3"/>
      <c r="HCE73" s="3"/>
      <c r="HCF73" s="3"/>
      <c r="HCG73" s="3"/>
      <c r="HCH73" s="3"/>
      <c r="HCI73" s="3"/>
      <c r="HCJ73" s="3"/>
      <c r="HCK73" s="3"/>
      <c r="HCL73" s="3"/>
      <c r="HCM73" s="3"/>
      <c r="HCN73" s="3"/>
      <c r="HCO73" s="3"/>
      <c r="HCP73" s="3"/>
      <c r="HCQ73" s="3"/>
      <c r="HCR73" s="3"/>
      <c r="HCS73" s="3"/>
      <c r="HCT73" s="3"/>
      <c r="HCU73" s="3"/>
      <c r="HCV73" s="3"/>
      <c r="HCW73" s="3"/>
      <c r="HCX73" s="3"/>
      <c r="HCY73" s="3"/>
      <c r="HCZ73" s="3"/>
      <c r="HDA73" s="3"/>
      <c r="HDB73" s="3"/>
      <c r="HDC73" s="3"/>
      <c r="HDD73" s="3"/>
      <c r="HDE73" s="3"/>
      <c r="HDF73" s="3"/>
      <c r="HDG73" s="3"/>
      <c r="HDH73" s="3"/>
      <c r="HDI73" s="3"/>
      <c r="HDJ73" s="3"/>
      <c r="HDK73" s="3"/>
      <c r="HDL73" s="3"/>
      <c r="HDM73" s="3"/>
      <c r="HDN73" s="3"/>
      <c r="HDO73" s="3"/>
      <c r="HDP73" s="3"/>
      <c r="HDQ73" s="3"/>
      <c r="HDR73" s="3"/>
      <c r="HDS73" s="3"/>
      <c r="HDT73" s="3"/>
      <c r="HDU73" s="3"/>
      <c r="HDV73" s="3"/>
      <c r="HDW73" s="3"/>
      <c r="HDX73" s="3"/>
      <c r="HDY73" s="3"/>
      <c r="HDZ73" s="3"/>
      <c r="HEA73" s="3"/>
      <c r="HEB73" s="3"/>
      <c r="HEC73" s="3"/>
      <c r="HED73" s="3"/>
      <c r="HEE73" s="3"/>
      <c r="HEF73" s="3"/>
      <c r="HEG73" s="3"/>
      <c r="HEH73" s="3"/>
      <c r="HEI73" s="3"/>
      <c r="HEJ73" s="3"/>
      <c r="HEK73" s="3"/>
      <c r="HEL73" s="3"/>
      <c r="HEM73" s="3"/>
      <c r="HEN73" s="3"/>
      <c r="HEO73" s="3"/>
      <c r="HEP73" s="3"/>
      <c r="HEQ73" s="3"/>
      <c r="HER73" s="3"/>
      <c r="HES73" s="3"/>
      <c r="HET73" s="3"/>
      <c r="HEU73" s="3"/>
      <c r="HEV73" s="3"/>
      <c r="HEW73" s="3"/>
      <c r="HEX73" s="3"/>
      <c r="HEY73" s="3"/>
      <c r="HEZ73" s="3"/>
      <c r="HFA73" s="3"/>
      <c r="HFB73" s="3"/>
      <c r="HFC73" s="3"/>
      <c r="HFD73" s="3"/>
      <c r="HFE73" s="3"/>
      <c r="HFF73" s="3"/>
      <c r="HFG73" s="3"/>
      <c r="HFH73" s="3"/>
      <c r="HFI73" s="3"/>
      <c r="HFJ73" s="3"/>
      <c r="HFK73" s="3"/>
      <c r="HFL73" s="3"/>
      <c r="HFM73" s="3"/>
      <c r="HFN73" s="3"/>
      <c r="HFO73" s="3"/>
      <c r="HFP73" s="3"/>
      <c r="HFQ73" s="3"/>
      <c r="HFR73" s="3"/>
      <c r="HFS73" s="3"/>
      <c r="HFT73" s="3"/>
      <c r="HFU73" s="3"/>
      <c r="HFV73" s="3"/>
      <c r="HFW73" s="3"/>
      <c r="HFX73" s="3"/>
      <c r="HFY73" s="3"/>
      <c r="HFZ73" s="3"/>
      <c r="HGA73" s="3"/>
      <c r="HGB73" s="3"/>
      <c r="HGC73" s="3"/>
      <c r="HGD73" s="3"/>
      <c r="HGE73" s="3"/>
      <c r="HGF73" s="3"/>
      <c r="HGG73" s="3"/>
      <c r="HGH73" s="3"/>
      <c r="HGI73" s="3"/>
      <c r="HGJ73" s="3"/>
      <c r="HGK73" s="3"/>
      <c r="HGL73" s="3"/>
      <c r="HGM73" s="3"/>
      <c r="HGN73" s="3"/>
      <c r="HGO73" s="3"/>
      <c r="HGP73" s="3"/>
      <c r="HGQ73" s="3"/>
      <c r="HGR73" s="3"/>
      <c r="HGS73" s="3"/>
      <c r="HGT73" s="3"/>
      <c r="HGU73" s="3"/>
      <c r="HGV73" s="3"/>
      <c r="HGW73" s="3"/>
      <c r="HGX73" s="3"/>
      <c r="HGY73" s="3"/>
      <c r="HGZ73" s="3"/>
      <c r="HHA73" s="3"/>
      <c r="HHB73" s="3"/>
      <c r="HHC73" s="3"/>
      <c r="HHD73" s="3"/>
      <c r="HHE73" s="3"/>
      <c r="HHF73" s="3"/>
      <c r="HHG73" s="3"/>
      <c r="HHH73" s="3"/>
      <c r="HHI73" s="3"/>
      <c r="HHJ73" s="3"/>
      <c r="HHK73" s="3"/>
      <c r="HHL73" s="3"/>
      <c r="HHM73" s="3"/>
      <c r="HHN73" s="3"/>
      <c r="HHO73" s="3"/>
      <c r="HHP73" s="3"/>
      <c r="HHQ73" s="3"/>
      <c r="HHR73" s="3"/>
      <c r="HHS73" s="3"/>
      <c r="HHT73" s="3"/>
      <c r="HHU73" s="3"/>
      <c r="HHV73" s="3"/>
      <c r="HHW73" s="3"/>
      <c r="HHX73" s="3"/>
      <c r="HHY73" s="3"/>
      <c r="HHZ73" s="3"/>
      <c r="HIA73" s="3"/>
      <c r="HIB73" s="3"/>
      <c r="HIC73" s="3"/>
      <c r="HID73" s="3"/>
      <c r="HIE73" s="3"/>
      <c r="HIF73" s="3"/>
      <c r="HIG73" s="3"/>
      <c r="HIH73" s="3"/>
      <c r="HII73" s="3"/>
      <c r="HIJ73" s="3"/>
      <c r="HIK73" s="3"/>
      <c r="HIL73" s="3"/>
      <c r="HIM73" s="3"/>
      <c r="HIN73" s="3"/>
      <c r="HIO73" s="3"/>
      <c r="HIP73" s="3"/>
      <c r="HIQ73" s="3"/>
      <c r="HIR73" s="3"/>
      <c r="HIS73" s="3"/>
      <c r="HIT73" s="3"/>
      <c r="HIU73" s="3"/>
      <c r="HIV73" s="3"/>
      <c r="HIW73" s="3"/>
      <c r="HIX73" s="3"/>
      <c r="HIY73" s="3"/>
      <c r="HIZ73" s="3"/>
      <c r="HJA73" s="3"/>
      <c r="HJB73" s="3"/>
      <c r="HJC73" s="3"/>
      <c r="HJD73" s="3"/>
      <c r="HJE73" s="3"/>
      <c r="HJF73" s="3"/>
      <c r="HJG73" s="3"/>
      <c r="HJH73" s="3"/>
      <c r="HJI73" s="3"/>
      <c r="HJJ73" s="3"/>
      <c r="HJK73" s="3"/>
      <c r="HJL73" s="3"/>
      <c r="HJM73" s="3"/>
      <c r="HJN73" s="3"/>
      <c r="HJO73" s="3"/>
      <c r="HJP73" s="3"/>
      <c r="HJQ73" s="3"/>
      <c r="HJR73" s="3"/>
      <c r="HJS73" s="3"/>
      <c r="HJT73" s="3"/>
      <c r="HJU73" s="3"/>
      <c r="HJV73" s="3"/>
      <c r="HJW73" s="3"/>
      <c r="HJX73" s="3"/>
      <c r="HJY73" s="3"/>
      <c r="HJZ73" s="3"/>
      <c r="HKA73" s="3"/>
      <c r="HKB73" s="3"/>
      <c r="HKC73" s="3"/>
      <c r="HKD73" s="3"/>
      <c r="HKE73" s="3"/>
      <c r="HKF73" s="3"/>
      <c r="HKG73" s="3"/>
      <c r="HKH73" s="3"/>
      <c r="HKI73" s="3"/>
      <c r="HKJ73" s="3"/>
      <c r="HKK73" s="3"/>
      <c r="HKL73" s="3"/>
      <c r="HKM73" s="3"/>
      <c r="HKN73" s="3"/>
      <c r="HKO73" s="3"/>
      <c r="HKP73" s="3"/>
      <c r="HKQ73" s="3"/>
      <c r="HKR73" s="3"/>
      <c r="HKS73" s="3"/>
      <c r="HKT73" s="3"/>
      <c r="HKU73" s="3"/>
      <c r="HKV73" s="3"/>
      <c r="HKW73" s="3"/>
      <c r="HKX73" s="3"/>
      <c r="HKY73" s="3"/>
      <c r="HKZ73" s="3"/>
      <c r="HLA73" s="3"/>
      <c r="HLB73" s="3"/>
      <c r="HLC73" s="3"/>
      <c r="HLD73" s="3"/>
      <c r="HLE73" s="3"/>
      <c r="HLF73" s="3"/>
      <c r="HLG73" s="3"/>
      <c r="HLH73" s="3"/>
      <c r="HLI73" s="3"/>
      <c r="HLJ73" s="3"/>
      <c r="HLK73" s="3"/>
      <c r="HLL73" s="3"/>
      <c r="HLM73" s="3"/>
      <c r="HLN73" s="3"/>
      <c r="HLO73" s="3"/>
      <c r="HLP73" s="3"/>
      <c r="HLQ73" s="3"/>
      <c r="HLR73" s="3"/>
      <c r="HLS73" s="3"/>
      <c r="HLT73" s="3"/>
      <c r="HLU73" s="3"/>
      <c r="HLV73" s="3"/>
      <c r="HLW73" s="3"/>
      <c r="HLX73" s="3"/>
      <c r="HLY73" s="3"/>
      <c r="HLZ73" s="3"/>
      <c r="HMA73" s="3"/>
      <c r="HMB73" s="3"/>
      <c r="HMC73" s="3"/>
      <c r="HMD73" s="3"/>
      <c r="HME73" s="3"/>
      <c r="HMF73" s="3"/>
      <c r="HMG73" s="3"/>
      <c r="HMH73" s="3"/>
      <c r="HMI73" s="3"/>
      <c r="HMJ73" s="3"/>
      <c r="HMK73" s="3"/>
      <c r="HML73" s="3"/>
      <c r="HMM73" s="3"/>
      <c r="HMN73" s="3"/>
      <c r="HMO73" s="3"/>
      <c r="HMP73" s="3"/>
      <c r="HMQ73" s="3"/>
      <c r="HMR73" s="3"/>
      <c r="HMS73" s="3"/>
      <c r="HMT73" s="3"/>
      <c r="HMU73" s="3"/>
      <c r="HMV73" s="3"/>
      <c r="HMW73" s="3"/>
      <c r="HMX73" s="3"/>
      <c r="HMY73" s="3"/>
      <c r="HMZ73" s="3"/>
      <c r="HNA73" s="3"/>
      <c r="HNB73" s="3"/>
      <c r="HNC73" s="3"/>
      <c r="HND73" s="3"/>
      <c r="HNE73" s="3"/>
      <c r="HNF73" s="3"/>
      <c r="HNG73" s="3"/>
      <c r="HNH73" s="3"/>
      <c r="HNI73" s="3"/>
      <c r="HNJ73" s="3"/>
      <c r="HNK73" s="3"/>
      <c r="HNL73" s="3"/>
      <c r="HNM73" s="3"/>
      <c r="HNN73" s="3"/>
      <c r="HNO73" s="3"/>
      <c r="HNP73" s="3"/>
      <c r="HNQ73" s="3"/>
      <c r="HNR73" s="3"/>
      <c r="HNS73" s="3"/>
      <c r="HNT73" s="3"/>
      <c r="HNU73" s="3"/>
      <c r="HNV73" s="3"/>
      <c r="HNW73" s="3"/>
      <c r="HNX73" s="3"/>
      <c r="HNY73" s="3"/>
      <c r="HNZ73" s="3"/>
      <c r="HOA73" s="3"/>
      <c r="HOB73" s="3"/>
      <c r="HOC73" s="3"/>
      <c r="HOD73" s="3"/>
      <c r="HOE73" s="3"/>
      <c r="HOF73" s="3"/>
      <c r="HOG73" s="3"/>
      <c r="HOH73" s="3"/>
      <c r="HOI73" s="3"/>
      <c r="HOJ73" s="3"/>
      <c r="HOK73" s="3"/>
      <c r="HOL73" s="3"/>
      <c r="HOM73" s="3"/>
      <c r="HON73" s="3"/>
      <c r="HOO73" s="3"/>
      <c r="HOP73" s="3"/>
      <c r="HOQ73" s="3"/>
      <c r="HOR73" s="3"/>
      <c r="HOS73" s="3"/>
      <c r="HOT73" s="3"/>
      <c r="HOU73" s="3"/>
      <c r="HOV73" s="3"/>
      <c r="HOW73" s="3"/>
      <c r="HOX73" s="3"/>
      <c r="HOY73" s="3"/>
      <c r="HOZ73" s="3"/>
      <c r="HPA73" s="3"/>
      <c r="HPB73" s="3"/>
      <c r="HPC73" s="3"/>
      <c r="HPD73" s="3"/>
      <c r="HPE73" s="3"/>
      <c r="HPF73" s="3"/>
      <c r="HPG73" s="3"/>
      <c r="HPH73" s="3"/>
      <c r="HPI73" s="3"/>
      <c r="HPJ73" s="3"/>
      <c r="HPK73" s="3"/>
      <c r="HPL73" s="3"/>
      <c r="HPM73" s="3"/>
      <c r="HPN73" s="3"/>
      <c r="HPO73" s="3"/>
      <c r="HPP73" s="3"/>
      <c r="HPQ73" s="3"/>
      <c r="HPR73" s="3"/>
      <c r="HPS73" s="3"/>
      <c r="HPT73" s="3"/>
      <c r="HPU73" s="3"/>
      <c r="HPV73" s="3"/>
      <c r="HPW73" s="3"/>
      <c r="HPX73" s="3"/>
      <c r="HPY73" s="3"/>
      <c r="HPZ73" s="3"/>
      <c r="HQA73" s="3"/>
      <c r="HQB73" s="3"/>
      <c r="HQC73" s="3"/>
      <c r="HQD73" s="3"/>
      <c r="HQE73" s="3"/>
      <c r="HQF73" s="3"/>
      <c r="HQG73" s="3"/>
      <c r="HQH73" s="3"/>
      <c r="HQI73" s="3"/>
      <c r="HQJ73" s="3"/>
      <c r="HQK73" s="3"/>
      <c r="HQL73" s="3"/>
      <c r="HQM73" s="3"/>
      <c r="HQN73" s="3"/>
      <c r="HQO73" s="3"/>
      <c r="HQP73" s="3"/>
      <c r="HQQ73" s="3"/>
      <c r="HQR73" s="3"/>
      <c r="HQS73" s="3"/>
      <c r="HQT73" s="3"/>
      <c r="HQU73" s="3"/>
      <c r="HQV73" s="3"/>
      <c r="HQW73" s="3"/>
      <c r="HQX73" s="3"/>
      <c r="HQY73" s="3"/>
      <c r="HQZ73" s="3"/>
      <c r="HRA73" s="3"/>
      <c r="HRB73" s="3"/>
      <c r="HRC73" s="3"/>
      <c r="HRD73" s="3"/>
      <c r="HRE73" s="3"/>
      <c r="HRF73" s="3"/>
      <c r="HRG73" s="3"/>
      <c r="HRH73" s="3"/>
      <c r="HRI73" s="3"/>
      <c r="HRJ73" s="3"/>
      <c r="HRK73" s="3"/>
      <c r="HRL73" s="3"/>
      <c r="HRM73" s="3"/>
      <c r="HRN73" s="3"/>
      <c r="HRO73" s="3"/>
      <c r="HRP73" s="3"/>
      <c r="HRQ73" s="3"/>
      <c r="HRR73" s="3"/>
      <c r="HRS73" s="3"/>
      <c r="HRT73" s="3"/>
      <c r="HRU73" s="3"/>
      <c r="HRV73" s="3"/>
      <c r="HRW73" s="3"/>
      <c r="HRX73" s="3"/>
      <c r="HRY73" s="3"/>
      <c r="HRZ73" s="3"/>
      <c r="HSA73" s="3"/>
      <c r="HSB73" s="3"/>
      <c r="HSC73" s="3"/>
      <c r="HSD73" s="3"/>
      <c r="HSE73" s="3"/>
      <c r="HSF73" s="3"/>
      <c r="HSG73" s="3"/>
      <c r="HSH73" s="3"/>
      <c r="HSI73" s="3"/>
      <c r="HSJ73" s="3"/>
      <c r="HSK73" s="3"/>
      <c r="HSL73" s="3"/>
      <c r="HSM73" s="3"/>
      <c r="HSN73" s="3"/>
      <c r="HSO73" s="3"/>
      <c r="HSP73" s="3"/>
      <c r="HSQ73" s="3"/>
      <c r="HSR73" s="3"/>
      <c r="HSS73" s="3"/>
      <c r="HST73" s="3"/>
      <c r="HSU73" s="3"/>
      <c r="HSV73" s="3"/>
      <c r="HSW73" s="3"/>
      <c r="HSX73" s="3"/>
      <c r="HSY73" s="3"/>
      <c r="HSZ73" s="3"/>
      <c r="HTA73" s="3"/>
      <c r="HTB73" s="3"/>
      <c r="HTC73" s="3"/>
      <c r="HTD73" s="3"/>
      <c r="HTE73" s="3"/>
      <c r="HTF73" s="3"/>
      <c r="HTG73" s="3"/>
      <c r="HTH73" s="3"/>
      <c r="HTI73" s="3"/>
      <c r="HTJ73" s="3"/>
      <c r="HTK73" s="3"/>
      <c r="HTL73" s="3"/>
      <c r="HTM73" s="3"/>
      <c r="HTN73" s="3"/>
      <c r="HTO73" s="3"/>
      <c r="HTP73" s="3"/>
      <c r="HTQ73" s="3"/>
      <c r="HTR73" s="3"/>
      <c r="HTS73" s="3"/>
      <c r="HTT73" s="3"/>
      <c r="HTU73" s="3"/>
      <c r="HTV73" s="3"/>
      <c r="HTW73" s="3"/>
      <c r="HTX73" s="3"/>
      <c r="HTY73" s="3"/>
      <c r="HTZ73" s="3"/>
      <c r="HUA73" s="3"/>
      <c r="HUB73" s="3"/>
      <c r="HUC73" s="3"/>
      <c r="HUD73" s="3"/>
      <c r="HUE73" s="3"/>
      <c r="HUF73" s="3"/>
      <c r="HUG73" s="3"/>
      <c r="HUH73" s="3"/>
      <c r="HUI73" s="3"/>
      <c r="HUJ73" s="3"/>
      <c r="HUK73" s="3"/>
      <c r="HUL73" s="3"/>
      <c r="HUM73" s="3"/>
      <c r="HUN73" s="3"/>
      <c r="HUO73" s="3"/>
      <c r="HUP73" s="3"/>
      <c r="HUQ73" s="3"/>
      <c r="HUR73" s="3"/>
      <c r="HUS73" s="3"/>
      <c r="HUT73" s="3"/>
      <c r="HUU73" s="3"/>
      <c r="HUV73" s="3"/>
      <c r="HUW73" s="3"/>
      <c r="HUX73" s="3"/>
      <c r="HUY73" s="3"/>
      <c r="HUZ73" s="3"/>
      <c r="HVA73" s="3"/>
      <c r="HVB73" s="3"/>
      <c r="HVC73" s="3"/>
      <c r="HVD73" s="3"/>
      <c r="HVE73" s="3"/>
      <c r="HVF73" s="3"/>
      <c r="HVG73" s="3"/>
      <c r="HVH73" s="3"/>
      <c r="HVI73" s="3"/>
      <c r="HVJ73" s="3"/>
      <c r="HVK73" s="3"/>
      <c r="HVL73" s="3"/>
      <c r="HVM73" s="3"/>
      <c r="HVN73" s="3"/>
      <c r="HVO73" s="3"/>
      <c r="HVP73" s="3"/>
      <c r="HVQ73" s="3"/>
      <c r="HVR73" s="3"/>
      <c r="HVS73" s="3"/>
      <c r="HVT73" s="3"/>
      <c r="HVU73" s="3"/>
      <c r="HVV73" s="3"/>
      <c r="HVW73" s="3"/>
      <c r="HVX73" s="3"/>
      <c r="HVY73" s="3"/>
      <c r="HVZ73" s="3"/>
      <c r="HWA73" s="3"/>
      <c r="HWB73" s="3"/>
      <c r="HWC73" s="3"/>
      <c r="HWD73" s="3"/>
      <c r="HWE73" s="3"/>
      <c r="HWF73" s="3"/>
      <c r="HWG73" s="3"/>
      <c r="HWH73" s="3"/>
      <c r="HWI73" s="3"/>
      <c r="HWJ73" s="3"/>
      <c r="HWK73" s="3"/>
      <c r="HWL73" s="3"/>
      <c r="HWM73" s="3"/>
      <c r="HWN73" s="3"/>
      <c r="HWO73" s="3"/>
      <c r="HWP73" s="3"/>
      <c r="HWQ73" s="3"/>
      <c r="HWR73" s="3"/>
      <c r="HWS73" s="3"/>
      <c r="HWT73" s="3"/>
      <c r="HWU73" s="3"/>
      <c r="HWV73" s="3"/>
      <c r="HWW73" s="3"/>
      <c r="HWX73" s="3"/>
      <c r="HWY73" s="3"/>
      <c r="HWZ73" s="3"/>
      <c r="HXA73" s="3"/>
      <c r="HXB73" s="3"/>
      <c r="HXC73" s="3"/>
      <c r="HXD73" s="3"/>
      <c r="HXE73" s="3"/>
      <c r="HXF73" s="3"/>
      <c r="HXG73" s="3"/>
      <c r="HXH73" s="3"/>
      <c r="HXI73" s="3"/>
      <c r="HXJ73" s="3"/>
      <c r="HXK73" s="3"/>
      <c r="HXL73" s="3"/>
      <c r="HXM73" s="3"/>
      <c r="HXN73" s="3"/>
      <c r="HXO73" s="3"/>
      <c r="HXP73" s="3"/>
      <c r="HXQ73" s="3"/>
      <c r="HXR73" s="3"/>
      <c r="HXS73" s="3"/>
      <c r="HXT73" s="3"/>
      <c r="HXU73" s="3"/>
      <c r="HXV73" s="3"/>
      <c r="HXW73" s="3"/>
      <c r="HXX73" s="3"/>
      <c r="HXY73" s="3"/>
      <c r="HXZ73" s="3"/>
      <c r="HYA73" s="3"/>
      <c r="HYB73" s="3"/>
      <c r="HYC73" s="3"/>
      <c r="HYD73" s="3"/>
      <c r="HYE73" s="3"/>
      <c r="HYF73" s="3"/>
      <c r="HYG73" s="3"/>
      <c r="HYH73" s="3"/>
      <c r="HYI73" s="3"/>
      <c r="HYJ73" s="3"/>
      <c r="HYK73" s="3"/>
      <c r="HYL73" s="3"/>
      <c r="HYM73" s="3"/>
      <c r="HYN73" s="3"/>
      <c r="HYO73" s="3"/>
      <c r="HYP73" s="3"/>
      <c r="HYQ73" s="3"/>
      <c r="HYR73" s="3"/>
      <c r="HYS73" s="3"/>
      <c r="HYT73" s="3"/>
      <c r="HYU73" s="3"/>
      <c r="HYV73" s="3"/>
      <c r="HYW73" s="3"/>
      <c r="HYX73" s="3"/>
      <c r="HYY73" s="3"/>
      <c r="HYZ73" s="3"/>
      <c r="HZA73" s="3"/>
      <c r="HZB73" s="3"/>
      <c r="HZC73" s="3"/>
      <c r="HZD73" s="3"/>
      <c r="HZE73" s="3"/>
      <c r="HZF73" s="3"/>
      <c r="HZG73" s="3"/>
      <c r="HZH73" s="3"/>
      <c r="HZI73" s="3"/>
      <c r="HZJ73" s="3"/>
      <c r="HZK73" s="3"/>
      <c r="HZL73" s="3"/>
      <c r="HZM73" s="3"/>
      <c r="HZN73" s="3"/>
      <c r="HZO73" s="3"/>
      <c r="HZP73" s="3"/>
      <c r="HZQ73" s="3"/>
      <c r="HZR73" s="3"/>
      <c r="HZS73" s="3"/>
      <c r="HZT73" s="3"/>
      <c r="HZU73" s="3"/>
      <c r="HZV73" s="3"/>
      <c r="HZW73" s="3"/>
      <c r="HZX73" s="3"/>
      <c r="HZY73" s="3"/>
      <c r="HZZ73" s="3"/>
      <c r="IAA73" s="3"/>
      <c r="IAB73" s="3"/>
      <c r="IAC73" s="3"/>
      <c r="IAD73" s="3"/>
      <c r="IAE73" s="3"/>
      <c r="IAF73" s="3"/>
      <c r="IAG73" s="3"/>
      <c r="IAH73" s="3"/>
      <c r="IAI73" s="3"/>
      <c r="IAJ73" s="3"/>
      <c r="IAK73" s="3"/>
      <c r="IAL73" s="3"/>
      <c r="IAM73" s="3"/>
      <c r="IAN73" s="3"/>
      <c r="IAO73" s="3"/>
      <c r="IAP73" s="3"/>
      <c r="IAQ73" s="3"/>
      <c r="IAR73" s="3"/>
      <c r="IAS73" s="3"/>
      <c r="IAT73" s="3"/>
      <c r="IAU73" s="3"/>
      <c r="IAV73" s="3"/>
      <c r="IAW73" s="3"/>
      <c r="IAX73" s="3"/>
      <c r="IAY73" s="3"/>
      <c r="IAZ73" s="3"/>
      <c r="IBA73" s="3"/>
      <c r="IBB73" s="3"/>
      <c r="IBC73" s="3"/>
      <c r="IBD73" s="3"/>
      <c r="IBE73" s="3"/>
      <c r="IBF73" s="3"/>
      <c r="IBG73" s="3"/>
      <c r="IBH73" s="3"/>
      <c r="IBI73" s="3"/>
      <c r="IBJ73" s="3"/>
      <c r="IBK73" s="3"/>
      <c r="IBL73" s="3"/>
      <c r="IBM73" s="3"/>
      <c r="IBN73" s="3"/>
      <c r="IBO73" s="3"/>
      <c r="IBP73" s="3"/>
      <c r="IBQ73" s="3"/>
      <c r="IBR73" s="3"/>
      <c r="IBS73" s="3"/>
      <c r="IBT73" s="3"/>
      <c r="IBU73" s="3"/>
      <c r="IBV73" s="3"/>
      <c r="IBW73" s="3"/>
      <c r="IBX73" s="3"/>
      <c r="IBY73" s="3"/>
      <c r="IBZ73" s="3"/>
      <c r="ICA73" s="3"/>
      <c r="ICB73" s="3"/>
      <c r="ICC73" s="3"/>
      <c r="ICD73" s="3"/>
      <c r="ICE73" s="3"/>
      <c r="ICF73" s="3"/>
      <c r="ICG73" s="3"/>
      <c r="ICH73" s="3"/>
      <c r="ICI73" s="3"/>
      <c r="ICJ73" s="3"/>
      <c r="ICK73" s="3"/>
      <c r="ICL73" s="3"/>
      <c r="ICM73" s="3"/>
      <c r="ICN73" s="3"/>
      <c r="ICO73" s="3"/>
      <c r="ICP73" s="3"/>
      <c r="ICQ73" s="3"/>
      <c r="ICR73" s="3"/>
      <c r="ICS73" s="3"/>
      <c r="ICT73" s="3"/>
      <c r="ICU73" s="3"/>
      <c r="ICV73" s="3"/>
      <c r="ICW73" s="3"/>
      <c r="ICX73" s="3"/>
      <c r="ICY73" s="3"/>
      <c r="ICZ73" s="3"/>
      <c r="IDA73" s="3"/>
      <c r="IDB73" s="3"/>
      <c r="IDC73" s="3"/>
      <c r="IDD73" s="3"/>
      <c r="IDE73" s="3"/>
      <c r="IDF73" s="3"/>
      <c r="IDG73" s="3"/>
      <c r="IDH73" s="3"/>
      <c r="IDI73" s="3"/>
      <c r="IDJ73" s="3"/>
      <c r="IDK73" s="3"/>
      <c r="IDL73" s="3"/>
      <c r="IDM73" s="3"/>
      <c r="IDN73" s="3"/>
      <c r="IDO73" s="3"/>
      <c r="IDP73" s="3"/>
      <c r="IDQ73" s="3"/>
      <c r="IDR73" s="3"/>
      <c r="IDS73" s="3"/>
      <c r="IDT73" s="3"/>
      <c r="IDU73" s="3"/>
      <c r="IDV73" s="3"/>
      <c r="IDW73" s="3"/>
      <c r="IDX73" s="3"/>
      <c r="IDY73" s="3"/>
      <c r="IDZ73" s="3"/>
      <c r="IEA73" s="3"/>
      <c r="IEB73" s="3"/>
      <c r="IEC73" s="3"/>
      <c r="IED73" s="3"/>
      <c r="IEE73" s="3"/>
      <c r="IEF73" s="3"/>
      <c r="IEG73" s="3"/>
      <c r="IEH73" s="3"/>
      <c r="IEI73" s="3"/>
      <c r="IEJ73" s="3"/>
      <c r="IEK73" s="3"/>
      <c r="IEL73" s="3"/>
      <c r="IEM73" s="3"/>
      <c r="IEN73" s="3"/>
      <c r="IEO73" s="3"/>
      <c r="IEP73" s="3"/>
      <c r="IEQ73" s="3"/>
      <c r="IER73" s="3"/>
      <c r="IES73" s="3"/>
      <c r="IET73" s="3"/>
      <c r="IEU73" s="3"/>
      <c r="IEV73" s="3"/>
      <c r="IEW73" s="3"/>
      <c r="IEX73" s="3"/>
      <c r="IEY73" s="3"/>
      <c r="IEZ73" s="3"/>
      <c r="IFA73" s="3"/>
      <c r="IFB73" s="3"/>
      <c r="IFC73" s="3"/>
      <c r="IFD73" s="3"/>
      <c r="IFE73" s="3"/>
      <c r="IFF73" s="3"/>
      <c r="IFG73" s="3"/>
      <c r="IFH73" s="3"/>
      <c r="IFI73" s="3"/>
      <c r="IFJ73" s="3"/>
      <c r="IFK73" s="3"/>
      <c r="IFL73" s="3"/>
      <c r="IFM73" s="3"/>
      <c r="IFN73" s="3"/>
      <c r="IFO73" s="3"/>
      <c r="IFP73" s="3"/>
      <c r="IFQ73" s="3"/>
      <c r="IFR73" s="3"/>
      <c r="IFS73" s="3"/>
      <c r="IFT73" s="3"/>
      <c r="IFU73" s="3"/>
      <c r="IFV73" s="3"/>
      <c r="IFW73" s="3"/>
      <c r="IFX73" s="3"/>
      <c r="IFY73" s="3"/>
      <c r="IFZ73" s="3"/>
      <c r="IGA73" s="3"/>
      <c r="IGB73" s="3"/>
      <c r="IGC73" s="3"/>
      <c r="IGD73" s="3"/>
      <c r="IGE73" s="3"/>
      <c r="IGF73" s="3"/>
      <c r="IGG73" s="3"/>
      <c r="IGH73" s="3"/>
      <c r="IGI73" s="3"/>
      <c r="IGJ73" s="3"/>
      <c r="IGK73" s="3"/>
      <c r="IGL73" s="3"/>
      <c r="IGM73" s="3"/>
      <c r="IGN73" s="3"/>
      <c r="IGO73" s="3"/>
      <c r="IGP73" s="3"/>
      <c r="IGQ73" s="3"/>
      <c r="IGR73" s="3"/>
      <c r="IGS73" s="3"/>
      <c r="IGT73" s="3"/>
      <c r="IGU73" s="3"/>
      <c r="IGV73" s="3"/>
      <c r="IGW73" s="3"/>
      <c r="IGX73" s="3"/>
      <c r="IGY73" s="3"/>
      <c r="IGZ73" s="3"/>
      <c r="IHA73" s="3"/>
      <c r="IHB73" s="3"/>
      <c r="IHC73" s="3"/>
      <c r="IHD73" s="3"/>
      <c r="IHE73" s="3"/>
      <c r="IHF73" s="3"/>
      <c r="IHG73" s="3"/>
      <c r="IHH73" s="3"/>
      <c r="IHI73" s="3"/>
      <c r="IHJ73" s="3"/>
      <c r="IHK73" s="3"/>
      <c r="IHL73" s="3"/>
      <c r="IHM73" s="3"/>
      <c r="IHN73" s="3"/>
      <c r="IHO73" s="3"/>
      <c r="IHP73" s="3"/>
      <c r="IHQ73" s="3"/>
      <c r="IHR73" s="3"/>
      <c r="IHS73" s="3"/>
      <c r="IHT73" s="3"/>
      <c r="IHU73" s="3"/>
      <c r="IHV73" s="3"/>
      <c r="IHW73" s="3"/>
      <c r="IHX73" s="3"/>
      <c r="IHY73" s="3"/>
      <c r="IHZ73" s="3"/>
      <c r="IIA73" s="3"/>
      <c r="IIB73" s="3"/>
      <c r="IIC73" s="3"/>
      <c r="IID73" s="3"/>
      <c r="IIE73" s="3"/>
      <c r="IIF73" s="3"/>
      <c r="IIG73" s="3"/>
      <c r="IIH73" s="3"/>
      <c r="III73" s="3"/>
      <c r="IIJ73" s="3"/>
      <c r="IIK73" s="3"/>
      <c r="IIL73" s="3"/>
      <c r="IIM73" s="3"/>
      <c r="IIN73" s="3"/>
      <c r="IIO73" s="3"/>
      <c r="IIP73" s="3"/>
      <c r="IIQ73" s="3"/>
      <c r="IIR73" s="3"/>
      <c r="IIS73" s="3"/>
      <c r="IIT73" s="3"/>
      <c r="IIU73" s="3"/>
      <c r="IIV73" s="3"/>
      <c r="IIW73" s="3"/>
      <c r="IIX73" s="3"/>
      <c r="IIY73" s="3"/>
      <c r="IIZ73" s="3"/>
      <c r="IJA73" s="3"/>
      <c r="IJB73" s="3"/>
      <c r="IJC73" s="3"/>
      <c r="IJD73" s="3"/>
      <c r="IJE73" s="3"/>
      <c r="IJF73" s="3"/>
      <c r="IJG73" s="3"/>
      <c r="IJH73" s="3"/>
      <c r="IJI73" s="3"/>
      <c r="IJJ73" s="3"/>
      <c r="IJK73" s="3"/>
      <c r="IJL73" s="3"/>
      <c r="IJM73" s="3"/>
      <c r="IJN73" s="3"/>
      <c r="IJO73" s="3"/>
      <c r="IJP73" s="3"/>
      <c r="IJQ73" s="3"/>
      <c r="IJR73" s="3"/>
      <c r="IJS73" s="3"/>
      <c r="IJT73" s="3"/>
      <c r="IJU73" s="3"/>
      <c r="IJV73" s="3"/>
      <c r="IJW73" s="3"/>
      <c r="IJX73" s="3"/>
      <c r="IJY73" s="3"/>
      <c r="IJZ73" s="3"/>
      <c r="IKA73" s="3"/>
      <c r="IKB73" s="3"/>
      <c r="IKC73" s="3"/>
      <c r="IKD73" s="3"/>
      <c r="IKE73" s="3"/>
      <c r="IKF73" s="3"/>
      <c r="IKG73" s="3"/>
      <c r="IKH73" s="3"/>
      <c r="IKI73" s="3"/>
      <c r="IKJ73" s="3"/>
      <c r="IKK73" s="3"/>
      <c r="IKL73" s="3"/>
      <c r="IKM73" s="3"/>
      <c r="IKN73" s="3"/>
      <c r="IKO73" s="3"/>
      <c r="IKP73" s="3"/>
      <c r="IKQ73" s="3"/>
      <c r="IKR73" s="3"/>
      <c r="IKS73" s="3"/>
      <c r="IKT73" s="3"/>
      <c r="IKU73" s="3"/>
      <c r="IKV73" s="3"/>
      <c r="IKW73" s="3"/>
      <c r="IKX73" s="3"/>
      <c r="IKY73" s="3"/>
      <c r="IKZ73" s="3"/>
      <c r="ILA73" s="3"/>
      <c r="ILB73" s="3"/>
      <c r="ILC73" s="3"/>
      <c r="ILD73" s="3"/>
      <c r="ILE73" s="3"/>
      <c r="ILF73" s="3"/>
      <c r="ILG73" s="3"/>
      <c r="ILH73" s="3"/>
      <c r="ILI73" s="3"/>
      <c r="ILJ73" s="3"/>
      <c r="ILK73" s="3"/>
      <c r="ILL73" s="3"/>
      <c r="ILM73" s="3"/>
      <c r="ILN73" s="3"/>
      <c r="ILO73" s="3"/>
      <c r="ILP73" s="3"/>
      <c r="ILQ73" s="3"/>
      <c r="ILR73" s="3"/>
      <c r="ILS73" s="3"/>
      <c r="ILT73" s="3"/>
      <c r="ILU73" s="3"/>
      <c r="ILV73" s="3"/>
      <c r="ILW73" s="3"/>
      <c r="ILX73" s="3"/>
      <c r="ILY73" s="3"/>
      <c r="ILZ73" s="3"/>
      <c r="IMA73" s="3"/>
      <c r="IMB73" s="3"/>
      <c r="IMC73" s="3"/>
      <c r="IMD73" s="3"/>
      <c r="IME73" s="3"/>
      <c r="IMF73" s="3"/>
      <c r="IMG73" s="3"/>
      <c r="IMH73" s="3"/>
      <c r="IMI73" s="3"/>
      <c r="IMJ73" s="3"/>
      <c r="IMK73" s="3"/>
      <c r="IML73" s="3"/>
      <c r="IMM73" s="3"/>
      <c r="IMN73" s="3"/>
      <c r="IMO73" s="3"/>
      <c r="IMP73" s="3"/>
      <c r="IMQ73" s="3"/>
      <c r="IMR73" s="3"/>
      <c r="IMS73" s="3"/>
      <c r="IMT73" s="3"/>
      <c r="IMU73" s="3"/>
      <c r="IMV73" s="3"/>
      <c r="IMW73" s="3"/>
      <c r="IMX73" s="3"/>
      <c r="IMY73" s="3"/>
      <c r="IMZ73" s="3"/>
      <c r="INA73" s="3"/>
      <c r="INB73" s="3"/>
      <c r="INC73" s="3"/>
      <c r="IND73" s="3"/>
      <c r="INE73" s="3"/>
      <c r="INF73" s="3"/>
      <c r="ING73" s="3"/>
      <c r="INH73" s="3"/>
      <c r="INI73" s="3"/>
      <c r="INJ73" s="3"/>
      <c r="INK73" s="3"/>
      <c r="INL73" s="3"/>
      <c r="INM73" s="3"/>
      <c r="INN73" s="3"/>
      <c r="INO73" s="3"/>
      <c r="INP73" s="3"/>
      <c r="INQ73" s="3"/>
      <c r="INR73" s="3"/>
      <c r="INS73" s="3"/>
      <c r="INT73" s="3"/>
      <c r="INU73" s="3"/>
      <c r="INV73" s="3"/>
      <c r="INW73" s="3"/>
      <c r="INX73" s="3"/>
      <c r="INY73" s="3"/>
      <c r="INZ73" s="3"/>
      <c r="IOA73" s="3"/>
      <c r="IOB73" s="3"/>
      <c r="IOC73" s="3"/>
      <c r="IOD73" s="3"/>
      <c r="IOE73" s="3"/>
      <c r="IOF73" s="3"/>
      <c r="IOG73" s="3"/>
      <c r="IOH73" s="3"/>
      <c r="IOI73" s="3"/>
      <c r="IOJ73" s="3"/>
      <c r="IOK73" s="3"/>
      <c r="IOL73" s="3"/>
      <c r="IOM73" s="3"/>
      <c r="ION73" s="3"/>
      <c r="IOO73" s="3"/>
      <c r="IOP73" s="3"/>
      <c r="IOQ73" s="3"/>
      <c r="IOR73" s="3"/>
      <c r="IOS73" s="3"/>
      <c r="IOT73" s="3"/>
      <c r="IOU73" s="3"/>
      <c r="IOV73" s="3"/>
      <c r="IOW73" s="3"/>
      <c r="IOX73" s="3"/>
      <c r="IOY73" s="3"/>
      <c r="IOZ73" s="3"/>
      <c r="IPA73" s="3"/>
      <c r="IPB73" s="3"/>
      <c r="IPC73" s="3"/>
      <c r="IPD73" s="3"/>
      <c r="IPE73" s="3"/>
      <c r="IPF73" s="3"/>
      <c r="IPG73" s="3"/>
      <c r="IPH73" s="3"/>
      <c r="IPI73" s="3"/>
      <c r="IPJ73" s="3"/>
      <c r="IPK73" s="3"/>
      <c r="IPL73" s="3"/>
      <c r="IPM73" s="3"/>
      <c r="IPN73" s="3"/>
      <c r="IPO73" s="3"/>
      <c r="IPP73" s="3"/>
      <c r="IPQ73" s="3"/>
      <c r="IPR73" s="3"/>
      <c r="IPS73" s="3"/>
      <c r="IPT73" s="3"/>
      <c r="IPU73" s="3"/>
      <c r="IPV73" s="3"/>
      <c r="IPW73" s="3"/>
      <c r="IPX73" s="3"/>
      <c r="IPY73" s="3"/>
      <c r="IPZ73" s="3"/>
      <c r="IQA73" s="3"/>
      <c r="IQB73" s="3"/>
      <c r="IQC73" s="3"/>
      <c r="IQD73" s="3"/>
      <c r="IQE73" s="3"/>
      <c r="IQF73" s="3"/>
      <c r="IQG73" s="3"/>
      <c r="IQH73" s="3"/>
      <c r="IQI73" s="3"/>
      <c r="IQJ73" s="3"/>
      <c r="IQK73" s="3"/>
      <c r="IQL73" s="3"/>
      <c r="IQM73" s="3"/>
      <c r="IQN73" s="3"/>
      <c r="IQO73" s="3"/>
      <c r="IQP73" s="3"/>
      <c r="IQQ73" s="3"/>
      <c r="IQR73" s="3"/>
      <c r="IQS73" s="3"/>
      <c r="IQT73" s="3"/>
      <c r="IQU73" s="3"/>
      <c r="IQV73" s="3"/>
      <c r="IQW73" s="3"/>
      <c r="IQX73" s="3"/>
      <c r="IQY73" s="3"/>
      <c r="IQZ73" s="3"/>
      <c r="IRA73" s="3"/>
      <c r="IRB73" s="3"/>
      <c r="IRC73" s="3"/>
      <c r="IRD73" s="3"/>
      <c r="IRE73" s="3"/>
      <c r="IRF73" s="3"/>
      <c r="IRG73" s="3"/>
      <c r="IRH73" s="3"/>
      <c r="IRI73" s="3"/>
      <c r="IRJ73" s="3"/>
      <c r="IRK73" s="3"/>
      <c r="IRL73" s="3"/>
      <c r="IRM73" s="3"/>
      <c r="IRN73" s="3"/>
      <c r="IRO73" s="3"/>
      <c r="IRP73" s="3"/>
      <c r="IRQ73" s="3"/>
      <c r="IRR73" s="3"/>
      <c r="IRS73" s="3"/>
      <c r="IRT73" s="3"/>
      <c r="IRU73" s="3"/>
      <c r="IRV73" s="3"/>
      <c r="IRW73" s="3"/>
      <c r="IRX73" s="3"/>
      <c r="IRY73" s="3"/>
      <c r="IRZ73" s="3"/>
      <c r="ISA73" s="3"/>
      <c r="ISB73" s="3"/>
      <c r="ISC73" s="3"/>
      <c r="ISD73" s="3"/>
      <c r="ISE73" s="3"/>
      <c r="ISF73" s="3"/>
      <c r="ISG73" s="3"/>
      <c r="ISH73" s="3"/>
      <c r="ISI73" s="3"/>
      <c r="ISJ73" s="3"/>
      <c r="ISK73" s="3"/>
      <c r="ISL73" s="3"/>
      <c r="ISM73" s="3"/>
      <c r="ISN73" s="3"/>
      <c r="ISO73" s="3"/>
      <c r="ISP73" s="3"/>
      <c r="ISQ73" s="3"/>
      <c r="ISR73" s="3"/>
      <c r="ISS73" s="3"/>
      <c r="IST73" s="3"/>
      <c r="ISU73" s="3"/>
      <c r="ISV73" s="3"/>
      <c r="ISW73" s="3"/>
      <c r="ISX73" s="3"/>
      <c r="ISY73" s="3"/>
      <c r="ISZ73" s="3"/>
      <c r="ITA73" s="3"/>
      <c r="ITB73" s="3"/>
      <c r="ITC73" s="3"/>
      <c r="ITD73" s="3"/>
      <c r="ITE73" s="3"/>
      <c r="ITF73" s="3"/>
      <c r="ITG73" s="3"/>
      <c r="ITH73" s="3"/>
      <c r="ITI73" s="3"/>
      <c r="ITJ73" s="3"/>
      <c r="ITK73" s="3"/>
      <c r="ITL73" s="3"/>
      <c r="ITM73" s="3"/>
      <c r="ITN73" s="3"/>
      <c r="ITO73" s="3"/>
      <c r="ITP73" s="3"/>
      <c r="ITQ73" s="3"/>
      <c r="ITR73" s="3"/>
      <c r="ITS73" s="3"/>
      <c r="ITT73" s="3"/>
      <c r="ITU73" s="3"/>
      <c r="ITV73" s="3"/>
      <c r="ITW73" s="3"/>
      <c r="ITX73" s="3"/>
      <c r="ITY73" s="3"/>
      <c r="ITZ73" s="3"/>
      <c r="IUA73" s="3"/>
      <c r="IUB73" s="3"/>
      <c r="IUC73" s="3"/>
      <c r="IUD73" s="3"/>
      <c r="IUE73" s="3"/>
      <c r="IUF73" s="3"/>
      <c r="IUG73" s="3"/>
      <c r="IUH73" s="3"/>
      <c r="IUI73" s="3"/>
      <c r="IUJ73" s="3"/>
      <c r="IUK73" s="3"/>
      <c r="IUL73" s="3"/>
      <c r="IUM73" s="3"/>
      <c r="IUN73" s="3"/>
      <c r="IUO73" s="3"/>
      <c r="IUP73" s="3"/>
      <c r="IUQ73" s="3"/>
      <c r="IUR73" s="3"/>
      <c r="IUS73" s="3"/>
      <c r="IUT73" s="3"/>
      <c r="IUU73" s="3"/>
      <c r="IUV73" s="3"/>
      <c r="IUW73" s="3"/>
      <c r="IUX73" s="3"/>
      <c r="IUY73" s="3"/>
      <c r="IUZ73" s="3"/>
      <c r="IVA73" s="3"/>
      <c r="IVB73" s="3"/>
      <c r="IVC73" s="3"/>
      <c r="IVD73" s="3"/>
      <c r="IVE73" s="3"/>
      <c r="IVF73" s="3"/>
      <c r="IVG73" s="3"/>
      <c r="IVH73" s="3"/>
      <c r="IVI73" s="3"/>
      <c r="IVJ73" s="3"/>
      <c r="IVK73" s="3"/>
      <c r="IVL73" s="3"/>
      <c r="IVM73" s="3"/>
      <c r="IVN73" s="3"/>
      <c r="IVO73" s="3"/>
      <c r="IVP73" s="3"/>
      <c r="IVQ73" s="3"/>
      <c r="IVR73" s="3"/>
      <c r="IVS73" s="3"/>
      <c r="IVT73" s="3"/>
      <c r="IVU73" s="3"/>
      <c r="IVV73" s="3"/>
      <c r="IVW73" s="3"/>
      <c r="IVX73" s="3"/>
      <c r="IVY73" s="3"/>
      <c r="IVZ73" s="3"/>
      <c r="IWA73" s="3"/>
      <c r="IWB73" s="3"/>
      <c r="IWC73" s="3"/>
      <c r="IWD73" s="3"/>
      <c r="IWE73" s="3"/>
      <c r="IWF73" s="3"/>
      <c r="IWG73" s="3"/>
      <c r="IWH73" s="3"/>
      <c r="IWI73" s="3"/>
      <c r="IWJ73" s="3"/>
      <c r="IWK73" s="3"/>
      <c r="IWL73" s="3"/>
      <c r="IWM73" s="3"/>
      <c r="IWN73" s="3"/>
      <c r="IWO73" s="3"/>
      <c r="IWP73" s="3"/>
      <c r="IWQ73" s="3"/>
      <c r="IWR73" s="3"/>
      <c r="IWS73" s="3"/>
      <c r="IWT73" s="3"/>
      <c r="IWU73" s="3"/>
      <c r="IWV73" s="3"/>
      <c r="IWW73" s="3"/>
      <c r="IWX73" s="3"/>
      <c r="IWY73" s="3"/>
      <c r="IWZ73" s="3"/>
      <c r="IXA73" s="3"/>
      <c r="IXB73" s="3"/>
      <c r="IXC73" s="3"/>
      <c r="IXD73" s="3"/>
      <c r="IXE73" s="3"/>
      <c r="IXF73" s="3"/>
      <c r="IXG73" s="3"/>
      <c r="IXH73" s="3"/>
      <c r="IXI73" s="3"/>
      <c r="IXJ73" s="3"/>
      <c r="IXK73" s="3"/>
      <c r="IXL73" s="3"/>
      <c r="IXM73" s="3"/>
      <c r="IXN73" s="3"/>
      <c r="IXO73" s="3"/>
      <c r="IXP73" s="3"/>
      <c r="IXQ73" s="3"/>
      <c r="IXR73" s="3"/>
      <c r="IXS73" s="3"/>
      <c r="IXT73" s="3"/>
      <c r="IXU73" s="3"/>
      <c r="IXV73" s="3"/>
      <c r="IXW73" s="3"/>
      <c r="IXX73" s="3"/>
      <c r="IXY73" s="3"/>
      <c r="IXZ73" s="3"/>
      <c r="IYA73" s="3"/>
      <c r="IYB73" s="3"/>
      <c r="IYC73" s="3"/>
      <c r="IYD73" s="3"/>
      <c r="IYE73" s="3"/>
      <c r="IYF73" s="3"/>
      <c r="IYG73" s="3"/>
      <c r="IYH73" s="3"/>
      <c r="IYI73" s="3"/>
      <c r="IYJ73" s="3"/>
      <c r="IYK73" s="3"/>
      <c r="IYL73" s="3"/>
      <c r="IYM73" s="3"/>
      <c r="IYN73" s="3"/>
      <c r="IYO73" s="3"/>
      <c r="IYP73" s="3"/>
      <c r="IYQ73" s="3"/>
      <c r="IYR73" s="3"/>
      <c r="IYS73" s="3"/>
      <c r="IYT73" s="3"/>
      <c r="IYU73" s="3"/>
      <c r="IYV73" s="3"/>
      <c r="IYW73" s="3"/>
      <c r="IYX73" s="3"/>
      <c r="IYY73" s="3"/>
      <c r="IYZ73" s="3"/>
      <c r="IZA73" s="3"/>
      <c r="IZB73" s="3"/>
      <c r="IZC73" s="3"/>
      <c r="IZD73" s="3"/>
      <c r="IZE73" s="3"/>
      <c r="IZF73" s="3"/>
      <c r="IZG73" s="3"/>
      <c r="IZH73" s="3"/>
      <c r="IZI73" s="3"/>
      <c r="IZJ73" s="3"/>
      <c r="IZK73" s="3"/>
      <c r="IZL73" s="3"/>
      <c r="IZM73" s="3"/>
      <c r="IZN73" s="3"/>
      <c r="IZO73" s="3"/>
      <c r="IZP73" s="3"/>
      <c r="IZQ73" s="3"/>
      <c r="IZR73" s="3"/>
      <c r="IZS73" s="3"/>
      <c r="IZT73" s="3"/>
      <c r="IZU73" s="3"/>
      <c r="IZV73" s="3"/>
      <c r="IZW73" s="3"/>
      <c r="IZX73" s="3"/>
      <c r="IZY73" s="3"/>
      <c r="IZZ73" s="3"/>
      <c r="JAA73" s="3"/>
      <c r="JAB73" s="3"/>
      <c r="JAC73" s="3"/>
      <c r="JAD73" s="3"/>
      <c r="JAE73" s="3"/>
      <c r="JAF73" s="3"/>
      <c r="JAG73" s="3"/>
      <c r="JAH73" s="3"/>
      <c r="JAI73" s="3"/>
      <c r="JAJ73" s="3"/>
      <c r="JAK73" s="3"/>
      <c r="JAL73" s="3"/>
      <c r="JAM73" s="3"/>
      <c r="JAN73" s="3"/>
      <c r="JAO73" s="3"/>
      <c r="JAP73" s="3"/>
      <c r="JAQ73" s="3"/>
      <c r="JAR73" s="3"/>
      <c r="JAS73" s="3"/>
      <c r="JAT73" s="3"/>
      <c r="JAU73" s="3"/>
      <c r="JAV73" s="3"/>
      <c r="JAW73" s="3"/>
      <c r="JAX73" s="3"/>
      <c r="JAY73" s="3"/>
      <c r="JAZ73" s="3"/>
      <c r="JBA73" s="3"/>
      <c r="JBB73" s="3"/>
      <c r="JBC73" s="3"/>
      <c r="JBD73" s="3"/>
      <c r="JBE73" s="3"/>
      <c r="JBF73" s="3"/>
      <c r="JBG73" s="3"/>
      <c r="JBH73" s="3"/>
      <c r="JBI73" s="3"/>
      <c r="JBJ73" s="3"/>
      <c r="JBK73" s="3"/>
      <c r="JBL73" s="3"/>
      <c r="JBM73" s="3"/>
      <c r="JBN73" s="3"/>
      <c r="JBO73" s="3"/>
      <c r="JBP73" s="3"/>
      <c r="JBQ73" s="3"/>
      <c r="JBR73" s="3"/>
      <c r="JBS73" s="3"/>
      <c r="JBT73" s="3"/>
      <c r="JBU73" s="3"/>
      <c r="JBV73" s="3"/>
      <c r="JBW73" s="3"/>
      <c r="JBX73" s="3"/>
      <c r="JBY73" s="3"/>
      <c r="JBZ73" s="3"/>
      <c r="JCA73" s="3"/>
      <c r="JCB73" s="3"/>
      <c r="JCC73" s="3"/>
      <c r="JCD73" s="3"/>
      <c r="JCE73" s="3"/>
      <c r="JCF73" s="3"/>
      <c r="JCG73" s="3"/>
      <c r="JCH73" s="3"/>
      <c r="JCI73" s="3"/>
      <c r="JCJ73" s="3"/>
      <c r="JCK73" s="3"/>
      <c r="JCL73" s="3"/>
      <c r="JCM73" s="3"/>
      <c r="JCN73" s="3"/>
      <c r="JCO73" s="3"/>
      <c r="JCP73" s="3"/>
      <c r="JCQ73" s="3"/>
      <c r="JCR73" s="3"/>
      <c r="JCS73" s="3"/>
      <c r="JCT73" s="3"/>
      <c r="JCU73" s="3"/>
      <c r="JCV73" s="3"/>
      <c r="JCW73" s="3"/>
      <c r="JCX73" s="3"/>
      <c r="JCY73" s="3"/>
      <c r="JCZ73" s="3"/>
      <c r="JDA73" s="3"/>
      <c r="JDB73" s="3"/>
      <c r="JDC73" s="3"/>
      <c r="JDD73" s="3"/>
      <c r="JDE73" s="3"/>
      <c r="JDF73" s="3"/>
      <c r="JDG73" s="3"/>
      <c r="JDH73" s="3"/>
      <c r="JDI73" s="3"/>
      <c r="JDJ73" s="3"/>
      <c r="JDK73" s="3"/>
      <c r="JDL73" s="3"/>
      <c r="JDM73" s="3"/>
      <c r="JDN73" s="3"/>
      <c r="JDO73" s="3"/>
      <c r="JDP73" s="3"/>
      <c r="JDQ73" s="3"/>
      <c r="JDR73" s="3"/>
      <c r="JDS73" s="3"/>
      <c r="JDT73" s="3"/>
      <c r="JDU73" s="3"/>
      <c r="JDV73" s="3"/>
      <c r="JDW73" s="3"/>
      <c r="JDX73" s="3"/>
      <c r="JDY73" s="3"/>
      <c r="JDZ73" s="3"/>
      <c r="JEA73" s="3"/>
      <c r="JEB73" s="3"/>
      <c r="JEC73" s="3"/>
      <c r="JED73" s="3"/>
      <c r="JEE73" s="3"/>
      <c r="JEF73" s="3"/>
      <c r="JEG73" s="3"/>
      <c r="JEH73" s="3"/>
      <c r="JEI73" s="3"/>
      <c r="JEJ73" s="3"/>
      <c r="JEK73" s="3"/>
      <c r="JEL73" s="3"/>
      <c r="JEM73" s="3"/>
      <c r="JEN73" s="3"/>
      <c r="JEO73" s="3"/>
      <c r="JEP73" s="3"/>
      <c r="JEQ73" s="3"/>
      <c r="JER73" s="3"/>
      <c r="JES73" s="3"/>
      <c r="JET73" s="3"/>
      <c r="JEU73" s="3"/>
      <c r="JEV73" s="3"/>
      <c r="JEW73" s="3"/>
      <c r="JEX73" s="3"/>
      <c r="JEY73" s="3"/>
      <c r="JEZ73" s="3"/>
      <c r="JFA73" s="3"/>
      <c r="JFB73" s="3"/>
      <c r="JFC73" s="3"/>
      <c r="JFD73" s="3"/>
      <c r="JFE73" s="3"/>
      <c r="JFF73" s="3"/>
      <c r="JFG73" s="3"/>
      <c r="JFH73" s="3"/>
      <c r="JFI73" s="3"/>
      <c r="JFJ73" s="3"/>
      <c r="JFK73" s="3"/>
      <c r="JFL73" s="3"/>
      <c r="JFM73" s="3"/>
      <c r="JFN73" s="3"/>
      <c r="JFO73" s="3"/>
      <c r="JFP73" s="3"/>
      <c r="JFQ73" s="3"/>
      <c r="JFR73" s="3"/>
      <c r="JFS73" s="3"/>
      <c r="JFT73" s="3"/>
      <c r="JFU73" s="3"/>
      <c r="JFV73" s="3"/>
      <c r="JFW73" s="3"/>
      <c r="JFX73" s="3"/>
      <c r="JFY73" s="3"/>
      <c r="JFZ73" s="3"/>
      <c r="JGA73" s="3"/>
      <c r="JGB73" s="3"/>
      <c r="JGC73" s="3"/>
      <c r="JGD73" s="3"/>
      <c r="JGE73" s="3"/>
      <c r="JGF73" s="3"/>
      <c r="JGG73" s="3"/>
      <c r="JGH73" s="3"/>
      <c r="JGI73" s="3"/>
      <c r="JGJ73" s="3"/>
      <c r="JGK73" s="3"/>
      <c r="JGL73" s="3"/>
      <c r="JGM73" s="3"/>
      <c r="JGN73" s="3"/>
      <c r="JGO73" s="3"/>
      <c r="JGP73" s="3"/>
      <c r="JGQ73" s="3"/>
      <c r="JGR73" s="3"/>
      <c r="JGS73" s="3"/>
      <c r="JGT73" s="3"/>
      <c r="JGU73" s="3"/>
      <c r="JGV73" s="3"/>
      <c r="JGW73" s="3"/>
      <c r="JGX73" s="3"/>
      <c r="JGY73" s="3"/>
      <c r="JGZ73" s="3"/>
      <c r="JHA73" s="3"/>
      <c r="JHB73" s="3"/>
      <c r="JHC73" s="3"/>
      <c r="JHD73" s="3"/>
      <c r="JHE73" s="3"/>
      <c r="JHF73" s="3"/>
      <c r="JHG73" s="3"/>
      <c r="JHH73" s="3"/>
      <c r="JHI73" s="3"/>
      <c r="JHJ73" s="3"/>
      <c r="JHK73" s="3"/>
      <c r="JHL73" s="3"/>
      <c r="JHM73" s="3"/>
      <c r="JHN73" s="3"/>
      <c r="JHO73" s="3"/>
      <c r="JHP73" s="3"/>
      <c r="JHQ73" s="3"/>
      <c r="JHR73" s="3"/>
      <c r="JHS73" s="3"/>
      <c r="JHT73" s="3"/>
      <c r="JHU73" s="3"/>
      <c r="JHV73" s="3"/>
      <c r="JHW73" s="3"/>
      <c r="JHX73" s="3"/>
      <c r="JHY73" s="3"/>
      <c r="JHZ73" s="3"/>
      <c r="JIA73" s="3"/>
      <c r="JIB73" s="3"/>
      <c r="JIC73" s="3"/>
      <c r="JID73" s="3"/>
      <c r="JIE73" s="3"/>
      <c r="JIF73" s="3"/>
      <c r="JIG73" s="3"/>
      <c r="JIH73" s="3"/>
      <c r="JII73" s="3"/>
      <c r="JIJ73" s="3"/>
      <c r="JIK73" s="3"/>
      <c r="JIL73" s="3"/>
      <c r="JIM73" s="3"/>
      <c r="JIN73" s="3"/>
      <c r="JIO73" s="3"/>
      <c r="JIP73" s="3"/>
      <c r="JIQ73" s="3"/>
      <c r="JIR73" s="3"/>
      <c r="JIS73" s="3"/>
      <c r="JIT73" s="3"/>
      <c r="JIU73" s="3"/>
      <c r="JIV73" s="3"/>
      <c r="JIW73" s="3"/>
      <c r="JIX73" s="3"/>
      <c r="JIY73" s="3"/>
      <c r="JIZ73" s="3"/>
      <c r="JJA73" s="3"/>
      <c r="JJB73" s="3"/>
      <c r="JJC73" s="3"/>
      <c r="JJD73" s="3"/>
      <c r="JJE73" s="3"/>
      <c r="JJF73" s="3"/>
      <c r="JJG73" s="3"/>
      <c r="JJH73" s="3"/>
      <c r="JJI73" s="3"/>
      <c r="JJJ73" s="3"/>
      <c r="JJK73" s="3"/>
      <c r="JJL73" s="3"/>
      <c r="JJM73" s="3"/>
      <c r="JJN73" s="3"/>
      <c r="JJO73" s="3"/>
      <c r="JJP73" s="3"/>
      <c r="JJQ73" s="3"/>
      <c r="JJR73" s="3"/>
      <c r="JJS73" s="3"/>
      <c r="JJT73" s="3"/>
      <c r="JJU73" s="3"/>
      <c r="JJV73" s="3"/>
      <c r="JJW73" s="3"/>
      <c r="JJX73" s="3"/>
      <c r="JJY73" s="3"/>
      <c r="JJZ73" s="3"/>
      <c r="JKA73" s="3"/>
      <c r="JKB73" s="3"/>
      <c r="JKC73" s="3"/>
      <c r="JKD73" s="3"/>
      <c r="JKE73" s="3"/>
      <c r="JKF73" s="3"/>
      <c r="JKG73" s="3"/>
      <c r="JKH73" s="3"/>
      <c r="JKI73" s="3"/>
      <c r="JKJ73" s="3"/>
      <c r="JKK73" s="3"/>
      <c r="JKL73" s="3"/>
      <c r="JKM73" s="3"/>
      <c r="JKN73" s="3"/>
      <c r="JKO73" s="3"/>
      <c r="JKP73" s="3"/>
      <c r="JKQ73" s="3"/>
      <c r="JKR73" s="3"/>
      <c r="JKS73" s="3"/>
      <c r="JKT73" s="3"/>
      <c r="JKU73" s="3"/>
      <c r="JKV73" s="3"/>
      <c r="JKW73" s="3"/>
      <c r="JKX73" s="3"/>
      <c r="JKY73" s="3"/>
      <c r="JKZ73" s="3"/>
      <c r="JLA73" s="3"/>
      <c r="JLB73" s="3"/>
      <c r="JLC73" s="3"/>
      <c r="JLD73" s="3"/>
      <c r="JLE73" s="3"/>
      <c r="JLF73" s="3"/>
      <c r="JLG73" s="3"/>
      <c r="JLH73" s="3"/>
      <c r="JLI73" s="3"/>
      <c r="JLJ73" s="3"/>
      <c r="JLK73" s="3"/>
      <c r="JLL73" s="3"/>
      <c r="JLM73" s="3"/>
      <c r="JLN73" s="3"/>
      <c r="JLO73" s="3"/>
      <c r="JLP73" s="3"/>
      <c r="JLQ73" s="3"/>
      <c r="JLR73" s="3"/>
      <c r="JLS73" s="3"/>
      <c r="JLT73" s="3"/>
      <c r="JLU73" s="3"/>
      <c r="JLV73" s="3"/>
      <c r="JLW73" s="3"/>
      <c r="JLX73" s="3"/>
      <c r="JLY73" s="3"/>
      <c r="JLZ73" s="3"/>
      <c r="JMA73" s="3"/>
      <c r="JMB73" s="3"/>
      <c r="JMC73" s="3"/>
      <c r="JMD73" s="3"/>
      <c r="JME73" s="3"/>
      <c r="JMF73" s="3"/>
      <c r="JMG73" s="3"/>
      <c r="JMH73" s="3"/>
      <c r="JMI73" s="3"/>
      <c r="JMJ73" s="3"/>
      <c r="JMK73" s="3"/>
      <c r="JML73" s="3"/>
      <c r="JMM73" s="3"/>
      <c r="JMN73" s="3"/>
      <c r="JMO73" s="3"/>
      <c r="JMP73" s="3"/>
      <c r="JMQ73" s="3"/>
      <c r="JMR73" s="3"/>
      <c r="JMS73" s="3"/>
      <c r="JMT73" s="3"/>
      <c r="JMU73" s="3"/>
      <c r="JMV73" s="3"/>
      <c r="JMW73" s="3"/>
      <c r="JMX73" s="3"/>
      <c r="JMY73" s="3"/>
      <c r="JMZ73" s="3"/>
      <c r="JNA73" s="3"/>
      <c r="JNB73" s="3"/>
      <c r="JNC73" s="3"/>
      <c r="JND73" s="3"/>
      <c r="JNE73" s="3"/>
      <c r="JNF73" s="3"/>
      <c r="JNG73" s="3"/>
      <c r="JNH73" s="3"/>
      <c r="JNI73" s="3"/>
      <c r="JNJ73" s="3"/>
      <c r="JNK73" s="3"/>
      <c r="JNL73" s="3"/>
      <c r="JNM73" s="3"/>
      <c r="JNN73" s="3"/>
      <c r="JNO73" s="3"/>
      <c r="JNP73" s="3"/>
      <c r="JNQ73" s="3"/>
      <c r="JNR73" s="3"/>
      <c r="JNS73" s="3"/>
      <c r="JNT73" s="3"/>
      <c r="JNU73" s="3"/>
      <c r="JNV73" s="3"/>
      <c r="JNW73" s="3"/>
      <c r="JNX73" s="3"/>
      <c r="JNY73" s="3"/>
      <c r="JNZ73" s="3"/>
      <c r="JOA73" s="3"/>
      <c r="JOB73" s="3"/>
      <c r="JOC73" s="3"/>
      <c r="JOD73" s="3"/>
      <c r="JOE73" s="3"/>
      <c r="JOF73" s="3"/>
      <c r="JOG73" s="3"/>
      <c r="JOH73" s="3"/>
      <c r="JOI73" s="3"/>
      <c r="JOJ73" s="3"/>
      <c r="JOK73" s="3"/>
      <c r="JOL73" s="3"/>
      <c r="JOM73" s="3"/>
      <c r="JON73" s="3"/>
      <c r="JOO73" s="3"/>
      <c r="JOP73" s="3"/>
      <c r="JOQ73" s="3"/>
      <c r="JOR73" s="3"/>
      <c r="JOS73" s="3"/>
      <c r="JOT73" s="3"/>
      <c r="JOU73" s="3"/>
      <c r="JOV73" s="3"/>
      <c r="JOW73" s="3"/>
      <c r="JOX73" s="3"/>
      <c r="JOY73" s="3"/>
      <c r="JOZ73" s="3"/>
      <c r="JPA73" s="3"/>
      <c r="JPB73" s="3"/>
      <c r="JPC73" s="3"/>
      <c r="JPD73" s="3"/>
      <c r="JPE73" s="3"/>
      <c r="JPF73" s="3"/>
      <c r="JPG73" s="3"/>
      <c r="JPH73" s="3"/>
      <c r="JPI73" s="3"/>
      <c r="JPJ73" s="3"/>
      <c r="JPK73" s="3"/>
      <c r="JPL73" s="3"/>
      <c r="JPM73" s="3"/>
      <c r="JPN73" s="3"/>
      <c r="JPO73" s="3"/>
      <c r="JPP73" s="3"/>
      <c r="JPQ73" s="3"/>
      <c r="JPR73" s="3"/>
      <c r="JPS73" s="3"/>
      <c r="JPT73" s="3"/>
      <c r="JPU73" s="3"/>
      <c r="JPV73" s="3"/>
      <c r="JPW73" s="3"/>
      <c r="JPX73" s="3"/>
      <c r="JPY73" s="3"/>
      <c r="JPZ73" s="3"/>
      <c r="JQA73" s="3"/>
      <c r="JQB73" s="3"/>
      <c r="JQC73" s="3"/>
      <c r="JQD73" s="3"/>
      <c r="JQE73" s="3"/>
      <c r="JQF73" s="3"/>
      <c r="JQG73" s="3"/>
      <c r="JQH73" s="3"/>
      <c r="JQI73" s="3"/>
      <c r="JQJ73" s="3"/>
      <c r="JQK73" s="3"/>
      <c r="JQL73" s="3"/>
      <c r="JQM73" s="3"/>
      <c r="JQN73" s="3"/>
      <c r="JQO73" s="3"/>
      <c r="JQP73" s="3"/>
      <c r="JQQ73" s="3"/>
      <c r="JQR73" s="3"/>
      <c r="JQS73" s="3"/>
      <c r="JQT73" s="3"/>
      <c r="JQU73" s="3"/>
      <c r="JQV73" s="3"/>
      <c r="JQW73" s="3"/>
      <c r="JQX73" s="3"/>
      <c r="JQY73" s="3"/>
      <c r="JQZ73" s="3"/>
      <c r="JRA73" s="3"/>
      <c r="JRB73" s="3"/>
      <c r="JRC73" s="3"/>
      <c r="JRD73" s="3"/>
      <c r="JRE73" s="3"/>
      <c r="JRF73" s="3"/>
      <c r="JRG73" s="3"/>
      <c r="JRH73" s="3"/>
      <c r="JRI73" s="3"/>
      <c r="JRJ73" s="3"/>
      <c r="JRK73" s="3"/>
      <c r="JRL73" s="3"/>
      <c r="JRM73" s="3"/>
      <c r="JRN73" s="3"/>
      <c r="JRO73" s="3"/>
      <c r="JRP73" s="3"/>
      <c r="JRQ73" s="3"/>
      <c r="JRR73" s="3"/>
      <c r="JRS73" s="3"/>
      <c r="JRT73" s="3"/>
      <c r="JRU73" s="3"/>
      <c r="JRV73" s="3"/>
      <c r="JRW73" s="3"/>
      <c r="JRX73" s="3"/>
      <c r="JRY73" s="3"/>
      <c r="JRZ73" s="3"/>
      <c r="JSA73" s="3"/>
      <c r="JSB73" s="3"/>
      <c r="JSC73" s="3"/>
      <c r="JSD73" s="3"/>
      <c r="JSE73" s="3"/>
      <c r="JSF73" s="3"/>
      <c r="JSG73" s="3"/>
      <c r="JSH73" s="3"/>
      <c r="JSI73" s="3"/>
      <c r="JSJ73" s="3"/>
      <c r="JSK73" s="3"/>
      <c r="JSL73" s="3"/>
      <c r="JSM73" s="3"/>
      <c r="JSN73" s="3"/>
      <c r="JSO73" s="3"/>
      <c r="JSP73" s="3"/>
      <c r="JSQ73" s="3"/>
      <c r="JSR73" s="3"/>
      <c r="JSS73" s="3"/>
      <c r="JST73" s="3"/>
      <c r="JSU73" s="3"/>
      <c r="JSV73" s="3"/>
      <c r="JSW73" s="3"/>
      <c r="JSX73" s="3"/>
      <c r="JSY73" s="3"/>
      <c r="JSZ73" s="3"/>
      <c r="JTA73" s="3"/>
      <c r="JTB73" s="3"/>
      <c r="JTC73" s="3"/>
      <c r="JTD73" s="3"/>
      <c r="JTE73" s="3"/>
      <c r="JTF73" s="3"/>
      <c r="JTG73" s="3"/>
      <c r="JTH73" s="3"/>
      <c r="JTI73" s="3"/>
      <c r="JTJ73" s="3"/>
      <c r="JTK73" s="3"/>
      <c r="JTL73" s="3"/>
      <c r="JTM73" s="3"/>
      <c r="JTN73" s="3"/>
      <c r="JTO73" s="3"/>
      <c r="JTP73" s="3"/>
      <c r="JTQ73" s="3"/>
      <c r="JTR73" s="3"/>
      <c r="JTS73" s="3"/>
      <c r="JTT73" s="3"/>
      <c r="JTU73" s="3"/>
      <c r="JTV73" s="3"/>
      <c r="JTW73" s="3"/>
      <c r="JTX73" s="3"/>
      <c r="JTY73" s="3"/>
      <c r="JTZ73" s="3"/>
      <c r="JUA73" s="3"/>
      <c r="JUB73" s="3"/>
      <c r="JUC73" s="3"/>
      <c r="JUD73" s="3"/>
      <c r="JUE73" s="3"/>
      <c r="JUF73" s="3"/>
      <c r="JUG73" s="3"/>
      <c r="JUH73" s="3"/>
      <c r="JUI73" s="3"/>
      <c r="JUJ73" s="3"/>
      <c r="JUK73" s="3"/>
      <c r="JUL73" s="3"/>
      <c r="JUM73" s="3"/>
      <c r="JUN73" s="3"/>
      <c r="JUO73" s="3"/>
      <c r="JUP73" s="3"/>
      <c r="JUQ73" s="3"/>
      <c r="JUR73" s="3"/>
      <c r="JUS73" s="3"/>
      <c r="JUT73" s="3"/>
      <c r="JUU73" s="3"/>
      <c r="JUV73" s="3"/>
      <c r="JUW73" s="3"/>
      <c r="JUX73" s="3"/>
      <c r="JUY73" s="3"/>
      <c r="JUZ73" s="3"/>
      <c r="JVA73" s="3"/>
      <c r="JVB73" s="3"/>
      <c r="JVC73" s="3"/>
      <c r="JVD73" s="3"/>
      <c r="JVE73" s="3"/>
      <c r="JVF73" s="3"/>
      <c r="JVG73" s="3"/>
      <c r="JVH73" s="3"/>
      <c r="JVI73" s="3"/>
      <c r="JVJ73" s="3"/>
      <c r="JVK73" s="3"/>
      <c r="JVL73" s="3"/>
      <c r="JVM73" s="3"/>
      <c r="JVN73" s="3"/>
      <c r="JVO73" s="3"/>
      <c r="JVP73" s="3"/>
      <c r="JVQ73" s="3"/>
      <c r="JVR73" s="3"/>
      <c r="JVS73" s="3"/>
      <c r="JVT73" s="3"/>
      <c r="JVU73" s="3"/>
      <c r="JVV73" s="3"/>
      <c r="JVW73" s="3"/>
      <c r="JVX73" s="3"/>
      <c r="JVY73" s="3"/>
      <c r="JVZ73" s="3"/>
      <c r="JWA73" s="3"/>
      <c r="JWB73" s="3"/>
      <c r="JWC73" s="3"/>
      <c r="JWD73" s="3"/>
      <c r="JWE73" s="3"/>
      <c r="JWF73" s="3"/>
      <c r="JWG73" s="3"/>
      <c r="JWH73" s="3"/>
      <c r="JWI73" s="3"/>
      <c r="JWJ73" s="3"/>
      <c r="JWK73" s="3"/>
      <c r="JWL73" s="3"/>
      <c r="JWM73" s="3"/>
      <c r="JWN73" s="3"/>
      <c r="JWO73" s="3"/>
      <c r="JWP73" s="3"/>
      <c r="JWQ73" s="3"/>
      <c r="JWR73" s="3"/>
      <c r="JWS73" s="3"/>
      <c r="JWT73" s="3"/>
      <c r="JWU73" s="3"/>
      <c r="JWV73" s="3"/>
      <c r="JWW73" s="3"/>
      <c r="JWX73" s="3"/>
      <c r="JWY73" s="3"/>
      <c r="JWZ73" s="3"/>
      <c r="JXA73" s="3"/>
      <c r="JXB73" s="3"/>
      <c r="JXC73" s="3"/>
      <c r="JXD73" s="3"/>
      <c r="JXE73" s="3"/>
      <c r="JXF73" s="3"/>
      <c r="JXG73" s="3"/>
      <c r="JXH73" s="3"/>
      <c r="JXI73" s="3"/>
      <c r="JXJ73" s="3"/>
      <c r="JXK73" s="3"/>
      <c r="JXL73" s="3"/>
      <c r="JXM73" s="3"/>
      <c r="JXN73" s="3"/>
      <c r="JXO73" s="3"/>
      <c r="JXP73" s="3"/>
      <c r="JXQ73" s="3"/>
      <c r="JXR73" s="3"/>
      <c r="JXS73" s="3"/>
      <c r="JXT73" s="3"/>
      <c r="JXU73" s="3"/>
      <c r="JXV73" s="3"/>
      <c r="JXW73" s="3"/>
      <c r="JXX73" s="3"/>
      <c r="JXY73" s="3"/>
      <c r="JXZ73" s="3"/>
      <c r="JYA73" s="3"/>
      <c r="JYB73" s="3"/>
      <c r="JYC73" s="3"/>
      <c r="JYD73" s="3"/>
      <c r="JYE73" s="3"/>
      <c r="JYF73" s="3"/>
      <c r="JYG73" s="3"/>
      <c r="JYH73" s="3"/>
      <c r="JYI73" s="3"/>
      <c r="JYJ73" s="3"/>
      <c r="JYK73" s="3"/>
      <c r="JYL73" s="3"/>
      <c r="JYM73" s="3"/>
      <c r="JYN73" s="3"/>
      <c r="JYO73" s="3"/>
      <c r="JYP73" s="3"/>
      <c r="JYQ73" s="3"/>
      <c r="JYR73" s="3"/>
      <c r="JYS73" s="3"/>
      <c r="JYT73" s="3"/>
      <c r="JYU73" s="3"/>
      <c r="JYV73" s="3"/>
      <c r="JYW73" s="3"/>
      <c r="JYX73" s="3"/>
      <c r="JYY73" s="3"/>
      <c r="JYZ73" s="3"/>
      <c r="JZA73" s="3"/>
      <c r="JZB73" s="3"/>
      <c r="JZC73" s="3"/>
      <c r="JZD73" s="3"/>
      <c r="JZE73" s="3"/>
      <c r="JZF73" s="3"/>
      <c r="JZG73" s="3"/>
      <c r="JZH73" s="3"/>
      <c r="JZI73" s="3"/>
      <c r="JZJ73" s="3"/>
      <c r="JZK73" s="3"/>
      <c r="JZL73" s="3"/>
      <c r="JZM73" s="3"/>
      <c r="JZN73" s="3"/>
      <c r="JZO73" s="3"/>
      <c r="JZP73" s="3"/>
      <c r="JZQ73" s="3"/>
      <c r="JZR73" s="3"/>
      <c r="JZS73" s="3"/>
      <c r="JZT73" s="3"/>
      <c r="JZU73" s="3"/>
      <c r="JZV73" s="3"/>
      <c r="JZW73" s="3"/>
      <c r="JZX73" s="3"/>
      <c r="JZY73" s="3"/>
      <c r="JZZ73" s="3"/>
      <c r="KAA73" s="3"/>
      <c r="KAB73" s="3"/>
      <c r="KAC73" s="3"/>
      <c r="KAD73" s="3"/>
      <c r="KAE73" s="3"/>
      <c r="KAF73" s="3"/>
      <c r="KAG73" s="3"/>
      <c r="KAH73" s="3"/>
      <c r="KAI73" s="3"/>
      <c r="KAJ73" s="3"/>
      <c r="KAK73" s="3"/>
      <c r="KAL73" s="3"/>
      <c r="KAM73" s="3"/>
      <c r="KAN73" s="3"/>
      <c r="KAO73" s="3"/>
      <c r="KAP73" s="3"/>
      <c r="KAQ73" s="3"/>
      <c r="KAR73" s="3"/>
      <c r="KAS73" s="3"/>
      <c r="KAT73" s="3"/>
      <c r="KAU73" s="3"/>
      <c r="KAV73" s="3"/>
      <c r="KAW73" s="3"/>
      <c r="KAX73" s="3"/>
      <c r="KAY73" s="3"/>
      <c r="KAZ73" s="3"/>
      <c r="KBA73" s="3"/>
      <c r="KBB73" s="3"/>
      <c r="KBC73" s="3"/>
      <c r="KBD73" s="3"/>
      <c r="KBE73" s="3"/>
      <c r="KBF73" s="3"/>
      <c r="KBG73" s="3"/>
      <c r="KBH73" s="3"/>
      <c r="KBI73" s="3"/>
      <c r="KBJ73" s="3"/>
      <c r="KBK73" s="3"/>
      <c r="KBL73" s="3"/>
      <c r="KBM73" s="3"/>
      <c r="KBN73" s="3"/>
      <c r="KBO73" s="3"/>
      <c r="KBP73" s="3"/>
      <c r="KBQ73" s="3"/>
      <c r="KBR73" s="3"/>
      <c r="KBS73" s="3"/>
      <c r="KBT73" s="3"/>
      <c r="KBU73" s="3"/>
      <c r="KBV73" s="3"/>
      <c r="KBW73" s="3"/>
      <c r="KBX73" s="3"/>
      <c r="KBY73" s="3"/>
      <c r="KBZ73" s="3"/>
      <c r="KCA73" s="3"/>
      <c r="KCB73" s="3"/>
      <c r="KCC73" s="3"/>
      <c r="KCD73" s="3"/>
      <c r="KCE73" s="3"/>
      <c r="KCF73" s="3"/>
      <c r="KCG73" s="3"/>
      <c r="KCH73" s="3"/>
      <c r="KCI73" s="3"/>
      <c r="KCJ73" s="3"/>
      <c r="KCK73" s="3"/>
      <c r="KCL73" s="3"/>
      <c r="KCM73" s="3"/>
      <c r="KCN73" s="3"/>
      <c r="KCO73" s="3"/>
      <c r="KCP73" s="3"/>
      <c r="KCQ73" s="3"/>
      <c r="KCR73" s="3"/>
      <c r="KCS73" s="3"/>
      <c r="KCT73" s="3"/>
      <c r="KCU73" s="3"/>
      <c r="KCV73" s="3"/>
      <c r="KCW73" s="3"/>
      <c r="KCX73" s="3"/>
      <c r="KCY73" s="3"/>
      <c r="KCZ73" s="3"/>
      <c r="KDA73" s="3"/>
      <c r="KDB73" s="3"/>
      <c r="KDC73" s="3"/>
      <c r="KDD73" s="3"/>
      <c r="KDE73" s="3"/>
      <c r="KDF73" s="3"/>
      <c r="KDG73" s="3"/>
      <c r="KDH73" s="3"/>
      <c r="KDI73" s="3"/>
      <c r="KDJ73" s="3"/>
      <c r="KDK73" s="3"/>
      <c r="KDL73" s="3"/>
      <c r="KDM73" s="3"/>
      <c r="KDN73" s="3"/>
      <c r="KDO73" s="3"/>
      <c r="KDP73" s="3"/>
      <c r="KDQ73" s="3"/>
      <c r="KDR73" s="3"/>
      <c r="KDS73" s="3"/>
      <c r="KDT73" s="3"/>
      <c r="KDU73" s="3"/>
      <c r="KDV73" s="3"/>
      <c r="KDW73" s="3"/>
      <c r="KDX73" s="3"/>
      <c r="KDY73" s="3"/>
      <c r="KDZ73" s="3"/>
      <c r="KEA73" s="3"/>
      <c r="KEB73" s="3"/>
      <c r="KEC73" s="3"/>
      <c r="KED73" s="3"/>
      <c r="KEE73" s="3"/>
      <c r="KEF73" s="3"/>
      <c r="KEG73" s="3"/>
      <c r="KEH73" s="3"/>
      <c r="KEI73" s="3"/>
      <c r="KEJ73" s="3"/>
      <c r="KEK73" s="3"/>
      <c r="KEL73" s="3"/>
      <c r="KEM73" s="3"/>
      <c r="KEN73" s="3"/>
      <c r="KEO73" s="3"/>
      <c r="KEP73" s="3"/>
      <c r="KEQ73" s="3"/>
      <c r="KER73" s="3"/>
      <c r="KES73" s="3"/>
      <c r="KET73" s="3"/>
      <c r="KEU73" s="3"/>
      <c r="KEV73" s="3"/>
      <c r="KEW73" s="3"/>
      <c r="KEX73" s="3"/>
      <c r="KEY73" s="3"/>
      <c r="KEZ73" s="3"/>
      <c r="KFA73" s="3"/>
      <c r="KFB73" s="3"/>
      <c r="KFC73" s="3"/>
      <c r="KFD73" s="3"/>
      <c r="KFE73" s="3"/>
      <c r="KFF73" s="3"/>
      <c r="KFG73" s="3"/>
      <c r="KFH73" s="3"/>
      <c r="KFI73" s="3"/>
      <c r="KFJ73" s="3"/>
      <c r="KFK73" s="3"/>
      <c r="KFL73" s="3"/>
      <c r="KFM73" s="3"/>
      <c r="KFN73" s="3"/>
      <c r="KFO73" s="3"/>
      <c r="KFP73" s="3"/>
      <c r="KFQ73" s="3"/>
      <c r="KFR73" s="3"/>
      <c r="KFS73" s="3"/>
      <c r="KFT73" s="3"/>
      <c r="KFU73" s="3"/>
      <c r="KFV73" s="3"/>
      <c r="KFW73" s="3"/>
      <c r="KFX73" s="3"/>
      <c r="KFY73" s="3"/>
      <c r="KFZ73" s="3"/>
      <c r="KGA73" s="3"/>
      <c r="KGB73" s="3"/>
      <c r="KGC73" s="3"/>
      <c r="KGD73" s="3"/>
      <c r="KGE73" s="3"/>
      <c r="KGF73" s="3"/>
      <c r="KGG73" s="3"/>
      <c r="KGH73" s="3"/>
      <c r="KGI73" s="3"/>
      <c r="KGJ73" s="3"/>
      <c r="KGK73" s="3"/>
      <c r="KGL73" s="3"/>
      <c r="KGM73" s="3"/>
      <c r="KGN73" s="3"/>
      <c r="KGO73" s="3"/>
      <c r="KGP73" s="3"/>
      <c r="KGQ73" s="3"/>
      <c r="KGR73" s="3"/>
      <c r="KGS73" s="3"/>
      <c r="KGT73" s="3"/>
      <c r="KGU73" s="3"/>
      <c r="KGV73" s="3"/>
      <c r="KGW73" s="3"/>
      <c r="KGX73" s="3"/>
      <c r="KGY73" s="3"/>
      <c r="KGZ73" s="3"/>
      <c r="KHA73" s="3"/>
      <c r="KHB73" s="3"/>
      <c r="KHC73" s="3"/>
      <c r="KHD73" s="3"/>
      <c r="KHE73" s="3"/>
      <c r="KHF73" s="3"/>
      <c r="KHG73" s="3"/>
      <c r="KHH73" s="3"/>
      <c r="KHI73" s="3"/>
      <c r="KHJ73" s="3"/>
      <c r="KHK73" s="3"/>
      <c r="KHL73" s="3"/>
      <c r="KHM73" s="3"/>
      <c r="KHN73" s="3"/>
      <c r="KHO73" s="3"/>
      <c r="KHP73" s="3"/>
      <c r="KHQ73" s="3"/>
      <c r="KHR73" s="3"/>
      <c r="KHS73" s="3"/>
      <c r="KHT73" s="3"/>
      <c r="KHU73" s="3"/>
      <c r="KHV73" s="3"/>
      <c r="KHW73" s="3"/>
      <c r="KHX73" s="3"/>
      <c r="KHY73" s="3"/>
      <c r="KHZ73" s="3"/>
      <c r="KIA73" s="3"/>
      <c r="KIB73" s="3"/>
      <c r="KIC73" s="3"/>
      <c r="KID73" s="3"/>
      <c r="KIE73" s="3"/>
      <c r="KIF73" s="3"/>
      <c r="KIG73" s="3"/>
      <c r="KIH73" s="3"/>
      <c r="KII73" s="3"/>
      <c r="KIJ73" s="3"/>
      <c r="KIK73" s="3"/>
      <c r="KIL73" s="3"/>
      <c r="KIM73" s="3"/>
      <c r="KIN73" s="3"/>
      <c r="KIO73" s="3"/>
      <c r="KIP73" s="3"/>
      <c r="KIQ73" s="3"/>
      <c r="KIR73" s="3"/>
      <c r="KIS73" s="3"/>
      <c r="KIT73" s="3"/>
      <c r="KIU73" s="3"/>
      <c r="KIV73" s="3"/>
      <c r="KIW73" s="3"/>
      <c r="KIX73" s="3"/>
      <c r="KIY73" s="3"/>
      <c r="KIZ73" s="3"/>
      <c r="KJA73" s="3"/>
      <c r="KJB73" s="3"/>
      <c r="KJC73" s="3"/>
      <c r="KJD73" s="3"/>
      <c r="KJE73" s="3"/>
      <c r="KJF73" s="3"/>
      <c r="KJG73" s="3"/>
      <c r="KJH73" s="3"/>
      <c r="KJI73" s="3"/>
      <c r="KJJ73" s="3"/>
      <c r="KJK73" s="3"/>
      <c r="KJL73" s="3"/>
      <c r="KJM73" s="3"/>
      <c r="KJN73" s="3"/>
      <c r="KJO73" s="3"/>
      <c r="KJP73" s="3"/>
      <c r="KJQ73" s="3"/>
      <c r="KJR73" s="3"/>
      <c r="KJS73" s="3"/>
      <c r="KJT73" s="3"/>
      <c r="KJU73" s="3"/>
      <c r="KJV73" s="3"/>
      <c r="KJW73" s="3"/>
      <c r="KJX73" s="3"/>
      <c r="KJY73" s="3"/>
      <c r="KJZ73" s="3"/>
      <c r="KKA73" s="3"/>
      <c r="KKB73" s="3"/>
      <c r="KKC73" s="3"/>
      <c r="KKD73" s="3"/>
      <c r="KKE73" s="3"/>
      <c r="KKF73" s="3"/>
      <c r="KKG73" s="3"/>
      <c r="KKH73" s="3"/>
      <c r="KKI73" s="3"/>
      <c r="KKJ73" s="3"/>
      <c r="KKK73" s="3"/>
      <c r="KKL73" s="3"/>
      <c r="KKM73" s="3"/>
      <c r="KKN73" s="3"/>
      <c r="KKO73" s="3"/>
      <c r="KKP73" s="3"/>
      <c r="KKQ73" s="3"/>
      <c r="KKR73" s="3"/>
      <c r="KKS73" s="3"/>
      <c r="KKT73" s="3"/>
      <c r="KKU73" s="3"/>
      <c r="KKV73" s="3"/>
      <c r="KKW73" s="3"/>
      <c r="KKX73" s="3"/>
      <c r="KKY73" s="3"/>
      <c r="KKZ73" s="3"/>
      <c r="KLA73" s="3"/>
      <c r="KLB73" s="3"/>
      <c r="KLC73" s="3"/>
      <c r="KLD73" s="3"/>
      <c r="KLE73" s="3"/>
      <c r="KLF73" s="3"/>
      <c r="KLG73" s="3"/>
      <c r="KLH73" s="3"/>
      <c r="KLI73" s="3"/>
      <c r="KLJ73" s="3"/>
      <c r="KLK73" s="3"/>
      <c r="KLL73" s="3"/>
      <c r="KLM73" s="3"/>
      <c r="KLN73" s="3"/>
      <c r="KLO73" s="3"/>
      <c r="KLP73" s="3"/>
      <c r="KLQ73" s="3"/>
      <c r="KLR73" s="3"/>
      <c r="KLS73" s="3"/>
      <c r="KLT73" s="3"/>
      <c r="KLU73" s="3"/>
      <c r="KLV73" s="3"/>
      <c r="KLW73" s="3"/>
      <c r="KLX73" s="3"/>
      <c r="KLY73" s="3"/>
      <c r="KLZ73" s="3"/>
      <c r="KMA73" s="3"/>
      <c r="KMB73" s="3"/>
      <c r="KMC73" s="3"/>
      <c r="KMD73" s="3"/>
      <c r="KME73" s="3"/>
      <c r="KMF73" s="3"/>
      <c r="KMG73" s="3"/>
      <c r="KMH73" s="3"/>
      <c r="KMI73" s="3"/>
      <c r="KMJ73" s="3"/>
      <c r="KMK73" s="3"/>
      <c r="KML73" s="3"/>
      <c r="KMM73" s="3"/>
      <c r="KMN73" s="3"/>
      <c r="KMO73" s="3"/>
      <c r="KMP73" s="3"/>
      <c r="KMQ73" s="3"/>
      <c r="KMR73" s="3"/>
      <c r="KMS73" s="3"/>
      <c r="KMT73" s="3"/>
      <c r="KMU73" s="3"/>
      <c r="KMV73" s="3"/>
      <c r="KMW73" s="3"/>
      <c r="KMX73" s="3"/>
      <c r="KMY73" s="3"/>
      <c r="KMZ73" s="3"/>
      <c r="KNA73" s="3"/>
      <c r="KNB73" s="3"/>
      <c r="KNC73" s="3"/>
      <c r="KND73" s="3"/>
      <c r="KNE73" s="3"/>
      <c r="KNF73" s="3"/>
      <c r="KNG73" s="3"/>
      <c r="KNH73" s="3"/>
      <c r="KNI73" s="3"/>
      <c r="KNJ73" s="3"/>
      <c r="KNK73" s="3"/>
      <c r="KNL73" s="3"/>
      <c r="KNM73" s="3"/>
      <c r="KNN73" s="3"/>
      <c r="KNO73" s="3"/>
      <c r="KNP73" s="3"/>
      <c r="KNQ73" s="3"/>
      <c r="KNR73" s="3"/>
      <c r="KNS73" s="3"/>
      <c r="KNT73" s="3"/>
      <c r="KNU73" s="3"/>
      <c r="KNV73" s="3"/>
      <c r="KNW73" s="3"/>
      <c r="KNX73" s="3"/>
      <c r="KNY73" s="3"/>
      <c r="KNZ73" s="3"/>
      <c r="KOA73" s="3"/>
      <c r="KOB73" s="3"/>
      <c r="KOC73" s="3"/>
      <c r="KOD73" s="3"/>
      <c r="KOE73" s="3"/>
      <c r="KOF73" s="3"/>
      <c r="KOG73" s="3"/>
      <c r="KOH73" s="3"/>
      <c r="KOI73" s="3"/>
      <c r="KOJ73" s="3"/>
      <c r="KOK73" s="3"/>
      <c r="KOL73" s="3"/>
      <c r="KOM73" s="3"/>
      <c r="KON73" s="3"/>
      <c r="KOO73" s="3"/>
      <c r="KOP73" s="3"/>
      <c r="KOQ73" s="3"/>
      <c r="KOR73" s="3"/>
      <c r="KOS73" s="3"/>
      <c r="KOT73" s="3"/>
      <c r="KOU73" s="3"/>
      <c r="KOV73" s="3"/>
      <c r="KOW73" s="3"/>
      <c r="KOX73" s="3"/>
      <c r="KOY73" s="3"/>
      <c r="KOZ73" s="3"/>
      <c r="KPA73" s="3"/>
      <c r="KPB73" s="3"/>
      <c r="KPC73" s="3"/>
      <c r="KPD73" s="3"/>
      <c r="KPE73" s="3"/>
      <c r="KPF73" s="3"/>
      <c r="KPG73" s="3"/>
      <c r="KPH73" s="3"/>
      <c r="KPI73" s="3"/>
      <c r="KPJ73" s="3"/>
      <c r="KPK73" s="3"/>
      <c r="KPL73" s="3"/>
      <c r="KPM73" s="3"/>
      <c r="KPN73" s="3"/>
      <c r="KPO73" s="3"/>
      <c r="KPP73" s="3"/>
      <c r="KPQ73" s="3"/>
      <c r="KPR73" s="3"/>
      <c r="KPS73" s="3"/>
      <c r="KPT73" s="3"/>
      <c r="KPU73" s="3"/>
      <c r="KPV73" s="3"/>
      <c r="KPW73" s="3"/>
      <c r="KPX73" s="3"/>
      <c r="KPY73" s="3"/>
      <c r="KPZ73" s="3"/>
      <c r="KQA73" s="3"/>
      <c r="KQB73" s="3"/>
      <c r="KQC73" s="3"/>
      <c r="KQD73" s="3"/>
      <c r="KQE73" s="3"/>
      <c r="KQF73" s="3"/>
      <c r="KQG73" s="3"/>
      <c r="KQH73" s="3"/>
      <c r="KQI73" s="3"/>
      <c r="KQJ73" s="3"/>
      <c r="KQK73" s="3"/>
      <c r="KQL73" s="3"/>
      <c r="KQM73" s="3"/>
      <c r="KQN73" s="3"/>
      <c r="KQO73" s="3"/>
      <c r="KQP73" s="3"/>
      <c r="KQQ73" s="3"/>
      <c r="KQR73" s="3"/>
      <c r="KQS73" s="3"/>
      <c r="KQT73" s="3"/>
      <c r="KQU73" s="3"/>
      <c r="KQV73" s="3"/>
      <c r="KQW73" s="3"/>
      <c r="KQX73" s="3"/>
      <c r="KQY73" s="3"/>
      <c r="KQZ73" s="3"/>
      <c r="KRA73" s="3"/>
      <c r="KRB73" s="3"/>
      <c r="KRC73" s="3"/>
      <c r="KRD73" s="3"/>
      <c r="KRE73" s="3"/>
      <c r="KRF73" s="3"/>
      <c r="KRG73" s="3"/>
      <c r="KRH73" s="3"/>
      <c r="KRI73" s="3"/>
      <c r="KRJ73" s="3"/>
      <c r="KRK73" s="3"/>
      <c r="KRL73" s="3"/>
      <c r="KRM73" s="3"/>
      <c r="KRN73" s="3"/>
      <c r="KRO73" s="3"/>
      <c r="KRP73" s="3"/>
      <c r="KRQ73" s="3"/>
      <c r="KRR73" s="3"/>
      <c r="KRS73" s="3"/>
      <c r="KRT73" s="3"/>
      <c r="KRU73" s="3"/>
      <c r="KRV73" s="3"/>
      <c r="KRW73" s="3"/>
      <c r="KRX73" s="3"/>
      <c r="KRY73" s="3"/>
      <c r="KRZ73" s="3"/>
      <c r="KSA73" s="3"/>
      <c r="KSB73" s="3"/>
      <c r="KSC73" s="3"/>
      <c r="KSD73" s="3"/>
      <c r="KSE73" s="3"/>
      <c r="KSF73" s="3"/>
      <c r="KSG73" s="3"/>
      <c r="KSH73" s="3"/>
      <c r="KSI73" s="3"/>
      <c r="KSJ73" s="3"/>
      <c r="KSK73" s="3"/>
      <c r="KSL73" s="3"/>
      <c r="KSM73" s="3"/>
      <c r="KSN73" s="3"/>
      <c r="KSO73" s="3"/>
      <c r="KSP73" s="3"/>
      <c r="KSQ73" s="3"/>
      <c r="KSR73" s="3"/>
      <c r="KSS73" s="3"/>
      <c r="KST73" s="3"/>
      <c r="KSU73" s="3"/>
      <c r="KSV73" s="3"/>
      <c r="KSW73" s="3"/>
      <c r="KSX73" s="3"/>
      <c r="KSY73" s="3"/>
      <c r="KSZ73" s="3"/>
      <c r="KTA73" s="3"/>
      <c r="KTB73" s="3"/>
      <c r="KTC73" s="3"/>
      <c r="KTD73" s="3"/>
      <c r="KTE73" s="3"/>
      <c r="KTF73" s="3"/>
      <c r="KTG73" s="3"/>
      <c r="KTH73" s="3"/>
      <c r="KTI73" s="3"/>
      <c r="KTJ73" s="3"/>
      <c r="KTK73" s="3"/>
      <c r="KTL73" s="3"/>
      <c r="KTM73" s="3"/>
      <c r="KTN73" s="3"/>
      <c r="KTO73" s="3"/>
      <c r="KTP73" s="3"/>
      <c r="KTQ73" s="3"/>
      <c r="KTR73" s="3"/>
      <c r="KTS73" s="3"/>
      <c r="KTT73" s="3"/>
      <c r="KTU73" s="3"/>
      <c r="KTV73" s="3"/>
      <c r="KTW73" s="3"/>
      <c r="KTX73" s="3"/>
      <c r="KTY73" s="3"/>
      <c r="KTZ73" s="3"/>
      <c r="KUA73" s="3"/>
      <c r="KUB73" s="3"/>
      <c r="KUC73" s="3"/>
      <c r="KUD73" s="3"/>
      <c r="KUE73" s="3"/>
      <c r="KUF73" s="3"/>
      <c r="KUG73" s="3"/>
      <c r="KUH73" s="3"/>
      <c r="KUI73" s="3"/>
      <c r="KUJ73" s="3"/>
      <c r="KUK73" s="3"/>
      <c r="KUL73" s="3"/>
      <c r="KUM73" s="3"/>
      <c r="KUN73" s="3"/>
      <c r="KUO73" s="3"/>
      <c r="KUP73" s="3"/>
      <c r="KUQ73" s="3"/>
      <c r="KUR73" s="3"/>
      <c r="KUS73" s="3"/>
      <c r="KUT73" s="3"/>
      <c r="KUU73" s="3"/>
      <c r="KUV73" s="3"/>
      <c r="KUW73" s="3"/>
      <c r="KUX73" s="3"/>
      <c r="KUY73" s="3"/>
      <c r="KUZ73" s="3"/>
      <c r="KVA73" s="3"/>
      <c r="KVB73" s="3"/>
      <c r="KVC73" s="3"/>
      <c r="KVD73" s="3"/>
      <c r="KVE73" s="3"/>
      <c r="KVF73" s="3"/>
      <c r="KVG73" s="3"/>
      <c r="KVH73" s="3"/>
      <c r="KVI73" s="3"/>
      <c r="KVJ73" s="3"/>
      <c r="KVK73" s="3"/>
      <c r="KVL73" s="3"/>
      <c r="KVM73" s="3"/>
      <c r="KVN73" s="3"/>
      <c r="KVO73" s="3"/>
      <c r="KVP73" s="3"/>
      <c r="KVQ73" s="3"/>
      <c r="KVR73" s="3"/>
      <c r="KVS73" s="3"/>
      <c r="KVT73" s="3"/>
      <c r="KVU73" s="3"/>
      <c r="KVV73" s="3"/>
      <c r="KVW73" s="3"/>
      <c r="KVX73" s="3"/>
      <c r="KVY73" s="3"/>
      <c r="KVZ73" s="3"/>
      <c r="KWA73" s="3"/>
      <c r="KWB73" s="3"/>
      <c r="KWC73" s="3"/>
      <c r="KWD73" s="3"/>
      <c r="KWE73" s="3"/>
      <c r="KWF73" s="3"/>
      <c r="KWG73" s="3"/>
      <c r="KWH73" s="3"/>
      <c r="KWI73" s="3"/>
      <c r="KWJ73" s="3"/>
      <c r="KWK73" s="3"/>
      <c r="KWL73" s="3"/>
      <c r="KWM73" s="3"/>
      <c r="KWN73" s="3"/>
      <c r="KWO73" s="3"/>
      <c r="KWP73" s="3"/>
      <c r="KWQ73" s="3"/>
      <c r="KWR73" s="3"/>
      <c r="KWS73" s="3"/>
      <c r="KWT73" s="3"/>
      <c r="KWU73" s="3"/>
      <c r="KWV73" s="3"/>
      <c r="KWW73" s="3"/>
      <c r="KWX73" s="3"/>
      <c r="KWY73" s="3"/>
      <c r="KWZ73" s="3"/>
      <c r="KXA73" s="3"/>
      <c r="KXB73" s="3"/>
      <c r="KXC73" s="3"/>
      <c r="KXD73" s="3"/>
      <c r="KXE73" s="3"/>
      <c r="KXF73" s="3"/>
      <c r="KXG73" s="3"/>
      <c r="KXH73" s="3"/>
      <c r="KXI73" s="3"/>
      <c r="KXJ73" s="3"/>
      <c r="KXK73" s="3"/>
      <c r="KXL73" s="3"/>
      <c r="KXM73" s="3"/>
      <c r="KXN73" s="3"/>
      <c r="KXO73" s="3"/>
      <c r="KXP73" s="3"/>
      <c r="KXQ73" s="3"/>
      <c r="KXR73" s="3"/>
      <c r="KXS73" s="3"/>
      <c r="KXT73" s="3"/>
      <c r="KXU73" s="3"/>
      <c r="KXV73" s="3"/>
      <c r="KXW73" s="3"/>
      <c r="KXX73" s="3"/>
      <c r="KXY73" s="3"/>
      <c r="KXZ73" s="3"/>
      <c r="KYA73" s="3"/>
      <c r="KYB73" s="3"/>
      <c r="KYC73" s="3"/>
      <c r="KYD73" s="3"/>
      <c r="KYE73" s="3"/>
      <c r="KYF73" s="3"/>
      <c r="KYG73" s="3"/>
      <c r="KYH73" s="3"/>
      <c r="KYI73" s="3"/>
      <c r="KYJ73" s="3"/>
      <c r="KYK73" s="3"/>
      <c r="KYL73" s="3"/>
      <c r="KYM73" s="3"/>
      <c r="KYN73" s="3"/>
      <c r="KYO73" s="3"/>
      <c r="KYP73" s="3"/>
      <c r="KYQ73" s="3"/>
      <c r="KYR73" s="3"/>
      <c r="KYS73" s="3"/>
      <c r="KYT73" s="3"/>
      <c r="KYU73" s="3"/>
      <c r="KYV73" s="3"/>
      <c r="KYW73" s="3"/>
      <c r="KYX73" s="3"/>
      <c r="KYY73" s="3"/>
      <c r="KYZ73" s="3"/>
      <c r="KZA73" s="3"/>
      <c r="KZB73" s="3"/>
      <c r="KZC73" s="3"/>
      <c r="KZD73" s="3"/>
      <c r="KZE73" s="3"/>
      <c r="KZF73" s="3"/>
      <c r="KZG73" s="3"/>
      <c r="KZH73" s="3"/>
      <c r="KZI73" s="3"/>
      <c r="KZJ73" s="3"/>
      <c r="KZK73" s="3"/>
      <c r="KZL73" s="3"/>
      <c r="KZM73" s="3"/>
      <c r="KZN73" s="3"/>
      <c r="KZO73" s="3"/>
      <c r="KZP73" s="3"/>
      <c r="KZQ73" s="3"/>
      <c r="KZR73" s="3"/>
      <c r="KZS73" s="3"/>
      <c r="KZT73" s="3"/>
      <c r="KZU73" s="3"/>
      <c r="KZV73" s="3"/>
      <c r="KZW73" s="3"/>
      <c r="KZX73" s="3"/>
      <c r="KZY73" s="3"/>
      <c r="KZZ73" s="3"/>
      <c r="LAA73" s="3"/>
      <c r="LAB73" s="3"/>
      <c r="LAC73" s="3"/>
      <c r="LAD73" s="3"/>
      <c r="LAE73" s="3"/>
      <c r="LAF73" s="3"/>
      <c r="LAG73" s="3"/>
      <c r="LAH73" s="3"/>
      <c r="LAI73" s="3"/>
      <c r="LAJ73" s="3"/>
      <c r="LAK73" s="3"/>
      <c r="LAL73" s="3"/>
      <c r="LAM73" s="3"/>
      <c r="LAN73" s="3"/>
      <c r="LAO73" s="3"/>
      <c r="LAP73" s="3"/>
      <c r="LAQ73" s="3"/>
      <c r="LAR73" s="3"/>
      <c r="LAS73" s="3"/>
      <c r="LAT73" s="3"/>
      <c r="LAU73" s="3"/>
      <c r="LAV73" s="3"/>
      <c r="LAW73" s="3"/>
      <c r="LAX73" s="3"/>
      <c r="LAY73" s="3"/>
      <c r="LAZ73" s="3"/>
      <c r="LBA73" s="3"/>
      <c r="LBB73" s="3"/>
      <c r="LBC73" s="3"/>
      <c r="LBD73" s="3"/>
      <c r="LBE73" s="3"/>
      <c r="LBF73" s="3"/>
      <c r="LBG73" s="3"/>
      <c r="LBH73" s="3"/>
      <c r="LBI73" s="3"/>
      <c r="LBJ73" s="3"/>
      <c r="LBK73" s="3"/>
      <c r="LBL73" s="3"/>
      <c r="LBM73" s="3"/>
      <c r="LBN73" s="3"/>
      <c r="LBO73" s="3"/>
      <c r="LBP73" s="3"/>
      <c r="LBQ73" s="3"/>
      <c r="LBR73" s="3"/>
      <c r="LBS73" s="3"/>
      <c r="LBT73" s="3"/>
      <c r="LBU73" s="3"/>
      <c r="LBV73" s="3"/>
      <c r="LBW73" s="3"/>
      <c r="LBX73" s="3"/>
      <c r="LBY73" s="3"/>
      <c r="LBZ73" s="3"/>
      <c r="LCA73" s="3"/>
      <c r="LCB73" s="3"/>
      <c r="LCC73" s="3"/>
      <c r="LCD73" s="3"/>
      <c r="LCE73" s="3"/>
      <c r="LCF73" s="3"/>
      <c r="LCG73" s="3"/>
      <c r="LCH73" s="3"/>
      <c r="LCI73" s="3"/>
      <c r="LCJ73" s="3"/>
      <c r="LCK73" s="3"/>
      <c r="LCL73" s="3"/>
      <c r="LCM73" s="3"/>
      <c r="LCN73" s="3"/>
      <c r="LCO73" s="3"/>
      <c r="LCP73" s="3"/>
      <c r="LCQ73" s="3"/>
      <c r="LCR73" s="3"/>
      <c r="LCS73" s="3"/>
      <c r="LCT73" s="3"/>
      <c r="LCU73" s="3"/>
      <c r="LCV73" s="3"/>
      <c r="LCW73" s="3"/>
      <c r="LCX73" s="3"/>
      <c r="LCY73" s="3"/>
      <c r="LCZ73" s="3"/>
      <c r="LDA73" s="3"/>
      <c r="LDB73" s="3"/>
      <c r="LDC73" s="3"/>
      <c r="LDD73" s="3"/>
      <c r="LDE73" s="3"/>
      <c r="LDF73" s="3"/>
      <c r="LDG73" s="3"/>
      <c r="LDH73" s="3"/>
      <c r="LDI73" s="3"/>
      <c r="LDJ73" s="3"/>
      <c r="LDK73" s="3"/>
      <c r="LDL73" s="3"/>
      <c r="LDM73" s="3"/>
      <c r="LDN73" s="3"/>
      <c r="LDO73" s="3"/>
      <c r="LDP73" s="3"/>
      <c r="LDQ73" s="3"/>
      <c r="LDR73" s="3"/>
      <c r="LDS73" s="3"/>
      <c r="LDT73" s="3"/>
      <c r="LDU73" s="3"/>
      <c r="LDV73" s="3"/>
      <c r="LDW73" s="3"/>
      <c r="LDX73" s="3"/>
      <c r="LDY73" s="3"/>
      <c r="LDZ73" s="3"/>
      <c r="LEA73" s="3"/>
      <c r="LEB73" s="3"/>
      <c r="LEC73" s="3"/>
      <c r="LED73" s="3"/>
      <c r="LEE73" s="3"/>
      <c r="LEF73" s="3"/>
      <c r="LEG73" s="3"/>
      <c r="LEH73" s="3"/>
      <c r="LEI73" s="3"/>
      <c r="LEJ73" s="3"/>
      <c r="LEK73" s="3"/>
      <c r="LEL73" s="3"/>
      <c r="LEM73" s="3"/>
      <c r="LEN73" s="3"/>
      <c r="LEO73" s="3"/>
      <c r="LEP73" s="3"/>
      <c r="LEQ73" s="3"/>
      <c r="LER73" s="3"/>
      <c r="LES73" s="3"/>
      <c r="LET73" s="3"/>
      <c r="LEU73" s="3"/>
      <c r="LEV73" s="3"/>
      <c r="LEW73" s="3"/>
      <c r="LEX73" s="3"/>
      <c r="LEY73" s="3"/>
      <c r="LEZ73" s="3"/>
      <c r="LFA73" s="3"/>
      <c r="LFB73" s="3"/>
      <c r="LFC73" s="3"/>
      <c r="LFD73" s="3"/>
      <c r="LFE73" s="3"/>
      <c r="LFF73" s="3"/>
      <c r="LFG73" s="3"/>
      <c r="LFH73" s="3"/>
      <c r="LFI73" s="3"/>
      <c r="LFJ73" s="3"/>
      <c r="LFK73" s="3"/>
      <c r="LFL73" s="3"/>
      <c r="LFM73" s="3"/>
      <c r="LFN73" s="3"/>
      <c r="LFO73" s="3"/>
      <c r="LFP73" s="3"/>
      <c r="LFQ73" s="3"/>
      <c r="LFR73" s="3"/>
      <c r="LFS73" s="3"/>
      <c r="LFT73" s="3"/>
      <c r="LFU73" s="3"/>
      <c r="LFV73" s="3"/>
      <c r="LFW73" s="3"/>
      <c r="LFX73" s="3"/>
      <c r="LFY73" s="3"/>
      <c r="LFZ73" s="3"/>
      <c r="LGA73" s="3"/>
      <c r="LGB73" s="3"/>
      <c r="LGC73" s="3"/>
      <c r="LGD73" s="3"/>
      <c r="LGE73" s="3"/>
      <c r="LGF73" s="3"/>
      <c r="LGG73" s="3"/>
      <c r="LGH73" s="3"/>
      <c r="LGI73" s="3"/>
      <c r="LGJ73" s="3"/>
      <c r="LGK73" s="3"/>
      <c r="LGL73" s="3"/>
      <c r="LGM73" s="3"/>
      <c r="LGN73" s="3"/>
      <c r="LGO73" s="3"/>
      <c r="LGP73" s="3"/>
      <c r="LGQ73" s="3"/>
      <c r="LGR73" s="3"/>
      <c r="LGS73" s="3"/>
      <c r="LGT73" s="3"/>
      <c r="LGU73" s="3"/>
      <c r="LGV73" s="3"/>
      <c r="LGW73" s="3"/>
      <c r="LGX73" s="3"/>
      <c r="LGY73" s="3"/>
      <c r="LGZ73" s="3"/>
      <c r="LHA73" s="3"/>
      <c r="LHB73" s="3"/>
      <c r="LHC73" s="3"/>
      <c r="LHD73" s="3"/>
      <c r="LHE73" s="3"/>
      <c r="LHF73" s="3"/>
      <c r="LHG73" s="3"/>
      <c r="LHH73" s="3"/>
      <c r="LHI73" s="3"/>
      <c r="LHJ73" s="3"/>
      <c r="LHK73" s="3"/>
      <c r="LHL73" s="3"/>
      <c r="LHM73" s="3"/>
      <c r="LHN73" s="3"/>
      <c r="LHO73" s="3"/>
      <c r="LHP73" s="3"/>
      <c r="LHQ73" s="3"/>
      <c r="LHR73" s="3"/>
      <c r="LHS73" s="3"/>
      <c r="LHT73" s="3"/>
      <c r="LHU73" s="3"/>
      <c r="LHV73" s="3"/>
      <c r="LHW73" s="3"/>
      <c r="LHX73" s="3"/>
      <c r="LHY73" s="3"/>
      <c r="LHZ73" s="3"/>
      <c r="LIA73" s="3"/>
      <c r="LIB73" s="3"/>
      <c r="LIC73" s="3"/>
      <c r="LID73" s="3"/>
      <c r="LIE73" s="3"/>
      <c r="LIF73" s="3"/>
      <c r="LIG73" s="3"/>
      <c r="LIH73" s="3"/>
      <c r="LII73" s="3"/>
      <c r="LIJ73" s="3"/>
      <c r="LIK73" s="3"/>
      <c r="LIL73" s="3"/>
      <c r="LIM73" s="3"/>
      <c r="LIN73" s="3"/>
      <c r="LIO73" s="3"/>
      <c r="LIP73" s="3"/>
      <c r="LIQ73" s="3"/>
      <c r="LIR73" s="3"/>
      <c r="LIS73" s="3"/>
      <c r="LIT73" s="3"/>
      <c r="LIU73" s="3"/>
      <c r="LIV73" s="3"/>
      <c r="LIW73" s="3"/>
      <c r="LIX73" s="3"/>
      <c r="LIY73" s="3"/>
      <c r="LIZ73" s="3"/>
      <c r="LJA73" s="3"/>
      <c r="LJB73" s="3"/>
      <c r="LJC73" s="3"/>
      <c r="LJD73" s="3"/>
      <c r="LJE73" s="3"/>
      <c r="LJF73" s="3"/>
      <c r="LJG73" s="3"/>
      <c r="LJH73" s="3"/>
      <c r="LJI73" s="3"/>
      <c r="LJJ73" s="3"/>
      <c r="LJK73" s="3"/>
      <c r="LJL73" s="3"/>
      <c r="LJM73" s="3"/>
      <c r="LJN73" s="3"/>
      <c r="LJO73" s="3"/>
      <c r="LJP73" s="3"/>
      <c r="LJQ73" s="3"/>
      <c r="LJR73" s="3"/>
      <c r="LJS73" s="3"/>
      <c r="LJT73" s="3"/>
      <c r="LJU73" s="3"/>
      <c r="LJV73" s="3"/>
      <c r="LJW73" s="3"/>
      <c r="LJX73" s="3"/>
      <c r="LJY73" s="3"/>
      <c r="LJZ73" s="3"/>
      <c r="LKA73" s="3"/>
      <c r="LKB73" s="3"/>
      <c r="LKC73" s="3"/>
      <c r="LKD73" s="3"/>
      <c r="LKE73" s="3"/>
      <c r="LKF73" s="3"/>
      <c r="LKG73" s="3"/>
      <c r="LKH73" s="3"/>
      <c r="LKI73" s="3"/>
      <c r="LKJ73" s="3"/>
      <c r="LKK73" s="3"/>
      <c r="LKL73" s="3"/>
      <c r="LKM73" s="3"/>
      <c r="LKN73" s="3"/>
      <c r="LKO73" s="3"/>
      <c r="LKP73" s="3"/>
      <c r="LKQ73" s="3"/>
      <c r="LKR73" s="3"/>
      <c r="LKS73" s="3"/>
      <c r="LKT73" s="3"/>
      <c r="LKU73" s="3"/>
      <c r="LKV73" s="3"/>
      <c r="LKW73" s="3"/>
      <c r="LKX73" s="3"/>
      <c r="LKY73" s="3"/>
      <c r="LKZ73" s="3"/>
      <c r="LLA73" s="3"/>
      <c r="LLB73" s="3"/>
      <c r="LLC73" s="3"/>
      <c r="LLD73" s="3"/>
      <c r="LLE73" s="3"/>
      <c r="LLF73" s="3"/>
      <c r="LLG73" s="3"/>
      <c r="LLH73" s="3"/>
      <c r="LLI73" s="3"/>
      <c r="LLJ73" s="3"/>
      <c r="LLK73" s="3"/>
      <c r="LLL73" s="3"/>
      <c r="LLM73" s="3"/>
      <c r="LLN73" s="3"/>
      <c r="LLO73" s="3"/>
      <c r="LLP73" s="3"/>
      <c r="LLQ73" s="3"/>
      <c r="LLR73" s="3"/>
      <c r="LLS73" s="3"/>
      <c r="LLT73" s="3"/>
      <c r="LLU73" s="3"/>
      <c r="LLV73" s="3"/>
      <c r="LLW73" s="3"/>
      <c r="LLX73" s="3"/>
      <c r="LLY73" s="3"/>
      <c r="LLZ73" s="3"/>
      <c r="LMA73" s="3"/>
      <c r="LMB73" s="3"/>
      <c r="LMC73" s="3"/>
      <c r="LMD73" s="3"/>
      <c r="LME73" s="3"/>
      <c r="LMF73" s="3"/>
      <c r="LMG73" s="3"/>
      <c r="LMH73" s="3"/>
      <c r="LMI73" s="3"/>
      <c r="LMJ73" s="3"/>
      <c r="LMK73" s="3"/>
      <c r="LML73" s="3"/>
      <c r="LMM73" s="3"/>
      <c r="LMN73" s="3"/>
      <c r="LMO73" s="3"/>
      <c r="LMP73" s="3"/>
      <c r="LMQ73" s="3"/>
      <c r="LMR73" s="3"/>
      <c r="LMS73" s="3"/>
      <c r="LMT73" s="3"/>
      <c r="LMU73" s="3"/>
      <c r="LMV73" s="3"/>
      <c r="LMW73" s="3"/>
      <c r="LMX73" s="3"/>
      <c r="LMY73" s="3"/>
      <c r="LMZ73" s="3"/>
      <c r="LNA73" s="3"/>
      <c r="LNB73" s="3"/>
      <c r="LNC73" s="3"/>
      <c r="LND73" s="3"/>
      <c r="LNE73" s="3"/>
      <c r="LNF73" s="3"/>
      <c r="LNG73" s="3"/>
      <c r="LNH73" s="3"/>
      <c r="LNI73" s="3"/>
      <c r="LNJ73" s="3"/>
      <c r="LNK73" s="3"/>
      <c r="LNL73" s="3"/>
      <c r="LNM73" s="3"/>
      <c r="LNN73" s="3"/>
      <c r="LNO73" s="3"/>
      <c r="LNP73" s="3"/>
      <c r="LNQ73" s="3"/>
      <c r="LNR73" s="3"/>
      <c r="LNS73" s="3"/>
      <c r="LNT73" s="3"/>
      <c r="LNU73" s="3"/>
      <c r="LNV73" s="3"/>
      <c r="LNW73" s="3"/>
      <c r="LNX73" s="3"/>
      <c r="LNY73" s="3"/>
      <c r="LNZ73" s="3"/>
      <c r="LOA73" s="3"/>
      <c r="LOB73" s="3"/>
      <c r="LOC73" s="3"/>
      <c r="LOD73" s="3"/>
      <c r="LOE73" s="3"/>
      <c r="LOF73" s="3"/>
      <c r="LOG73" s="3"/>
      <c r="LOH73" s="3"/>
      <c r="LOI73" s="3"/>
      <c r="LOJ73" s="3"/>
      <c r="LOK73" s="3"/>
      <c r="LOL73" s="3"/>
      <c r="LOM73" s="3"/>
      <c r="LON73" s="3"/>
      <c r="LOO73" s="3"/>
      <c r="LOP73" s="3"/>
      <c r="LOQ73" s="3"/>
      <c r="LOR73" s="3"/>
      <c r="LOS73" s="3"/>
      <c r="LOT73" s="3"/>
      <c r="LOU73" s="3"/>
      <c r="LOV73" s="3"/>
      <c r="LOW73" s="3"/>
      <c r="LOX73" s="3"/>
      <c r="LOY73" s="3"/>
      <c r="LOZ73" s="3"/>
      <c r="LPA73" s="3"/>
      <c r="LPB73" s="3"/>
      <c r="LPC73" s="3"/>
      <c r="LPD73" s="3"/>
      <c r="LPE73" s="3"/>
      <c r="LPF73" s="3"/>
      <c r="LPG73" s="3"/>
      <c r="LPH73" s="3"/>
      <c r="LPI73" s="3"/>
      <c r="LPJ73" s="3"/>
      <c r="LPK73" s="3"/>
      <c r="LPL73" s="3"/>
      <c r="LPM73" s="3"/>
      <c r="LPN73" s="3"/>
      <c r="LPO73" s="3"/>
      <c r="LPP73" s="3"/>
      <c r="LPQ73" s="3"/>
      <c r="LPR73" s="3"/>
      <c r="LPS73" s="3"/>
      <c r="LPT73" s="3"/>
      <c r="LPU73" s="3"/>
      <c r="LPV73" s="3"/>
      <c r="LPW73" s="3"/>
      <c r="LPX73" s="3"/>
      <c r="LPY73" s="3"/>
      <c r="LPZ73" s="3"/>
      <c r="LQA73" s="3"/>
      <c r="LQB73" s="3"/>
      <c r="LQC73" s="3"/>
      <c r="LQD73" s="3"/>
      <c r="LQE73" s="3"/>
      <c r="LQF73" s="3"/>
      <c r="LQG73" s="3"/>
      <c r="LQH73" s="3"/>
      <c r="LQI73" s="3"/>
      <c r="LQJ73" s="3"/>
      <c r="LQK73" s="3"/>
      <c r="LQL73" s="3"/>
      <c r="LQM73" s="3"/>
      <c r="LQN73" s="3"/>
      <c r="LQO73" s="3"/>
      <c r="LQP73" s="3"/>
      <c r="LQQ73" s="3"/>
      <c r="LQR73" s="3"/>
      <c r="LQS73" s="3"/>
      <c r="LQT73" s="3"/>
      <c r="LQU73" s="3"/>
      <c r="LQV73" s="3"/>
      <c r="LQW73" s="3"/>
      <c r="LQX73" s="3"/>
      <c r="LQY73" s="3"/>
      <c r="LQZ73" s="3"/>
      <c r="LRA73" s="3"/>
      <c r="LRB73" s="3"/>
      <c r="LRC73" s="3"/>
      <c r="LRD73" s="3"/>
      <c r="LRE73" s="3"/>
      <c r="LRF73" s="3"/>
      <c r="LRG73" s="3"/>
      <c r="LRH73" s="3"/>
      <c r="LRI73" s="3"/>
      <c r="LRJ73" s="3"/>
      <c r="LRK73" s="3"/>
      <c r="LRL73" s="3"/>
      <c r="LRM73" s="3"/>
      <c r="LRN73" s="3"/>
      <c r="LRO73" s="3"/>
      <c r="LRP73" s="3"/>
      <c r="LRQ73" s="3"/>
      <c r="LRR73" s="3"/>
      <c r="LRS73" s="3"/>
      <c r="LRT73" s="3"/>
      <c r="LRU73" s="3"/>
      <c r="LRV73" s="3"/>
      <c r="LRW73" s="3"/>
      <c r="LRX73" s="3"/>
      <c r="LRY73" s="3"/>
      <c r="LRZ73" s="3"/>
      <c r="LSA73" s="3"/>
      <c r="LSB73" s="3"/>
      <c r="LSC73" s="3"/>
      <c r="LSD73" s="3"/>
      <c r="LSE73" s="3"/>
      <c r="LSF73" s="3"/>
      <c r="LSG73" s="3"/>
      <c r="LSH73" s="3"/>
      <c r="LSI73" s="3"/>
      <c r="LSJ73" s="3"/>
      <c r="LSK73" s="3"/>
      <c r="LSL73" s="3"/>
      <c r="LSM73" s="3"/>
      <c r="LSN73" s="3"/>
      <c r="LSO73" s="3"/>
      <c r="LSP73" s="3"/>
      <c r="LSQ73" s="3"/>
      <c r="LSR73" s="3"/>
      <c r="LSS73" s="3"/>
      <c r="LST73" s="3"/>
      <c r="LSU73" s="3"/>
      <c r="LSV73" s="3"/>
      <c r="LSW73" s="3"/>
      <c r="LSX73" s="3"/>
      <c r="LSY73" s="3"/>
      <c r="LSZ73" s="3"/>
      <c r="LTA73" s="3"/>
      <c r="LTB73" s="3"/>
      <c r="LTC73" s="3"/>
      <c r="LTD73" s="3"/>
      <c r="LTE73" s="3"/>
      <c r="LTF73" s="3"/>
      <c r="LTG73" s="3"/>
      <c r="LTH73" s="3"/>
      <c r="LTI73" s="3"/>
      <c r="LTJ73" s="3"/>
      <c r="LTK73" s="3"/>
      <c r="LTL73" s="3"/>
      <c r="LTM73" s="3"/>
      <c r="LTN73" s="3"/>
      <c r="LTO73" s="3"/>
      <c r="LTP73" s="3"/>
      <c r="LTQ73" s="3"/>
      <c r="LTR73" s="3"/>
      <c r="LTS73" s="3"/>
      <c r="LTT73" s="3"/>
      <c r="LTU73" s="3"/>
      <c r="LTV73" s="3"/>
      <c r="LTW73" s="3"/>
      <c r="LTX73" s="3"/>
      <c r="LTY73" s="3"/>
      <c r="LTZ73" s="3"/>
      <c r="LUA73" s="3"/>
      <c r="LUB73" s="3"/>
      <c r="LUC73" s="3"/>
      <c r="LUD73" s="3"/>
      <c r="LUE73" s="3"/>
      <c r="LUF73" s="3"/>
      <c r="LUG73" s="3"/>
      <c r="LUH73" s="3"/>
      <c r="LUI73" s="3"/>
      <c r="LUJ73" s="3"/>
      <c r="LUK73" s="3"/>
      <c r="LUL73" s="3"/>
      <c r="LUM73" s="3"/>
      <c r="LUN73" s="3"/>
      <c r="LUO73" s="3"/>
      <c r="LUP73" s="3"/>
      <c r="LUQ73" s="3"/>
      <c r="LUR73" s="3"/>
      <c r="LUS73" s="3"/>
      <c r="LUT73" s="3"/>
      <c r="LUU73" s="3"/>
      <c r="LUV73" s="3"/>
      <c r="LUW73" s="3"/>
      <c r="LUX73" s="3"/>
      <c r="LUY73" s="3"/>
      <c r="LUZ73" s="3"/>
      <c r="LVA73" s="3"/>
      <c r="LVB73" s="3"/>
      <c r="LVC73" s="3"/>
      <c r="LVD73" s="3"/>
      <c r="LVE73" s="3"/>
      <c r="LVF73" s="3"/>
      <c r="LVG73" s="3"/>
      <c r="LVH73" s="3"/>
      <c r="LVI73" s="3"/>
      <c r="LVJ73" s="3"/>
      <c r="LVK73" s="3"/>
      <c r="LVL73" s="3"/>
      <c r="LVM73" s="3"/>
      <c r="LVN73" s="3"/>
      <c r="LVO73" s="3"/>
      <c r="LVP73" s="3"/>
      <c r="LVQ73" s="3"/>
      <c r="LVR73" s="3"/>
      <c r="LVS73" s="3"/>
      <c r="LVT73" s="3"/>
      <c r="LVU73" s="3"/>
      <c r="LVV73" s="3"/>
      <c r="LVW73" s="3"/>
      <c r="LVX73" s="3"/>
      <c r="LVY73" s="3"/>
      <c r="LVZ73" s="3"/>
      <c r="LWA73" s="3"/>
      <c r="LWB73" s="3"/>
      <c r="LWC73" s="3"/>
      <c r="LWD73" s="3"/>
      <c r="LWE73" s="3"/>
      <c r="LWF73" s="3"/>
      <c r="LWG73" s="3"/>
      <c r="LWH73" s="3"/>
      <c r="LWI73" s="3"/>
      <c r="LWJ73" s="3"/>
      <c r="LWK73" s="3"/>
      <c r="LWL73" s="3"/>
      <c r="LWM73" s="3"/>
      <c r="LWN73" s="3"/>
      <c r="LWO73" s="3"/>
      <c r="LWP73" s="3"/>
      <c r="LWQ73" s="3"/>
      <c r="LWR73" s="3"/>
      <c r="LWS73" s="3"/>
      <c r="LWT73" s="3"/>
      <c r="LWU73" s="3"/>
      <c r="LWV73" s="3"/>
      <c r="LWW73" s="3"/>
      <c r="LWX73" s="3"/>
      <c r="LWY73" s="3"/>
      <c r="LWZ73" s="3"/>
      <c r="LXA73" s="3"/>
      <c r="LXB73" s="3"/>
      <c r="LXC73" s="3"/>
      <c r="LXD73" s="3"/>
      <c r="LXE73" s="3"/>
      <c r="LXF73" s="3"/>
      <c r="LXG73" s="3"/>
      <c r="LXH73" s="3"/>
      <c r="LXI73" s="3"/>
      <c r="LXJ73" s="3"/>
      <c r="LXK73" s="3"/>
      <c r="LXL73" s="3"/>
      <c r="LXM73" s="3"/>
      <c r="LXN73" s="3"/>
      <c r="LXO73" s="3"/>
      <c r="LXP73" s="3"/>
      <c r="LXQ73" s="3"/>
      <c r="LXR73" s="3"/>
      <c r="LXS73" s="3"/>
      <c r="LXT73" s="3"/>
      <c r="LXU73" s="3"/>
      <c r="LXV73" s="3"/>
      <c r="LXW73" s="3"/>
      <c r="LXX73" s="3"/>
      <c r="LXY73" s="3"/>
      <c r="LXZ73" s="3"/>
      <c r="LYA73" s="3"/>
      <c r="LYB73" s="3"/>
      <c r="LYC73" s="3"/>
      <c r="LYD73" s="3"/>
      <c r="LYE73" s="3"/>
      <c r="LYF73" s="3"/>
      <c r="LYG73" s="3"/>
      <c r="LYH73" s="3"/>
      <c r="LYI73" s="3"/>
      <c r="LYJ73" s="3"/>
      <c r="LYK73" s="3"/>
      <c r="LYL73" s="3"/>
      <c r="LYM73" s="3"/>
      <c r="LYN73" s="3"/>
      <c r="LYO73" s="3"/>
      <c r="LYP73" s="3"/>
      <c r="LYQ73" s="3"/>
      <c r="LYR73" s="3"/>
      <c r="LYS73" s="3"/>
      <c r="LYT73" s="3"/>
      <c r="LYU73" s="3"/>
      <c r="LYV73" s="3"/>
      <c r="LYW73" s="3"/>
      <c r="LYX73" s="3"/>
      <c r="LYY73" s="3"/>
      <c r="LYZ73" s="3"/>
      <c r="LZA73" s="3"/>
      <c r="LZB73" s="3"/>
      <c r="LZC73" s="3"/>
      <c r="LZD73" s="3"/>
      <c r="LZE73" s="3"/>
      <c r="LZF73" s="3"/>
      <c r="LZG73" s="3"/>
      <c r="LZH73" s="3"/>
      <c r="LZI73" s="3"/>
      <c r="LZJ73" s="3"/>
      <c r="LZK73" s="3"/>
      <c r="LZL73" s="3"/>
      <c r="LZM73" s="3"/>
      <c r="LZN73" s="3"/>
      <c r="LZO73" s="3"/>
      <c r="LZP73" s="3"/>
      <c r="LZQ73" s="3"/>
      <c r="LZR73" s="3"/>
      <c r="LZS73" s="3"/>
      <c r="LZT73" s="3"/>
      <c r="LZU73" s="3"/>
      <c r="LZV73" s="3"/>
      <c r="LZW73" s="3"/>
      <c r="LZX73" s="3"/>
      <c r="LZY73" s="3"/>
      <c r="LZZ73" s="3"/>
      <c r="MAA73" s="3"/>
      <c r="MAB73" s="3"/>
      <c r="MAC73" s="3"/>
      <c r="MAD73" s="3"/>
      <c r="MAE73" s="3"/>
      <c r="MAF73" s="3"/>
      <c r="MAG73" s="3"/>
      <c r="MAH73" s="3"/>
      <c r="MAI73" s="3"/>
      <c r="MAJ73" s="3"/>
      <c r="MAK73" s="3"/>
      <c r="MAL73" s="3"/>
      <c r="MAM73" s="3"/>
      <c r="MAN73" s="3"/>
      <c r="MAO73" s="3"/>
      <c r="MAP73" s="3"/>
      <c r="MAQ73" s="3"/>
      <c r="MAR73" s="3"/>
      <c r="MAS73" s="3"/>
      <c r="MAT73" s="3"/>
      <c r="MAU73" s="3"/>
      <c r="MAV73" s="3"/>
      <c r="MAW73" s="3"/>
      <c r="MAX73" s="3"/>
      <c r="MAY73" s="3"/>
      <c r="MAZ73" s="3"/>
      <c r="MBA73" s="3"/>
      <c r="MBB73" s="3"/>
      <c r="MBC73" s="3"/>
      <c r="MBD73" s="3"/>
      <c r="MBE73" s="3"/>
      <c r="MBF73" s="3"/>
      <c r="MBG73" s="3"/>
      <c r="MBH73" s="3"/>
      <c r="MBI73" s="3"/>
      <c r="MBJ73" s="3"/>
      <c r="MBK73" s="3"/>
      <c r="MBL73" s="3"/>
      <c r="MBM73" s="3"/>
      <c r="MBN73" s="3"/>
      <c r="MBO73" s="3"/>
      <c r="MBP73" s="3"/>
      <c r="MBQ73" s="3"/>
      <c r="MBR73" s="3"/>
      <c r="MBS73" s="3"/>
      <c r="MBT73" s="3"/>
      <c r="MBU73" s="3"/>
      <c r="MBV73" s="3"/>
      <c r="MBW73" s="3"/>
      <c r="MBX73" s="3"/>
      <c r="MBY73" s="3"/>
      <c r="MBZ73" s="3"/>
      <c r="MCA73" s="3"/>
      <c r="MCB73" s="3"/>
      <c r="MCC73" s="3"/>
      <c r="MCD73" s="3"/>
      <c r="MCE73" s="3"/>
      <c r="MCF73" s="3"/>
      <c r="MCG73" s="3"/>
      <c r="MCH73" s="3"/>
      <c r="MCI73" s="3"/>
      <c r="MCJ73" s="3"/>
      <c r="MCK73" s="3"/>
      <c r="MCL73" s="3"/>
      <c r="MCM73" s="3"/>
      <c r="MCN73" s="3"/>
      <c r="MCO73" s="3"/>
      <c r="MCP73" s="3"/>
      <c r="MCQ73" s="3"/>
      <c r="MCR73" s="3"/>
      <c r="MCS73" s="3"/>
      <c r="MCT73" s="3"/>
      <c r="MCU73" s="3"/>
      <c r="MCV73" s="3"/>
      <c r="MCW73" s="3"/>
      <c r="MCX73" s="3"/>
      <c r="MCY73" s="3"/>
      <c r="MCZ73" s="3"/>
      <c r="MDA73" s="3"/>
      <c r="MDB73" s="3"/>
      <c r="MDC73" s="3"/>
      <c r="MDD73" s="3"/>
      <c r="MDE73" s="3"/>
      <c r="MDF73" s="3"/>
      <c r="MDG73" s="3"/>
      <c r="MDH73" s="3"/>
      <c r="MDI73" s="3"/>
      <c r="MDJ73" s="3"/>
      <c r="MDK73" s="3"/>
      <c r="MDL73" s="3"/>
      <c r="MDM73" s="3"/>
      <c r="MDN73" s="3"/>
      <c r="MDO73" s="3"/>
      <c r="MDP73" s="3"/>
      <c r="MDQ73" s="3"/>
      <c r="MDR73" s="3"/>
      <c r="MDS73" s="3"/>
      <c r="MDT73" s="3"/>
      <c r="MDU73" s="3"/>
      <c r="MDV73" s="3"/>
      <c r="MDW73" s="3"/>
      <c r="MDX73" s="3"/>
      <c r="MDY73" s="3"/>
      <c r="MDZ73" s="3"/>
      <c r="MEA73" s="3"/>
      <c r="MEB73" s="3"/>
      <c r="MEC73" s="3"/>
      <c r="MED73" s="3"/>
      <c r="MEE73" s="3"/>
      <c r="MEF73" s="3"/>
      <c r="MEG73" s="3"/>
      <c r="MEH73" s="3"/>
      <c r="MEI73" s="3"/>
      <c r="MEJ73" s="3"/>
      <c r="MEK73" s="3"/>
      <c r="MEL73" s="3"/>
      <c r="MEM73" s="3"/>
      <c r="MEN73" s="3"/>
      <c r="MEO73" s="3"/>
      <c r="MEP73" s="3"/>
      <c r="MEQ73" s="3"/>
      <c r="MER73" s="3"/>
      <c r="MES73" s="3"/>
      <c r="MET73" s="3"/>
      <c r="MEU73" s="3"/>
      <c r="MEV73" s="3"/>
      <c r="MEW73" s="3"/>
      <c r="MEX73" s="3"/>
      <c r="MEY73" s="3"/>
      <c r="MEZ73" s="3"/>
      <c r="MFA73" s="3"/>
      <c r="MFB73" s="3"/>
      <c r="MFC73" s="3"/>
      <c r="MFD73" s="3"/>
      <c r="MFE73" s="3"/>
      <c r="MFF73" s="3"/>
      <c r="MFG73" s="3"/>
      <c r="MFH73" s="3"/>
      <c r="MFI73" s="3"/>
      <c r="MFJ73" s="3"/>
      <c r="MFK73" s="3"/>
      <c r="MFL73" s="3"/>
      <c r="MFM73" s="3"/>
      <c r="MFN73" s="3"/>
      <c r="MFO73" s="3"/>
      <c r="MFP73" s="3"/>
      <c r="MFQ73" s="3"/>
      <c r="MFR73" s="3"/>
      <c r="MFS73" s="3"/>
      <c r="MFT73" s="3"/>
      <c r="MFU73" s="3"/>
      <c r="MFV73" s="3"/>
      <c r="MFW73" s="3"/>
      <c r="MFX73" s="3"/>
      <c r="MFY73" s="3"/>
      <c r="MFZ73" s="3"/>
      <c r="MGA73" s="3"/>
      <c r="MGB73" s="3"/>
      <c r="MGC73" s="3"/>
      <c r="MGD73" s="3"/>
      <c r="MGE73" s="3"/>
      <c r="MGF73" s="3"/>
      <c r="MGG73" s="3"/>
      <c r="MGH73" s="3"/>
      <c r="MGI73" s="3"/>
      <c r="MGJ73" s="3"/>
      <c r="MGK73" s="3"/>
      <c r="MGL73" s="3"/>
      <c r="MGM73" s="3"/>
      <c r="MGN73" s="3"/>
      <c r="MGO73" s="3"/>
      <c r="MGP73" s="3"/>
      <c r="MGQ73" s="3"/>
      <c r="MGR73" s="3"/>
      <c r="MGS73" s="3"/>
      <c r="MGT73" s="3"/>
      <c r="MGU73" s="3"/>
      <c r="MGV73" s="3"/>
      <c r="MGW73" s="3"/>
      <c r="MGX73" s="3"/>
      <c r="MGY73" s="3"/>
      <c r="MGZ73" s="3"/>
      <c r="MHA73" s="3"/>
      <c r="MHB73" s="3"/>
      <c r="MHC73" s="3"/>
      <c r="MHD73" s="3"/>
      <c r="MHE73" s="3"/>
      <c r="MHF73" s="3"/>
      <c r="MHG73" s="3"/>
      <c r="MHH73" s="3"/>
      <c r="MHI73" s="3"/>
      <c r="MHJ73" s="3"/>
      <c r="MHK73" s="3"/>
      <c r="MHL73" s="3"/>
      <c r="MHM73" s="3"/>
      <c r="MHN73" s="3"/>
      <c r="MHO73" s="3"/>
      <c r="MHP73" s="3"/>
      <c r="MHQ73" s="3"/>
      <c r="MHR73" s="3"/>
      <c r="MHS73" s="3"/>
      <c r="MHT73" s="3"/>
      <c r="MHU73" s="3"/>
      <c r="MHV73" s="3"/>
      <c r="MHW73" s="3"/>
      <c r="MHX73" s="3"/>
      <c r="MHY73" s="3"/>
      <c r="MHZ73" s="3"/>
      <c r="MIA73" s="3"/>
      <c r="MIB73" s="3"/>
      <c r="MIC73" s="3"/>
      <c r="MID73" s="3"/>
      <c r="MIE73" s="3"/>
      <c r="MIF73" s="3"/>
      <c r="MIG73" s="3"/>
      <c r="MIH73" s="3"/>
      <c r="MII73" s="3"/>
      <c r="MIJ73" s="3"/>
      <c r="MIK73" s="3"/>
      <c r="MIL73" s="3"/>
      <c r="MIM73" s="3"/>
      <c r="MIN73" s="3"/>
      <c r="MIO73" s="3"/>
      <c r="MIP73" s="3"/>
      <c r="MIQ73" s="3"/>
      <c r="MIR73" s="3"/>
      <c r="MIS73" s="3"/>
      <c r="MIT73" s="3"/>
      <c r="MIU73" s="3"/>
      <c r="MIV73" s="3"/>
      <c r="MIW73" s="3"/>
      <c r="MIX73" s="3"/>
      <c r="MIY73" s="3"/>
      <c r="MIZ73" s="3"/>
      <c r="MJA73" s="3"/>
      <c r="MJB73" s="3"/>
      <c r="MJC73" s="3"/>
      <c r="MJD73" s="3"/>
      <c r="MJE73" s="3"/>
      <c r="MJF73" s="3"/>
      <c r="MJG73" s="3"/>
      <c r="MJH73" s="3"/>
      <c r="MJI73" s="3"/>
      <c r="MJJ73" s="3"/>
      <c r="MJK73" s="3"/>
      <c r="MJL73" s="3"/>
      <c r="MJM73" s="3"/>
      <c r="MJN73" s="3"/>
      <c r="MJO73" s="3"/>
      <c r="MJP73" s="3"/>
      <c r="MJQ73" s="3"/>
      <c r="MJR73" s="3"/>
      <c r="MJS73" s="3"/>
      <c r="MJT73" s="3"/>
      <c r="MJU73" s="3"/>
      <c r="MJV73" s="3"/>
      <c r="MJW73" s="3"/>
      <c r="MJX73" s="3"/>
      <c r="MJY73" s="3"/>
      <c r="MJZ73" s="3"/>
      <c r="MKA73" s="3"/>
      <c r="MKB73" s="3"/>
      <c r="MKC73" s="3"/>
      <c r="MKD73" s="3"/>
      <c r="MKE73" s="3"/>
      <c r="MKF73" s="3"/>
      <c r="MKG73" s="3"/>
      <c r="MKH73" s="3"/>
      <c r="MKI73" s="3"/>
      <c r="MKJ73" s="3"/>
      <c r="MKK73" s="3"/>
      <c r="MKL73" s="3"/>
      <c r="MKM73" s="3"/>
      <c r="MKN73" s="3"/>
      <c r="MKO73" s="3"/>
      <c r="MKP73" s="3"/>
      <c r="MKQ73" s="3"/>
      <c r="MKR73" s="3"/>
      <c r="MKS73" s="3"/>
      <c r="MKT73" s="3"/>
      <c r="MKU73" s="3"/>
      <c r="MKV73" s="3"/>
      <c r="MKW73" s="3"/>
      <c r="MKX73" s="3"/>
      <c r="MKY73" s="3"/>
      <c r="MKZ73" s="3"/>
      <c r="MLA73" s="3"/>
      <c r="MLB73" s="3"/>
      <c r="MLC73" s="3"/>
      <c r="MLD73" s="3"/>
      <c r="MLE73" s="3"/>
      <c r="MLF73" s="3"/>
      <c r="MLG73" s="3"/>
      <c r="MLH73" s="3"/>
      <c r="MLI73" s="3"/>
      <c r="MLJ73" s="3"/>
      <c r="MLK73" s="3"/>
      <c r="MLL73" s="3"/>
      <c r="MLM73" s="3"/>
      <c r="MLN73" s="3"/>
      <c r="MLO73" s="3"/>
      <c r="MLP73" s="3"/>
      <c r="MLQ73" s="3"/>
      <c r="MLR73" s="3"/>
      <c r="MLS73" s="3"/>
      <c r="MLT73" s="3"/>
      <c r="MLU73" s="3"/>
      <c r="MLV73" s="3"/>
      <c r="MLW73" s="3"/>
      <c r="MLX73" s="3"/>
      <c r="MLY73" s="3"/>
      <c r="MLZ73" s="3"/>
      <c r="MMA73" s="3"/>
      <c r="MMB73" s="3"/>
      <c r="MMC73" s="3"/>
      <c r="MMD73" s="3"/>
      <c r="MME73" s="3"/>
      <c r="MMF73" s="3"/>
      <c r="MMG73" s="3"/>
      <c r="MMH73" s="3"/>
      <c r="MMI73" s="3"/>
      <c r="MMJ73" s="3"/>
      <c r="MMK73" s="3"/>
      <c r="MML73" s="3"/>
      <c r="MMM73" s="3"/>
      <c r="MMN73" s="3"/>
      <c r="MMO73" s="3"/>
      <c r="MMP73" s="3"/>
      <c r="MMQ73" s="3"/>
      <c r="MMR73" s="3"/>
      <c r="MMS73" s="3"/>
      <c r="MMT73" s="3"/>
      <c r="MMU73" s="3"/>
      <c r="MMV73" s="3"/>
      <c r="MMW73" s="3"/>
      <c r="MMX73" s="3"/>
      <c r="MMY73" s="3"/>
      <c r="MMZ73" s="3"/>
      <c r="MNA73" s="3"/>
      <c r="MNB73" s="3"/>
      <c r="MNC73" s="3"/>
      <c r="MND73" s="3"/>
      <c r="MNE73" s="3"/>
      <c r="MNF73" s="3"/>
      <c r="MNG73" s="3"/>
      <c r="MNH73" s="3"/>
      <c r="MNI73" s="3"/>
      <c r="MNJ73" s="3"/>
      <c r="MNK73" s="3"/>
      <c r="MNL73" s="3"/>
      <c r="MNM73" s="3"/>
      <c r="MNN73" s="3"/>
      <c r="MNO73" s="3"/>
      <c r="MNP73" s="3"/>
      <c r="MNQ73" s="3"/>
      <c r="MNR73" s="3"/>
      <c r="MNS73" s="3"/>
      <c r="MNT73" s="3"/>
      <c r="MNU73" s="3"/>
      <c r="MNV73" s="3"/>
      <c r="MNW73" s="3"/>
      <c r="MNX73" s="3"/>
      <c r="MNY73" s="3"/>
      <c r="MNZ73" s="3"/>
      <c r="MOA73" s="3"/>
      <c r="MOB73" s="3"/>
      <c r="MOC73" s="3"/>
      <c r="MOD73" s="3"/>
      <c r="MOE73" s="3"/>
      <c r="MOF73" s="3"/>
      <c r="MOG73" s="3"/>
      <c r="MOH73" s="3"/>
      <c r="MOI73" s="3"/>
      <c r="MOJ73" s="3"/>
      <c r="MOK73" s="3"/>
      <c r="MOL73" s="3"/>
      <c r="MOM73" s="3"/>
      <c r="MON73" s="3"/>
      <c r="MOO73" s="3"/>
      <c r="MOP73" s="3"/>
      <c r="MOQ73" s="3"/>
      <c r="MOR73" s="3"/>
      <c r="MOS73" s="3"/>
      <c r="MOT73" s="3"/>
      <c r="MOU73" s="3"/>
      <c r="MOV73" s="3"/>
      <c r="MOW73" s="3"/>
      <c r="MOX73" s="3"/>
      <c r="MOY73" s="3"/>
      <c r="MOZ73" s="3"/>
      <c r="MPA73" s="3"/>
      <c r="MPB73" s="3"/>
      <c r="MPC73" s="3"/>
      <c r="MPD73" s="3"/>
      <c r="MPE73" s="3"/>
      <c r="MPF73" s="3"/>
      <c r="MPG73" s="3"/>
      <c r="MPH73" s="3"/>
      <c r="MPI73" s="3"/>
      <c r="MPJ73" s="3"/>
      <c r="MPK73" s="3"/>
      <c r="MPL73" s="3"/>
      <c r="MPM73" s="3"/>
      <c r="MPN73" s="3"/>
      <c r="MPO73" s="3"/>
      <c r="MPP73" s="3"/>
      <c r="MPQ73" s="3"/>
      <c r="MPR73" s="3"/>
      <c r="MPS73" s="3"/>
      <c r="MPT73" s="3"/>
      <c r="MPU73" s="3"/>
      <c r="MPV73" s="3"/>
      <c r="MPW73" s="3"/>
      <c r="MPX73" s="3"/>
      <c r="MPY73" s="3"/>
      <c r="MPZ73" s="3"/>
      <c r="MQA73" s="3"/>
      <c r="MQB73" s="3"/>
      <c r="MQC73" s="3"/>
      <c r="MQD73" s="3"/>
      <c r="MQE73" s="3"/>
      <c r="MQF73" s="3"/>
      <c r="MQG73" s="3"/>
      <c r="MQH73" s="3"/>
      <c r="MQI73" s="3"/>
      <c r="MQJ73" s="3"/>
      <c r="MQK73" s="3"/>
      <c r="MQL73" s="3"/>
      <c r="MQM73" s="3"/>
      <c r="MQN73" s="3"/>
      <c r="MQO73" s="3"/>
      <c r="MQP73" s="3"/>
      <c r="MQQ73" s="3"/>
      <c r="MQR73" s="3"/>
      <c r="MQS73" s="3"/>
      <c r="MQT73" s="3"/>
      <c r="MQU73" s="3"/>
      <c r="MQV73" s="3"/>
      <c r="MQW73" s="3"/>
      <c r="MQX73" s="3"/>
      <c r="MQY73" s="3"/>
      <c r="MQZ73" s="3"/>
      <c r="MRA73" s="3"/>
      <c r="MRB73" s="3"/>
      <c r="MRC73" s="3"/>
      <c r="MRD73" s="3"/>
      <c r="MRE73" s="3"/>
      <c r="MRF73" s="3"/>
      <c r="MRG73" s="3"/>
      <c r="MRH73" s="3"/>
      <c r="MRI73" s="3"/>
      <c r="MRJ73" s="3"/>
      <c r="MRK73" s="3"/>
      <c r="MRL73" s="3"/>
      <c r="MRM73" s="3"/>
      <c r="MRN73" s="3"/>
      <c r="MRO73" s="3"/>
      <c r="MRP73" s="3"/>
      <c r="MRQ73" s="3"/>
      <c r="MRR73" s="3"/>
      <c r="MRS73" s="3"/>
      <c r="MRT73" s="3"/>
      <c r="MRU73" s="3"/>
      <c r="MRV73" s="3"/>
      <c r="MRW73" s="3"/>
      <c r="MRX73" s="3"/>
      <c r="MRY73" s="3"/>
      <c r="MRZ73" s="3"/>
      <c r="MSA73" s="3"/>
      <c r="MSB73" s="3"/>
      <c r="MSC73" s="3"/>
      <c r="MSD73" s="3"/>
      <c r="MSE73" s="3"/>
      <c r="MSF73" s="3"/>
      <c r="MSG73" s="3"/>
      <c r="MSH73" s="3"/>
      <c r="MSI73" s="3"/>
      <c r="MSJ73" s="3"/>
      <c r="MSK73" s="3"/>
      <c r="MSL73" s="3"/>
      <c r="MSM73" s="3"/>
      <c r="MSN73" s="3"/>
      <c r="MSO73" s="3"/>
      <c r="MSP73" s="3"/>
      <c r="MSQ73" s="3"/>
      <c r="MSR73" s="3"/>
      <c r="MSS73" s="3"/>
      <c r="MST73" s="3"/>
      <c r="MSU73" s="3"/>
      <c r="MSV73" s="3"/>
      <c r="MSW73" s="3"/>
      <c r="MSX73" s="3"/>
      <c r="MSY73" s="3"/>
      <c r="MSZ73" s="3"/>
      <c r="MTA73" s="3"/>
      <c r="MTB73" s="3"/>
      <c r="MTC73" s="3"/>
      <c r="MTD73" s="3"/>
      <c r="MTE73" s="3"/>
      <c r="MTF73" s="3"/>
      <c r="MTG73" s="3"/>
      <c r="MTH73" s="3"/>
      <c r="MTI73" s="3"/>
      <c r="MTJ73" s="3"/>
      <c r="MTK73" s="3"/>
      <c r="MTL73" s="3"/>
      <c r="MTM73" s="3"/>
      <c r="MTN73" s="3"/>
      <c r="MTO73" s="3"/>
      <c r="MTP73" s="3"/>
      <c r="MTQ73" s="3"/>
      <c r="MTR73" s="3"/>
      <c r="MTS73" s="3"/>
      <c r="MTT73" s="3"/>
      <c r="MTU73" s="3"/>
      <c r="MTV73" s="3"/>
      <c r="MTW73" s="3"/>
      <c r="MTX73" s="3"/>
      <c r="MTY73" s="3"/>
      <c r="MTZ73" s="3"/>
      <c r="MUA73" s="3"/>
      <c r="MUB73" s="3"/>
      <c r="MUC73" s="3"/>
      <c r="MUD73" s="3"/>
      <c r="MUE73" s="3"/>
      <c r="MUF73" s="3"/>
      <c r="MUG73" s="3"/>
      <c r="MUH73" s="3"/>
      <c r="MUI73" s="3"/>
      <c r="MUJ73" s="3"/>
      <c r="MUK73" s="3"/>
      <c r="MUL73" s="3"/>
      <c r="MUM73" s="3"/>
      <c r="MUN73" s="3"/>
      <c r="MUO73" s="3"/>
      <c r="MUP73" s="3"/>
      <c r="MUQ73" s="3"/>
      <c r="MUR73" s="3"/>
      <c r="MUS73" s="3"/>
      <c r="MUT73" s="3"/>
      <c r="MUU73" s="3"/>
      <c r="MUV73" s="3"/>
      <c r="MUW73" s="3"/>
      <c r="MUX73" s="3"/>
      <c r="MUY73" s="3"/>
      <c r="MUZ73" s="3"/>
      <c r="MVA73" s="3"/>
      <c r="MVB73" s="3"/>
      <c r="MVC73" s="3"/>
      <c r="MVD73" s="3"/>
      <c r="MVE73" s="3"/>
      <c r="MVF73" s="3"/>
      <c r="MVG73" s="3"/>
      <c r="MVH73" s="3"/>
      <c r="MVI73" s="3"/>
      <c r="MVJ73" s="3"/>
      <c r="MVK73" s="3"/>
      <c r="MVL73" s="3"/>
      <c r="MVM73" s="3"/>
      <c r="MVN73" s="3"/>
      <c r="MVO73" s="3"/>
      <c r="MVP73" s="3"/>
      <c r="MVQ73" s="3"/>
      <c r="MVR73" s="3"/>
      <c r="MVS73" s="3"/>
      <c r="MVT73" s="3"/>
      <c r="MVU73" s="3"/>
      <c r="MVV73" s="3"/>
      <c r="MVW73" s="3"/>
      <c r="MVX73" s="3"/>
      <c r="MVY73" s="3"/>
      <c r="MVZ73" s="3"/>
      <c r="MWA73" s="3"/>
      <c r="MWB73" s="3"/>
      <c r="MWC73" s="3"/>
      <c r="MWD73" s="3"/>
      <c r="MWE73" s="3"/>
      <c r="MWF73" s="3"/>
      <c r="MWG73" s="3"/>
      <c r="MWH73" s="3"/>
      <c r="MWI73" s="3"/>
      <c r="MWJ73" s="3"/>
      <c r="MWK73" s="3"/>
      <c r="MWL73" s="3"/>
      <c r="MWM73" s="3"/>
      <c r="MWN73" s="3"/>
      <c r="MWO73" s="3"/>
      <c r="MWP73" s="3"/>
      <c r="MWQ73" s="3"/>
      <c r="MWR73" s="3"/>
      <c r="MWS73" s="3"/>
      <c r="MWT73" s="3"/>
      <c r="MWU73" s="3"/>
      <c r="MWV73" s="3"/>
      <c r="MWW73" s="3"/>
      <c r="MWX73" s="3"/>
      <c r="MWY73" s="3"/>
      <c r="MWZ73" s="3"/>
      <c r="MXA73" s="3"/>
      <c r="MXB73" s="3"/>
      <c r="MXC73" s="3"/>
      <c r="MXD73" s="3"/>
      <c r="MXE73" s="3"/>
      <c r="MXF73" s="3"/>
      <c r="MXG73" s="3"/>
      <c r="MXH73" s="3"/>
      <c r="MXI73" s="3"/>
      <c r="MXJ73" s="3"/>
      <c r="MXK73" s="3"/>
      <c r="MXL73" s="3"/>
      <c r="MXM73" s="3"/>
      <c r="MXN73" s="3"/>
      <c r="MXO73" s="3"/>
      <c r="MXP73" s="3"/>
      <c r="MXQ73" s="3"/>
      <c r="MXR73" s="3"/>
      <c r="MXS73" s="3"/>
      <c r="MXT73" s="3"/>
      <c r="MXU73" s="3"/>
      <c r="MXV73" s="3"/>
      <c r="MXW73" s="3"/>
      <c r="MXX73" s="3"/>
      <c r="MXY73" s="3"/>
      <c r="MXZ73" s="3"/>
      <c r="MYA73" s="3"/>
      <c r="MYB73" s="3"/>
      <c r="MYC73" s="3"/>
      <c r="MYD73" s="3"/>
      <c r="MYE73" s="3"/>
      <c r="MYF73" s="3"/>
      <c r="MYG73" s="3"/>
      <c r="MYH73" s="3"/>
      <c r="MYI73" s="3"/>
      <c r="MYJ73" s="3"/>
      <c r="MYK73" s="3"/>
      <c r="MYL73" s="3"/>
      <c r="MYM73" s="3"/>
      <c r="MYN73" s="3"/>
      <c r="MYO73" s="3"/>
      <c r="MYP73" s="3"/>
      <c r="MYQ73" s="3"/>
      <c r="MYR73" s="3"/>
      <c r="MYS73" s="3"/>
      <c r="MYT73" s="3"/>
      <c r="MYU73" s="3"/>
      <c r="MYV73" s="3"/>
      <c r="MYW73" s="3"/>
      <c r="MYX73" s="3"/>
      <c r="MYY73" s="3"/>
      <c r="MYZ73" s="3"/>
      <c r="MZA73" s="3"/>
      <c r="MZB73" s="3"/>
      <c r="MZC73" s="3"/>
      <c r="MZD73" s="3"/>
      <c r="MZE73" s="3"/>
      <c r="MZF73" s="3"/>
      <c r="MZG73" s="3"/>
      <c r="MZH73" s="3"/>
      <c r="MZI73" s="3"/>
      <c r="MZJ73" s="3"/>
      <c r="MZK73" s="3"/>
      <c r="MZL73" s="3"/>
      <c r="MZM73" s="3"/>
      <c r="MZN73" s="3"/>
      <c r="MZO73" s="3"/>
      <c r="MZP73" s="3"/>
      <c r="MZQ73" s="3"/>
      <c r="MZR73" s="3"/>
      <c r="MZS73" s="3"/>
      <c r="MZT73" s="3"/>
      <c r="MZU73" s="3"/>
      <c r="MZV73" s="3"/>
      <c r="MZW73" s="3"/>
      <c r="MZX73" s="3"/>
      <c r="MZY73" s="3"/>
      <c r="MZZ73" s="3"/>
      <c r="NAA73" s="3"/>
      <c r="NAB73" s="3"/>
      <c r="NAC73" s="3"/>
      <c r="NAD73" s="3"/>
      <c r="NAE73" s="3"/>
      <c r="NAF73" s="3"/>
      <c r="NAG73" s="3"/>
      <c r="NAH73" s="3"/>
      <c r="NAI73" s="3"/>
      <c r="NAJ73" s="3"/>
      <c r="NAK73" s="3"/>
      <c r="NAL73" s="3"/>
      <c r="NAM73" s="3"/>
      <c r="NAN73" s="3"/>
      <c r="NAO73" s="3"/>
      <c r="NAP73" s="3"/>
      <c r="NAQ73" s="3"/>
      <c r="NAR73" s="3"/>
      <c r="NAS73" s="3"/>
      <c r="NAT73" s="3"/>
      <c r="NAU73" s="3"/>
      <c r="NAV73" s="3"/>
      <c r="NAW73" s="3"/>
      <c r="NAX73" s="3"/>
      <c r="NAY73" s="3"/>
      <c r="NAZ73" s="3"/>
      <c r="NBA73" s="3"/>
      <c r="NBB73" s="3"/>
      <c r="NBC73" s="3"/>
      <c r="NBD73" s="3"/>
      <c r="NBE73" s="3"/>
      <c r="NBF73" s="3"/>
      <c r="NBG73" s="3"/>
      <c r="NBH73" s="3"/>
      <c r="NBI73" s="3"/>
      <c r="NBJ73" s="3"/>
      <c r="NBK73" s="3"/>
      <c r="NBL73" s="3"/>
      <c r="NBM73" s="3"/>
      <c r="NBN73" s="3"/>
      <c r="NBO73" s="3"/>
      <c r="NBP73" s="3"/>
      <c r="NBQ73" s="3"/>
      <c r="NBR73" s="3"/>
      <c r="NBS73" s="3"/>
      <c r="NBT73" s="3"/>
      <c r="NBU73" s="3"/>
      <c r="NBV73" s="3"/>
      <c r="NBW73" s="3"/>
      <c r="NBX73" s="3"/>
      <c r="NBY73" s="3"/>
      <c r="NBZ73" s="3"/>
      <c r="NCA73" s="3"/>
      <c r="NCB73" s="3"/>
      <c r="NCC73" s="3"/>
      <c r="NCD73" s="3"/>
      <c r="NCE73" s="3"/>
      <c r="NCF73" s="3"/>
      <c r="NCG73" s="3"/>
      <c r="NCH73" s="3"/>
      <c r="NCI73" s="3"/>
      <c r="NCJ73" s="3"/>
      <c r="NCK73" s="3"/>
      <c r="NCL73" s="3"/>
      <c r="NCM73" s="3"/>
      <c r="NCN73" s="3"/>
      <c r="NCO73" s="3"/>
      <c r="NCP73" s="3"/>
      <c r="NCQ73" s="3"/>
      <c r="NCR73" s="3"/>
      <c r="NCS73" s="3"/>
      <c r="NCT73" s="3"/>
      <c r="NCU73" s="3"/>
      <c r="NCV73" s="3"/>
      <c r="NCW73" s="3"/>
      <c r="NCX73" s="3"/>
      <c r="NCY73" s="3"/>
      <c r="NCZ73" s="3"/>
      <c r="NDA73" s="3"/>
      <c r="NDB73" s="3"/>
      <c r="NDC73" s="3"/>
      <c r="NDD73" s="3"/>
      <c r="NDE73" s="3"/>
      <c r="NDF73" s="3"/>
      <c r="NDG73" s="3"/>
      <c r="NDH73" s="3"/>
      <c r="NDI73" s="3"/>
      <c r="NDJ73" s="3"/>
      <c r="NDK73" s="3"/>
      <c r="NDL73" s="3"/>
      <c r="NDM73" s="3"/>
      <c r="NDN73" s="3"/>
      <c r="NDO73" s="3"/>
      <c r="NDP73" s="3"/>
      <c r="NDQ73" s="3"/>
      <c r="NDR73" s="3"/>
      <c r="NDS73" s="3"/>
      <c r="NDT73" s="3"/>
      <c r="NDU73" s="3"/>
      <c r="NDV73" s="3"/>
      <c r="NDW73" s="3"/>
      <c r="NDX73" s="3"/>
      <c r="NDY73" s="3"/>
      <c r="NDZ73" s="3"/>
      <c r="NEA73" s="3"/>
      <c r="NEB73" s="3"/>
      <c r="NEC73" s="3"/>
      <c r="NED73" s="3"/>
      <c r="NEE73" s="3"/>
      <c r="NEF73" s="3"/>
      <c r="NEG73" s="3"/>
      <c r="NEH73" s="3"/>
      <c r="NEI73" s="3"/>
      <c r="NEJ73" s="3"/>
      <c r="NEK73" s="3"/>
      <c r="NEL73" s="3"/>
      <c r="NEM73" s="3"/>
      <c r="NEN73" s="3"/>
      <c r="NEO73" s="3"/>
      <c r="NEP73" s="3"/>
      <c r="NEQ73" s="3"/>
      <c r="NER73" s="3"/>
      <c r="NES73" s="3"/>
      <c r="NET73" s="3"/>
      <c r="NEU73" s="3"/>
      <c r="NEV73" s="3"/>
      <c r="NEW73" s="3"/>
      <c r="NEX73" s="3"/>
      <c r="NEY73" s="3"/>
      <c r="NEZ73" s="3"/>
      <c r="NFA73" s="3"/>
      <c r="NFB73" s="3"/>
      <c r="NFC73" s="3"/>
      <c r="NFD73" s="3"/>
      <c r="NFE73" s="3"/>
      <c r="NFF73" s="3"/>
      <c r="NFG73" s="3"/>
      <c r="NFH73" s="3"/>
      <c r="NFI73" s="3"/>
      <c r="NFJ73" s="3"/>
      <c r="NFK73" s="3"/>
      <c r="NFL73" s="3"/>
      <c r="NFM73" s="3"/>
      <c r="NFN73" s="3"/>
      <c r="NFO73" s="3"/>
      <c r="NFP73" s="3"/>
      <c r="NFQ73" s="3"/>
      <c r="NFR73" s="3"/>
      <c r="NFS73" s="3"/>
      <c r="NFT73" s="3"/>
      <c r="NFU73" s="3"/>
      <c r="NFV73" s="3"/>
      <c r="NFW73" s="3"/>
      <c r="NFX73" s="3"/>
      <c r="NFY73" s="3"/>
      <c r="NFZ73" s="3"/>
      <c r="NGA73" s="3"/>
      <c r="NGB73" s="3"/>
      <c r="NGC73" s="3"/>
      <c r="NGD73" s="3"/>
      <c r="NGE73" s="3"/>
      <c r="NGF73" s="3"/>
      <c r="NGG73" s="3"/>
      <c r="NGH73" s="3"/>
      <c r="NGI73" s="3"/>
      <c r="NGJ73" s="3"/>
      <c r="NGK73" s="3"/>
      <c r="NGL73" s="3"/>
      <c r="NGM73" s="3"/>
      <c r="NGN73" s="3"/>
      <c r="NGO73" s="3"/>
      <c r="NGP73" s="3"/>
      <c r="NGQ73" s="3"/>
      <c r="NGR73" s="3"/>
      <c r="NGS73" s="3"/>
      <c r="NGT73" s="3"/>
      <c r="NGU73" s="3"/>
      <c r="NGV73" s="3"/>
      <c r="NGW73" s="3"/>
      <c r="NGX73" s="3"/>
      <c r="NGY73" s="3"/>
      <c r="NGZ73" s="3"/>
      <c r="NHA73" s="3"/>
      <c r="NHB73" s="3"/>
      <c r="NHC73" s="3"/>
      <c r="NHD73" s="3"/>
      <c r="NHE73" s="3"/>
      <c r="NHF73" s="3"/>
      <c r="NHG73" s="3"/>
      <c r="NHH73" s="3"/>
      <c r="NHI73" s="3"/>
      <c r="NHJ73" s="3"/>
      <c r="NHK73" s="3"/>
      <c r="NHL73" s="3"/>
      <c r="NHM73" s="3"/>
      <c r="NHN73" s="3"/>
      <c r="NHO73" s="3"/>
      <c r="NHP73" s="3"/>
      <c r="NHQ73" s="3"/>
      <c r="NHR73" s="3"/>
      <c r="NHS73" s="3"/>
      <c r="NHT73" s="3"/>
      <c r="NHU73" s="3"/>
      <c r="NHV73" s="3"/>
      <c r="NHW73" s="3"/>
      <c r="NHX73" s="3"/>
      <c r="NHY73" s="3"/>
      <c r="NHZ73" s="3"/>
      <c r="NIA73" s="3"/>
      <c r="NIB73" s="3"/>
      <c r="NIC73" s="3"/>
      <c r="NID73" s="3"/>
      <c r="NIE73" s="3"/>
      <c r="NIF73" s="3"/>
      <c r="NIG73" s="3"/>
      <c r="NIH73" s="3"/>
      <c r="NII73" s="3"/>
      <c r="NIJ73" s="3"/>
      <c r="NIK73" s="3"/>
      <c r="NIL73" s="3"/>
      <c r="NIM73" s="3"/>
      <c r="NIN73" s="3"/>
      <c r="NIO73" s="3"/>
      <c r="NIP73" s="3"/>
      <c r="NIQ73" s="3"/>
      <c r="NIR73" s="3"/>
      <c r="NIS73" s="3"/>
      <c r="NIT73" s="3"/>
      <c r="NIU73" s="3"/>
      <c r="NIV73" s="3"/>
      <c r="NIW73" s="3"/>
      <c r="NIX73" s="3"/>
      <c r="NIY73" s="3"/>
      <c r="NIZ73" s="3"/>
      <c r="NJA73" s="3"/>
      <c r="NJB73" s="3"/>
      <c r="NJC73" s="3"/>
      <c r="NJD73" s="3"/>
      <c r="NJE73" s="3"/>
      <c r="NJF73" s="3"/>
      <c r="NJG73" s="3"/>
      <c r="NJH73" s="3"/>
      <c r="NJI73" s="3"/>
      <c r="NJJ73" s="3"/>
      <c r="NJK73" s="3"/>
      <c r="NJL73" s="3"/>
      <c r="NJM73" s="3"/>
      <c r="NJN73" s="3"/>
      <c r="NJO73" s="3"/>
      <c r="NJP73" s="3"/>
      <c r="NJQ73" s="3"/>
      <c r="NJR73" s="3"/>
      <c r="NJS73" s="3"/>
      <c r="NJT73" s="3"/>
      <c r="NJU73" s="3"/>
      <c r="NJV73" s="3"/>
      <c r="NJW73" s="3"/>
      <c r="NJX73" s="3"/>
      <c r="NJY73" s="3"/>
      <c r="NJZ73" s="3"/>
      <c r="NKA73" s="3"/>
      <c r="NKB73" s="3"/>
      <c r="NKC73" s="3"/>
      <c r="NKD73" s="3"/>
      <c r="NKE73" s="3"/>
      <c r="NKF73" s="3"/>
      <c r="NKG73" s="3"/>
      <c r="NKH73" s="3"/>
      <c r="NKI73" s="3"/>
      <c r="NKJ73" s="3"/>
      <c r="NKK73" s="3"/>
      <c r="NKL73" s="3"/>
      <c r="NKM73" s="3"/>
      <c r="NKN73" s="3"/>
      <c r="NKO73" s="3"/>
      <c r="NKP73" s="3"/>
      <c r="NKQ73" s="3"/>
      <c r="NKR73" s="3"/>
      <c r="NKS73" s="3"/>
      <c r="NKT73" s="3"/>
      <c r="NKU73" s="3"/>
      <c r="NKV73" s="3"/>
      <c r="NKW73" s="3"/>
      <c r="NKX73" s="3"/>
      <c r="NKY73" s="3"/>
      <c r="NKZ73" s="3"/>
      <c r="NLA73" s="3"/>
      <c r="NLB73" s="3"/>
      <c r="NLC73" s="3"/>
      <c r="NLD73" s="3"/>
      <c r="NLE73" s="3"/>
      <c r="NLF73" s="3"/>
      <c r="NLG73" s="3"/>
      <c r="NLH73" s="3"/>
      <c r="NLI73" s="3"/>
      <c r="NLJ73" s="3"/>
      <c r="NLK73" s="3"/>
      <c r="NLL73" s="3"/>
      <c r="NLM73" s="3"/>
      <c r="NLN73" s="3"/>
      <c r="NLO73" s="3"/>
      <c r="NLP73" s="3"/>
      <c r="NLQ73" s="3"/>
      <c r="NLR73" s="3"/>
      <c r="NLS73" s="3"/>
      <c r="NLT73" s="3"/>
      <c r="NLU73" s="3"/>
      <c r="NLV73" s="3"/>
      <c r="NLW73" s="3"/>
      <c r="NLX73" s="3"/>
      <c r="NLY73" s="3"/>
      <c r="NLZ73" s="3"/>
      <c r="NMA73" s="3"/>
      <c r="NMB73" s="3"/>
      <c r="NMC73" s="3"/>
      <c r="NMD73" s="3"/>
      <c r="NME73" s="3"/>
      <c r="NMF73" s="3"/>
      <c r="NMG73" s="3"/>
      <c r="NMH73" s="3"/>
      <c r="NMI73" s="3"/>
      <c r="NMJ73" s="3"/>
      <c r="NMK73" s="3"/>
      <c r="NML73" s="3"/>
      <c r="NMM73" s="3"/>
      <c r="NMN73" s="3"/>
      <c r="NMO73" s="3"/>
      <c r="NMP73" s="3"/>
      <c r="NMQ73" s="3"/>
      <c r="NMR73" s="3"/>
      <c r="NMS73" s="3"/>
      <c r="NMT73" s="3"/>
      <c r="NMU73" s="3"/>
      <c r="NMV73" s="3"/>
      <c r="NMW73" s="3"/>
      <c r="NMX73" s="3"/>
      <c r="NMY73" s="3"/>
      <c r="NMZ73" s="3"/>
      <c r="NNA73" s="3"/>
      <c r="NNB73" s="3"/>
      <c r="NNC73" s="3"/>
      <c r="NND73" s="3"/>
      <c r="NNE73" s="3"/>
      <c r="NNF73" s="3"/>
      <c r="NNG73" s="3"/>
      <c r="NNH73" s="3"/>
      <c r="NNI73" s="3"/>
      <c r="NNJ73" s="3"/>
      <c r="NNK73" s="3"/>
      <c r="NNL73" s="3"/>
      <c r="NNM73" s="3"/>
      <c r="NNN73" s="3"/>
      <c r="NNO73" s="3"/>
      <c r="NNP73" s="3"/>
      <c r="NNQ73" s="3"/>
      <c r="NNR73" s="3"/>
      <c r="NNS73" s="3"/>
      <c r="NNT73" s="3"/>
      <c r="NNU73" s="3"/>
      <c r="NNV73" s="3"/>
      <c r="NNW73" s="3"/>
      <c r="NNX73" s="3"/>
      <c r="NNY73" s="3"/>
      <c r="NNZ73" s="3"/>
      <c r="NOA73" s="3"/>
      <c r="NOB73" s="3"/>
      <c r="NOC73" s="3"/>
      <c r="NOD73" s="3"/>
      <c r="NOE73" s="3"/>
      <c r="NOF73" s="3"/>
      <c r="NOG73" s="3"/>
      <c r="NOH73" s="3"/>
      <c r="NOI73" s="3"/>
      <c r="NOJ73" s="3"/>
      <c r="NOK73" s="3"/>
      <c r="NOL73" s="3"/>
      <c r="NOM73" s="3"/>
      <c r="NON73" s="3"/>
      <c r="NOO73" s="3"/>
      <c r="NOP73" s="3"/>
      <c r="NOQ73" s="3"/>
      <c r="NOR73" s="3"/>
      <c r="NOS73" s="3"/>
      <c r="NOT73" s="3"/>
      <c r="NOU73" s="3"/>
      <c r="NOV73" s="3"/>
      <c r="NOW73" s="3"/>
      <c r="NOX73" s="3"/>
      <c r="NOY73" s="3"/>
      <c r="NOZ73" s="3"/>
      <c r="NPA73" s="3"/>
      <c r="NPB73" s="3"/>
      <c r="NPC73" s="3"/>
      <c r="NPD73" s="3"/>
      <c r="NPE73" s="3"/>
      <c r="NPF73" s="3"/>
      <c r="NPG73" s="3"/>
      <c r="NPH73" s="3"/>
      <c r="NPI73" s="3"/>
      <c r="NPJ73" s="3"/>
      <c r="NPK73" s="3"/>
      <c r="NPL73" s="3"/>
      <c r="NPM73" s="3"/>
      <c r="NPN73" s="3"/>
      <c r="NPO73" s="3"/>
      <c r="NPP73" s="3"/>
      <c r="NPQ73" s="3"/>
      <c r="NPR73" s="3"/>
      <c r="NPS73" s="3"/>
      <c r="NPT73" s="3"/>
      <c r="NPU73" s="3"/>
      <c r="NPV73" s="3"/>
      <c r="NPW73" s="3"/>
      <c r="NPX73" s="3"/>
      <c r="NPY73" s="3"/>
      <c r="NPZ73" s="3"/>
      <c r="NQA73" s="3"/>
      <c r="NQB73" s="3"/>
      <c r="NQC73" s="3"/>
      <c r="NQD73" s="3"/>
      <c r="NQE73" s="3"/>
      <c r="NQF73" s="3"/>
      <c r="NQG73" s="3"/>
      <c r="NQH73" s="3"/>
      <c r="NQI73" s="3"/>
      <c r="NQJ73" s="3"/>
      <c r="NQK73" s="3"/>
      <c r="NQL73" s="3"/>
      <c r="NQM73" s="3"/>
      <c r="NQN73" s="3"/>
      <c r="NQO73" s="3"/>
      <c r="NQP73" s="3"/>
      <c r="NQQ73" s="3"/>
      <c r="NQR73" s="3"/>
      <c r="NQS73" s="3"/>
      <c r="NQT73" s="3"/>
      <c r="NQU73" s="3"/>
      <c r="NQV73" s="3"/>
      <c r="NQW73" s="3"/>
      <c r="NQX73" s="3"/>
      <c r="NQY73" s="3"/>
      <c r="NQZ73" s="3"/>
      <c r="NRA73" s="3"/>
      <c r="NRB73" s="3"/>
      <c r="NRC73" s="3"/>
      <c r="NRD73" s="3"/>
      <c r="NRE73" s="3"/>
      <c r="NRF73" s="3"/>
      <c r="NRG73" s="3"/>
      <c r="NRH73" s="3"/>
      <c r="NRI73" s="3"/>
      <c r="NRJ73" s="3"/>
      <c r="NRK73" s="3"/>
      <c r="NRL73" s="3"/>
      <c r="NRM73" s="3"/>
      <c r="NRN73" s="3"/>
      <c r="NRO73" s="3"/>
      <c r="NRP73" s="3"/>
      <c r="NRQ73" s="3"/>
      <c r="NRR73" s="3"/>
      <c r="NRS73" s="3"/>
      <c r="NRT73" s="3"/>
      <c r="NRU73" s="3"/>
      <c r="NRV73" s="3"/>
      <c r="NRW73" s="3"/>
      <c r="NRX73" s="3"/>
      <c r="NRY73" s="3"/>
      <c r="NRZ73" s="3"/>
      <c r="NSA73" s="3"/>
      <c r="NSB73" s="3"/>
      <c r="NSC73" s="3"/>
      <c r="NSD73" s="3"/>
      <c r="NSE73" s="3"/>
      <c r="NSF73" s="3"/>
      <c r="NSG73" s="3"/>
      <c r="NSH73" s="3"/>
      <c r="NSI73" s="3"/>
      <c r="NSJ73" s="3"/>
      <c r="NSK73" s="3"/>
      <c r="NSL73" s="3"/>
      <c r="NSM73" s="3"/>
      <c r="NSN73" s="3"/>
      <c r="NSO73" s="3"/>
      <c r="NSP73" s="3"/>
      <c r="NSQ73" s="3"/>
      <c r="NSR73" s="3"/>
      <c r="NSS73" s="3"/>
      <c r="NST73" s="3"/>
      <c r="NSU73" s="3"/>
      <c r="NSV73" s="3"/>
      <c r="NSW73" s="3"/>
      <c r="NSX73" s="3"/>
      <c r="NSY73" s="3"/>
      <c r="NSZ73" s="3"/>
      <c r="NTA73" s="3"/>
      <c r="NTB73" s="3"/>
      <c r="NTC73" s="3"/>
      <c r="NTD73" s="3"/>
      <c r="NTE73" s="3"/>
      <c r="NTF73" s="3"/>
      <c r="NTG73" s="3"/>
      <c r="NTH73" s="3"/>
      <c r="NTI73" s="3"/>
      <c r="NTJ73" s="3"/>
      <c r="NTK73" s="3"/>
      <c r="NTL73" s="3"/>
      <c r="NTM73" s="3"/>
      <c r="NTN73" s="3"/>
      <c r="NTO73" s="3"/>
      <c r="NTP73" s="3"/>
      <c r="NTQ73" s="3"/>
      <c r="NTR73" s="3"/>
      <c r="NTS73" s="3"/>
      <c r="NTT73" s="3"/>
      <c r="NTU73" s="3"/>
      <c r="NTV73" s="3"/>
      <c r="NTW73" s="3"/>
      <c r="NTX73" s="3"/>
      <c r="NTY73" s="3"/>
      <c r="NTZ73" s="3"/>
      <c r="NUA73" s="3"/>
      <c r="NUB73" s="3"/>
      <c r="NUC73" s="3"/>
      <c r="NUD73" s="3"/>
      <c r="NUE73" s="3"/>
      <c r="NUF73" s="3"/>
      <c r="NUG73" s="3"/>
      <c r="NUH73" s="3"/>
      <c r="NUI73" s="3"/>
      <c r="NUJ73" s="3"/>
      <c r="NUK73" s="3"/>
      <c r="NUL73" s="3"/>
      <c r="NUM73" s="3"/>
      <c r="NUN73" s="3"/>
      <c r="NUO73" s="3"/>
      <c r="NUP73" s="3"/>
      <c r="NUQ73" s="3"/>
      <c r="NUR73" s="3"/>
      <c r="NUS73" s="3"/>
      <c r="NUT73" s="3"/>
      <c r="NUU73" s="3"/>
      <c r="NUV73" s="3"/>
      <c r="NUW73" s="3"/>
      <c r="NUX73" s="3"/>
      <c r="NUY73" s="3"/>
      <c r="NUZ73" s="3"/>
      <c r="NVA73" s="3"/>
      <c r="NVB73" s="3"/>
      <c r="NVC73" s="3"/>
      <c r="NVD73" s="3"/>
      <c r="NVE73" s="3"/>
      <c r="NVF73" s="3"/>
      <c r="NVG73" s="3"/>
      <c r="NVH73" s="3"/>
      <c r="NVI73" s="3"/>
      <c r="NVJ73" s="3"/>
      <c r="NVK73" s="3"/>
      <c r="NVL73" s="3"/>
      <c r="NVM73" s="3"/>
      <c r="NVN73" s="3"/>
      <c r="NVO73" s="3"/>
      <c r="NVP73" s="3"/>
      <c r="NVQ73" s="3"/>
      <c r="NVR73" s="3"/>
      <c r="NVS73" s="3"/>
      <c r="NVT73" s="3"/>
      <c r="NVU73" s="3"/>
      <c r="NVV73" s="3"/>
      <c r="NVW73" s="3"/>
      <c r="NVX73" s="3"/>
      <c r="NVY73" s="3"/>
      <c r="NVZ73" s="3"/>
      <c r="NWA73" s="3"/>
      <c r="NWB73" s="3"/>
      <c r="NWC73" s="3"/>
      <c r="NWD73" s="3"/>
      <c r="NWE73" s="3"/>
      <c r="NWF73" s="3"/>
      <c r="NWG73" s="3"/>
      <c r="NWH73" s="3"/>
      <c r="NWI73" s="3"/>
      <c r="NWJ73" s="3"/>
      <c r="NWK73" s="3"/>
      <c r="NWL73" s="3"/>
      <c r="NWM73" s="3"/>
      <c r="NWN73" s="3"/>
      <c r="NWO73" s="3"/>
      <c r="NWP73" s="3"/>
      <c r="NWQ73" s="3"/>
      <c r="NWR73" s="3"/>
      <c r="NWS73" s="3"/>
      <c r="NWT73" s="3"/>
      <c r="NWU73" s="3"/>
      <c r="NWV73" s="3"/>
      <c r="NWW73" s="3"/>
      <c r="NWX73" s="3"/>
      <c r="NWY73" s="3"/>
      <c r="NWZ73" s="3"/>
      <c r="NXA73" s="3"/>
      <c r="NXB73" s="3"/>
      <c r="NXC73" s="3"/>
      <c r="NXD73" s="3"/>
      <c r="NXE73" s="3"/>
      <c r="NXF73" s="3"/>
      <c r="NXG73" s="3"/>
      <c r="NXH73" s="3"/>
      <c r="NXI73" s="3"/>
      <c r="NXJ73" s="3"/>
      <c r="NXK73" s="3"/>
      <c r="NXL73" s="3"/>
      <c r="NXM73" s="3"/>
      <c r="NXN73" s="3"/>
      <c r="NXO73" s="3"/>
      <c r="NXP73" s="3"/>
      <c r="NXQ73" s="3"/>
      <c r="NXR73" s="3"/>
      <c r="NXS73" s="3"/>
      <c r="NXT73" s="3"/>
      <c r="NXU73" s="3"/>
      <c r="NXV73" s="3"/>
      <c r="NXW73" s="3"/>
      <c r="NXX73" s="3"/>
      <c r="NXY73" s="3"/>
      <c r="NXZ73" s="3"/>
      <c r="NYA73" s="3"/>
      <c r="NYB73" s="3"/>
      <c r="NYC73" s="3"/>
      <c r="NYD73" s="3"/>
      <c r="NYE73" s="3"/>
      <c r="NYF73" s="3"/>
      <c r="NYG73" s="3"/>
      <c r="NYH73" s="3"/>
      <c r="NYI73" s="3"/>
      <c r="NYJ73" s="3"/>
      <c r="NYK73" s="3"/>
      <c r="NYL73" s="3"/>
      <c r="NYM73" s="3"/>
      <c r="NYN73" s="3"/>
      <c r="NYO73" s="3"/>
      <c r="NYP73" s="3"/>
      <c r="NYQ73" s="3"/>
      <c r="NYR73" s="3"/>
      <c r="NYS73" s="3"/>
      <c r="NYT73" s="3"/>
      <c r="NYU73" s="3"/>
      <c r="NYV73" s="3"/>
      <c r="NYW73" s="3"/>
      <c r="NYX73" s="3"/>
      <c r="NYY73" s="3"/>
      <c r="NYZ73" s="3"/>
      <c r="NZA73" s="3"/>
      <c r="NZB73" s="3"/>
      <c r="NZC73" s="3"/>
      <c r="NZD73" s="3"/>
      <c r="NZE73" s="3"/>
      <c r="NZF73" s="3"/>
      <c r="NZG73" s="3"/>
      <c r="NZH73" s="3"/>
      <c r="NZI73" s="3"/>
      <c r="NZJ73" s="3"/>
      <c r="NZK73" s="3"/>
      <c r="NZL73" s="3"/>
      <c r="NZM73" s="3"/>
      <c r="NZN73" s="3"/>
      <c r="NZO73" s="3"/>
      <c r="NZP73" s="3"/>
      <c r="NZQ73" s="3"/>
      <c r="NZR73" s="3"/>
      <c r="NZS73" s="3"/>
      <c r="NZT73" s="3"/>
      <c r="NZU73" s="3"/>
      <c r="NZV73" s="3"/>
      <c r="NZW73" s="3"/>
      <c r="NZX73" s="3"/>
      <c r="NZY73" s="3"/>
      <c r="NZZ73" s="3"/>
      <c r="OAA73" s="3"/>
      <c r="OAB73" s="3"/>
      <c r="OAC73" s="3"/>
      <c r="OAD73" s="3"/>
      <c r="OAE73" s="3"/>
      <c r="OAF73" s="3"/>
      <c r="OAG73" s="3"/>
      <c r="OAH73" s="3"/>
      <c r="OAI73" s="3"/>
      <c r="OAJ73" s="3"/>
      <c r="OAK73" s="3"/>
      <c r="OAL73" s="3"/>
      <c r="OAM73" s="3"/>
      <c r="OAN73" s="3"/>
      <c r="OAO73" s="3"/>
      <c r="OAP73" s="3"/>
      <c r="OAQ73" s="3"/>
      <c r="OAR73" s="3"/>
      <c r="OAS73" s="3"/>
      <c r="OAT73" s="3"/>
      <c r="OAU73" s="3"/>
      <c r="OAV73" s="3"/>
      <c r="OAW73" s="3"/>
      <c r="OAX73" s="3"/>
      <c r="OAY73" s="3"/>
      <c r="OAZ73" s="3"/>
      <c r="OBA73" s="3"/>
      <c r="OBB73" s="3"/>
      <c r="OBC73" s="3"/>
      <c r="OBD73" s="3"/>
      <c r="OBE73" s="3"/>
      <c r="OBF73" s="3"/>
      <c r="OBG73" s="3"/>
      <c r="OBH73" s="3"/>
      <c r="OBI73" s="3"/>
      <c r="OBJ73" s="3"/>
      <c r="OBK73" s="3"/>
      <c r="OBL73" s="3"/>
      <c r="OBM73" s="3"/>
      <c r="OBN73" s="3"/>
      <c r="OBO73" s="3"/>
      <c r="OBP73" s="3"/>
      <c r="OBQ73" s="3"/>
      <c r="OBR73" s="3"/>
      <c r="OBS73" s="3"/>
      <c r="OBT73" s="3"/>
      <c r="OBU73" s="3"/>
      <c r="OBV73" s="3"/>
      <c r="OBW73" s="3"/>
      <c r="OBX73" s="3"/>
      <c r="OBY73" s="3"/>
      <c r="OBZ73" s="3"/>
      <c r="OCA73" s="3"/>
      <c r="OCB73" s="3"/>
      <c r="OCC73" s="3"/>
      <c r="OCD73" s="3"/>
      <c r="OCE73" s="3"/>
      <c r="OCF73" s="3"/>
      <c r="OCG73" s="3"/>
      <c r="OCH73" s="3"/>
      <c r="OCI73" s="3"/>
      <c r="OCJ73" s="3"/>
      <c r="OCK73" s="3"/>
      <c r="OCL73" s="3"/>
      <c r="OCM73" s="3"/>
      <c r="OCN73" s="3"/>
      <c r="OCO73" s="3"/>
      <c r="OCP73" s="3"/>
      <c r="OCQ73" s="3"/>
      <c r="OCR73" s="3"/>
      <c r="OCS73" s="3"/>
      <c r="OCT73" s="3"/>
      <c r="OCU73" s="3"/>
      <c r="OCV73" s="3"/>
      <c r="OCW73" s="3"/>
      <c r="OCX73" s="3"/>
      <c r="OCY73" s="3"/>
      <c r="OCZ73" s="3"/>
      <c r="ODA73" s="3"/>
      <c r="ODB73" s="3"/>
      <c r="ODC73" s="3"/>
      <c r="ODD73" s="3"/>
      <c r="ODE73" s="3"/>
      <c r="ODF73" s="3"/>
      <c r="ODG73" s="3"/>
      <c r="ODH73" s="3"/>
      <c r="ODI73" s="3"/>
      <c r="ODJ73" s="3"/>
      <c r="ODK73" s="3"/>
      <c r="ODL73" s="3"/>
      <c r="ODM73" s="3"/>
      <c r="ODN73" s="3"/>
      <c r="ODO73" s="3"/>
      <c r="ODP73" s="3"/>
      <c r="ODQ73" s="3"/>
      <c r="ODR73" s="3"/>
      <c r="ODS73" s="3"/>
      <c r="ODT73" s="3"/>
      <c r="ODU73" s="3"/>
      <c r="ODV73" s="3"/>
      <c r="ODW73" s="3"/>
      <c r="ODX73" s="3"/>
      <c r="ODY73" s="3"/>
      <c r="ODZ73" s="3"/>
      <c r="OEA73" s="3"/>
      <c r="OEB73" s="3"/>
      <c r="OEC73" s="3"/>
      <c r="OED73" s="3"/>
      <c r="OEE73" s="3"/>
      <c r="OEF73" s="3"/>
      <c r="OEG73" s="3"/>
      <c r="OEH73" s="3"/>
      <c r="OEI73" s="3"/>
      <c r="OEJ73" s="3"/>
      <c r="OEK73" s="3"/>
      <c r="OEL73" s="3"/>
      <c r="OEM73" s="3"/>
      <c r="OEN73" s="3"/>
      <c r="OEO73" s="3"/>
      <c r="OEP73" s="3"/>
      <c r="OEQ73" s="3"/>
      <c r="OER73" s="3"/>
      <c r="OES73" s="3"/>
      <c r="OET73" s="3"/>
      <c r="OEU73" s="3"/>
      <c r="OEV73" s="3"/>
      <c r="OEW73" s="3"/>
      <c r="OEX73" s="3"/>
      <c r="OEY73" s="3"/>
      <c r="OEZ73" s="3"/>
      <c r="OFA73" s="3"/>
      <c r="OFB73" s="3"/>
      <c r="OFC73" s="3"/>
      <c r="OFD73" s="3"/>
      <c r="OFE73" s="3"/>
      <c r="OFF73" s="3"/>
      <c r="OFG73" s="3"/>
      <c r="OFH73" s="3"/>
      <c r="OFI73" s="3"/>
      <c r="OFJ73" s="3"/>
      <c r="OFK73" s="3"/>
      <c r="OFL73" s="3"/>
      <c r="OFM73" s="3"/>
      <c r="OFN73" s="3"/>
      <c r="OFO73" s="3"/>
      <c r="OFP73" s="3"/>
      <c r="OFQ73" s="3"/>
      <c r="OFR73" s="3"/>
      <c r="OFS73" s="3"/>
      <c r="OFT73" s="3"/>
      <c r="OFU73" s="3"/>
      <c r="OFV73" s="3"/>
      <c r="OFW73" s="3"/>
      <c r="OFX73" s="3"/>
      <c r="OFY73" s="3"/>
      <c r="OFZ73" s="3"/>
      <c r="OGA73" s="3"/>
      <c r="OGB73" s="3"/>
      <c r="OGC73" s="3"/>
      <c r="OGD73" s="3"/>
      <c r="OGE73" s="3"/>
      <c r="OGF73" s="3"/>
      <c r="OGG73" s="3"/>
      <c r="OGH73" s="3"/>
      <c r="OGI73" s="3"/>
      <c r="OGJ73" s="3"/>
      <c r="OGK73" s="3"/>
      <c r="OGL73" s="3"/>
      <c r="OGM73" s="3"/>
      <c r="OGN73" s="3"/>
      <c r="OGO73" s="3"/>
      <c r="OGP73" s="3"/>
      <c r="OGQ73" s="3"/>
      <c r="OGR73" s="3"/>
      <c r="OGS73" s="3"/>
      <c r="OGT73" s="3"/>
      <c r="OGU73" s="3"/>
      <c r="OGV73" s="3"/>
      <c r="OGW73" s="3"/>
      <c r="OGX73" s="3"/>
      <c r="OGY73" s="3"/>
      <c r="OGZ73" s="3"/>
      <c r="OHA73" s="3"/>
      <c r="OHB73" s="3"/>
      <c r="OHC73" s="3"/>
      <c r="OHD73" s="3"/>
      <c r="OHE73" s="3"/>
      <c r="OHF73" s="3"/>
      <c r="OHG73" s="3"/>
      <c r="OHH73" s="3"/>
      <c r="OHI73" s="3"/>
      <c r="OHJ73" s="3"/>
      <c r="OHK73" s="3"/>
      <c r="OHL73" s="3"/>
      <c r="OHM73" s="3"/>
      <c r="OHN73" s="3"/>
      <c r="OHO73" s="3"/>
      <c r="OHP73" s="3"/>
      <c r="OHQ73" s="3"/>
      <c r="OHR73" s="3"/>
      <c r="OHS73" s="3"/>
      <c r="OHT73" s="3"/>
      <c r="OHU73" s="3"/>
      <c r="OHV73" s="3"/>
      <c r="OHW73" s="3"/>
      <c r="OHX73" s="3"/>
      <c r="OHY73" s="3"/>
      <c r="OHZ73" s="3"/>
      <c r="OIA73" s="3"/>
      <c r="OIB73" s="3"/>
      <c r="OIC73" s="3"/>
      <c r="OID73" s="3"/>
      <c r="OIE73" s="3"/>
      <c r="OIF73" s="3"/>
      <c r="OIG73" s="3"/>
      <c r="OIH73" s="3"/>
      <c r="OII73" s="3"/>
      <c r="OIJ73" s="3"/>
      <c r="OIK73" s="3"/>
      <c r="OIL73" s="3"/>
      <c r="OIM73" s="3"/>
      <c r="OIN73" s="3"/>
      <c r="OIO73" s="3"/>
      <c r="OIP73" s="3"/>
      <c r="OIQ73" s="3"/>
      <c r="OIR73" s="3"/>
      <c r="OIS73" s="3"/>
      <c r="OIT73" s="3"/>
      <c r="OIU73" s="3"/>
      <c r="OIV73" s="3"/>
      <c r="OIW73" s="3"/>
      <c r="OIX73" s="3"/>
      <c r="OIY73" s="3"/>
      <c r="OIZ73" s="3"/>
      <c r="OJA73" s="3"/>
      <c r="OJB73" s="3"/>
      <c r="OJC73" s="3"/>
      <c r="OJD73" s="3"/>
      <c r="OJE73" s="3"/>
      <c r="OJF73" s="3"/>
      <c r="OJG73" s="3"/>
      <c r="OJH73" s="3"/>
      <c r="OJI73" s="3"/>
      <c r="OJJ73" s="3"/>
      <c r="OJK73" s="3"/>
      <c r="OJL73" s="3"/>
      <c r="OJM73" s="3"/>
      <c r="OJN73" s="3"/>
      <c r="OJO73" s="3"/>
      <c r="OJP73" s="3"/>
      <c r="OJQ73" s="3"/>
      <c r="OJR73" s="3"/>
      <c r="OJS73" s="3"/>
      <c r="OJT73" s="3"/>
      <c r="OJU73" s="3"/>
      <c r="OJV73" s="3"/>
      <c r="OJW73" s="3"/>
      <c r="OJX73" s="3"/>
      <c r="OJY73" s="3"/>
      <c r="OJZ73" s="3"/>
      <c r="OKA73" s="3"/>
      <c r="OKB73" s="3"/>
      <c r="OKC73" s="3"/>
      <c r="OKD73" s="3"/>
      <c r="OKE73" s="3"/>
      <c r="OKF73" s="3"/>
      <c r="OKG73" s="3"/>
      <c r="OKH73" s="3"/>
      <c r="OKI73" s="3"/>
      <c r="OKJ73" s="3"/>
      <c r="OKK73" s="3"/>
      <c r="OKL73" s="3"/>
      <c r="OKM73" s="3"/>
      <c r="OKN73" s="3"/>
      <c r="OKO73" s="3"/>
      <c r="OKP73" s="3"/>
      <c r="OKQ73" s="3"/>
      <c r="OKR73" s="3"/>
      <c r="OKS73" s="3"/>
      <c r="OKT73" s="3"/>
      <c r="OKU73" s="3"/>
      <c r="OKV73" s="3"/>
      <c r="OKW73" s="3"/>
      <c r="OKX73" s="3"/>
      <c r="OKY73" s="3"/>
      <c r="OKZ73" s="3"/>
      <c r="OLA73" s="3"/>
      <c r="OLB73" s="3"/>
      <c r="OLC73" s="3"/>
      <c r="OLD73" s="3"/>
      <c r="OLE73" s="3"/>
      <c r="OLF73" s="3"/>
      <c r="OLG73" s="3"/>
      <c r="OLH73" s="3"/>
      <c r="OLI73" s="3"/>
      <c r="OLJ73" s="3"/>
      <c r="OLK73" s="3"/>
      <c r="OLL73" s="3"/>
      <c r="OLM73" s="3"/>
      <c r="OLN73" s="3"/>
      <c r="OLO73" s="3"/>
      <c r="OLP73" s="3"/>
      <c r="OLQ73" s="3"/>
      <c r="OLR73" s="3"/>
      <c r="OLS73" s="3"/>
      <c r="OLT73" s="3"/>
      <c r="OLU73" s="3"/>
      <c r="OLV73" s="3"/>
      <c r="OLW73" s="3"/>
      <c r="OLX73" s="3"/>
      <c r="OLY73" s="3"/>
      <c r="OLZ73" s="3"/>
      <c r="OMA73" s="3"/>
      <c r="OMB73" s="3"/>
      <c r="OMC73" s="3"/>
      <c r="OMD73" s="3"/>
      <c r="OME73" s="3"/>
      <c r="OMF73" s="3"/>
      <c r="OMG73" s="3"/>
      <c r="OMH73" s="3"/>
      <c r="OMI73" s="3"/>
      <c r="OMJ73" s="3"/>
      <c r="OMK73" s="3"/>
      <c r="OML73" s="3"/>
      <c r="OMM73" s="3"/>
      <c r="OMN73" s="3"/>
      <c r="OMO73" s="3"/>
      <c r="OMP73" s="3"/>
      <c r="OMQ73" s="3"/>
      <c r="OMR73" s="3"/>
      <c r="OMS73" s="3"/>
      <c r="OMT73" s="3"/>
      <c r="OMU73" s="3"/>
      <c r="OMV73" s="3"/>
      <c r="OMW73" s="3"/>
      <c r="OMX73" s="3"/>
      <c r="OMY73" s="3"/>
      <c r="OMZ73" s="3"/>
      <c r="ONA73" s="3"/>
      <c r="ONB73" s="3"/>
      <c r="ONC73" s="3"/>
      <c r="OND73" s="3"/>
      <c r="ONE73" s="3"/>
      <c r="ONF73" s="3"/>
      <c r="ONG73" s="3"/>
      <c r="ONH73" s="3"/>
      <c r="ONI73" s="3"/>
      <c r="ONJ73" s="3"/>
      <c r="ONK73" s="3"/>
      <c r="ONL73" s="3"/>
      <c r="ONM73" s="3"/>
      <c r="ONN73" s="3"/>
      <c r="ONO73" s="3"/>
      <c r="ONP73" s="3"/>
      <c r="ONQ73" s="3"/>
      <c r="ONR73" s="3"/>
      <c r="ONS73" s="3"/>
      <c r="ONT73" s="3"/>
      <c r="ONU73" s="3"/>
      <c r="ONV73" s="3"/>
      <c r="ONW73" s="3"/>
      <c r="ONX73" s="3"/>
      <c r="ONY73" s="3"/>
      <c r="ONZ73" s="3"/>
      <c r="OOA73" s="3"/>
      <c r="OOB73" s="3"/>
      <c r="OOC73" s="3"/>
      <c r="OOD73" s="3"/>
      <c r="OOE73" s="3"/>
      <c r="OOF73" s="3"/>
      <c r="OOG73" s="3"/>
      <c r="OOH73" s="3"/>
      <c r="OOI73" s="3"/>
      <c r="OOJ73" s="3"/>
      <c r="OOK73" s="3"/>
      <c r="OOL73" s="3"/>
      <c r="OOM73" s="3"/>
      <c r="OON73" s="3"/>
      <c r="OOO73" s="3"/>
      <c r="OOP73" s="3"/>
      <c r="OOQ73" s="3"/>
      <c r="OOR73" s="3"/>
      <c r="OOS73" s="3"/>
      <c r="OOT73" s="3"/>
      <c r="OOU73" s="3"/>
      <c r="OOV73" s="3"/>
      <c r="OOW73" s="3"/>
      <c r="OOX73" s="3"/>
      <c r="OOY73" s="3"/>
      <c r="OOZ73" s="3"/>
      <c r="OPA73" s="3"/>
      <c r="OPB73" s="3"/>
      <c r="OPC73" s="3"/>
      <c r="OPD73" s="3"/>
      <c r="OPE73" s="3"/>
      <c r="OPF73" s="3"/>
      <c r="OPG73" s="3"/>
      <c r="OPH73" s="3"/>
      <c r="OPI73" s="3"/>
      <c r="OPJ73" s="3"/>
      <c r="OPK73" s="3"/>
      <c r="OPL73" s="3"/>
      <c r="OPM73" s="3"/>
      <c r="OPN73" s="3"/>
      <c r="OPO73" s="3"/>
      <c r="OPP73" s="3"/>
      <c r="OPQ73" s="3"/>
      <c r="OPR73" s="3"/>
      <c r="OPS73" s="3"/>
      <c r="OPT73" s="3"/>
      <c r="OPU73" s="3"/>
      <c r="OPV73" s="3"/>
      <c r="OPW73" s="3"/>
      <c r="OPX73" s="3"/>
      <c r="OPY73" s="3"/>
      <c r="OPZ73" s="3"/>
      <c r="OQA73" s="3"/>
      <c r="OQB73" s="3"/>
      <c r="OQC73" s="3"/>
      <c r="OQD73" s="3"/>
      <c r="OQE73" s="3"/>
      <c r="OQF73" s="3"/>
      <c r="OQG73" s="3"/>
      <c r="OQH73" s="3"/>
      <c r="OQI73" s="3"/>
      <c r="OQJ73" s="3"/>
      <c r="OQK73" s="3"/>
      <c r="OQL73" s="3"/>
      <c r="OQM73" s="3"/>
      <c r="OQN73" s="3"/>
      <c r="OQO73" s="3"/>
      <c r="OQP73" s="3"/>
      <c r="OQQ73" s="3"/>
      <c r="OQR73" s="3"/>
      <c r="OQS73" s="3"/>
      <c r="OQT73" s="3"/>
      <c r="OQU73" s="3"/>
      <c r="OQV73" s="3"/>
      <c r="OQW73" s="3"/>
      <c r="OQX73" s="3"/>
      <c r="OQY73" s="3"/>
      <c r="OQZ73" s="3"/>
      <c r="ORA73" s="3"/>
      <c r="ORB73" s="3"/>
      <c r="ORC73" s="3"/>
      <c r="ORD73" s="3"/>
      <c r="ORE73" s="3"/>
      <c r="ORF73" s="3"/>
      <c r="ORG73" s="3"/>
      <c r="ORH73" s="3"/>
      <c r="ORI73" s="3"/>
      <c r="ORJ73" s="3"/>
      <c r="ORK73" s="3"/>
      <c r="ORL73" s="3"/>
      <c r="ORM73" s="3"/>
      <c r="ORN73" s="3"/>
      <c r="ORO73" s="3"/>
      <c r="ORP73" s="3"/>
      <c r="ORQ73" s="3"/>
      <c r="ORR73" s="3"/>
      <c r="ORS73" s="3"/>
      <c r="ORT73" s="3"/>
      <c r="ORU73" s="3"/>
      <c r="ORV73" s="3"/>
      <c r="ORW73" s="3"/>
      <c r="ORX73" s="3"/>
      <c r="ORY73" s="3"/>
      <c r="ORZ73" s="3"/>
      <c r="OSA73" s="3"/>
      <c r="OSB73" s="3"/>
      <c r="OSC73" s="3"/>
      <c r="OSD73" s="3"/>
      <c r="OSE73" s="3"/>
      <c r="OSF73" s="3"/>
      <c r="OSG73" s="3"/>
      <c r="OSH73" s="3"/>
      <c r="OSI73" s="3"/>
      <c r="OSJ73" s="3"/>
      <c r="OSK73" s="3"/>
      <c r="OSL73" s="3"/>
      <c r="OSM73" s="3"/>
      <c r="OSN73" s="3"/>
      <c r="OSO73" s="3"/>
      <c r="OSP73" s="3"/>
      <c r="OSQ73" s="3"/>
      <c r="OSR73" s="3"/>
      <c r="OSS73" s="3"/>
      <c r="OST73" s="3"/>
      <c r="OSU73" s="3"/>
      <c r="OSV73" s="3"/>
      <c r="OSW73" s="3"/>
      <c r="OSX73" s="3"/>
      <c r="OSY73" s="3"/>
      <c r="OSZ73" s="3"/>
      <c r="OTA73" s="3"/>
      <c r="OTB73" s="3"/>
      <c r="OTC73" s="3"/>
      <c r="OTD73" s="3"/>
      <c r="OTE73" s="3"/>
      <c r="OTF73" s="3"/>
      <c r="OTG73" s="3"/>
      <c r="OTH73" s="3"/>
      <c r="OTI73" s="3"/>
      <c r="OTJ73" s="3"/>
      <c r="OTK73" s="3"/>
      <c r="OTL73" s="3"/>
      <c r="OTM73" s="3"/>
      <c r="OTN73" s="3"/>
      <c r="OTO73" s="3"/>
      <c r="OTP73" s="3"/>
      <c r="OTQ73" s="3"/>
      <c r="OTR73" s="3"/>
      <c r="OTS73" s="3"/>
      <c r="OTT73" s="3"/>
      <c r="OTU73" s="3"/>
      <c r="OTV73" s="3"/>
      <c r="OTW73" s="3"/>
      <c r="OTX73" s="3"/>
      <c r="OTY73" s="3"/>
      <c r="OTZ73" s="3"/>
      <c r="OUA73" s="3"/>
      <c r="OUB73" s="3"/>
      <c r="OUC73" s="3"/>
      <c r="OUD73" s="3"/>
      <c r="OUE73" s="3"/>
      <c r="OUF73" s="3"/>
      <c r="OUG73" s="3"/>
      <c r="OUH73" s="3"/>
      <c r="OUI73" s="3"/>
      <c r="OUJ73" s="3"/>
      <c r="OUK73" s="3"/>
      <c r="OUL73" s="3"/>
      <c r="OUM73" s="3"/>
      <c r="OUN73" s="3"/>
      <c r="OUO73" s="3"/>
      <c r="OUP73" s="3"/>
      <c r="OUQ73" s="3"/>
      <c r="OUR73" s="3"/>
      <c r="OUS73" s="3"/>
      <c r="OUT73" s="3"/>
      <c r="OUU73" s="3"/>
      <c r="OUV73" s="3"/>
      <c r="OUW73" s="3"/>
      <c r="OUX73" s="3"/>
      <c r="OUY73" s="3"/>
      <c r="OUZ73" s="3"/>
      <c r="OVA73" s="3"/>
      <c r="OVB73" s="3"/>
      <c r="OVC73" s="3"/>
      <c r="OVD73" s="3"/>
      <c r="OVE73" s="3"/>
      <c r="OVF73" s="3"/>
      <c r="OVG73" s="3"/>
      <c r="OVH73" s="3"/>
      <c r="OVI73" s="3"/>
      <c r="OVJ73" s="3"/>
      <c r="OVK73" s="3"/>
      <c r="OVL73" s="3"/>
      <c r="OVM73" s="3"/>
      <c r="OVN73" s="3"/>
      <c r="OVO73" s="3"/>
      <c r="OVP73" s="3"/>
      <c r="OVQ73" s="3"/>
      <c r="OVR73" s="3"/>
      <c r="OVS73" s="3"/>
      <c r="OVT73" s="3"/>
      <c r="OVU73" s="3"/>
      <c r="OVV73" s="3"/>
      <c r="OVW73" s="3"/>
      <c r="OVX73" s="3"/>
      <c r="OVY73" s="3"/>
      <c r="OVZ73" s="3"/>
      <c r="OWA73" s="3"/>
      <c r="OWB73" s="3"/>
      <c r="OWC73" s="3"/>
      <c r="OWD73" s="3"/>
      <c r="OWE73" s="3"/>
      <c r="OWF73" s="3"/>
      <c r="OWG73" s="3"/>
      <c r="OWH73" s="3"/>
      <c r="OWI73" s="3"/>
      <c r="OWJ73" s="3"/>
      <c r="OWK73" s="3"/>
      <c r="OWL73" s="3"/>
      <c r="OWM73" s="3"/>
      <c r="OWN73" s="3"/>
      <c r="OWO73" s="3"/>
      <c r="OWP73" s="3"/>
      <c r="OWQ73" s="3"/>
      <c r="OWR73" s="3"/>
      <c r="OWS73" s="3"/>
      <c r="OWT73" s="3"/>
      <c r="OWU73" s="3"/>
      <c r="OWV73" s="3"/>
      <c r="OWW73" s="3"/>
      <c r="OWX73" s="3"/>
      <c r="OWY73" s="3"/>
      <c r="OWZ73" s="3"/>
      <c r="OXA73" s="3"/>
      <c r="OXB73" s="3"/>
      <c r="OXC73" s="3"/>
      <c r="OXD73" s="3"/>
      <c r="OXE73" s="3"/>
      <c r="OXF73" s="3"/>
      <c r="OXG73" s="3"/>
      <c r="OXH73" s="3"/>
      <c r="OXI73" s="3"/>
      <c r="OXJ73" s="3"/>
      <c r="OXK73" s="3"/>
      <c r="OXL73" s="3"/>
      <c r="OXM73" s="3"/>
      <c r="OXN73" s="3"/>
      <c r="OXO73" s="3"/>
      <c r="OXP73" s="3"/>
      <c r="OXQ73" s="3"/>
      <c r="OXR73" s="3"/>
      <c r="OXS73" s="3"/>
      <c r="OXT73" s="3"/>
      <c r="OXU73" s="3"/>
      <c r="OXV73" s="3"/>
      <c r="OXW73" s="3"/>
      <c r="OXX73" s="3"/>
      <c r="OXY73" s="3"/>
      <c r="OXZ73" s="3"/>
      <c r="OYA73" s="3"/>
      <c r="OYB73" s="3"/>
      <c r="OYC73" s="3"/>
      <c r="OYD73" s="3"/>
      <c r="OYE73" s="3"/>
      <c r="OYF73" s="3"/>
      <c r="OYG73" s="3"/>
      <c r="OYH73" s="3"/>
      <c r="OYI73" s="3"/>
      <c r="OYJ73" s="3"/>
      <c r="OYK73" s="3"/>
      <c r="OYL73" s="3"/>
      <c r="OYM73" s="3"/>
      <c r="OYN73" s="3"/>
      <c r="OYO73" s="3"/>
      <c r="OYP73" s="3"/>
      <c r="OYQ73" s="3"/>
      <c r="OYR73" s="3"/>
      <c r="OYS73" s="3"/>
      <c r="OYT73" s="3"/>
      <c r="OYU73" s="3"/>
      <c r="OYV73" s="3"/>
      <c r="OYW73" s="3"/>
      <c r="OYX73" s="3"/>
      <c r="OYY73" s="3"/>
      <c r="OYZ73" s="3"/>
      <c r="OZA73" s="3"/>
      <c r="OZB73" s="3"/>
      <c r="OZC73" s="3"/>
      <c r="OZD73" s="3"/>
      <c r="OZE73" s="3"/>
      <c r="OZF73" s="3"/>
      <c r="OZG73" s="3"/>
      <c r="OZH73" s="3"/>
      <c r="OZI73" s="3"/>
      <c r="OZJ73" s="3"/>
      <c r="OZK73" s="3"/>
      <c r="OZL73" s="3"/>
      <c r="OZM73" s="3"/>
      <c r="OZN73" s="3"/>
      <c r="OZO73" s="3"/>
      <c r="OZP73" s="3"/>
      <c r="OZQ73" s="3"/>
      <c r="OZR73" s="3"/>
      <c r="OZS73" s="3"/>
      <c r="OZT73" s="3"/>
      <c r="OZU73" s="3"/>
      <c r="OZV73" s="3"/>
      <c r="OZW73" s="3"/>
      <c r="OZX73" s="3"/>
      <c r="OZY73" s="3"/>
      <c r="OZZ73" s="3"/>
      <c r="PAA73" s="3"/>
      <c r="PAB73" s="3"/>
      <c r="PAC73" s="3"/>
      <c r="PAD73" s="3"/>
      <c r="PAE73" s="3"/>
      <c r="PAF73" s="3"/>
      <c r="PAG73" s="3"/>
      <c r="PAH73" s="3"/>
      <c r="PAI73" s="3"/>
      <c r="PAJ73" s="3"/>
      <c r="PAK73" s="3"/>
      <c r="PAL73" s="3"/>
      <c r="PAM73" s="3"/>
      <c r="PAN73" s="3"/>
      <c r="PAO73" s="3"/>
      <c r="PAP73" s="3"/>
      <c r="PAQ73" s="3"/>
      <c r="PAR73" s="3"/>
      <c r="PAS73" s="3"/>
      <c r="PAT73" s="3"/>
      <c r="PAU73" s="3"/>
      <c r="PAV73" s="3"/>
      <c r="PAW73" s="3"/>
      <c r="PAX73" s="3"/>
      <c r="PAY73" s="3"/>
      <c r="PAZ73" s="3"/>
      <c r="PBA73" s="3"/>
      <c r="PBB73" s="3"/>
      <c r="PBC73" s="3"/>
      <c r="PBD73" s="3"/>
      <c r="PBE73" s="3"/>
      <c r="PBF73" s="3"/>
      <c r="PBG73" s="3"/>
      <c r="PBH73" s="3"/>
      <c r="PBI73" s="3"/>
      <c r="PBJ73" s="3"/>
      <c r="PBK73" s="3"/>
      <c r="PBL73" s="3"/>
      <c r="PBM73" s="3"/>
      <c r="PBN73" s="3"/>
      <c r="PBO73" s="3"/>
      <c r="PBP73" s="3"/>
      <c r="PBQ73" s="3"/>
      <c r="PBR73" s="3"/>
      <c r="PBS73" s="3"/>
      <c r="PBT73" s="3"/>
      <c r="PBU73" s="3"/>
      <c r="PBV73" s="3"/>
      <c r="PBW73" s="3"/>
      <c r="PBX73" s="3"/>
      <c r="PBY73" s="3"/>
      <c r="PBZ73" s="3"/>
      <c r="PCA73" s="3"/>
      <c r="PCB73" s="3"/>
      <c r="PCC73" s="3"/>
      <c r="PCD73" s="3"/>
      <c r="PCE73" s="3"/>
      <c r="PCF73" s="3"/>
      <c r="PCG73" s="3"/>
      <c r="PCH73" s="3"/>
      <c r="PCI73" s="3"/>
      <c r="PCJ73" s="3"/>
      <c r="PCK73" s="3"/>
      <c r="PCL73" s="3"/>
      <c r="PCM73" s="3"/>
      <c r="PCN73" s="3"/>
      <c r="PCO73" s="3"/>
      <c r="PCP73" s="3"/>
      <c r="PCQ73" s="3"/>
      <c r="PCR73" s="3"/>
      <c r="PCS73" s="3"/>
      <c r="PCT73" s="3"/>
      <c r="PCU73" s="3"/>
      <c r="PCV73" s="3"/>
      <c r="PCW73" s="3"/>
      <c r="PCX73" s="3"/>
      <c r="PCY73" s="3"/>
      <c r="PCZ73" s="3"/>
      <c r="PDA73" s="3"/>
      <c r="PDB73" s="3"/>
      <c r="PDC73" s="3"/>
      <c r="PDD73" s="3"/>
      <c r="PDE73" s="3"/>
      <c r="PDF73" s="3"/>
      <c r="PDG73" s="3"/>
      <c r="PDH73" s="3"/>
      <c r="PDI73" s="3"/>
      <c r="PDJ73" s="3"/>
      <c r="PDK73" s="3"/>
      <c r="PDL73" s="3"/>
      <c r="PDM73" s="3"/>
      <c r="PDN73" s="3"/>
      <c r="PDO73" s="3"/>
      <c r="PDP73" s="3"/>
      <c r="PDQ73" s="3"/>
      <c r="PDR73" s="3"/>
      <c r="PDS73" s="3"/>
      <c r="PDT73" s="3"/>
      <c r="PDU73" s="3"/>
      <c r="PDV73" s="3"/>
      <c r="PDW73" s="3"/>
      <c r="PDX73" s="3"/>
      <c r="PDY73" s="3"/>
      <c r="PDZ73" s="3"/>
      <c r="PEA73" s="3"/>
      <c r="PEB73" s="3"/>
      <c r="PEC73" s="3"/>
      <c r="PED73" s="3"/>
      <c r="PEE73" s="3"/>
      <c r="PEF73" s="3"/>
      <c r="PEG73" s="3"/>
      <c r="PEH73" s="3"/>
      <c r="PEI73" s="3"/>
      <c r="PEJ73" s="3"/>
      <c r="PEK73" s="3"/>
      <c r="PEL73" s="3"/>
      <c r="PEM73" s="3"/>
      <c r="PEN73" s="3"/>
      <c r="PEO73" s="3"/>
      <c r="PEP73" s="3"/>
      <c r="PEQ73" s="3"/>
      <c r="PER73" s="3"/>
      <c r="PES73" s="3"/>
      <c r="PET73" s="3"/>
      <c r="PEU73" s="3"/>
      <c r="PEV73" s="3"/>
      <c r="PEW73" s="3"/>
      <c r="PEX73" s="3"/>
      <c r="PEY73" s="3"/>
      <c r="PEZ73" s="3"/>
      <c r="PFA73" s="3"/>
      <c r="PFB73" s="3"/>
      <c r="PFC73" s="3"/>
      <c r="PFD73" s="3"/>
      <c r="PFE73" s="3"/>
      <c r="PFF73" s="3"/>
      <c r="PFG73" s="3"/>
      <c r="PFH73" s="3"/>
      <c r="PFI73" s="3"/>
      <c r="PFJ73" s="3"/>
      <c r="PFK73" s="3"/>
      <c r="PFL73" s="3"/>
      <c r="PFM73" s="3"/>
      <c r="PFN73" s="3"/>
      <c r="PFO73" s="3"/>
      <c r="PFP73" s="3"/>
      <c r="PFQ73" s="3"/>
      <c r="PFR73" s="3"/>
      <c r="PFS73" s="3"/>
      <c r="PFT73" s="3"/>
      <c r="PFU73" s="3"/>
      <c r="PFV73" s="3"/>
      <c r="PFW73" s="3"/>
      <c r="PFX73" s="3"/>
      <c r="PFY73" s="3"/>
      <c r="PFZ73" s="3"/>
      <c r="PGA73" s="3"/>
      <c r="PGB73" s="3"/>
      <c r="PGC73" s="3"/>
      <c r="PGD73" s="3"/>
      <c r="PGE73" s="3"/>
      <c r="PGF73" s="3"/>
      <c r="PGG73" s="3"/>
      <c r="PGH73" s="3"/>
      <c r="PGI73" s="3"/>
      <c r="PGJ73" s="3"/>
      <c r="PGK73" s="3"/>
      <c r="PGL73" s="3"/>
      <c r="PGM73" s="3"/>
      <c r="PGN73" s="3"/>
      <c r="PGO73" s="3"/>
      <c r="PGP73" s="3"/>
      <c r="PGQ73" s="3"/>
      <c r="PGR73" s="3"/>
      <c r="PGS73" s="3"/>
      <c r="PGT73" s="3"/>
      <c r="PGU73" s="3"/>
      <c r="PGV73" s="3"/>
      <c r="PGW73" s="3"/>
      <c r="PGX73" s="3"/>
      <c r="PGY73" s="3"/>
      <c r="PGZ73" s="3"/>
      <c r="PHA73" s="3"/>
      <c r="PHB73" s="3"/>
      <c r="PHC73" s="3"/>
      <c r="PHD73" s="3"/>
      <c r="PHE73" s="3"/>
      <c r="PHF73" s="3"/>
      <c r="PHG73" s="3"/>
      <c r="PHH73" s="3"/>
      <c r="PHI73" s="3"/>
      <c r="PHJ73" s="3"/>
      <c r="PHK73" s="3"/>
      <c r="PHL73" s="3"/>
      <c r="PHM73" s="3"/>
      <c r="PHN73" s="3"/>
      <c r="PHO73" s="3"/>
      <c r="PHP73" s="3"/>
      <c r="PHQ73" s="3"/>
      <c r="PHR73" s="3"/>
      <c r="PHS73" s="3"/>
      <c r="PHT73" s="3"/>
      <c r="PHU73" s="3"/>
      <c r="PHV73" s="3"/>
      <c r="PHW73" s="3"/>
      <c r="PHX73" s="3"/>
      <c r="PHY73" s="3"/>
      <c r="PHZ73" s="3"/>
      <c r="PIA73" s="3"/>
      <c r="PIB73" s="3"/>
      <c r="PIC73" s="3"/>
      <c r="PID73" s="3"/>
      <c r="PIE73" s="3"/>
      <c r="PIF73" s="3"/>
      <c r="PIG73" s="3"/>
      <c r="PIH73" s="3"/>
      <c r="PII73" s="3"/>
      <c r="PIJ73" s="3"/>
      <c r="PIK73" s="3"/>
      <c r="PIL73" s="3"/>
      <c r="PIM73" s="3"/>
      <c r="PIN73" s="3"/>
      <c r="PIO73" s="3"/>
      <c r="PIP73" s="3"/>
      <c r="PIQ73" s="3"/>
      <c r="PIR73" s="3"/>
      <c r="PIS73" s="3"/>
      <c r="PIT73" s="3"/>
      <c r="PIU73" s="3"/>
      <c r="PIV73" s="3"/>
      <c r="PIW73" s="3"/>
      <c r="PIX73" s="3"/>
      <c r="PIY73" s="3"/>
      <c r="PIZ73" s="3"/>
      <c r="PJA73" s="3"/>
      <c r="PJB73" s="3"/>
      <c r="PJC73" s="3"/>
      <c r="PJD73" s="3"/>
      <c r="PJE73" s="3"/>
      <c r="PJF73" s="3"/>
      <c r="PJG73" s="3"/>
      <c r="PJH73" s="3"/>
      <c r="PJI73" s="3"/>
      <c r="PJJ73" s="3"/>
      <c r="PJK73" s="3"/>
      <c r="PJL73" s="3"/>
      <c r="PJM73" s="3"/>
      <c r="PJN73" s="3"/>
      <c r="PJO73" s="3"/>
      <c r="PJP73" s="3"/>
      <c r="PJQ73" s="3"/>
      <c r="PJR73" s="3"/>
      <c r="PJS73" s="3"/>
      <c r="PJT73" s="3"/>
      <c r="PJU73" s="3"/>
      <c r="PJV73" s="3"/>
      <c r="PJW73" s="3"/>
      <c r="PJX73" s="3"/>
      <c r="PJY73" s="3"/>
      <c r="PJZ73" s="3"/>
      <c r="PKA73" s="3"/>
      <c r="PKB73" s="3"/>
      <c r="PKC73" s="3"/>
      <c r="PKD73" s="3"/>
      <c r="PKE73" s="3"/>
      <c r="PKF73" s="3"/>
      <c r="PKG73" s="3"/>
      <c r="PKH73" s="3"/>
      <c r="PKI73" s="3"/>
      <c r="PKJ73" s="3"/>
      <c r="PKK73" s="3"/>
      <c r="PKL73" s="3"/>
      <c r="PKM73" s="3"/>
      <c r="PKN73" s="3"/>
      <c r="PKO73" s="3"/>
      <c r="PKP73" s="3"/>
      <c r="PKQ73" s="3"/>
      <c r="PKR73" s="3"/>
      <c r="PKS73" s="3"/>
      <c r="PKT73" s="3"/>
      <c r="PKU73" s="3"/>
      <c r="PKV73" s="3"/>
      <c r="PKW73" s="3"/>
      <c r="PKX73" s="3"/>
      <c r="PKY73" s="3"/>
      <c r="PKZ73" s="3"/>
      <c r="PLA73" s="3"/>
      <c r="PLB73" s="3"/>
      <c r="PLC73" s="3"/>
      <c r="PLD73" s="3"/>
      <c r="PLE73" s="3"/>
      <c r="PLF73" s="3"/>
      <c r="PLG73" s="3"/>
      <c r="PLH73" s="3"/>
      <c r="PLI73" s="3"/>
      <c r="PLJ73" s="3"/>
      <c r="PLK73" s="3"/>
      <c r="PLL73" s="3"/>
      <c r="PLM73" s="3"/>
      <c r="PLN73" s="3"/>
      <c r="PLO73" s="3"/>
      <c r="PLP73" s="3"/>
      <c r="PLQ73" s="3"/>
      <c r="PLR73" s="3"/>
      <c r="PLS73" s="3"/>
      <c r="PLT73" s="3"/>
      <c r="PLU73" s="3"/>
      <c r="PLV73" s="3"/>
      <c r="PLW73" s="3"/>
      <c r="PLX73" s="3"/>
      <c r="PLY73" s="3"/>
      <c r="PLZ73" s="3"/>
      <c r="PMA73" s="3"/>
      <c r="PMB73" s="3"/>
      <c r="PMC73" s="3"/>
      <c r="PMD73" s="3"/>
      <c r="PME73" s="3"/>
      <c r="PMF73" s="3"/>
      <c r="PMG73" s="3"/>
      <c r="PMH73" s="3"/>
      <c r="PMI73" s="3"/>
      <c r="PMJ73" s="3"/>
      <c r="PMK73" s="3"/>
      <c r="PML73" s="3"/>
      <c r="PMM73" s="3"/>
      <c r="PMN73" s="3"/>
      <c r="PMO73" s="3"/>
      <c r="PMP73" s="3"/>
      <c r="PMQ73" s="3"/>
      <c r="PMR73" s="3"/>
      <c r="PMS73" s="3"/>
      <c r="PMT73" s="3"/>
      <c r="PMU73" s="3"/>
      <c r="PMV73" s="3"/>
      <c r="PMW73" s="3"/>
      <c r="PMX73" s="3"/>
      <c r="PMY73" s="3"/>
      <c r="PMZ73" s="3"/>
      <c r="PNA73" s="3"/>
      <c r="PNB73" s="3"/>
      <c r="PNC73" s="3"/>
      <c r="PND73" s="3"/>
      <c r="PNE73" s="3"/>
      <c r="PNF73" s="3"/>
      <c r="PNG73" s="3"/>
      <c r="PNH73" s="3"/>
      <c r="PNI73" s="3"/>
      <c r="PNJ73" s="3"/>
      <c r="PNK73" s="3"/>
      <c r="PNL73" s="3"/>
      <c r="PNM73" s="3"/>
      <c r="PNN73" s="3"/>
      <c r="PNO73" s="3"/>
      <c r="PNP73" s="3"/>
      <c r="PNQ73" s="3"/>
      <c r="PNR73" s="3"/>
      <c r="PNS73" s="3"/>
      <c r="PNT73" s="3"/>
      <c r="PNU73" s="3"/>
      <c r="PNV73" s="3"/>
      <c r="PNW73" s="3"/>
      <c r="PNX73" s="3"/>
      <c r="PNY73" s="3"/>
      <c r="PNZ73" s="3"/>
      <c r="POA73" s="3"/>
      <c r="POB73" s="3"/>
      <c r="POC73" s="3"/>
      <c r="POD73" s="3"/>
      <c r="POE73" s="3"/>
      <c r="POF73" s="3"/>
      <c r="POG73" s="3"/>
      <c r="POH73" s="3"/>
      <c r="POI73" s="3"/>
      <c r="POJ73" s="3"/>
      <c r="POK73" s="3"/>
      <c r="POL73" s="3"/>
      <c r="POM73" s="3"/>
      <c r="PON73" s="3"/>
      <c r="POO73" s="3"/>
      <c r="POP73" s="3"/>
      <c r="POQ73" s="3"/>
      <c r="POR73" s="3"/>
      <c r="POS73" s="3"/>
      <c r="POT73" s="3"/>
      <c r="POU73" s="3"/>
      <c r="POV73" s="3"/>
      <c r="POW73" s="3"/>
      <c r="POX73" s="3"/>
      <c r="POY73" s="3"/>
      <c r="POZ73" s="3"/>
      <c r="PPA73" s="3"/>
      <c r="PPB73" s="3"/>
      <c r="PPC73" s="3"/>
      <c r="PPD73" s="3"/>
      <c r="PPE73" s="3"/>
      <c r="PPF73" s="3"/>
      <c r="PPG73" s="3"/>
      <c r="PPH73" s="3"/>
      <c r="PPI73" s="3"/>
      <c r="PPJ73" s="3"/>
      <c r="PPK73" s="3"/>
      <c r="PPL73" s="3"/>
      <c r="PPM73" s="3"/>
      <c r="PPN73" s="3"/>
      <c r="PPO73" s="3"/>
      <c r="PPP73" s="3"/>
      <c r="PPQ73" s="3"/>
      <c r="PPR73" s="3"/>
      <c r="PPS73" s="3"/>
      <c r="PPT73" s="3"/>
      <c r="PPU73" s="3"/>
      <c r="PPV73" s="3"/>
      <c r="PPW73" s="3"/>
      <c r="PPX73" s="3"/>
      <c r="PPY73" s="3"/>
      <c r="PPZ73" s="3"/>
      <c r="PQA73" s="3"/>
      <c r="PQB73" s="3"/>
      <c r="PQC73" s="3"/>
      <c r="PQD73" s="3"/>
      <c r="PQE73" s="3"/>
      <c r="PQF73" s="3"/>
      <c r="PQG73" s="3"/>
      <c r="PQH73" s="3"/>
      <c r="PQI73" s="3"/>
      <c r="PQJ73" s="3"/>
      <c r="PQK73" s="3"/>
      <c r="PQL73" s="3"/>
      <c r="PQM73" s="3"/>
      <c r="PQN73" s="3"/>
      <c r="PQO73" s="3"/>
      <c r="PQP73" s="3"/>
      <c r="PQQ73" s="3"/>
      <c r="PQR73" s="3"/>
      <c r="PQS73" s="3"/>
      <c r="PQT73" s="3"/>
      <c r="PQU73" s="3"/>
      <c r="PQV73" s="3"/>
      <c r="PQW73" s="3"/>
      <c r="PQX73" s="3"/>
      <c r="PQY73" s="3"/>
      <c r="PQZ73" s="3"/>
      <c r="PRA73" s="3"/>
      <c r="PRB73" s="3"/>
      <c r="PRC73" s="3"/>
      <c r="PRD73" s="3"/>
      <c r="PRE73" s="3"/>
      <c r="PRF73" s="3"/>
      <c r="PRG73" s="3"/>
      <c r="PRH73" s="3"/>
      <c r="PRI73" s="3"/>
      <c r="PRJ73" s="3"/>
      <c r="PRK73" s="3"/>
      <c r="PRL73" s="3"/>
      <c r="PRM73" s="3"/>
      <c r="PRN73" s="3"/>
      <c r="PRO73" s="3"/>
      <c r="PRP73" s="3"/>
      <c r="PRQ73" s="3"/>
      <c r="PRR73" s="3"/>
      <c r="PRS73" s="3"/>
      <c r="PRT73" s="3"/>
      <c r="PRU73" s="3"/>
      <c r="PRV73" s="3"/>
      <c r="PRW73" s="3"/>
      <c r="PRX73" s="3"/>
      <c r="PRY73" s="3"/>
      <c r="PRZ73" s="3"/>
      <c r="PSA73" s="3"/>
      <c r="PSB73" s="3"/>
      <c r="PSC73" s="3"/>
      <c r="PSD73" s="3"/>
      <c r="PSE73" s="3"/>
      <c r="PSF73" s="3"/>
      <c r="PSG73" s="3"/>
      <c r="PSH73" s="3"/>
      <c r="PSI73" s="3"/>
      <c r="PSJ73" s="3"/>
      <c r="PSK73" s="3"/>
      <c r="PSL73" s="3"/>
      <c r="PSM73" s="3"/>
      <c r="PSN73" s="3"/>
      <c r="PSO73" s="3"/>
      <c r="PSP73" s="3"/>
      <c r="PSQ73" s="3"/>
      <c r="PSR73" s="3"/>
      <c r="PSS73" s="3"/>
      <c r="PST73" s="3"/>
      <c r="PSU73" s="3"/>
      <c r="PSV73" s="3"/>
      <c r="PSW73" s="3"/>
      <c r="PSX73" s="3"/>
      <c r="PSY73" s="3"/>
      <c r="PSZ73" s="3"/>
      <c r="PTA73" s="3"/>
      <c r="PTB73" s="3"/>
      <c r="PTC73" s="3"/>
      <c r="PTD73" s="3"/>
      <c r="PTE73" s="3"/>
      <c r="PTF73" s="3"/>
      <c r="PTG73" s="3"/>
      <c r="PTH73" s="3"/>
      <c r="PTI73" s="3"/>
      <c r="PTJ73" s="3"/>
      <c r="PTK73" s="3"/>
      <c r="PTL73" s="3"/>
      <c r="PTM73" s="3"/>
      <c r="PTN73" s="3"/>
      <c r="PTO73" s="3"/>
      <c r="PTP73" s="3"/>
      <c r="PTQ73" s="3"/>
      <c r="PTR73" s="3"/>
      <c r="PTS73" s="3"/>
      <c r="PTT73" s="3"/>
      <c r="PTU73" s="3"/>
      <c r="PTV73" s="3"/>
      <c r="PTW73" s="3"/>
      <c r="PTX73" s="3"/>
      <c r="PTY73" s="3"/>
      <c r="PTZ73" s="3"/>
      <c r="PUA73" s="3"/>
      <c r="PUB73" s="3"/>
      <c r="PUC73" s="3"/>
      <c r="PUD73" s="3"/>
      <c r="PUE73" s="3"/>
      <c r="PUF73" s="3"/>
      <c r="PUG73" s="3"/>
      <c r="PUH73" s="3"/>
      <c r="PUI73" s="3"/>
      <c r="PUJ73" s="3"/>
      <c r="PUK73" s="3"/>
      <c r="PUL73" s="3"/>
      <c r="PUM73" s="3"/>
      <c r="PUN73" s="3"/>
      <c r="PUO73" s="3"/>
      <c r="PUP73" s="3"/>
      <c r="PUQ73" s="3"/>
      <c r="PUR73" s="3"/>
      <c r="PUS73" s="3"/>
      <c r="PUT73" s="3"/>
      <c r="PUU73" s="3"/>
      <c r="PUV73" s="3"/>
      <c r="PUW73" s="3"/>
      <c r="PUX73" s="3"/>
      <c r="PUY73" s="3"/>
      <c r="PUZ73" s="3"/>
      <c r="PVA73" s="3"/>
      <c r="PVB73" s="3"/>
      <c r="PVC73" s="3"/>
      <c r="PVD73" s="3"/>
      <c r="PVE73" s="3"/>
      <c r="PVF73" s="3"/>
      <c r="PVG73" s="3"/>
      <c r="PVH73" s="3"/>
      <c r="PVI73" s="3"/>
      <c r="PVJ73" s="3"/>
      <c r="PVK73" s="3"/>
      <c r="PVL73" s="3"/>
      <c r="PVM73" s="3"/>
      <c r="PVN73" s="3"/>
      <c r="PVO73" s="3"/>
      <c r="PVP73" s="3"/>
      <c r="PVQ73" s="3"/>
      <c r="PVR73" s="3"/>
      <c r="PVS73" s="3"/>
      <c r="PVT73" s="3"/>
      <c r="PVU73" s="3"/>
      <c r="PVV73" s="3"/>
      <c r="PVW73" s="3"/>
      <c r="PVX73" s="3"/>
      <c r="PVY73" s="3"/>
      <c r="PVZ73" s="3"/>
      <c r="PWA73" s="3"/>
      <c r="PWB73" s="3"/>
      <c r="PWC73" s="3"/>
      <c r="PWD73" s="3"/>
      <c r="PWE73" s="3"/>
      <c r="PWF73" s="3"/>
      <c r="PWG73" s="3"/>
      <c r="PWH73" s="3"/>
      <c r="PWI73" s="3"/>
      <c r="PWJ73" s="3"/>
      <c r="PWK73" s="3"/>
      <c r="PWL73" s="3"/>
      <c r="PWM73" s="3"/>
      <c r="PWN73" s="3"/>
      <c r="PWO73" s="3"/>
      <c r="PWP73" s="3"/>
      <c r="PWQ73" s="3"/>
      <c r="PWR73" s="3"/>
      <c r="PWS73" s="3"/>
      <c r="PWT73" s="3"/>
      <c r="PWU73" s="3"/>
      <c r="PWV73" s="3"/>
      <c r="PWW73" s="3"/>
      <c r="PWX73" s="3"/>
      <c r="PWY73" s="3"/>
      <c r="PWZ73" s="3"/>
      <c r="PXA73" s="3"/>
      <c r="PXB73" s="3"/>
      <c r="PXC73" s="3"/>
      <c r="PXD73" s="3"/>
      <c r="PXE73" s="3"/>
      <c r="PXF73" s="3"/>
      <c r="PXG73" s="3"/>
      <c r="PXH73" s="3"/>
      <c r="PXI73" s="3"/>
      <c r="PXJ73" s="3"/>
      <c r="PXK73" s="3"/>
      <c r="PXL73" s="3"/>
      <c r="PXM73" s="3"/>
      <c r="PXN73" s="3"/>
      <c r="PXO73" s="3"/>
      <c r="PXP73" s="3"/>
      <c r="PXQ73" s="3"/>
      <c r="PXR73" s="3"/>
      <c r="PXS73" s="3"/>
      <c r="PXT73" s="3"/>
      <c r="PXU73" s="3"/>
      <c r="PXV73" s="3"/>
      <c r="PXW73" s="3"/>
      <c r="PXX73" s="3"/>
      <c r="PXY73" s="3"/>
      <c r="PXZ73" s="3"/>
      <c r="PYA73" s="3"/>
      <c r="PYB73" s="3"/>
      <c r="PYC73" s="3"/>
      <c r="PYD73" s="3"/>
      <c r="PYE73" s="3"/>
      <c r="PYF73" s="3"/>
      <c r="PYG73" s="3"/>
      <c r="PYH73" s="3"/>
      <c r="PYI73" s="3"/>
      <c r="PYJ73" s="3"/>
      <c r="PYK73" s="3"/>
      <c r="PYL73" s="3"/>
      <c r="PYM73" s="3"/>
      <c r="PYN73" s="3"/>
      <c r="PYO73" s="3"/>
      <c r="PYP73" s="3"/>
      <c r="PYQ73" s="3"/>
      <c r="PYR73" s="3"/>
      <c r="PYS73" s="3"/>
      <c r="PYT73" s="3"/>
      <c r="PYU73" s="3"/>
      <c r="PYV73" s="3"/>
      <c r="PYW73" s="3"/>
      <c r="PYX73" s="3"/>
      <c r="PYY73" s="3"/>
      <c r="PYZ73" s="3"/>
      <c r="PZA73" s="3"/>
      <c r="PZB73" s="3"/>
      <c r="PZC73" s="3"/>
      <c r="PZD73" s="3"/>
      <c r="PZE73" s="3"/>
      <c r="PZF73" s="3"/>
      <c r="PZG73" s="3"/>
      <c r="PZH73" s="3"/>
      <c r="PZI73" s="3"/>
      <c r="PZJ73" s="3"/>
      <c r="PZK73" s="3"/>
      <c r="PZL73" s="3"/>
      <c r="PZM73" s="3"/>
      <c r="PZN73" s="3"/>
      <c r="PZO73" s="3"/>
      <c r="PZP73" s="3"/>
      <c r="PZQ73" s="3"/>
      <c r="PZR73" s="3"/>
      <c r="PZS73" s="3"/>
      <c r="PZT73" s="3"/>
      <c r="PZU73" s="3"/>
      <c r="PZV73" s="3"/>
      <c r="PZW73" s="3"/>
      <c r="PZX73" s="3"/>
      <c r="PZY73" s="3"/>
      <c r="PZZ73" s="3"/>
      <c r="QAA73" s="3"/>
      <c r="QAB73" s="3"/>
      <c r="QAC73" s="3"/>
      <c r="QAD73" s="3"/>
      <c r="QAE73" s="3"/>
      <c r="QAF73" s="3"/>
      <c r="QAG73" s="3"/>
      <c r="QAH73" s="3"/>
      <c r="QAI73" s="3"/>
      <c r="QAJ73" s="3"/>
      <c r="QAK73" s="3"/>
      <c r="QAL73" s="3"/>
      <c r="QAM73" s="3"/>
      <c r="QAN73" s="3"/>
      <c r="QAO73" s="3"/>
      <c r="QAP73" s="3"/>
      <c r="QAQ73" s="3"/>
      <c r="QAR73" s="3"/>
      <c r="QAS73" s="3"/>
      <c r="QAT73" s="3"/>
      <c r="QAU73" s="3"/>
      <c r="QAV73" s="3"/>
      <c r="QAW73" s="3"/>
      <c r="QAX73" s="3"/>
      <c r="QAY73" s="3"/>
      <c r="QAZ73" s="3"/>
      <c r="QBA73" s="3"/>
      <c r="QBB73" s="3"/>
      <c r="QBC73" s="3"/>
      <c r="QBD73" s="3"/>
      <c r="QBE73" s="3"/>
      <c r="QBF73" s="3"/>
      <c r="QBG73" s="3"/>
      <c r="QBH73" s="3"/>
      <c r="QBI73" s="3"/>
      <c r="QBJ73" s="3"/>
      <c r="QBK73" s="3"/>
      <c r="QBL73" s="3"/>
      <c r="QBM73" s="3"/>
      <c r="QBN73" s="3"/>
      <c r="QBO73" s="3"/>
      <c r="QBP73" s="3"/>
      <c r="QBQ73" s="3"/>
      <c r="QBR73" s="3"/>
      <c r="QBS73" s="3"/>
      <c r="QBT73" s="3"/>
      <c r="QBU73" s="3"/>
      <c r="QBV73" s="3"/>
      <c r="QBW73" s="3"/>
      <c r="QBX73" s="3"/>
      <c r="QBY73" s="3"/>
      <c r="QBZ73" s="3"/>
      <c r="QCA73" s="3"/>
      <c r="QCB73" s="3"/>
      <c r="QCC73" s="3"/>
      <c r="QCD73" s="3"/>
      <c r="QCE73" s="3"/>
      <c r="QCF73" s="3"/>
      <c r="QCG73" s="3"/>
      <c r="QCH73" s="3"/>
      <c r="QCI73" s="3"/>
      <c r="QCJ73" s="3"/>
      <c r="QCK73" s="3"/>
      <c r="QCL73" s="3"/>
      <c r="QCM73" s="3"/>
      <c r="QCN73" s="3"/>
      <c r="QCO73" s="3"/>
      <c r="QCP73" s="3"/>
      <c r="QCQ73" s="3"/>
      <c r="QCR73" s="3"/>
      <c r="QCS73" s="3"/>
      <c r="QCT73" s="3"/>
      <c r="QCU73" s="3"/>
      <c r="QCV73" s="3"/>
      <c r="QCW73" s="3"/>
      <c r="QCX73" s="3"/>
      <c r="QCY73" s="3"/>
      <c r="QCZ73" s="3"/>
      <c r="QDA73" s="3"/>
      <c r="QDB73" s="3"/>
      <c r="QDC73" s="3"/>
      <c r="QDD73" s="3"/>
      <c r="QDE73" s="3"/>
      <c r="QDF73" s="3"/>
      <c r="QDG73" s="3"/>
      <c r="QDH73" s="3"/>
      <c r="QDI73" s="3"/>
      <c r="QDJ73" s="3"/>
      <c r="QDK73" s="3"/>
      <c r="QDL73" s="3"/>
      <c r="QDM73" s="3"/>
      <c r="QDN73" s="3"/>
      <c r="QDO73" s="3"/>
      <c r="QDP73" s="3"/>
      <c r="QDQ73" s="3"/>
      <c r="QDR73" s="3"/>
      <c r="QDS73" s="3"/>
      <c r="QDT73" s="3"/>
      <c r="QDU73" s="3"/>
      <c r="QDV73" s="3"/>
      <c r="QDW73" s="3"/>
      <c r="QDX73" s="3"/>
      <c r="QDY73" s="3"/>
      <c r="QDZ73" s="3"/>
      <c r="QEA73" s="3"/>
      <c r="QEB73" s="3"/>
      <c r="QEC73" s="3"/>
      <c r="QED73" s="3"/>
      <c r="QEE73" s="3"/>
      <c r="QEF73" s="3"/>
      <c r="QEG73" s="3"/>
      <c r="QEH73" s="3"/>
      <c r="QEI73" s="3"/>
      <c r="QEJ73" s="3"/>
      <c r="QEK73" s="3"/>
      <c r="QEL73" s="3"/>
      <c r="QEM73" s="3"/>
      <c r="QEN73" s="3"/>
      <c r="QEO73" s="3"/>
      <c r="QEP73" s="3"/>
      <c r="QEQ73" s="3"/>
      <c r="QER73" s="3"/>
      <c r="QES73" s="3"/>
      <c r="QET73" s="3"/>
      <c r="QEU73" s="3"/>
      <c r="QEV73" s="3"/>
      <c r="QEW73" s="3"/>
      <c r="QEX73" s="3"/>
      <c r="QEY73" s="3"/>
      <c r="QEZ73" s="3"/>
      <c r="QFA73" s="3"/>
      <c r="QFB73" s="3"/>
      <c r="QFC73" s="3"/>
      <c r="QFD73" s="3"/>
      <c r="QFE73" s="3"/>
      <c r="QFF73" s="3"/>
      <c r="QFG73" s="3"/>
      <c r="QFH73" s="3"/>
      <c r="QFI73" s="3"/>
      <c r="QFJ73" s="3"/>
      <c r="QFK73" s="3"/>
      <c r="QFL73" s="3"/>
      <c r="QFM73" s="3"/>
      <c r="QFN73" s="3"/>
      <c r="QFO73" s="3"/>
      <c r="QFP73" s="3"/>
      <c r="QFQ73" s="3"/>
      <c r="QFR73" s="3"/>
      <c r="QFS73" s="3"/>
      <c r="QFT73" s="3"/>
      <c r="QFU73" s="3"/>
      <c r="QFV73" s="3"/>
      <c r="QFW73" s="3"/>
      <c r="QFX73" s="3"/>
      <c r="QFY73" s="3"/>
      <c r="QFZ73" s="3"/>
      <c r="QGA73" s="3"/>
      <c r="QGB73" s="3"/>
      <c r="QGC73" s="3"/>
      <c r="QGD73" s="3"/>
      <c r="QGE73" s="3"/>
      <c r="QGF73" s="3"/>
      <c r="QGG73" s="3"/>
      <c r="QGH73" s="3"/>
      <c r="QGI73" s="3"/>
      <c r="QGJ73" s="3"/>
      <c r="QGK73" s="3"/>
      <c r="QGL73" s="3"/>
      <c r="QGM73" s="3"/>
      <c r="QGN73" s="3"/>
      <c r="QGO73" s="3"/>
      <c r="QGP73" s="3"/>
      <c r="QGQ73" s="3"/>
      <c r="QGR73" s="3"/>
      <c r="QGS73" s="3"/>
      <c r="QGT73" s="3"/>
      <c r="QGU73" s="3"/>
      <c r="QGV73" s="3"/>
      <c r="QGW73" s="3"/>
      <c r="QGX73" s="3"/>
      <c r="QGY73" s="3"/>
      <c r="QGZ73" s="3"/>
      <c r="QHA73" s="3"/>
      <c r="QHB73" s="3"/>
      <c r="QHC73" s="3"/>
      <c r="QHD73" s="3"/>
      <c r="QHE73" s="3"/>
      <c r="QHF73" s="3"/>
      <c r="QHG73" s="3"/>
      <c r="QHH73" s="3"/>
      <c r="QHI73" s="3"/>
      <c r="QHJ73" s="3"/>
      <c r="QHK73" s="3"/>
      <c r="QHL73" s="3"/>
      <c r="QHM73" s="3"/>
      <c r="QHN73" s="3"/>
      <c r="QHO73" s="3"/>
      <c r="QHP73" s="3"/>
      <c r="QHQ73" s="3"/>
      <c r="QHR73" s="3"/>
      <c r="QHS73" s="3"/>
      <c r="QHT73" s="3"/>
      <c r="QHU73" s="3"/>
      <c r="QHV73" s="3"/>
      <c r="QHW73" s="3"/>
      <c r="QHX73" s="3"/>
      <c r="QHY73" s="3"/>
      <c r="QHZ73" s="3"/>
      <c r="QIA73" s="3"/>
      <c r="QIB73" s="3"/>
      <c r="QIC73" s="3"/>
      <c r="QID73" s="3"/>
      <c r="QIE73" s="3"/>
      <c r="QIF73" s="3"/>
      <c r="QIG73" s="3"/>
      <c r="QIH73" s="3"/>
      <c r="QII73" s="3"/>
      <c r="QIJ73" s="3"/>
      <c r="QIK73" s="3"/>
      <c r="QIL73" s="3"/>
      <c r="QIM73" s="3"/>
      <c r="QIN73" s="3"/>
      <c r="QIO73" s="3"/>
      <c r="QIP73" s="3"/>
      <c r="QIQ73" s="3"/>
      <c r="QIR73" s="3"/>
      <c r="QIS73" s="3"/>
      <c r="QIT73" s="3"/>
      <c r="QIU73" s="3"/>
      <c r="QIV73" s="3"/>
      <c r="QIW73" s="3"/>
      <c r="QIX73" s="3"/>
      <c r="QIY73" s="3"/>
      <c r="QIZ73" s="3"/>
      <c r="QJA73" s="3"/>
      <c r="QJB73" s="3"/>
      <c r="QJC73" s="3"/>
      <c r="QJD73" s="3"/>
      <c r="QJE73" s="3"/>
      <c r="QJF73" s="3"/>
      <c r="QJG73" s="3"/>
      <c r="QJH73" s="3"/>
      <c r="QJI73" s="3"/>
      <c r="QJJ73" s="3"/>
      <c r="QJK73" s="3"/>
      <c r="QJL73" s="3"/>
      <c r="QJM73" s="3"/>
      <c r="QJN73" s="3"/>
      <c r="QJO73" s="3"/>
      <c r="QJP73" s="3"/>
      <c r="QJQ73" s="3"/>
      <c r="QJR73" s="3"/>
      <c r="QJS73" s="3"/>
      <c r="QJT73" s="3"/>
      <c r="QJU73" s="3"/>
      <c r="QJV73" s="3"/>
      <c r="QJW73" s="3"/>
      <c r="QJX73" s="3"/>
      <c r="QJY73" s="3"/>
      <c r="QJZ73" s="3"/>
      <c r="QKA73" s="3"/>
      <c r="QKB73" s="3"/>
      <c r="QKC73" s="3"/>
      <c r="QKD73" s="3"/>
      <c r="QKE73" s="3"/>
      <c r="QKF73" s="3"/>
      <c r="QKG73" s="3"/>
      <c r="QKH73" s="3"/>
      <c r="QKI73" s="3"/>
      <c r="QKJ73" s="3"/>
      <c r="QKK73" s="3"/>
      <c r="QKL73" s="3"/>
      <c r="QKM73" s="3"/>
      <c r="QKN73" s="3"/>
      <c r="QKO73" s="3"/>
      <c r="QKP73" s="3"/>
      <c r="QKQ73" s="3"/>
      <c r="QKR73" s="3"/>
      <c r="QKS73" s="3"/>
      <c r="QKT73" s="3"/>
      <c r="QKU73" s="3"/>
      <c r="QKV73" s="3"/>
      <c r="QKW73" s="3"/>
      <c r="QKX73" s="3"/>
      <c r="QKY73" s="3"/>
      <c r="QKZ73" s="3"/>
      <c r="QLA73" s="3"/>
      <c r="QLB73" s="3"/>
      <c r="QLC73" s="3"/>
      <c r="QLD73" s="3"/>
      <c r="QLE73" s="3"/>
      <c r="QLF73" s="3"/>
      <c r="QLG73" s="3"/>
      <c r="QLH73" s="3"/>
      <c r="QLI73" s="3"/>
      <c r="QLJ73" s="3"/>
      <c r="QLK73" s="3"/>
      <c r="QLL73" s="3"/>
      <c r="QLM73" s="3"/>
      <c r="QLN73" s="3"/>
      <c r="QLO73" s="3"/>
      <c r="QLP73" s="3"/>
      <c r="QLQ73" s="3"/>
      <c r="QLR73" s="3"/>
      <c r="QLS73" s="3"/>
      <c r="QLT73" s="3"/>
      <c r="QLU73" s="3"/>
      <c r="QLV73" s="3"/>
      <c r="QLW73" s="3"/>
      <c r="QLX73" s="3"/>
      <c r="QLY73" s="3"/>
      <c r="QLZ73" s="3"/>
      <c r="QMA73" s="3"/>
      <c r="QMB73" s="3"/>
      <c r="QMC73" s="3"/>
      <c r="QMD73" s="3"/>
      <c r="QME73" s="3"/>
      <c r="QMF73" s="3"/>
      <c r="QMG73" s="3"/>
      <c r="QMH73" s="3"/>
      <c r="QMI73" s="3"/>
      <c r="QMJ73" s="3"/>
      <c r="QMK73" s="3"/>
      <c r="QML73" s="3"/>
      <c r="QMM73" s="3"/>
      <c r="QMN73" s="3"/>
      <c r="QMO73" s="3"/>
      <c r="QMP73" s="3"/>
      <c r="QMQ73" s="3"/>
      <c r="QMR73" s="3"/>
      <c r="QMS73" s="3"/>
      <c r="QMT73" s="3"/>
      <c r="QMU73" s="3"/>
      <c r="QMV73" s="3"/>
      <c r="QMW73" s="3"/>
      <c r="QMX73" s="3"/>
      <c r="QMY73" s="3"/>
      <c r="QMZ73" s="3"/>
      <c r="QNA73" s="3"/>
      <c r="QNB73" s="3"/>
      <c r="QNC73" s="3"/>
      <c r="QND73" s="3"/>
      <c r="QNE73" s="3"/>
      <c r="QNF73" s="3"/>
      <c r="QNG73" s="3"/>
      <c r="QNH73" s="3"/>
      <c r="QNI73" s="3"/>
      <c r="QNJ73" s="3"/>
      <c r="QNK73" s="3"/>
      <c r="QNL73" s="3"/>
      <c r="QNM73" s="3"/>
      <c r="QNN73" s="3"/>
      <c r="QNO73" s="3"/>
      <c r="QNP73" s="3"/>
      <c r="QNQ73" s="3"/>
      <c r="QNR73" s="3"/>
      <c r="QNS73" s="3"/>
      <c r="QNT73" s="3"/>
      <c r="QNU73" s="3"/>
      <c r="QNV73" s="3"/>
      <c r="QNW73" s="3"/>
      <c r="QNX73" s="3"/>
      <c r="QNY73" s="3"/>
      <c r="QNZ73" s="3"/>
      <c r="QOA73" s="3"/>
      <c r="QOB73" s="3"/>
      <c r="QOC73" s="3"/>
      <c r="QOD73" s="3"/>
      <c r="QOE73" s="3"/>
      <c r="QOF73" s="3"/>
      <c r="QOG73" s="3"/>
      <c r="QOH73" s="3"/>
      <c r="QOI73" s="3"/>
      <c r="QOJ73" s="3"/>
      <c r="QOK73" s="3"/>
      <c r="QOL73" s="3"/>
      <c r="QOM73" s="3"/>
      <c r="QON73" s="3"/>
      <c r="QOO73" s="3"/>
      <c r="QOP73" s="3"/>
      <c r="QOQ73" s="3"/>
      <c r="QOR73" s="3"/>
      <c r="QOS73" s="3"/>
      <c r="QOT73" s="3"/>
      <c r="QOU73" s="3"/>
      <c r="QOV73" s="3"/>
      <c r="QOW73" s="3"/>
      <c r="QOX73" s="3"/>
      <c r="QOY73" s="3"/>
      <c r="QOZ73" s="3"/>
      <c r="QPA73" s="3"/>
      <c r="QPB73" s="3"/>
      <c r="QPC73" s="3"/>
      <c r="QPD73" s="3"/>
      <c r="QPE73" s="3"/>
      <c r="QPF73" s="3"/>
      <c r="QPG73" s="3"/>
      <c r="QPH73" s="3"/>
      <c r="QPI73" s="3"/>
      <c r="QPJ73" s="3"/>
      <c r="QPK73" s="3"/>
      <c r="QPL73" s="3"/>
      <c r="QPM73" s="3"/>
      <c r="QPN73" s="3"/>
      <c r="QPO73" s="3"/>
      <c r="QPP73" s="3"/>
      <c r="QPQ73" s="3"/>
      <c r="QPR73" s="3"/>
      <c r="QPS73" s="3"/>
      <c r="QPT73" s="3"/>
      <c r="QPU73" s="3"/>
      <c r="QPV73" s="3"/>
      <c r="QPW73" s="3"/>
      <c r="QPX73" s="3"/>
      <c r="QPY73" s="3"/>
      <c r="QPZ73" s="3"/>
      <c r="QQA73" s="3"/>
      <c r="QQB73" s="3"/>
      <c r="QQC73" s="3"/>
      <c r="QQD73" s="3"/>
      <c r="QQE73" s="3"/>
      <c r="QQF73" s="3"/>
      <c r="QQG73" s="3"/>
      <c r="QQH73" s="3"/>
      <c r="QQI73" s="3"/>
      <c r="QQJ73" s="3"/>
      <c r="QQK73" s="3"/>
      <c r="QQL73" s="3"/>
      <c r="QQM73" s="3"/>
      <c r="QQN73" s="3"/>
      <c r="QQO73" s="3"/>
      <c r="QQP73" s="3"/>
      <c r="QQQ73" s="3"/>
      <c r="QQR73" s="3"/>
      <c r="QQS73" s="3"/>
      <c r="QQT73" s="3"/>
      <c r="QQU73" s="3"/>
      <c r="QQV73" s="3"/>
      <c r="QQW73" s="3"/>
      <c r="QQX73" s="3"/>
      <c r="QQY73" s="3"/>
      <c r="QQZ73" s="3"/>
      <c r="QRA73" s="3"/>
      <c r="QRB73" s="3"/>
      <c r="QRC73" s="3"/>
      <c r="QRD73" s="3"/>
      <c r="QRE73" s="3"/>
      <c r="QRF73" s="3"/>
      <c r="QRG73" s="3"/>
      <c r="QRH73" s="3"/>
      <c r="QRI73" s="3"/>
      <c r="QRJ73" s="3"/>
      <c r="QRK73" s="3"/>
      <c r="QRL73" s="3"/>
      <c r="QRM73" s="3"/>
      <c r="QRN73" s="3"/>
      <c r="QRO73" s="3"/>
      <c r="QRP73" s="3"/>
      <c r="QRQ73" s="3"/>
      <c r="QRR73" s="3"/>
      <c r="QRS73" s="3"/>
      <c r="QRT73" s="3"/>
      <c r="QRU73" s="3"/>
      <c r="QRV73" s="3"/>
      <c r="QRW73" s="3"/>
      <c r="QRX73" s="3"/>
      <c r="QRY73" s="3"/>
      <c r="QRZ73" s="3"/>
      <c r="QSA73" s="3"/>
      <c r="QSB73" s="3"/>
      <c r="QSC73" s="3"/>
      <c r="QSD73" s="3"/>
      <c r="QSE73" s="3"/>
      <c r="QSF73" s="3"/>
      <c r="QSG73" s="3"/>
      <c r="QSH73" s="3"/>
      <c r="QSI73" s="3"/>
      <c r="QSJ73" s="3"/>
      <c r="QSK73" s="3"/>
      <c r="QSL73" s="3"/>
      <c r="QSM73" s="3"/>
      <c r="QSN73" s="3"/>
      <c r="QSO73" s="3"/>
      <c r="QSP73" s="3"/>
      <c r="QSQ73" s="3"/>
      <c r="QSR73" s="3"/>
      <c r="QSS73" s="3"/>
      <c r="QST73" s="3"/>
      <c r="QSU73" s="3"/>
      <c r="QSV73" s="3"/>
      <c r="QSW73" s="3"/>
      <c r="QSX73" s="3"/>
      <c r="QSY73" s="3"/>
      <c r="QSZ73" s="3"/>
      <c r="QTA73" s="3"/>
      <c r="QTB73" s="3"/>
      <c r="QTC73" s="3"/>
      <c r="QTD73" s="3"/>
      <c r="QTE73" s="3"/>
      <c r="QTF73" s="3"/>
      <c r="QTG73" s="3"/>
      <c r="QTH73" s="3"/>
      <c r="QTI73" s="3"/>
      <c r="QTJ73" s="3"/>
      <c r="QTK73" s="3"/>
      <c r="QTL73" s="3"/>
      <c r="QTM73" s="3"/>
      <c r="QTN73" s="3"/>
      <c r="QTO73" s="3"/>
      <c r="QTP73" s="3"/>
      <c r="QTQ73" s="3"/>
      <c r="QTR73" s="3"/>
      <c r="QTS73" s="3"/>
      <c r="QTT73" s="3"/>
      <c r="QTU73" s="3"/>
      <c r="QTV73" s="3"/>
      <c r="QTW73" s="3"/>
      <c r="QTX73" s="3"/>
      <c r="QTY73" s="3"/>
      <c r="QTZ73" s="3"/>
      <c r="QUA73" s="3"/>
      <c r="QUB73" s="3"/>
      <c r="QUC73" s="3"/>
      <c r="QUD73" s="3"/>
      <c r="QUE73" s="3"/>
      <c r="QUF73" s="3"/>
      <c r="QUG73" s="3"/>
      <c r="QUH73" s="3"/>
      <c r="QUI73" s="3"/>
      <c r="QUJ73" s="3"/>
      <c r="QUK73" s="3"/>
      <c r="QUL73" s="3"/>
      <c r="QUM73" s="3"/>
      <c r="QUN73" s="3"/>
      <c r="QUO73" s="3"/>
      <c r="QUP73" s="3"/>
      <c r="QUQ73" s="3"/>
      <c r="QUR73" s="3"/>
      <c r="QUS73" s="3"/>
      <c r="QUT73" s="3"/>
      <c r="QUU73" s="3"/>
      <c r="QUV73" s="3"/>
      <c r="QUW73" s="3"/>
      <c r="QUX73" s="3"/>
      <c r="QUY73" s="3"/>
      <c r="QUZ73" s="3"/>
      <c r="QVA73" s="3"/>
      <c r="QVB73" s="3"/>
      <c r="QVC73" s="3"/>
      <c r="QVD73" s="3"/>
      <c r="QVE73" s="3"/>
      <c r="QVF73" s="3"/>
      <c r="QVG73" s="3"/>
      <c r="QVH73" s="3"/>
      <c r="QVI73" s="3"/>
      <c r="QVJ73" s="3"/>
      <c r="QVK73" s="3"/>
      <c r="QVL73" s="3"/>
      <c r="QVM73" s="3"/>
      <c r="QVN73" s="3"/>
      <c r="QVO73" s="3"/>
      <c r="QVP73" s="3"/>
      <c r="QVQ73" s="3"/>
      <c r="QVR73" s="3"/>
      <c r="QVS73" s="3"/>
      <c r="QVT73" s="3"/>
      <c r="QVU73" s="3"/>
      <c r="QVV73" s="3"/>
      <c r="QVW73" s="3"/>
      <c r="QVX73" s="3"/>
      <c r="QVY73" s="3"/>
      <c r="QVZ73" s="3"/>
      <c r="QWA73" s="3"/>
      <c r="QWB73" s="3"/>
      <c r="QWC73" s="3"/>
      <c r="QWD73" s="3"/>
      <c r="QWE73" s="3"/>
      <c r="QWF73" s="3"/>
      <c r="QWG73" s="3"/>
      <c r="QWH73" s="3"/>
      <c r="QWI73" s="3"/>
      <c r="QWJ73" s="3"/>
      <c r="QWK73" s="3"/>
      <c r="QWL73" s="3"/>
      <c r="QWM73" s="3"/>
      <c r="QWN73" s="3"/>
      <c r="QWO73" s="3"/>
      <c r="QWP73" s="3"/>
      <c r="QWQ73" s="3"/>
      <c r="QWR73" s="3"/>
      <c r="QWS73" s="3"/>
      <c r="QWT73" s="3"/>
      <c r="QWU73" s="3"/>
      <c r="QWV73" s="3"/>
      <c r="QWW73" s="3"/>
      <c r="QWX73" s="3"/>
      <c r="QWY73" s="3"/>
      <c r="QWZ73" s="3"/>
      <c r="QXA73" s="3"/>
      <c r="QXB73" s="3"/>
      <c r="QXC73" s="3"/>
      <c r="QXD73" s="3"/>
      <c r="QXE73" s="3"/>
      <c r="QXF73" s="3"/>
      <c r="QXG73" s="3"/>
      <c r="QXH73" s="3"/>
      <c r="QXI73" s="3"/>
      <c r="QXJ73" s="3"/>
      <c r="QXK73" s="3"/>
      <c r="QXL73" s="3"/>
      <c r="QXM73" s="3"/>
      <c r="QXN73" s="3"/>
      <c r="QXO73" s="3"/>
      <c r="QXP73" s="3"/>
      <c r="QXQ73" s="3"/>
      <c r="QXR73" s="3"/>
      <c r="QXS73" s="3"/>
      <c r="QXT73" s="3"/>
      <c r="QXU73" s="3"/>
      <c r="QXV73" s="3"/>
      <c r="QXW73" s="3"/>
      <c r="QXX73" s="3"/>
      <c r="QXY73" s="3"/>
      <c r="QXZ73" s="3"/>
      <c r="QYA73" s="3"/>
      <c r="QYB73" s="3"/>
      <c r="QYC73" s="3"/>
      <c r="QYD73" s="3"/>
      <c r="QYE73" s="3"/>
      <c r="QYF73" s="3"/>
      <c r="QYG73" s="3"/>
      <c r="QYH73" s="3"/>
      <c r="QYI73" s="3"/>
      <c r="QYJ73" s="3"/>
      <c r="QYK73" s="3"/>
      <c r="QYL73" s="3"/>
      <c r="QYM73" s="3"/>
      <c r="QYN73" s="3"/>
      <c r="QYO73" s="3"/>
      <c r="QYP73" s="3"/>
      <c r="QYQ73" s="3"/>
      <c r="QYR73" s="3"/>
      <c r="QYS73" s="3"/>
      <c r="QYT73" s="3"/>
      <c r="QYU73" s="3"/>
      <c r="QYV73" s="3"/>
      <c r="QYW73" s="3"/>
      <c r="QYX73" s="3"/>
      <c r="QYY73" s="3"/>
      <c r="QYZ73" s="3"/>
      <c r="QZA73" s="3"/>
      <c r="QZB73" s="3"/>
      <c r="QZC73" s="3"/>
      <c r="QZD73" s="3"/>
      <c r="QZE73" s="3"/>
      <c r="QZF73" s="3"/>
      <c r="QZG73" s="3"/>
      <c r="QZH73" s="3"/>
      <c r="QZI73" s="3"/>
      <c r="QZJ73" s="3"/>
      <c r="QZK73" s="3"/>
      <c r="QZL73" s="3"/>
      <c r="QZM73" s="3"/>
      <c r="QZN73" s="3"/>
      <c r="QZO73" s="3"/>
      <c r="QZP73" s="3"/>
      <c r="QZQ73" s="3"/>
      <c r="QZR73" s="3"/>
      <c r="QZS73" s="3"/>
      <c r="QZT73" s="3"/>
      <c r="QZU73" s="3"/>
      <c r="QZV73" s="3"/>
      <c r="QZW73" s="3"/>
      <c r="QZX73" s="3"/>
      <c r="QZY73" s="3"/>
      <c r="QZZ73" s="3"/>
      <c r="RAA73" s="3"/>
      <c r="RAB73" s="3"/>
      <c r="RAC73" s="3"/>
      <c r="RAD73" s="3"/>
      <c r="RAE73" s="3"/>
      <c r="RAF73" s="3"/>
      <c r="RAG73" s="3"/>
      <c r="RAH73" s="3"/>
      <c r="RAI73" s="3"/>
      <c r="RAJ73" s="3"/>
      <c r="RAK73" s="3"/>
      <c r="RAL73" s="3"/>
      <c r="RAM73" s="3"/>
      <c r="RAN73" s="3"/>
      <c r="RAO73" s="3"/>
      <c r="RAP73" s="3"/>
      <c r="RAQ73" s="3"/>
      <c r="RAR73" s="3"/>
      <c r="RAS73" s="3"/>
      <c r="RAT73" s="3"/>
      <c r="RAU73" s="3"/>
      <c r="RAV73" s="3"/>
      <c r="RAW73" s="3"/>
      <c r="RAX73" s="3"/>
      <c r="RAY73" s="3"/>
      <c r="RAZ73" s="3"/>
      <c r="RBA73" s="3"/>
      <c r="RBB73" s="3"/>
      <c r="RBC73" s="3"/>
      <c r="RBD73" s="3"/>
      <c r="RBE73" s="3"/>
      <c r="RBF73" s="3"/>
      <c r="RBG73" s="3"/>
      <c r="RBH73" s="3"/>
      <c r="RBI73" s="3"/>
      <c r="RBJ73" s="3"/>
      <c r="RBK73" s="3"/>
      <c r="RBL73" s="3"/>
      <c r="RBM73" s="3"/>
      <c r="RBN73" s="3"/>
      <c r="RBO73" s="3"/>
      <c r="RBP73" s="3"/>
      <c r="RBQ73" s="3"/>
      <c r="RBR73" s="3"/>
      <c r="RBS73" s="3"/>
      <c r="RBT73" s="3"/>
      <c r="RBU73" s="3"/>
      <c r="RBV73" s="3"/>
      <c r="RBW73" s="3"/>
      <c r="RBX73" s="3"/>
      <c r="RBY73" s="3"/>
      <c r="RBZ73" s="3"/>
      <c r="RCA73" s="3"/>
      <c r="RCB73" s="3"/>
      <c r="RCC73" s="3"/>
      <c r="RCD73" s="3"/>
      <c r="RCE73" s="3"/>
      <c r="RCF73" s="3"/>
      <c r="RCG73" s="3"/>
      <c r="RCH73" s="3"/>
      <c r="RCI73" s="3"/>
      <c r="RCJ73" s="3"/>
      <c r="RCK73" s="3"/>
      <c r="RCL73" s="3"/>
      <c r="RCM73" s="3"/>
      <c r="RCN73" s="3"/>
      <c r="RCO73" s="3"/>
      <c r="RCP73" s="3"/>
      <c r="RCQ73" s="3"/>
      <c r="RCR73" s="3"/>
      <c r="RCS73" s="3"/>
      <c r="RCT73" s="3"/>
      <c r="RCU73" s="3"/>
      <c r="RCV73" s="3"/>
      <c r="RCW73" s="3"/>
      <c r="RCX73" s="3"/>
      <c r="RCY73" s="3"/>
      <c r="RCZ73" s="3"/>
      <c r="RDA73" s="3"/>
      <c r="RDB73" s="3"/>
      <c r="RDC73" s="3"/>
      <c r="RDD73" s="3"/>
      <c r="RDE73" s="3"/>
      <c r="RDF73" s="3"/>
      <c r="RDG73" s="3"/>
      <c r="RDH73" s="3"/>
      <c r="RDI73" s="3"/>
      <c r="RDJ73" s="3"/>
      <c r="RDK73" s="3"/>
      <c r="RDL73" s="3"/>
      <c r="RDM73" s="3"/>
      <c r="RDN73" s="3"/>
      <c r="RDO73" s="3"/>
      <c r="RDP73" s="3"/>
      <c r="RDQ73" s="3"/>
      <c r="RDR73" s="3"/>
      <c r="RDS73" s="3"/>
      <c r="RDT73" s="3"/>
      <c r="RDU73" s="3"/>
      <c r="RDV73" s="3"/>
      <c r="RDW73" s="3"/>
      <c r="RDX73" s="3"/>
      <c r="RDY73" s="3"/>
      <c r="RDZ73" s="3"/>
      <c r="REA73" s="3"/>
      <c r="REB73" s="3"/>
      <c r="REC73" s="3"/>
      <c r="RED73" s="3"/>
      <c r="REE73" s="3"/>
      <c r="REF73" s="3"/>
      <c r="REG73" s="3"/>
      <c r="REH73" s="3"/>
      <c r="REI73" s="3"/>
      <c r="REJ73" s="3"/>
      <c r="REK73" s="3"/>
      <c r="REL73" s="3"/>
      <c r="REM73" s="3"/>
      <c r="REN73" s="3"/>
      <c r="REO73" s="3"/>
      <c r="REP73" s="3"/>
      <c r="REQ73" s="3"/>
      <c r="RER73" s="3"/>
      <c r="RES73" s="3"/>
      <c r="RET73" s="3"/>
      <c r="REU73" s="3"/>
      <c r="REV73" s="3"/>
      <c r="REW73" s="3"/>
      <c r="REX73" s="3"/>
      <c r="REY73" s="3"/>
      <c r="REZ73" s="3"/>
      <c r="RFA73" s="3"/>
      <c r="RFB73" s="3"/>
      <c r="RFC73" s="3"/>
      <c r="RFD73" s="3"/>
      <c r="RFE73" s="3"/>
      <c r="RFF73" s="3"/>
      <c r="RFG73" s="3"/>
      <c r="RFH73" s="3"/>
      <c r="RFI73" s="3"/>
      <c r="RFJ73" s="3"/>
      <c r="RFK73" s="3"/>
      <c r="RFL73" s="3"/>
      <c r="RFM73" s="3"/>
      <c r="RFN73" s="3"/>
      <c r="RFO73" s="3"/>
      <c r="RFP73" s="3"/>
      <c r="RFQ73" s="3"/>
      <c r="RFR73" s="3"/>
      <c r="RFS73" s="3"/>
      <c r="RFT73" s="3"/>
      <c r="RFU73" s="3"/>
      <c r="RFV73" s="3"/>
      <c r="RFW73" s="3"/>
      <c r="RFX73" s="3"/>
      <c r="RFY73" s="3"/>
      <c r="RFZ73" s="3"/>
      <c r="RGA73" s="3"/>
      <c r="RGB73" s="3"/>
      <c r="RGC73" s="3"/>
      <c r="RGD73" s="3"/>
      <c r="RGE73" s="3"/>
      <c r="RGF73" s="3"/>
      <c r="RGG73" s="3"/>
      <c r="RGH73" s="3"/>
      <c r="RGI73" s="3"/>
      <c r="RGJ73" s="3"/>
      <c r="RGK73" s="3"/>
      <c r="RGL73" s="3"/>
      <c r="RGM73" s="3"/>
      <c r="RGN73" s="3"/>
      <c r="RGO73" s="3"/>
      <c r="RGP73" s="3"/>
      <c r="RGQ73" s="3"/>
      <c r="RGR73" s="3"/>
      <c r="RGS73" s="3"/>
      <c r="RGT73" s="3"/>
      <c r="RGU73" s="3"/>
      <c r="RGV73" s="3"/>
      <c r="RGW73" s="3"/>
      <c r="RGX73" s="3"/>
      <c r="RGY73" s="3"/>
      <c r="RGZ73" s="3"/>
      <c r="RHA73" s="3"/>
      <c r="RHB73" s="3"/>
      <c r="RHC73" s="3"/>
      <c r="RHD73" s="3"/>
      <c r="RHE73" s="3"/>
      <c r="RHF73" s="3"/>
      <c r="RHG73" s="3"/>
      <c r="RHH73" s="3"/>
      <c r="RHI73" s="3"/>
      <c r="RHJ73" s="3"/>
      <c r="RHK73" s="3"/>
      <c r="RHL73" s="3"/>
      <c r="RHM73" s="3"/>
      <c r="RHN73" s="3"/>
      <c r="RHO73" s="3"/>
      <c r="RHP73" s="3"/>
      <c r="RHQ73" s="3"/>
      <c r="RHR73" s="3"/>
      <c r="RHS73" s="3"/>
      <c r="RHT73" s="3"/>
      <c r="RHU73" s="3"/>
      <c r="RHV73" s="3"/>
      <c r="RHW73" s="3"/>
      <c r="RHX73" s="3"/>
      <c r="RHY73" s="3"/>
      <c r="RHZ73" s="3"/>
      <c r="RIA73" s="3"/>
      <c r="RIB73" s="3"/>
      <c r="RIC73" s="3"/>
      <c r="RID73" s="3"/>
      <c r="RIE73" s="3"/>
      <c r="RIF73" s="3"/>
      <c r="RIG73" s="3"/>
      <c r="RIH73" s="3"/>
      <c r="RII73" s="3"/>
      <c r="RIJ73" s="3"/>
      <c r="RIK73" s="3"/>
      <c r="RIL73" s="3"/>
      <c r="RIM73" s="3"/>
      <c r="RIN73" s="3"/>
      <c r="RIO73" s="3"/>
      <c r="RIP73" s="3"/>
      <c r="RIQ73" s="3"/>
      <c r="RIR73" s="3"/>
      <c r="RIS73" s="3"/>
      <c r="RIT73" s="3"/>
      <c r="RIU73" s="3"/>
      <c r="RIV73" s="3"/>
      <c r="RIW73" s="3"/>
      <c r="RIX73" s="3"/>
      <c r="RIY73" s="3"/>
      <c r="RIZ73" s="3"/>
      <c r="RJA73" s="3"/>
      <c r="RJB73" s="3"/>
      <c r="RJC73" s="3"/>
      <c r="RJD73" s="3"/>
      <c r="RJE73" s="3"/>
      <c r="RJF73" s="3"/>
      <c r="RJG73" s="3"/>
      <c r="RJH73" s="3"/>
      <c r="RJI73" s="3"/>
      <c r="RJJ73" s="3"/>
      <c r="RJK73" s="3"/>
      <c r="RJL73" s="3"/>
      <c r="RJM73" s="3"/>
      <c r="RJN73" s="3"/>
      <c r="RJO73" s="3"/>
      <c r="RJP73" s="3"/>
      <c r="RJQ73" s="3"/>
      <c r="RJR73" s="3"/>
      <c r="RJS73" s="3"/>
      <c r="RJT73" s="3"/>
      <c r="RJU73" s="3"/>
      <c r="RJV73" s="3"/>
      <c r="RJW73" s="3"/>
      <c r="RJX73" s="3"/>
      <c r="RJY73" s="3"/>
      <c r="RJZ73" s="3"/>
      <c r="RKA73" s="3"/>
      <c r="RKB73" s="3"/>
      <c r="RKC73" s="3"/>
      <c r="RKD73" s="3"/>
      <c r="RKE73" s="3"/>
      <c r="RKF73" s="3"/>
      <c r="RKG73" s="3"/>
      <c r="RKH73" s="3"/>
      <c r="RKI73" s="3"/>
      <c r="RKJ73" s="3"/>
      <c r="RKK73" s="3"/>
      <c r="RKL73" s="3"/>
      <c r="RKM73" s="3"/>
      <c r="RKN73" s="3"/>
      <c r="RKO73" s="3"/>
      <c r="RKP73" s="3"/>
      <c r="RKQ73" s="3"/>
      <c r="RKR73" s="3"/>
      <c r="RKS73" s="3"/>
      <c r="RKT73" s="3"/>
      <c r="RKU73" s="3"/>
      <c r="RKV73" s="3"/>
      <c r="RKW73" s="3"/>
      <c r="RKX73" s="3"/>
      <c r="RKY73" s="3"/>
      <c r="RKZ73" s="3"/>
      <c r="RLA73" s="3"/>
      <c r="RLB73" s="3"/>
      <c r="RLC73" s="3"/>
      <c r="RLD73" s="3"/>
      <c r="RLE73" s="3"/>
      <c r="RLF73" s="3"/>
      <c r="RLG73" s="3"/>
      <c r="RLH73" s="3"/>
      <c r="RLI73" s="3"/>
      <c r="RLJ73" s="3"/>
      <c r="RLK73" s="3"/>
      <c r="RLL73" s="3"/>
      <c r="RLM73" s="3"/>
      <c r="RLN73" s="3"/>
      <c r="RLO73" s="3"/>
      <c r="RLP73" s="3"/>
      <c r="RLQ73" s="3"/>
      <c r="RLR73" s="3"/>
      <c r="RLS73" s="3"/>
      <c r="RLT73" s="3"/>
      <c r="RLU73" s="3"/>
      <c r="RLV73" s="3"/>
      <c r="RLW73" s="3"/>
      <c r="RLX73" s="3"/>
      <c r="RLY73" s="3"/>
      <c r="RLZ73" s="3"/>
      <c r="RMA73" s="3"/>
      <c r="RMB73" s="3"/>
      <c r="RMC73" s="3"/>
      <c r="RMD73" s="3"/>
      <c r="RME73" s="3"/>
      <c r="RMF73" s="3"/>
      <c r="RMG73" s="3"/>
      <c r="RMH73" s="3"/>
      <c r="RMI73" s="3"/>
      <c r="RMJ73" s="3"/>
      <c r="RMK73" s="3"/>
      <c r="RML73" s="3"/>
      <c r="RMM73" s="3"/>
      <c r="RMN73" s="3"/>
      <c r="RMO73" s="3"/>
      <c r="RMP73" s="3"/>
      <c r="RMQ73" s="3"/>
      <c r="RMR73" s="3"/>
      <c r="RMS73" s="3"/>
      <c r="RMT73" s="3"/>
      <c r="RMU73" s="3"/>
      <c r="RMV73" s="3"/>
      <c r="RMW73" s="3"/>
      <c r="RMX73" s="3"/>
      <c r="RMY73" s="3"/>
      <c r="RMZ73" s="3"/>
      <c r="RNA73" s="3"/>
      <c r="RNB73" s="3"/>
      <c r="RNC73" s="3"/>
      <c r="RND73" s="3"/>
      <c r="RNE73" s="3"/>
      <c r="RNF73" s="3"/>
      <c r="RNG73" s="3"/>
      <c r="RNH73" s="3"/>
      <c r="RNI73" s="3"/>
      <c r="RNJ73" s="3"/>
      <c r="RNK73" s="3"/>
      <c r="RNL73" s="3"/>
      <c r="RNM73" s="3"/>
      <c r="RNN73" s="3"/>
      <c r="RNO73" s="3"/>
      <c r="RNP73" s="3"/>
      <c r="RNQ73" s="3"/>
      <c r="RNR73" s="3"/>
      <c r="RNS73" s="3"/>
      <c r="RNT73" s="3"/>
      <c r="RNU73" s="3"/>
      <c r="RNV73" s="3"/>
      <c r="RNW73" s="3"/>
      <c r="RNX73" s="3"/>
      <c r="RNY73" s="3"/>
      <c r="RNZ73" s="3"/>
      <c r="ROA73" s="3"/>
      <c r="ROB73" s="3"/>
      <c r="ROC73" s="3"/>
      <c r="ROD73" s="3"/>
      <c r="ROE73" s="3"/>
      <c r="ROF73" s="3"/>
      <c r="ROG73" s="3"/>
      <c r="ROH73" s="3"/>
      <c r="ROI73" s="3"/>
      <c r="ROJ73" s="3"/>
      <c r="ROK73" s="3"/>
      <c r="ROL73" s="3"/>
      <c r="ROM73" s="3"/>
      <c r="RON73" s="3"/>
      <c r="ROO73" s="3"/>
      <c r="ROP73" s="3"/>
      <c r="ROQ73" s="3"/>
      <c r="ROR73" s="3"/>
      <c r="ROS73" s="3"/>
      <c r="ROT73" s="3"/>
      <c r="ROU73" s="3"/>
      <c r="ROV73" s="3"/>
      <c r="ROW73" s="3"/>
      <c r="ROX73" s="3"/>
      <c r="ROY73" s="3"/>
      <c r="ROZ73" s="3"/>
      <c r="RPA73" s="3"/>
      <c r="RPB73" s="3"/>
      <c r="RPC73" s="3"/>
      <c r="RPD73" s="3"/>
      <c r="RPE73" s="3"/>
      <c r="RPF73" s="3"/>
      <c r="RPG73" s="3"/>
      <c r="RPH73" s="3"/>
      <c r="RPI73" s="3"/>
      <c r="RPJ73" s="3"/>
      <c r="RPK73" s="3"/>
      <c r="RPL73" s="3"/>
      <c r="RPM73" s="3"/>
      <c r="RPN73" s="3"/>
      <c r="RPO73" s="3"/>
      <c r="RPP73" s="3"/>
      <c r="RPQ73" s="3"/>
      <c r="RPR73" s="3"/>
      <c r="RPS73" s="3"/>
      <c r="RPT73" s="3"/>
      <c r="RPU73" s="3"/>
      <c r="RPV73" s="3"/>
      <c r="RPW73" s="3"/>
      <c r="RPX73" s="3"/>
      <c r="RPY73" s="3"/>
      <c r="RPZ73" s="3"/>
      <c r="RQA73" s="3"/>
      <c r="RQB73" s="3"/>
      <c r="RQC73" s="3"/>
      <c r="RQD73" s="3"/>
      <c r="RQE73" s="3"/>
      <c r="RQF73" s="3"/>
      <c r="RQG73" s="3"/>
      <c r="RQH73" s="3"/>
      <c r="RQI73" s="3"/>
      <c r="RQJ73" s="3"/>
      <c r="RQK73" s="3"/>
      <c r="RQL73" s="3"/>
      <c r="RQM73" s="3"/>
      <c r="RQN73" s="3"/>
      <c r="RQO73" s="3"/>
      <c r="RQP73" s="3"/>
      <c r="RQQ73" s="3"/>
      <c r="RQR73" s="3"/>
      <c r="RQS73" s="3"/>
      <c r="RQT73" s="3"/>
      <c r="RQU73" s="3"/>
      <c r="RQV73" s="3"/>
      <c r="RQW73" s="3"/>
      <c r="RQX73" s="3"/>
      <c r="RQY73" s="3"/>
      <c r="RQZ73" s="3"/>
      <c r="RRA73" s="3"/>
      <c r="RRB73" s="3"/>
      <c r="RRC73" s="3"/>
      <c r="RRD73" s="3"/>
      <c r="RRE73" s="3"/>
      <c r="RRF73" s="3"/>
      <c r="RRG73" s="3"/>
      <c r="RRH73" s="3"/>
      <c r="RRI73" s="3"/>
      <c r="RRJ73" s="3"/>
      <c r="RRK73" s="3"/>
      <c r="RRL73" s="3"/>
      <c r="RRM73" s="3"/>
      <c r="RRN73" s="3"/>
      <c r="RRO73" s="3"/>
      <c r="RRP73" s="3"/>
      <c r="RRQ73" s="3"/>
      <c r="RRR73" s="3"/>
      <c r="RRS73" s="3"/>
      <c r="RRT73" s="3"/>
      <c r="RRU73" s="3"/>
      <c r="RRV73" s="3"/>
      <c r="RRW73" s="3"/>
      <c r="RRX73" s="3"/>
      <c r="RRY73" s="3"/>
      <c r="RRZ73" s="3"/>
      <c r="RSA73" s="3"/>
      <c r="RSB73" s="3"/>
      <c r="RSC73" s="3"/>
      <c r="RSD73" s="3"/>
      <c r="RSE73" s="3"/>
      <c r="RSF73" s="3"/>
      <c r="RSG73" s="3"/>
      <c r="RSH73" s="3"/>
      <c r="RSI73" s="3"/>
      <c r="RSJ73" s="3"/>
      <c r="RSK73" s="3"/>
      <c r="RSL73" s="3"/>
      <c r="RSM73" s="3"/>
      <c r="RSN73" s="3"/>
      <c r="RSO73" s="3"/>
      <c r="RSP73" s="3"/>
      <c r="RSQ73" s="3"/>
      <c r="RSR73" s="3"/>
      <c r="RSS73" s="3"/>
      <c r="RST73" s="3"/>
      <c r="RSU73" s="3"/>
      <c r="RSV73" s="3"/>
      <c r="RSW73" s="3"/>
      <c r="RSX73" s="3"/>
      <c r="RSY73" s="3"/>
      <c r="RSZ73" s="3"/>
      <c r="RTA73" s="3"/>
      <c r="RTB73" s="3"/>
      <c r="RTC73" s="3"/>
      <c r="RTD73" s="3"/>
      <c r="RTE73" s="3"/>
      <c r="RTF73" s="3"/>
      <c r="RTG73" s="3"/>
      <c r="RTH73" s="3"/>
      <c r="RTI73" s="3"/>
      <c r="RTJ73" s="3"/>
      <c r="RTK73" s="3"/>
      <c r="RTL73" s="3"/>
      <c r="RTM73" s="3"/>
      <c r="RTN73" s="3"/>
      <c r="RTO73" s="3"/>
      <c r="RTP73" s="3"/>
      <c r="RTQ73" s="3"/>
      <c r="RTR73" s="3"/>
      <c r="RTS73" s="3"/>
      <c r="RTT73" s="3"/>
      <c r="RTU73" s="3"/>
      <c r="RTV73" s="3"/>
      <c r="RTW73" s="3"/>
      <c r="RTX73" s="3"/>
      <c r="RTY73" s="3"/>
      <c r="RTZ73" s="3"/>
      <c r="RUA73" s="3"/>
      <c r="RUB73" s="3"/>
      <c r="RUC73" s="3"/>
      <c r="RUD73" s="3"/>
      <c r="RUE73" s="3"/>
      <c r="RUF73" s="3"/>
      <c r="RUG73" s="3"/>
      <c r="RUH73" s="3"/>
      <c r="RUI73" s="3"/>
      <c r="RUJ73" s="3"/>
      <c r="RUK73" s="3"/>
      <c r="RUL73" s="3"/>
      <c r="RUM73" s="3"/>
      <c r="RUN73" s="3"/>
      <c r="RUO73" s="3"/>
      <c r="RUP73" s="3"/>
      <c r="RUQ73" s="3"/>
      <c r="RUR73" s="3"/>
      <c r="RUS73" s="3"/>
      <c r="RUT73" s="3"/>
      <c r="RUU73" s="3"/>
      <c r="RUV73" s="3"/>
      <c r="RUW73" s="3"/>
      <c r="RUX73" s="3"/>
      <c r="RUY73" s="3"/>
      <c r="RUZ73" s="3"/>
      <c r="RVA73" s="3"/>
      <c r="RVB73" s="3"/>
      <c r="RVC73" s="3"/>
      <c r="RVD73" s="3"/>
      <c r="RVE73" s="3"/>
      <c r="RVF73" s="3"/>
      <c r="RVG73" s="3"/>
      <c r="RVH73" s="3"/>
      <c r="RVI73" s="3"/>
      <c r="RVJ73" s="3"/>
      <c r="RVK73" s="3"/>
      <c r="RVL73" s="3"/>
      <c r="RVM73" s="3"/>
      <c r="RVN73" s="3"/>
      <c r="RVO73" s="3"/>
      <c r="RVP73" s="3"/>
      <c r="RVQ73" s="3"/>
      <c r="RVR73" s="3"/>
      <c r="RVS73" s="3"/>
      <c r="RVT73" s="3"/>
      <c r="RVU73" s="3"/>
      <c r="RVV73" s="3"/>
      <c r="RVW73" s="3"/>
      <c r="RVX73" s="3"/>
      <c r="RVY73" s="3"/>
      <c r="RVZ73" s="3"/>
      <c r="RWA73" s="3"/>
      <c r="RWB73" s="3"/>
      <c r="RWC73" s="3"/>
      <c r="RWD73" s="3"/>
      <c r="RWE73" s="3"/>
      <c r="RWF73" s="3"/>
      <c r="RWG73" s="3"/>
      <c r="RWH73" s="3"/>
      <c r="RWI73" s="3"/>
      <c r="RWJ73" s="3"/>
      <c r="RWK73" s="3"/>
      <c r="RWL73" s="3"/>
      <c r="RWM73" s="3"/>
      <c r="RWN73" s="3"/>
      <c r="RWO73" s="3"/>
      <c r="RWP73" s="3"/>
      <c r="RWQ73" s="3"/>
      <c r="RWR73" s="3"/>
      <c r="RWS73" s="3"/>
      <c r="RWT73" s="3"/>
      <c r="RWU73" s="3"/>
      <c r="RWV73" s="3"/>
      <c r="RWW73" s="3"/>
      <c r="RWX73" s="3"/>
      <c r="RWY73" s="3"/>
      <c r="RWZ73" s="3"/>
      <c r="RXA73" s="3"/>
      <c r="RXB73" s="3"/>
      <c r="RXC73" s="3"/>
      <c r="RXD73" s="3"/>
      <c r="RXE73" s="3"/>
      <c r="RXF73" s="3"/>
      <c r="RXG73" s="3"/>
      <c r="RXH73" s="3"/>
      <c r="RXI73" s="3"/>
      <c r="RXJ73" s="3"/>
      <c r="RXK73" s="3"/>
      <c r="RXL73" s="3"/>
      <c r="RXM73" s="3"/>
      <c r="RXN73" s="3"/>
      <c r="RXO73" s="3"/>
      <c r="RXP73" s="3"/>
      <c r="RXQ73" s="3"/>
      <c r="RXR73" s="3"/>
      <c r="RXS73" s="3"/>
      <c r="RXT73" s="3"/>
      <c r="RXU73" s="3"/>
      <c r="RXV73" s="3"/>
      <c r="RXW73" s="3"/>
      <c r="RXX73" s="3"/>
      <c r="RXY73" s="3"/>
      <c r="RXZ73" s="3"/>
      <c r="RYA73" s="3"/>
      <c r="RYB73" s="3"/>
      <c r="RYC73" s="3"/>
      <c r="RYD73" s="3"/>
      <c r="RYE73" s="3"/>
      <c r="RYF73" s="3"/>
      <c r="RYG73" s="3"/>
      <c r="RYH73" s="3"/>
      <c r="RYI73" s="3"/>
      <c r="RYJ73" s="3"/>
      <c r="RYK73" s="3"/>
      <c r="RYL73" s="3"/>
      <c r="RYM73" s="3"/>
      <c r="RYN73" s="3"/>
      <c r="RYO73" s="3"/>
      <c r="RYP73" s="3"/>
      <c r="RYQ73" s="3"/>
      <c r="RYR73" s="3"/>
      <c r="RYS73" s="3"/>
      <c r="RYT73" s="3"/>
      <c r="RYU73" s="3"/>
      <c r="RYV73" s="3"/>
      <c r="RYW73" s="3"/>
      <c r="RYX73" s="3"/>
      <c r="RYY73" s="3"/>
      <c r="RYZ73" s="3"/>
      <c r="RZA73" s="3"/>
      <c r="RZB73" s="3"/>
      <c r="RZC73" s="3"/>
      <c r="RZD73" s="3"/>
      <c r="RZE73" s="3"/>
      <c r="RZF73" s="3"/>
      <c r="RZG73" s="3"/>
      <c r="RZH73" s="3"/>
      <c r="RZI73" s="3"/>
      <c r="RZJ73" s="3"/>
      <c r="RZK73" s="3"/>
      <c r="RZL73" s="3"/>
      <c r="RZM73" s="3"/>
      <c r="RZN73" s="3"/>
      <c r="RZO73" s="3"/>
      <c r="RZP73" s="3"/>
      <c r="RZQ73" s="3"/>
      <c r="RZR73" s="3"/>
      <c r="RZS73" s="3"/>
      <c r="RZT73" s="3"/>
      <c r="RZU73" s="3"/>
      <c r="RZV73" s="3"/>
      <c r="RZW73" s="3"/>
      <c r="RZX73" s="3"/>
      <c r="RZY73" s="3"/>
      <c r="RZZ73" s="3"/>
      <c r="SAA73" s="3"/>
      <c r="SAB73" s="3"/>
      <c r="SAC73" s="3"/>
      <c r="SAD73" s="3"/>
      <c r="SAE73" s="3"/>
      <c r="SAF73" s="3"/>
      <c r="SAG73" s="3"/>
      <c r="SAH73" s="3"/>
      <c r="SAI73" s="3"/>
      <c r="SAJ73" s="3"/>
      <c r="SAK73" s="3"/>
      <c r="SAL73" s="3"/>
      <c r="SAM73" s="3"/>
      <c r="SAN73" s="3"/>
      <c r="SAO73" s="3"/>
      <c r="SAP73" s="3"/>
      <c r="SAQ73" s="3"/>
      <c r="SAR73" s="3"/>
      <c r="SAS73" s="3"/>
      <c r="SAT73" s="3"/>
      <c r="SAU73" s="3"/>
      <c r="SAV73" s="3"/>
      <c r="SAW73" s="3"/>
      <c r="SAX73" s="3"/>
      <c r="SAY73" s="3"/>
      <c r="SAZ73" s="3"/>
      <c r="SBA73" s="3"/>
      <c r="SBB73" s="3"/>
      <c r="SBC73" s="3"/>
      <c r="SBD73" s="3"/>
      <c r="SBE73" s="3"/>
      <c r="SBF73" s="3"/>
      <c r="SBG73" s="3"/>
      <c r="SBH73" s="3"/>
      <c r="SBI73" s="3"/>
      <c r="SBJ73" s="3"/>
      <c r="SBK73" s="3"/>
      <c r="SBL73" s="3"/>
      <c r="SBM73" s="3"/>
      <c r="SBN73" s="3"/>
      <c r="SBO73" s="3"/>
      <c r="SBP73" s="3"/>
      <c r="SBQ73" s="3"/>
      <c r="SBR73" s="3"/>
      <c r="SBS73" s="3"/>
      <c r="SBT73" s="3"/>
      <c r="SBU73" s="3"/>
      <c r="SBV73" s="3"/>
      <c r="SBW73" s="3"/>
      <c r="SBX73" s="3"/>
      <c r="SBY73" s="3"/>
      <c r="SBZ73" s="3"/>
      <c r="SCA73" s="3"/>
      <c r="SCB73" s="3"/>
      <c r="SCC73" s="3"/>
      <c r="SCD73" s="3"/>
      <c r="SCE73" s="3"/>
      <c r="SCF73" s="3"/>
      <c r="SCG73" s="3"/>
      <c r="SCH73" s="3"/>
      <c r="SCI73" s="3"/>
      <c r="SCJ73" s="3"/>
      <c r="SCK73" s="3"/>
      <c r="SCL73" s="3"/>
      <c r="SCM73" s="3"/>
      <c r="SCN73" s="3"/>
      <c r="SCO73" s="3"/>
      <c r="SCP73" s="3"/>
      <c r="SCQ73" s="3"/>
      <c r="SCR73" s="3"/>
      <c r="SCS73" s="3"/>
      <c r="SCT73" s="3"/>
      <c r="SCU73" s="3"/>
      <c r="SCV73" s="3"/>
      <c r="SCW73" s="3"/>
      <c r="SCX73" s="3"/>
      <c r="SCY73" s="3"/>
      <c r="SCZ73" s="3"/>
      <c r="SDA73" s="3"/>
      <c r="SDB73" s="3"/>
      <c r="SDC73" s="3"/>
      <c r="SDD73" s="3"/>
      <c r="SDE73" s="3"/>
      <c r="SDF73" s="3"/>
      <c r="SDG73" s="3"/>
      <c r="SDH73" s="3"/>
      <c r="SDI73" s="3"/>
      <c r="SDJ73" s="3"/>
      <c r="SDK73" s="3"/>
      <c r="SDL73" s="3"/>
      <c r="SDM73" s="3"/>
      <c r="SDN73" s="3"/>
      <c r="SDO73" s="3"/>
      <c r="SDP73" s="3"/>
      <c r="SDQ73" s="3"/>
      <c r="SDR73" s="3"/>
      <c r="SDS73" s="3"/>
      <c r="SDT73" s="3"/>
      <c r="SDU73" s="3"/>
      <c r="SDV73" s="3"/>
      <c r="SDW73" s="3"/>
      <c r="SDX73" s="3"/>
      <c r="SDY73" s="3"/>
      <c r="SDZ73" s="3"/>
      <c r="SEA73" s="3"/>
      <c r="SEB73" s="3"/>
      <c r="SEC73" s="3"/>
      <c r="SED73" s="3"/>
      <c r="SEE73" s="3"/>
      <c r="SEF73" s="3"/>
      <c r="SEG73" s="3"/>
      <c r="SEH73" s="3"/>
      <c r="SEI73" s="3"/>
      <c r="SEJ73" s="3"/>
      <c r="SEK73" s="3"/>
      <c r="SEL73" s="3"/>
      <c r="SEM73" s="3"/>
      <c r="SEN73" s="3"/>
      <c r="SEO73" s="3"/>
      <c r="SEP73" s="3"/>
      <c r="SEQ73" s="3"/>
      <c r="SER73" s="3"/>
      <c r="SES73" s="3"/>
      <c r="SET73" s="3"/>
      <c r="SEU73" s="3"/>
      <c r="SEV73" s="3"/>
      <c r="SEW73" s="3"/>
      <c r="SEX73" s="3"/>
      <c r="SEY73" s="3"/>
      <c r="SEZ73" s="3"/>
      <c r="SFA73" s="3"/>
      <c r="SFB73" s="3"/>
      <c r="SFC73" s="3"/>
      <c r="SFD73" s="3"/>
      <c r="SFE73" s="3"/>
      <c r="SFF73" s="3"/>
      <c r="SFG73" s="3"/>
      <c r="SFH73" s="3"/>
      <c r="SFI73" s="3"/>
      <c r="SFJ73" s="3"/>
      <c r="SFK73" s="3"/>
      <c r="SFL73" s="3"/>
      <c r="SFM73" s="3"/>
      <c r="SFN73" s="3"/>
      <c r="SFO73" s="3"/>
      <c r="SFP73" s="3"/>
      <c r="SFQ73" s="3"/>
      <c r="SFR73" s="3"/>
      <c r="SFS73" s="3"/>
      <c r="SFT73" s="3"/>
      <c r="SFU73" s="3"/>
      <c r="SFV73" s="3"/>
      <c r="SFW73" s="3"/>
      <c r="SFX73" s="3"/>
      <c r="SFY73" s="3"/>
      <c r="SFZ73" s="3"/>
      <c r="SGA73" s="3"/>
      <c r="SGB73" s="3"/>
      <c r="SGC73" s="3"/>
      <c r="SGD73" s="3"/>
      <c r="SGE73" s="3"/>
      <c r="SGF73" s="3"/>
      <c r="SGG73" s="3"/>
      <c r="SGH73" s="3"/>
      <c r="SGI73" s="3"/>
      <c r="SGJ73" s="3"/>
      <c r="SGK73" s="3"/>
      <c r="SGL73" s="3"/>
      <c r="SGM73" s="3"/>
      <c r="SGN73" s="3"/>
      <c r="SGO73" s="3"/>
      <c r="SGP73" s="3"/>
      <c r="SGQ73" s="3"/>
      <c r="SGR73" s="3"/>
      <c r="SGS73" s="3"/>
      <c r="SGT73" s="3"/>
      <c r="SGU73" s="3"/>
      <c r="SGV73" s="3"/>
      <c r="SGW73" s="3"/>
      <c r="SGX73" s="3"/>
      <c r="SGY73" s="3"/>
      <c r="SGZ73" s="3"/>
      <c r="SHA73" s="3"/>
      <c r="SHB73" s="3"/>
      <c r="SHC73" s="3"/>
      <c r="SHD73" s="3"/>
      <c r="SHE73" s="3"/>
      <c r="SHF73" s="3"/>
      <c r="SHG73" s="3"/>
      <c r="SHH73" s="3"/>
      <c r="SHI73" s="3"/>
      <c r="SHJ73" s="3"/>
      <c r="SHK73" s="3"/>
      <c r="SHL73" s="3"/>
      <c r="SHM73" s="3"/>
      <c r="SHN73" s="3"/>
      <c r="SHO73" s="3"/>
      <c r="SHP73" s="3"/>
      <c r="SHQ73" s="3"/>
      <c r="SHR73" s="3"/>
      <c r="SHS73" s="3"/>
      <c r="SHT73" s="3"/>
      <c r="SHU73" s="3"/>
      <c r="SHV73" s="3"/>
      <c r="SHW73" s="3"/>
      <c r="SHX73" s="3"/>
      <c r="SHY73" s="3"/>
      <c r="SHZ73" s="3"/>
      <c r="SIA73" s="3"/>
      <c r="SIB73" s="3"/>
      <c r="SIC73" s="3"/>
      <c r="SID73" s="3"/>
      <c r="SIE73" s="3"/>
      <c r="SIF73" s="3"/>
      <c r="SIG73" s="3"/>
      <c r="SIH73" s="3"/>
      <c r="SII73" s="3"/>
      <c r="SIJ73" s="3"/>
      <c r="SIK73" s="3"/>
      <c r="SIL73" s="3"/>
      <c r="SIM73" s="3"/>
      <c r="SIN73" s="3"/>
      <c r="SIO73" s="3"/>
      <c r="SIP73" s="3"/>
      <c r="SIQ73" s="3"/>
      <c r="SIR73" s="3"/>
      <c r="SIS73" s="3"/>
      <c r="SIT73" s="3"/>
      <c r="SIU73" s="3"/>
      <c r="SIV73" s="3"/>
      <c r="SIW73" s="3"/>
      <c r="SIX73" s="3"/>
      <c r="SIY73" s="3"/>
      <c r="SIZ73" s="3"/>
      <c r="SJA73" s="3"/>
      <c r="SJB73" s="3"/>
      <c r="SJC73" s="3"/>
      <c r="SJD73" s="3"/>
      <c r="SJE73" s="3"/>
      <c r="SJF73" s="3"/>
      <c r="SJG73" s="3"/>
      <c r="SJH73" s="3"/>
      <c r="SJI73" s="3"/>
      <c r="SJJ73" s="3"/>
      <c r="SJK73" s="3"/>
      <c r="SJL73" s="3"/>
      <c r="SJM73" s="3"/>
      <c r="SJN73" s="3"/>
      <c r="SJO73" s="3"/>
      <c r="SJP73" s="3"/>
      <c r="SJQ73" s="3"/>
      <c r="SJR73" s="3"/>
      <c r="SJS73" s="3"/>
      <c r="SJT73" s="3"/>
      <c r="SJU73" s="3"/>
      <c r="SJV73" s="3"/>
      <c r="SJW73" s="3"/>
      <c r="SJX73" s="3"/>
      <c r="SJY73" s="3"/>
      <c r="SJZ73" s="3"/>
      <c r="SKA73" s="3"/>
      <c r="SKB73" s="3"/>
      <c r="SKC73" s="3"/>
      <c r="SKD73" s="3"/>
      <c r="SKE73" s="3"/>
      <c r="SKF73" s="3"/>
      <c r="SKG73" s="3"/>
      <c r="SKH73" s="3"/>
      <c r="SKI73" s="3"/>
      <c r="SKJ73" s="3"/>
      <c r="SKK73" s="3"/>
      <c r="SKL73" s="3"/>
      <c r="SKM73" s="3"/>
      <c r="SKN73" s="3"/>
      <c r="SKO73" s="3"/>
      <c r="SKP73" s="3"/>
      <c r="SKQ73" s="3"/>
      <c r="SKR73" s="3"/>
      <c r="SKS73" s="3"/>
      <c r="SKT73" s="3"/>
      <c r="SKU73" s="3"/>
      <c r="SKV73" s="3"/>
      <c r="SKW73" s="3"/>
      <c r="SKX73" s="3"/>
      <c r="SKY73" s="3"/>
      <c r="SKZ73" s="3"/>
      <c r="SLA73" s="3"/>
      <c r="SLB73" s="3"/>
      <c r="SLC73" s="3"/>
      <c r="SLD73" s="3"/>
      <c r="SLE73" s="3"/>
      <c r="SLF73" s="3"/>
      <c r="SLG73" s="3"/>
      <c r="SLH73" s="3"/>
      <c r="SLI73" s="3"/>
      <c r="SLJ73" s="3"/>
      <c r="SLK73" s="3"/>
      <c r="SLL73" s="3"/>
      <c r="SLM73" s="3"/>
      <c r="SLN73" s="3"/>
      <c r="SLO73" s="3"/>
      <c r="SLP73" s="3"/>
      <c r="SLQ73" s="3"/>
      <c r="SLR73" s="3"/>
      <c r="SLS73" s="3"/>
      <c r="SLT73" s="3"/>
      <c r="SLU73" s="3"/>
      <c r="SLV73" s="3"/>
      <c r="SLW73" s="3"/>
      <c r="SLX73" s="3"/>
      <c r="SLY73" s="3"/>
      <c r="SLZ73" s="3"/>
      <c r="SMA73" s="3"/>
      <c r="SMB73" s="3"/>
      <c r="SMC73" s="3"/>
      <c r="SMD73" s="3"/>
      <c r="SME73" s="3"/>
      <c r="SMF73" s="3"/>
      <c r="SMG73" s="3"/>
      <c r="SMH73" s="3"/>
      <c r="SMI73" s="3"/>
      <c r="SMJ73" s="3"/>
      <c r="SMK73" s="3"/>
      <c r="SML73" s="3"/>
      <c r="SMM73" s="3"/>
      <c r="SMN73" s="3"/>
      <c r="SMO73" s="3"/>
      <c r="SMP73" s="3"/>
      <c r="SMQ73" s="3"/>
      <c r="SMR73" s="3"/>
      <c r="SMS73" s="3"/>
      <c r="SMT73" s="3"/>
      <c r="SMU73" s="3"/>
      <c r="SMV73" s="3"/>
      <c r="SMW73" s="3"/>
      <c r="SMX73" s="3"/>
      <c r="SMY73" s="3"/>
      <c r="SMZ73" s="3"/>
      <c r="SNA73" s="3"/>
      <c r="SNB73" s="3"/>
      <c r="SNC73" s="3"/>
      <c r="SND73" s="3"/>
      <c r="SNE73" s="3"/>
      <c r="SNF73" s="3"/>
      <c r="SNG73" s="3"/>
      <c r="SNH73" s="3"/>
      <c r="SNI73" s="3"/>
      <c r="SNJ73" s="3"/>
      <c r="SNK73" s="3"/>
      <c r="SNL73" s="3"/>
      <c r="SNM73" s="3"/>
      <c r="SNN73" s="3"/>
      <c r="SNO73" s="3"/>
      <c r="SNP73" s="3"/>
      <c r="SNQ73" s="3"/>
      <c r="SNR73" s="3"/>
      <c r="SNS73" s="3"/>
      <c r="SNT73" s="3"/>
      <c r="SNU73" s="3"/>
      <c r="SNV73" s="3"/>
      <c r="SNW73" s="3"/>
      <c r="SNX73" s="3"/>
      <c r="SNY73" s="3"/>
      <c r="SNZ73" s="3"/>
      <c r="SOA73" s="3"/>
      <c r="SOB73" s="3"/>
      <c r="SOC73" s="3"/>
      <c r="SOD73" s="3"/>
      <c r="SOE73" s="3"/>
      <c r="SOF73" s="3"/>
      <c r="SOG73" s="3"/>
      <c r="SOH73" s="3"/>
      <c r="SOI73" s="3"/>
      <c r="SOJ73" s="3"/>
      <c r="SOK73" s="3"/>
      <c r="SOL73" s="3"/>
      <c r="SOM73" s="3"/>
      <c r="SON73" s="3"/>
      <c r="SOO73" s="3"/>
      <c r="SOP73" s="3"/>
      <c r="SOQ73" s="3"/>
      <c r="SOR73" s="3"/>
      <c r="SOS73" s="3"/>
      <c r="SOT73" s="3"/>
      <c r="SOU73" s="3"/>
      <c r="SOV73" s="3"/>
      <c r="SOW73" s="3"/>
      <c r="SOX73" s="3"/>
      <c r="SOY73" s="3"/>
      <c r="SOZ73" s="3"/>
      <c r="SPA73" s="3"/>
      <c r="SPB73" s="3"/>
      <c r="SPC73" s="3"/>
      <c r="SPD73" s="3"/>
      <c r="SPE73" s="3"/>
      <c r="SPF73" s="3"/>
      <c r="SPG73" s="3"/>
      <c r="SPH73" s="3"/>
      <c r="SPI73" s="3"/>
      <c r="SPJ73" s="3"/>
      <c r="SPK73" s="3"/>
      <c r="SPL73" s="3"/>
      <c r="SPM73" s="3"/>
      <c r="SPN73" s="3"/>
      <c r="SPO73" s="3"/>
      <c r="SPP73" s="3"/>
      <c r="SPQ73" s="3"/>
      <c r="SPR73" s="3"/>
      <c r="SPS73" s="3"/>
      <c r="SPT73" s="3"/>
      <c r="SPU73" s="3"/>
      <c r="SPV73" s="3"/>
      <c r="SPW73" s="3"/>
      <c r="SPX73" s="3"/>
      <c r="SPY73" s="3"/>
      <c r="SPZ73" s="3"/>
      <c r="SQA73" s="3"/>
      <c r="SQB73" s="3"/>
      <c r="SQC73" s="3"/>
      <c r="SQD73" s="3"/>
      <c r="SQE73" s="3"/>
      <c r="SQF73" s="3"/>
      <c r="SQG73" s="3"/>
      <c r="SQH73" s="3"/>
      <c r="SQI73" s="3"/>
      <c r="SQJ73" s="3"/>
      <c r="SQK73" s="3"/>
      <c r="SQL73" s="3"/>
      <c r="SQM73" s="3"/>
      <c r="SQN73" s="3"/>
      <c r="SQO73" s="3"/>
      <c r="SQP73" s="3"/>
      <c r="SQQ73" s="3"/>
      <c r="SQR73" s="3"/>
      <c r="SQS73" s="3"/>
      <c r="SQT73" s="3"/>
      <c r="SQU73" s="3"/>
      <c r="SQV73" s="3"/>
      <c r="SQW73" s="3"/>
      <c r="SQX73" s="3"/>
      <c r="SQY73" s="3"/>
      <c r="SQZ73" s="3"/>
      <c r="SRA73" s="3"/>
      <c r="SRB73" s="3"/>
      <c r="SRC73" s="3"/>
      <c r="SRD73" s="3"/>
      <c r="SRE73" s="3"/>
      <c r="SRF73" s="3"/>
      <c r="SRG73" s="3"/>
      <c r="SRH73" s="3"/>
      <c r="SRI73" s="3"/>
      <c r="SRJ73" s="3"/>
      <c r="SRK73" s="3"/>
      <c r="SRL73" s="3"/>
      <c r="SRM73" s="3"/>
      <c r="SRN73" s="3"/>
      <c r="SRO73" s="3"/>
      <c r="SRP73" s="3"/>
      <c r="SRQ73" s="3"/>
      <c r="SRR73" s="3"/>
      <c r="SRS73" s="3"/>
      <c r="SRT73" s="3"/>
      <c r="SRU73" s="3"/>
      <c r="SRV73" s="3"/>
      <c r="SRW73" s="3"/>
      <c r="SRX73" s="3"/>
      <c r="SRY73" s="3"/>
      <c r="SRZ73" s="3"/>
      <c r="SSA73" s="3"/>
      <c r="SSB73" s="3"/>
      <c r="SSC73" s="3"/>
      <c r="SSD73" s="3"/>
      <c r="SSE73" s="3"/>
      <c r="SSF73" s="3"/>
      <c r="SSG73" s="3"/>
      <c r="SSH73" s="3"/>
      <c r="SSI73" s="3"/>
      <c r="SSJ73" s="3"/>
      <c r="SSK73" s="3"/>
      <c r="SSL73" s="3"/>
      <c r="SSM73" s="3"/>
      <c r="SSN73" s="3"/>
      <c r="SSO73" s="3"/>
      <c r="SSP73" s="3"/>
      <c r="SSQ73" s="3"/>
      <c r="SSR73" s="3"/>
      <c r="SSS73" s="3"/>
      <c r="SST73" s="3"/>
      <c r="SSU73" s="3"/>
      <c r="SSV73" s="3"/>
      <c r="SSW73" s="3"/>
      <c r="SSX73" s="3"/>
      <c r="SSY73" s="3"/>
      <c r="SSZ73" s="3"/>
      <c r="STA73" s="3"/>
      <c r="STB73" s="3"/>
      <c r="STC73" s="3"/>
      <c r="STD73" s="3"/>
      <c r="STE73" s="3"/>
      <c r="STF73" s="3"/>
      <c r="STG73" s="3"/>
      <c r="STH73" s="3"/>
      <c r="STI73" s="3"/>
      <c r="STJ73" s="3"/>
      <c r="STK73" s="3"/>
      <c r="STL73" s="3"/>
      <c r="STM73" s="3"/>
      <c r="STN73" s="3"/>
      <c r="STO73" s="3"/>
      <c r="STP73" s="3"/>
      <c r="STQ73" s="3"/>
      <c r="STR73" s="3"/>
      <c r="STS73" s="3"/>
      <c r="STT73" s="3"/>
      <c r="STU73" s="3"/>
      <c r="STV73" s="3"/>
      <c r="STW73" s="3"/>
      <c r="STX73" s="3"/>
      <c r="STY73" s="3"/>
      <c r="STZ73" s="3"/>
      <c r="SUA73" s="3"/>
      <c r="SUB73" s="3"/>
      <c r="SUC73" s="3"/>
      <c r="SUD73" s="3"/>
      <c r="SUE73" s="3"/>
      <c r="SUF73" s="3"/>
      <c r="SUG73" s="3"/>
      <c r="SUH73" s="3"/>
      <c r="SUI73" s="3"/>
      <c r="SUJ73" s="3"/>
      <c r="SUK73" s="3"/>
      <c r="SUL73" s="3"/>
      <c r="SUM73" s="3"/>
      <c r="SUN73" s="3"/>
      <c r="SUO73" s="3"/>
      <c r="SUP73" s="3"/>
      <c r="SUQ73" s="3"/>
      <c r="SUR73" s="3"/>
      <c r="SUS73" s="3"/>
      <c r="SUT73" s="3"/>
      <c r="SUU73" s="3"/>
      <c r="SUV73" s="3"/>
      <c r="SUW73" s="3"/>
      <c r="SUX73" s="3"/>
      <c r="SUY73" s="3"/>
      <c r="SUZ73" s="3"/>
      <c r="SVA73" s="3"/>
      <c r="SVB73" s="3"/>
      <c r="SVC73" s="3"/>
      <c r="SVD73" s="3"/>
      <c r="SVE73" s="3"/>
      <c r="SVF73" s="3"/>
      <c r="SVG73" s="3"/>
      <c r="SVH73" s="3"/>
      <c r="SVI73" s="3"/>
      <c r="SVJ73" s="3"/>
      <c r="SVK73" s="3"/>
      <c r="SVL73" s="3"/>
      <c r="SVM73" s="3"/>
      <c r="SVN73" s="3"/>
      <c r="SVO73" s="3"/>
      <c r="SVP73" s="3"/>
      <c r="SVQ73" s="3"/>
      <c r="SVR73" s="3"/>
      <c r="SVS73" s="3"/>
      <c r="SVT73" s="3"/>
      <c r="SVU73" s="3"/>
      <c r="SVV73" s="3"/>
      <c r="SVW73" s="3"/>
      <c r="SVX73" s="3"/>
      <c r="SVY73" s="3"/>
      <c r="SVZ73" s="3"/>
      <c r="SWA73" s="3"/>
      <c r="SWB73" s="3"/>
      <c r="SWC73" s="3"/>
      <c r="SWD73" s="3"/>
      <c r="SWE73" s="3"/>
      <c r="SWF73" s="3"/>
      <c r="SWG73" s="3"/>
      <c r="SWH73" s="3"/>
      <c r="SWI73" s="3"/>
      <c r="SWJ73" s="3"/>
      <c r="SWK73" s="3"/>
      <c r="SWL73" s="3"/>
      <c r="SWM73" s="3"/>
      <c r="SWN73" s="3"/>
      <c r="SWO73" s="3"/>
      <c r="SWP73" s="3"/>
      <c r="SWQ73" s="3"/>
      <c r="SWR73" s="3"/>
      <c r="SWS73" s="3"/>
      <c r="SWT73" s="3"/>
      <c r="SWU73" s="3"/>
      <c r="SWV73" s="3"/>
      <c r="SWW73" s="3"/>
      <c r="SWX73" s="3"/>
      <c r="SWY73" s="3"/>
      <c r="SWZ73" s="3"/>
      <c r="SXA73" s="3"/>
      <c r="SXB73" s="3"/>
      <c r="SXC73" s="3"/>
      <c r="SXD73" s="3"/>
      <c r="SXE73" s="3"/>
      <c r="SXF73" s="3"/>
      <c r="SXG73" s="3"/>
      <c r="SXH73" s="3"/>
      <c r="SXI73" s="3"/>
      <c r="SXJ73" s="3"/>
      <c r="SXK73" s="3"/>
      <c r="SXL73" s="3"/>
      <c r="SXM73" s="3"/>
      <c r="SXN73" s="3"/>
      <c r="SXO73" s="3"/>
      <c r="SXP73" s="3"/>
      <c r="SXQ73" s="3"/>
      <c r="SXR73" s="3"/>
      <c r="SXS73" s="3"/>
      <c r="SXT73" s="3"/>
      <c r="SXU73" s="3"/>
      <c r="SXV73" s="3"/>
      <c r="SXW73" s="3"/>
      <c r="SXX73" s="3"/>
      <c r="SXY73" s="3"/>
      <c r="SXZ73" s="3"/>
      <c r="SYA73" s="3"/>
      <c r="SYB73" s="3"/>
      <c r="SYC73" s="3"/>
      <c r="SYD73" s="3"/>
      <c r="SYE73" s="3"/>
      <c r="SYF73" s="3"/>
      <c r="SYG73" s="3"/>
      <c r="SYH73" s="3"/>
      <c r="SYI73" s="3"/>
      <c r="SYJ73" s="3"/>
      <c r="SYK73" s="3"/>
      <c r="SYL73" s="3"/>
      <c r="SYM73" s="3"/>
      <c r="SYN73" s="3"/>
      <c r="SYO73" s="3"/>
      <c r="SYP73" s="3"/>
      <c r="SYQ73" s="3"/>
      <c r="SYR73" s="3"/>
      <c r="SYS73" s="3"/>
      <c r="SYT73" s="3"/>
      <c r="SYU73" s="3"/>
      <c r="SYV73" s="3"/>
      <c r="SYW73" s="3"/>
      <c r="SYX73" s="3"/>
      <c r="SYY73" s="3"/>
      <c r="SYZ73" s="3"/>
      <c r="SZA73" s="3"/>
      <c r="SZB73" s="3"/>
      <c r="SZC73" s="3"/>
      <c r="SZD73" s="3"/>
      <c r="SZE73" s="3"/>
      <c r="SZF73" s="3"/>
      <c r="SZG73" s="3"/>
      <c r="SZH73" s="3"/>
      <c r="SZI73" s="3"/>
      <c r="SZJ73" s="3"/>
      <c r="SZK73" s="3"/>
      <c r="SZL73" s="3"/>
      <c r="SZM73" s="3"/>
      <c r="SZN73" s="3"/>
      <c r="SZO73" s="3"/>
      <c r="SZP73" s="3"/>
      <c r="SZQ73" s="3"/>
      <c r="SZR73" s="3"/>
      <c r="SZS73" s="3"/>
      <c r="SZT73" s="3"/>
      <c r="SZU73" s="3"/>
      <c r="SZV73" s="3"/>
      <c r="SZW73" s="3"/>
      <c r="SZX73" s="3"/>
      <c r="SZY73" s="3"/>
      <c r="SZZ73" s="3"/>
      <c r="TAA73" s="3"/>
      <c r="TAB73" s="3"/>
      <c r="TAC73" s="3"/>
      <c r="TAD73" s="3"/>
      <c r="TAE73" s="3"/>
      <c r="TAF73" s="3"/>
      <c r="TAG73" s="3"/>
      <c r="TAH73" s="3"/>
      <c r="TAI73" s="3"/>
      <c r="TAJ73" s="3"/>
      <c r="TAK73" s="3"/>
      <c r="TAL73" s="3"/>
      <c r="TAM73" s="3"/>
      <c r="TAN73" s="3"/>
      <c r="TAO73" s="3"/>
      <c r="TAP73" s="3"/>
      <c r="TAQ73" s="3"/>
      <c r="TAR73" s="3"/>
      <c r="TAS73" s="3"/>
      <c r="TAT73" s="3"/>
      <c r="TAU73" s="3"/>
      <c r="TAV73" s="3"/>
      <c r="TAW73" s="3"/>
      <c r="TAX73" s="3"/>
      <c r="TAY73" s="3"/>
      <c r="TAZ73" s="3"/>
      <c r="TBA73" s="3"/>
      <c r="TBB73" s="3"/>
      <c r="TBC73" s="3"/>
      <c r="TBD73" s="3"/>
      <c r="TBE73" s="3"/>
      <c r="TBF73" s="3"/>
      <c r="TBG73" s="3"/>
      <c r="TBH73" s="3"/>
      <c r="TBI73" s="3"/>
      <c r="TBJ73" s="3"/>
      <c r="TBK73" s="3"/>
      <c r="TBL73" s="3"/>
      <c r="TBM73" s="3"/>
      <c r="TBN73" s="3"/>
      <c r="TBO73" s="3"/>
      <c r="TBP73" s="3"/>
      <c r="TBQ73" s="3"/>
      <c r="TBR73" s="3"/>
      <c r="TBS73" s="3"/>
      <c r="TBT73" s="3"/>
      <c r="TBU73" s="3"/>
      <c r="TBV73" s="3"/>
      <c r="TBW73" s="3"/>
      <c r="TBX73" s="3"/>
      <c r="TBY73" s="3"/>
      <c r="TBZ73" s="3"/>
      <c r="TCA73" s="3"/>
      <c r="TCB73" s="3"/>
      <c r="TCC73" s="3"/>
      <c r="TCD73" s="3"/>
      <c r="TCE73" s="3"/>
      <c r="TCF73" s="3"/>
      <c r="TCG73" s="3"/>
      <c r="TCH73" s="3"/>
      <c r="TCI73" s="3"/>
      <c r="TCJ73" s="3"/>
      <c r="TCK73" s="3"/>
      <c r="TCL73" s="3"/>
      <c r="TCM73" s="3"/>
      <c r="TCN73" s="3"/>
      <c r="TCO73" s="3"/>
      <c r="TCP73" s="3"/>
      <c r="TCQ73" s="3"/>
      <c r="TCR73" s="3"/>
      <c r="TCS73" s="3"/>
      <c r="TCT73" s="3"/>
      <c r="TCU73" s="3"/>
      <c r="TCV73" s="3"/>
      <c r="TCW73" s="3"/>
      <c r="TCX73" s="3"/>
      <c r="TCY73" s="3"/>
      <c r="TCZ73" s="3"/>
      <c r="TDA73" s="3"/>
      <c r="TDB73" s="3"/>
      <c r="TDC73" s="3"/>
      <c r="TDD73" s="3"/>
      <c r="TDE73" s="3"/>
      <c r="TDF73" s="3"/>
      <c r="TDG73" s="3"/>
      <c r="TDH73" s="3"/>
      <c r="TDI73" s="3"/>
      <c r="TDJ73" s="3"/>
      <c r="TDK73" s="3"/>
      <c r="TDL73" s="3"/>
      <c r="TDM73" s="3"/>
      <c r="TDN73" s="3"/>
      <c r="TDO73" s="3"/>
      <c r="TDP73" s="3"/>
      <c r="TDQ73" s="3"/>
      <c r="TDR73" s="3"/>
      <c r="TDS73" s="3"/>
      <c r="TDT73" s="3"/>
      <c r="TDU73" s="3"/>
      <c r="TDV73" s="3"/>
      <c r="TDW73" s="3"/>
      <c r="TDX73" s="3"/>
      <c r="TDY73" s="3"/>
      <c r="TDZ73" s="3"/>
      <c r="TEA73" s="3"/>
      <c r="TEB73" s="3"/>
      <c r="TEC73" s="3"/>
      <c r="TED73" s="3"/>
      <c r="TEE73" s="3"/>
      <c r="TEF73" s="3"/>
      <c r="TEG73" s="3"/>
      <c r="TEH73" s="3"/>
      <c r="TEI73" s="3"/>
      <c r="TEJ73" s="3"/>
      <c r="TEK73" s="3"/>
      <c r="TEL73" s="3"/>
      <c r="TEM73" s="3"/>
      <c r="TEN73" s="3"/>
      <c r="TEO73" s="3"/>
      <c r="TEP73" s="3"/>
      <c r="TEQ73" s="3"/>
      <c r="TER73" s="3"/>
      <c r="TES73" s="3"/>
      <c r="TET73" s="3"/>
      <c r="TEU73" s="3"/>
      <c r="TEV73" s="3"/>
      <c r="TEW73" s="3"/>
      <c r="TEX73" s="3"/>
      <c r="TEY73" s="3"/>
      <c r="TEZ73" s="3"/>
      <c r="TFA73" s="3"/>
      <c r="TFB73" s="3"/>
      <c r="TFC73" s="3"/>
      <c r="TFD73" s="3"/>
      <c r="TFE73" s="3"/>
      <c r="TFF73" s="3"/>
      <c r="TFG73" s="3"/>
      <c r="TFH73" s="3"/>
      <c r="TFI73" s="3"/>
      <c r="TFJ73" s="3"/>
      <c r="TFK73" s="3"/>
      <c r="TFL73" s="3"/>
      <c r="TFM73" s="3"/>
      <c r="TFN73" s="3"/>
      <c r="TFO73" s="3"/>
      <c r="TFP73" s="3"/>
      <c r="TFQ73" s="3"/>
      <c r="TFR73" s="3"/>
      <c r="TFS73" s="3"/>
      <c r="TFT73" s="3"/>
      <c r="TFU73" s="3"/>
      <c r="TFV73" s="3"/>
      <c r="TFW73" s="3"/>
      <c r="TFX73" s="3"/>
      <c r="TFY73" s="3"/>
      <c r="TFZ73" s="3"/>
      <c r="TGA73" s="3"/>
      <c r="TGB73" s="3"/>
      <c r="TGC73" s="3"/>
      <c r="TGD73" s="3"/>
      <c r="TGE73" s="3"/>
      <c r="TGF73" s="3"/>
      <c r="TGG73" s="3"/>
      <c r="TGH73" s="3"/>
      <c r="TGI73" s="3"/>
      <c r="TGJ73" s="3"/>
      <c r="TGK73" s="3"/>
      <c r="TGL73" s="3"/>
      <c r="TGM73" s="3"/>
      <c r="TGN73" s="3"/>
      <c r="TGO73" s="3"/>
      <c r="TGP73" s="3"/>
      <c r="TGQ73" s="3"/>
      <c r="TGR73" s="3"/>
      <c r="TGS73" s="3"/>
      <c r="TGT73" s="3"/>
      <c r="TGU73" s="3"/>
      <c r="TGV73" s="3"/>
      <c r="TGW73" s="3"/>
      <c r="TGX73" s="3"/>
      <c r="TGY73" s="3"/>
      <c r="TGZ73" s="3"/>
      <c r="THA73" s="3"/>
      <c r="THB73" s="3"/>
      <c r="THC73" s="3"/>
      <c r="THD73" s="3"/>
      <c r="THE73" s="3"/>
      <c r="THF73" s="3"/>
      <c r="THG73" s="3"/>
      <c r="THH73" s="3"/>
      <c r="THI73" s="3"/>
      <c r="THJ73" s="3"/>
      <c r="THK73" s="3"/>
      <c r="THL73" s="3"/>
      <c r="THM73" s="3"/>
      <c r="THN73" s="3"/>
      <c r="THO73" s="3"/>
      <c r="THP73" s="3"/>
      <c r="THQ73" s="3"/>
      <c r="THR73" s="3"/>
      <c r="THS73" s="3"/>
      <c r="THT73" s="3"/>
      <c r="THU73" s="3"/>
      <c r="THV73" s="3"/>
      <c r="THW73" s="3"/>
      <c r="THX73" s="3"/>
      <c r="THY73" s="3"/>
      <c r="THZ73" s="3"/>
      <c r="TIA73" s="3"/>
      <c r="TIB73" s="3"/>
      <c r="TIC73" s="3"/>
      <c r="TID73" s="3"/>
      <c r="TIE73" s="3"/>
      <c r="TIF73" s="3"/>
      <c r="TIG73" s="3"/>
      <c r="TIH73" s="3"/>
      <c r="TII73" s="3"/>
      <c r="TIJ73" s="3"/>
      <c r="TIK73" s="3"/>
      <c r="TIL73" s="3"/>
      <c r="TIM73" s="3"/>
      <c r="TIN73" s="3"/>
      <c r="TIO73" s="3"/>
      <c r="TIP73" s="3"/>
      <c r="TIQ73" s="3"/>
      <c r="TIR73" s="3"/>
      <c r="TIS73" s="3"/>
      <c r="TIT73" s="3"/>
      <c r="TIU73" s="3"/>
      <c r="TIV73" s="3"/>
      <c r="TIW73" s="3"/>
      <c r="TIX73" s="3"/>
      <c r="TIY73" s="3"/>
      <c r="TIZ73" s="3"/>
      <c r="TJA73" s="3"/>
      <c r="TJB73" s="3"/>
      <c r="TJC73" s="3"/>
      <c r="TJD73" s="3"/>
      <c r="TJE73" s="3"/>
      <c r="TJF73" s="3"/>
      <c r="TJG73" s="3"/>
      <c r="TJH73" s="3"/>
      <c r="TJI73" s="3"/>
      <c r="TJJ73" s="3"/>
      <c r="TJK73" s="3"/>
      <c r="TJL73" s="3"/>
      <c r="TJM73" s="3"/>
      <c r="TJN73" s="3"/>
      <c r="TJO73" s="3"/>
      <c r="TJP73" s="3"/>
      <c r="TJQ73" s="3"/>
      <c r="TJR73" s="3"/>
      <c r="TJS73" s="3"/>
      <c r="TJT73" s="3"/>
      <c r="TJU73" s="3"/>
      <c r="TJV73" s="3"/>
      <c r="TJW73" s="3"/>
      <c r="TJX73" s="3"/>
      <c r="TJY73" s="3"/>
      <c r="TJZ73" s="3"/>
      <c r="TKA73" s="3"/>
      <c r="TKB73" s="3"/>
      <c r="TKC73" s="3"/>
      <c r="TKD73" s="3"/>
      <c r="TKE73" s="3"/>
      <c r="TKF73" s="3"/>
      <c r="TKG73" s="3"/>
      <c r="TKH73" s="3"/>
      <c r="TKI73" s="3"/>
      <c r="TKJ73" s="3"/>
      <c r="TKK73" s="3"/>
      <c r="TKL73" s="3"/>
      <c r="TKM73" s="3"/>
      <c r="TKN73" s="3"/>
      <c r="TKO73" s="3"/>
      <c r="TKP73" s="3"/>
      <c r="TKQ73" s="3"/>
      <c r="TKR73" s="3"/>
      <c r="TKS73" s="3"/>
      <c r="TKT73" s="3"/>
      <c r="TKU73" s="3"/>
      <c r="TKV73" s="3"/>
      <c r="TKW73" s="3"/>
      <c r="TKX73" s="3"/>
      <c r="TKY73" s="3"/>
      <c r="TKZ73" s="3"/>
      <c r="TLA73" s="3"/>
      <c r="TLB73" s="3"/>
      <c r="TLC73" s="3"/>
      <c r="TLD73" s="3"/>
      <c r="TLE73" s="3"/>
      <c r="TLF73" s="3"/>
      <c r="TLG73" s="3"/>
      <c r="TLH73" s="3"/>
      <c r="TLI73" s="3"/>
      <c r="TLJ73" s="3"/>
      <c r="TLK73" s="3"/>
      <c r="TLL73" s="3"/>
      <c r="TLM73" s="3"/>
      <c r="TLN73" s="3"/>
      <c r="TLO73" s="3"/>
      <c r="TLP73" s="3"/>
      <c r="TLQ73" s="3"/>
      <c r="TLR73" s="3"/>
      <c r="TLS73" s="3"/>
      <c r="TLT73" s="3"/>
      <c r="TLU73" s="3"/>
      <c r="TLV73" s="3"/>
      <c r="TLW73" s="3"/>
      <c r="TLX73" s="3"/>
      <c r="TLY73" s="3"/>
      <c r="TLZ73" s="3"/>
      <c r="TMA73" s="3"/>
      <c r="TMB73" s="3"/>
      <c r="TMC73" s="3"/>
      <c r="TMD73" s="3"/>
      <c r="TME73" s="3"/>
      <c r="TMF73" s="3"/>
      <c r="TMG73" s="3"/>
      <c r="TMH73" s="3"/>
      <c r="TMI73" s="3"/>
      <c r="TMJ73" s="3"/>
      <c r="TMK73" s="3"/>
      <c r="TML73" s="3"/>
      <c r="TMM73" s="3"/>
      <c r="TMN73" s="3"/>
      <c r="TMO73" s="3"/>
      <c r="TMP73" s="3"/>
      <c r="TMQ73" s="3"/>
      <c r="TMR73" s="3"/>
      <c r="TMS73" s="3"/>
      <c r="TMT73" s="3"/>
      <c r="TMU73" s="3"/>
      <c r="TMV73" s="3"/>
      <c r="TMW73" s="3"/>
      <c r="TMX73" s="3"/>
      <c r="TMY73" s="3"/>
      <c r="TMZ73" s="3"/>
      <c r="TNA73" s="3"/>
      <c r="TNB73" s="3"/>
      <c r="TNC73" s="3"/>
      <c r="TND73" s="3"/>
      <c r="TNE73" s="3"/>
      <c r="TNF73" s="3"/>
      <c r="TNG73" s="3"/>
      <c r="TNH73" s="3"/>
      <c r="TNI73" s="3"/>
      <c r="TNJ73" s="3"/>
      <c r="TNK73" s="3"/>
      <c r="TNL73" s="3"/>
      <c r="TNM73" s="3"/>
      <c r="TNN73" s="3"/>
      <c r="TNO73" s="3"/>
      <c r="TNP73" s="3"/>
      <c r="TNQ73" s="3"/>
      <c r="TNR73" s="3"/>
      <c r="TNS73" s="3"/>
      <c r="TNT73" s="3"/>
      <c r="TNU73" s="3"/>
      <c r="TNV73" s="3"/>
      <c r="TNW73" s="3"/>
      <c r="TNX73" s="3"/>
      <c r="TNY73" s="3"/>
      <c r="TNZ73" s="3"/>
      <c r="TOA73" s="3"/>
      <c r="TOB73" s="3"/>
      <c r="TOC73" s="3"/>
      <c r="TOD73" s="3"/>
      <c r="TOE73" s="3"/>
      <c r="TOF73" s="3"/>
      <c r="TOG73" s="3"/>
      <c r="TOH73" s="3"/>
      <c r="TOI73" s="3"/>
      <c r="TOJ73" s="3"/>
      <c r="TOK73" s="3"/>
      <c r="TOL73" s="3"/>
      <c r="TOM73" s="3"/>
      <c r="TON73" s="3"/>
      <c r="TOO73" s="3"/>
      <c r="TOP73" s="3"/>
      <c r="TOQ73" s="3"/>
      <c r="TOR73" s="3"/>
      <c r="TOS73" s="3"/>
      <c r="TOT73" s="3"/>
      <c r="TOU73" s="3"/>
      <c r="TOV73" s="3"/>
      <c r="TOW73" s="3"/>
      <c r="TOX73" s="3"/>
      <c r="TOY73" s="3"/>
      <c r="TOZ73" s="3"/>
      <c r="TPA73" s="3"/>
      <c r="TPB73" s="3"/>
      <c r="TPC73" s="3"/>
      <c r="TPD73" s="3"/>
      <c r="TPE73" s="3"/>
      <c r="TPF73" s="3"/>
      <c r="TPG73" s="3"/>
      <c r="TPH73" s="3"/>
      <c r="TPI73" s="3"/>
      <c r="TPJ73" s="3"/>
      <c r="TPK73" s="3"/>
      <c r="TPL73" s="3"/>
      <c r="TPM73" s="3"/>
      <c r="TPN73" s="3"/>
      <c r="TPO73" s="3"/>
      <c r="TPP73" s="3"/>
      <c r="TPQ73" s="3"/>
      <c r="TPR73" s="3"/>
      <c r="TPS73" s="3"/>
      <c r="TPT73" s="3"/>
      <c r="TPU73" s="3"/>
      <c r="TPV73" s="3"/>
      <c r="TPW73" s="3"/>
      <c r="TPX73" s="3"/>
      <c r="TPY73" s="3"/>
      <c r="TPZ73" s="3"/>
      <c r="TQA73" s="3"/>
      <c r="TQB73" s="3"/>
      <c r="TQC73" s="3"/>
      <c r="TQD73" s="3"/>
      <c r="TQE73" s="3"/>
      <c r="TQF73" s="3"/>
      <c r="TQG73" s="3"/>
      <c r="TQH73" s="3"/>
      <c r="TQI73" s="3"/>
      <c r="TQJ73" s="3"/>
      <c r="TQK73" s="3"/>
      <c r="TQL73" s="3"/>
      <c r="TQM73" s="3"/>
      <c r="TQN73" s="3"/>
      <c r="TQO73" s="3"/>
      <c r="TQP73" s="3"/>
      <c r="TQQ73" s="3"/>
      <c r="TQR73" s="3"/>
      <c r="TQS73" s="3"/>
      <c r="TQT73" s="3"/>
      <c r="TQU73" s="3"/>
      <c r="TQV73" s="3"/>
      <c r="TQW73" s="3"/>
      <c r="TQX73" s="3"/>
      <c r="TQY73" s="3"/>
      <c r="TQZ73" s="3"/>
      <c r="TRA73" s="3"/>
      <c r="TRB73" s="3"/>
      <c r="TRC73" s="3"/>
      <c r="TRD73" s="3"/>
      <c r="TRE73" s="3"/>
      <c r="TRF73" s="3"/>
      <c r="TRG73" s="3"/>
      <c r="TRH73" s="3"/>
      <c r="TRI73" s="3"/>
      <c r="TRJ73" s="3"/>
      <c r="TRK73" s="3"/>
      <c r="TRL73" s="3"/>
      <c r="TRM73" s="3"/>
      <c r="TRN73" s="3"/>
      <c r="TRO73" s="3"/>
      <c r="TRP73" s="3"/>
      <c r="TRQ73" s="3"/>
      <c r="TRR73" s="3"/>
      <c r="TRS73" s="3"/>
      <c r="TRT73" s="3"/>
      <c r="TRU73" s="3"/>
      <c r="TRV73" s="3"/>
      <c r="TRW73" s="3"/>
      <c r="TRX73" s="3"/>
      <c r="TRY73" s="3"/>
      <c r="TRZ73" s="3"/>
      <c r="TSA73" s="3"/>
      <c r="TSB73" s="3"/>
      <c r="TSC73" s="3"/>
      <c r="TSD73" s="3"/>
      <c r="TSE73" s="3"/>
      <c r="TSF73" s="3"/>
      <c r="TSG73" s="3"/>
      <c r="TSH73" s="3"/>
      <c r="TSI73" s="3"/>
      <c r="TSJ73" s="3"/>
      <c r="TSK73" s="3"/>
      <c r="TSL73" s="3"/>
      <c r="TSM73" s="3"/>
      <c r="TSN73" s="3"/>
      <c r="TSO73" s="3"/>
      <c r="TSP73" s="3"/>
      <c r="TSQ73" s="3"/>
      <c r="TSR73" s="3"/>
      <c r="TSS73" s="3"/>
      <c r="TST73" s="3"/>
      <c r="TSU73" s="3"/>
      <c r="TSV73" s="3"/>
      <c r="TSW73" s="3"/>
      <c r="TSX73" s="3"/>
      <c r="TSY73" s="3"/>
      <c r="TSZ73" s="3"/>
      <c r="TTA73" s="3"/>
      <c r="TTB73" s="3"/>
      <c r="TTC73" s="3"/>
      <c r="TTD73" s="3"/>
      <c r="TTE73" s="3"/>
      <c r="TTF73" s="3"/>
      <c r="TTG73" s="3"/>
      <c r="TTH73" s="3"/>
      <c r="TTI73" s="3"/>
      <c r="TTJ73" s="3"/>
      <c r="TTK73" s="3"/>
      <c r="TTL73" s="3"/>
      <c r="TTM73" s="3"/>
      <c r="TTN73" s="3"/>
      <c r="TTO73" s="3"/>
      <c r="TTP73" s="3"/>
      <c r="TTQ73" s="3"/>
      <c r="TTR73" s="3"/>
      <c r="TTS73" s="3"/>
      <c r="TTT73" s="3"/>
      <c r="TTU73" s="3"/>
      <c r="TTV73" s="3"/>
      <c r="TTW73" s="3"/>
      <c r="TTX73" s="3"/>
      <c r="TTY73" s="3"/>
      <c r="TTZ73" s="3"/>
      <c r="TUA73" s="3"/>
      <c r="TUB73" s="3"/>
      <c r="TUC73" s="3"/>
      <c r="TUD73" s="3"/>
      <c r="TUE73" s="3"/>
      <c r="TUF73" s="3"/>
      <c r="TUG73" s="3"/>
      <c r="TUH73" s="3"/>
      <c r="TUI73" s="3"/>
      <c r="TUJ73" s="3"/>
      <c r="TUK73" s="3"/>
      <c r="TUL73" s="3"/>
      <c r="TUM73" s="3"/>
      <c r="TUN73" s="3"/>
      <c r="TUO73" s="3"/>
      <c r="TUP73" s="3"/>
      <c r="TUQ73" s="3"/>
      <c r="TUR73" s="3"/>
      <c r="TUS73" s="3"/>
      <c r="TUT73" s="3"/>
      <c r="TUU73" s="3"/>
      <c r="TUV73" s="3"/>
      <c r="TUW73" s="3"/>
      <c r="TUX73" s="3"/>
      <c r="TUY73" s="3"/>
      <c r="TUZ73" s="3"/>
      <c r="TVA73" s="3"/>
      <c r="TVB73" s="3"/>
      <c r="TVC73" s="3"/>
      <c r="TVD73" s="3"/>
      <c r="TVE73" s="3"/>
      <c r="TVF73" s="3"/>
      <c r="TVG73" s="3"/>
      <c r="TVH73" s="3"/>
      <c r="TVI73" s="3"/>
      <c r="TVJ73" s="3"/>
      <c r="TVK73" s="3"/>
      <c r="TVL73" s="3"/>
      <c r="TVM73" s="3"/>
      <c r="TVN73" s="3"/>
      <c r="TVO73" s="3"/>
      <c r="TVP73" s="3"/>
      <c r="TVQ73" s="3"/>
      <c r="TVR73" s="3"/>
      <c r="TVS73" s="3"/>
      <c r="TVT73" s="3"/>
      <c r="TVU73" s="3"/>
      <c r="TVV73" s="3"/>
      <c r="TVW73" s="3"/>
      <c r="TVX73" s="3"/>
      <c r="TVY73" s="3"/>
      <c r="TVZ73" s="3"/>
      <c r="TWA73" s="3"/>
      <c r="TWB73" s="3"/>
      <c r="TWC73" s="3"/>
      <c r="TWD73" s="3"/>
      <c r="TWE73" s="3"/>
      <c r="TWF73" s="3"/>
      <c r="TWG73" s="3"/>
      <c r="TWH73" s="3"/>
      <c r="TWI73" s="3"/>
      <c r="TWJ73" s="3"/>
      <c r="TWK73" s="3"/>
      <c r="TWL73" s="3"/>
      <c r="TWM73" s="3"/>
      <c r="TWN73" s="3"/>
      <c r="TWO73" s="3"/>
      <c r="TWP73" s="3"/>
      <c r="TWQ73" s="3"/>
      <c r="TWR73" s="3"/>
      <c r="TWS73" s="3"/>
      <c r="TWT73" s="3"/>
      <c r="TWU73" s="3"/>
      <c r="TWV73" s="3"/>
      <c r="TWW73" s="3"/>
      <c r="TWX73" s="3"/>
      <c r="TWY73" s="3"/>
      <c r="TWZ73" s="3"/>
      <c r="TXA73" s="3"/>
      <c r="TXB73" s="3"/>
      <c r="TXC73" s="3"/>
      <c r="TXD73" s="3"/>
      <c r="TXE73" s="3"/>
      <c r="TXF73" s="3"/>
      <c r="TXG73" s="3"/>
      <c r="TXH73" s="3"/>
      <c r="TXI73" s="3"/>
      <c r="TXJ73" s="3"/>
      <c r="TXK73" s="3"/>
      <c r="TXL73" s="3"/>
      <c r="TXM73" s="3"/>
      <c r="TXN73" s="3"/>
      <c r="TXO73" s="3"/>
      <c r="TXP73" s="3"/>
      <c r="TXQ73" s="3"/>
      <c r="TXR73" s="3"/>
      <c r="TXS73" s="3"/>
      <c r="TXT73" s="3"/>
      <c r="TXU73" s="3"/>
      <c r="TXV73" s="3"/>
      <c r="TXW73" s="3"/>
      <c r="TXX73" s="3"/>
      <c r="TXY73" s="3"/>
      <c r="TXZ73" s="3"/>
      <c r="TYA73" s="3"/>
      <c r="TYB73" s="3"/>
      <c r="TYC73" s="3"/>
      <c r="TYD73" s="3"/>
      <c r="TYE73" s="3"/>
      <c r="TYF73" s="3"/>
      <c r="TYG73" s="3"/>
      <c r="TYH73" s="3"/>
      <c r="TYI73" s="3"/>
      <c r="TYJ73" s="3"/>
      <c r="TYK73" s="3"/>
      <c r="TYL73" s="3"/>
      <c r="TYM73" s="3"/>
      <c r="TYN73" s="3"/>
      <c r="TYO73" s="3"/>
      <c r="TYP73" s="3"/>
      <c r="TYQ73" s="3"/>
      <c r="TYR73" s="3"/>
      <c r="TYS73" s="3"/>
      <c r="TYT73" s="3"/>
      <c r="TYU73" s="3"/>
      <c r="TYV73" s="3"/>
      <c r="TYW73" s="3"/>
      <c r="TYX73" s="3"/>
      <c r="TYY73" s="3"/>
      <c r="TYZ73" s="3"/>
      <c r="TZA73" s="3"/>
      <c r="TZB73" s="3"/>
      <c r="TZC73" s="3"/>
      <c r="TZD73" s="3"/>
      <c r="TZE73" s="3"/>
      <c r="TZF73" s="3"/>
      <c r="TZG73" s="3"/>
      <c r="TZH73" s="3"/>
      <c r="TZI73" s="3"/>
      <c r="TZJ73" s="3"/>
      <c r="TZK73" s="3"/>
      <c r="TZL73" s="3"/>
      <c r="TZM73" s="3"/>
      <c r="TZN73" s="3"/>
      <c r="TZO73" s="3"/>
      <c r="TZP73" s="3"/>
      <c r="TZQ73" s="3"/>
      <c r="TZR73" s="3"/>
      <c r="TZS73" s="3"/>
      <c r="TZT73" s="3"/>
      <c r="TZU73" s="3"/>
      <c r="TZV73" s="3"/>
      <c r="TZW73" s="3"/>
      <c r="TZX73" s="3"/>
      <c r="TZY73" s="3"/>
      <c r="TZZ73" s="3"/>
      <c r="UAA73" s="3"/>
      <c r="UAB73" s="3"/>
      <c r="UAC73" s="3"/>
      <c r="UAD73" s="3"/>
      <c r="UAE73" s="3"/>
      <c r="UAF73" s="3"/>
      <c r="UAG73" s="3"/>
      <c r="UAH73" s="3"/>
      <c r="UAI73" s="3"/>
      <c r="UAJ73" s="3"/>
      <c r="UAK73" s="3"/>
      <c r="UAL73" s="3"/>
      <c r="UAM73" s="3"/>
      <c r="UAN73" s="3"/>
      <c r="UAO73" s="3"/>
      <c r="UAP73" s="3"/>
      <c r="UAQ73" s="3"/>
      <c r="UAR73" s="3"/>
      <c r="UAS73" s="3"/>
      <c r="UAT73" s="3"/>
      <c r="UAU73" s="3"/>
      <c r="UAV73" s="3"/>
      <c r="UAW73" s="3"/>
      <c r="UAX73" s="3"/>
      <c r="UAY73" s="3"/>
      <c r="UAZ73" s="3"/>
      <c r="UBA73" s="3"/>
      <c r="UBB73" s="3"/>
      <c r="UBC73" s="3"/>
      <c r="UBD73" s="3"/>
      <c r="UBE73" s="3"/>
      <c r="UBF73" s="3"/>
      <c r="UBG73" s="3"/>
      <c r="UBH73" s="3"/>
      <c r="UBI73" s="3"/>
      <c r="UBJ73" s="3"/>
      <c r="UBK73" s="3"/>
      <c r="UBL73" s="3"/>
      <c r="UBM73" s="3"/>
      <c r="UBN73" s="3"/>
      <c r="UBO73" s="3"/>
      <c r="UBP73" s="3"/>
      <c r="UBQ73" s="3"/>
      <c r="UBR73" s="3"/>
      <c r="UBS73" s="3"/>
      <c r="UBT73" s="3"/>
      <c r="UBU73" s="3"/>
      <c r="UBV73" s="3"/>
      <c r="UBW73" s="3"/>
      <c r="UBX73" s="3"/>
      <c r="UBY73" s="3"/>
      <c r="UBZ73" s="3"/>
      <c r="UCA73" s="3"/>
      <c r="UCB73" s="3"/>
      <c r="UCC73" s="3"/>
      <c r="UCD73" s="3"/>
      <c r="UCE73" s="3"/>
      <c r="UCF73" s="3"/>
      <c r="UCG73" s="3"/>
      <c r="UCH73" s="3"/>
      <c r="UCI73" s="3"/>
      <c r="UCJ73" s="3"/>
      <c r="UCK73" s="3"/>
      <c r="UCL73" s="3"/>
      <c r="UCM73" s="3"/>
      <c r="UCN73" s="3"/>
      <c r="UCO73" s="3"/>
      <c r="UCP73" s="3"/>
      <c r="UCQ73" s="3"/>
      <c r="UCR73" s="3"/>
      <c r="UCS73" s="3"/>
      <c r="UCT73" s="3"/>
      <c r="UCU73" s="3"/>
      <c r="UCV73" s="3"/>
      <c r="UCW73" s="3"/>
      <c r="UCX73" s="3"/>
      <c r="UCY73" s="3"/>
      <c r="UCZ73" s="3"/>
      <c r="UDA73" s="3"/>
      <c r="UDB73" s="3"/>
      <c r="UDC73" s="3"/>
      <c r="UDD73" s="3"/>
      <c r="UDE73" s="3"/>
      <c r="UDF73" s="3"/>
      <c r="UDG73" s="3"/>
      <c r="UDH73" s="3"/>
      <c r="UDI73" s="3"/>
      <c r="UDJ73" s="3"/>
      <c r="UDK73" s="3"/>
      <c r="UDL73" s="3"/>
      <c r="UDM73" s="3"/>
      <c r="UDN73" s="3"/>
      <c r="UDO73" s="3"/>
      <c r="UDP73" s="3"/>
      <c r="UDQ73" s="3"/>
      <c r="UDR73" s="3"/>
      <c r="UDS73" s="3"/>
      <c r="UDT73" s="3"/>
      <c r="UDU73" s="3"/>
      <c r="UDV73" s="3"/>
      <c r="UDW73" s="3"/>
      <c r="UDX73" s="3"/>
      <c r="UDY73" s="3"/>
      <c r="UDZ73" s="3"/>
      <c r="UEA73" s="3"/>
      <c r="UEB73" s="3"/>
      <c r="UEC73" s="3"/>
      <c r="UED73" s="3"/>
      <c r="UEE73" s="3"/>
      <c r="UEF73" s="3"/>
      <c r="UEG73" s="3"/>
      <c r="UEH73" s="3"/>
      <c r="UEI73" s="3"/>
      <c r="UEJ73" s="3"/>
      <c r="UEK73" s="3"/>
      <c r="UEL73" s="3"/>
      <c r="UEM73" s="3"/>
      <c r="UEN73" s="3"/>
      <c r="UEO73" s="3"/>
      <c r="UEP73" s="3"/>
      <c r="UEQ73" s="3"/>
      <c r="UER73" s="3"/>
      <c r="UES73" s="3"/>
      <c r="UET73" s="3"/>
      <c r="UEU73" s="3"/>
      <c r="UEV73" s="3"/>
      <c r="UEW73" s="3"/>
      <c r="UEX73" s="3"/>
      <c r="UEY73" s="3"/>
      <c r="UEZ73" s="3"/>
      <c r="UFA73" s="3"/>
      <c r="UFB73" s="3"/>
      <c r="UFC73" s="3"/>
      <c r="UFD73" s="3"/>
      <c r="UFE73" s="3"/>
      <c r="UFF73" s="3"/>
      <c r="UFG73" s="3"/>
      <c r="UFH73" s="3"/>
      <c r="UFI73" s="3"/>
      <c r="UFJ73" s="3"/>
      <c r="UFK73" s="3"/>
      <c r="UFL73" s="3"/>
      <c r="UFM73" s="3"/>
      <c r="UFN73" s="3"/>
      <c r="UFO73" s="3"/>
      <c r="UFP73" s="3"/>
      <c r="UFQ73" s="3"/>
      <c r="UFR73" s="3"/>
      <c r="UFS73" s="3"/>
      <c r="UFT73" s="3"/>
      <c r="UFU73" s="3"/>
      <c r="UFV73" s="3"/>
      <c r="UFW73" s="3"/>
      <c r="UFX73" s="3"/>
      <c r="UFY73" s="3"/>
      <c r="UFZ73" s="3"/>
      <c r="UGA73" s="3"/>
      <c r="UGB73" s="3"/>
      <c r="UGC73" s="3"/>
      <c r="UGD73" s="3"/>
      <c r="UGE73" s="3"/>
      <c r="UGF73" s="3"/>
      <c r="UGG73" s="3"/>
      <c r="UGH73" s="3"/>
      <c r="UGI73" s="3"/>
      <c r="UGJ73" s="3"/>
      <c r="UGK73" s="3"/>
      <c r="UGL73" s="3"/>
      <c r="UGM73" s="3"/>
      <c r="UGN73" s="3"/>
      <c r="UGO73" s="3"/>
      <c r="UGP73" s="3"/>
      <c r="UGQ73" s="3"/>
      <c r="UGR73" s="3"/>
      <c r="UGS73" s="3"/>
      <c r="UGT73" s="3"/>
      <c r="UGU73" s="3"/>
      <c r="UGV73" s="3"/>
      <c r="UGW73" s="3"/>
      <c r="UGX73" s="3"/>
      <c r="UGY73" s="3"/>
      <c r="UGZ73" s="3"/>
      <c r="UHA73" s="3"/>
      <c r="UHB73" s="3"/>
      <c r="UHC73" s="3"/>
      <c r="UHD73" s="3"/>
      <c r="UHE73" s="3"/>
      <c r="UHF73" s="3"/>
      <c r="UHG73" s="3"/>
      <c r="UHH73" s="3"/>
      <c r="UHI73" s="3"/>
      <c r="UHJ73" s="3"/>
      <c r="UHK73" s="3"/>
      <c r="UHL73" s="3"/>
      <c r="UHM73" s="3"/>
      <c r="UHN73" s="3"/>
      <c r="UHO73" s="3"/>
      <c r="UHP73" s="3"/>
      <c r="UHQ73" s="3"/>
      <c r="UHR73" s="3"/>
      <c r="UHS73" s="3"/>
      <c r="UHT73" s="3"/>
      <c r="UHU73" s="3"/>
      <c r="UHV73" s="3"/>
      <c r="UHW73" s="3"/>
      <c r="UHX73" s="3"/>
      <c r="UHY73" s="3"/>
      <c r="UHZ73" s="3"/>
      <c r="UIA73" s="3"/>
      <c r="UIB73" s="3"/>
      <c r="UIC73" s="3"/>
      <c r="UID73" s="3"/>
      <c r="UIE73" s="3"/>
      <c r="UIF73" s="3"/>
      <c r="UIG73" s="3"/>
      <c r="UIH73" s="3"/>
      <c r="UII73" s="3"/>
      <c r="UIJ73" s="3"/>
      <c r="UIK73" s="3"/>
      <c r="UIL73" s="3"/>
      <c r="UIM73" s="3"/>
      <c r="UIN73" s="3"/>
      <c r="UIO73" s="3"/>
      <c r="UIP73" s="3"/>
      <c r="UIQ73" s="3"/>
      <c r="UIR73" s="3"/>
      <c r="UIS73" s="3"/>
      <c r="UIT73" s="3"/>
      <c r="UIU73" s="3"/>
      <c r="UIV73" s="3"/>
      <c r="UIW73" s="3"/>
      <c r="UIX73" s="3"/>
      <c r="UIY73" s="3"/>
      <c r="UIZ73" s="3"/>
      <c r="UJA73" s="3"/>
      <c r="UJB73" s="3"/>
      <c r="UJC73" s="3"/>
      <c r="UJD73" s="3"/>
      <c r="UJE73" s="3"/>
      <c r="UJF73" s="3"/>
      <c r="UJG73" s="3"/>
      <c r="UJH73" s="3"/>
      <c r="UJI73" s="3"/>
      <c r="UJJ73" s="3"/>
      <c r="UJK73" s="3"/>
      <c r="UJL73" s="3"/>
      <c r="UJM73" s="3"/>
      <c r="UJN73" s="3"/>
      <c r="UJO73" s="3"/>
      <c r="UJP73" s="3"/>
      <c r="UJQ73" s="3"/>
      <c r="UJR73" s="3"/>
      <c r="UJS73" s="3"/>
      <c r="UJT73" s="3"/>
      <c r="UJU73" s="3"/>
      <c r="UJV73" s="3"/>
      <c r="UJW73" s="3"/>
      <c r="UJX73" s="3"/>
      <c r="UJY73" s="3"/>
      <c r="UJZ73" s="3"/>
      <c r="UKA73" s="3"/>
      <c r="UKB73" s="3"/>
      <c r="UKC73" s="3"/>
      <c r="UKD73" s="3"/>
      <c r="UKE73" s="3"/>
      <c r="UKF73" s="3"/>
      <c r="UKG73" s="3"/>
      <c r="UKH73" s="3"/>
      <c r="UKI73" s="3"/>
      <c r="UKJ73" s="3"/>
      <c r="UKK73" s="3"/>
      <c r="UKL73" s="3"/>
      <c r="UKM73" s="3"/>
      <c r="UKN73" s="3"/>
      <c r="UKO73" s="3"/>
      <c r="UKP73" s="3"/>
      <c r="UKQ73" s="3"/>
      <c r="UKR73" s="3"/>
      <c r="UKS73" s="3"/>
      <c r="UKT73" s="3"/>
      <c r="UKU73" s="3"/>
      <c r="UKV73" s="3"/>
      <c r="UKW73" s="3"/>
      <c r="UKX73" s="3"/>
      <c r="UKY73" s="3"/>
      <c r="UKZ73" s="3"/>
      <c r="ULA73" s="3"/>
      <c r="ULB73" s="3"/>
      <c r="ULC73" s="3"/>
      <c r="ULD73" s="3"/>
      <c r="ULE73" s="3"/>
      <c r="ULF73" s="3"/>
      <c r="ULG73" s="3"/>
      <c r="ULH73" s="3"/>
      <c r="ULI73" s="3"/>
      <c r="ULJ73" s="3"/>
      <c r="ULK73" s="3"/>
      <c r="ULL73" s="3"/>
      <c r="ULM73" s="3"/>
      <c r="ULN73" s="3"/>
      <c r="ULO73" s="3"/>
      <c r="ULP73" s="3"/>
      <c r="ULQ73" s="3"/>
      <c r="ULR73" s="3"/>
      <c r="ULS73" s="3"/>
      <c r="ULT73" s="3"/>
      <c r="ULU73" s="3"/>
      <c r="ULV73" s="3"/>
      <c r="ULW73" s="3"/>
      <c r="ULX73" s="3"/>
      <c r="ULY73" s="3"/>
      <c r="ULZ73" s="3"/>
      <c r="UMA73" s="3"/>
      <c r="UMB73" s="3"/>
      <c r="UMC73" s="3"/>
      <c r="UMD73" s="3"/>
      <c r="UME73" s="3"/>
      <c r="UMF73" s="3"/>
      <c r="UMG73" s="3"/>
      <c r="UMH73" s="3"/>
      <c r="UMI73" s="3"/>
      <c r="UMJ73" s="3"/>
      <c r="UMK73" s="3"/>
      <c r="UML73" s="3"/>
      <c r="UMM73" s="3"/>
      <c r="UMN73" s="3"/>
      <c r="UMO73" s="3"/>
      <c r="UMP73" s="3"/>
      <c r="UMQ73" s="3"/>
      <c r="UMR73" s="3"/>
      <c r="UMS73" s="3"/>
      <c r="UMT73" s="3"/>
      <c r="UMU73" s="3"/>
      <c r="UMV73" s="3"/>
      <c r="UMW73" s="3"/>
      <c r="UMX73" s="3"/>
      <c r="UMY73" s="3"/>
      <c r="UMZ73" s="3"/>
      <c r="UNA73" s="3"/>
      <c r="UNB73" s="3"/>
      <c r="UNC73" s="3"/>
      <c r="UND73" s="3"/>
      <c r="UNE73" s="3"/>
      <c r="UNF73" s="3"/>
      <c r="UNG73" s="3"/>
      <c r="UNH73" s="3"/>
      <c r="UNI73" s="3"/>
      <c r="UNJ73" s="3"/>
      <c r="UNK73" s="3"/>
      <c r="UNL73" s="3"/>
      <c r="UNM73" s="3"/>
      <c r="UNN73" s="3"/>
      <c r="UNO73" s="3"/>
      <c r="UNP73" s="3"/>
      <c r="UNQ73" s="3"/>
      <c r="UNR73" s="3"/>
      <c r="UNS73" s="3"/>
      <c r="UNT73" s="3"/>
      <c r="UNU73" s="3"/>
      <c r="UNV73" s="3"/>
      <c r="UNW73" s="3"/>
      <c r="UNX73" s="3"/>
      <c r="UNY73" s="3"/>
      <c r="UNZ73" s="3"/>
      <c r="UOA73" s="3"/>
      <c r="UOB73" s="3"/>
      <c r="UOC73" s="3"/>
      <c r="UOD73" s="3"/>
      <c r="UOE73" s="3"/>
      <c r="UOF73" s="3"/>
      <c r="UOG73" s="3"/>
      <c r="UOH73" s="3"/>
      <c r="UOI73" s="3"/>
      <c r="UOJ73" s="3"/>
      <c r="UOK73" s="3"/>
      <c r="UOL73" s="3"/>
      <c r="UOM73" s="3"/>
      <c r="UON73" s="3"/>
      <c r="UOO73" s="3"/>
      <c r="UOP73" s="3"/>
      <c r="UOQ73" s="3"/>
      <c r="UOR73" s="3"/>
      <c r="UOS73" s="3"/>
      <c r="UOT73" s="3"/>
      <c r="UOU73" s="3"/>
      <c r="UOV73" s="3"/>
      <c r="UOW73" s="3"/>
      <c r="UOX73" s="3"/>
      <c r="UOY73" s="3"/>
      <c r="UOZ73" s="3"/>
      <c r="UPA73" s="3"/>
      <c r="UPB73" s="3"/>
      <c r="UPC73" s="3"/>
      <c r="UPD73" s="3"/>
      <c r="UPE73" s="3"/>
      <c r="UPF73" s="3"/>
      <c r="UPG73" s="3"/>
      <c r="UPH73" s="3"/>
      <c r="UPI73" s="3"/>
      <c r="UPJ73" s="3"/>
      <c r="UPK73" s="3"/>
      <c r="UPL73" s="3"/>
      <c r="UPM73" s="3"/>
      <c r="UPN73" s="3"/>
      <c r="UPO73" s="3"/>
      <c r="UPP73" s="3"/>
      <c r="UPQ73" s="3"/>
      <c r="UPR73" s="3"/>
      <c r="UPS73" s="3"/>
      <c r="UPT73" s="3"/>
      <c r="UPU73" s="3"/>
      <c r="UPV73" s="3"/>
      <c r="UPW73" s="3"/>
      <c r="UPX73" s="3"/>
      <c r="UPY73" s="3"/>
      <c r="UPZ73" s="3"/>
      <c r="UQA73" s="3"/>
      <c r="UQB73" s="3"/>
      <c r="UQC73" s="3"/>
      <c r="UQD73" s="3"/>
      <c r="UQE73" s="3"/>
      <c r="UQF73" s="3"/>
      <c r="UQG73" s="3"/>
      <c r="UQH73" s="3"/>
      <c r="UQI73" s="3"/>
      <c r="UQJ73" s="3"/>
      <c r="UQK73" s="3"/>
      <c r="UQL73" s="3"/>
      <c r="UQM73" s="3"/>
      <c r="UQN73" s="3"/>
      <c r="UQO73" s="3"/>
      <c r="UQP73" s="3"/>
      <c r="UQQ73" s="3"/>
      <c r="UQR73" s="3"/>
      <c r="UQS73" s="3"/>
      <c r="UQT73" s="3"/>
      <c r="UQU73" s="3"/>
      <c r="UQV73" s="3"/>
      <c r="UQW73" s="3"/>
      <c r="UQX73" s="3"/>
      <c r="UQY73" s="3"/>
      <c r="UQZ73" s="3"/>
      <c r="URA73" s="3"/>
      <c r="URB73" s="3"/>
      <c r="URC73" s="3"/>
      <c r="URD73" s="3"/>
      <c r="URE73" s="3"/>
      <c r="URF73" s="3"/>
      <c r="URG73" s="3"/>
      <c r="URH73" s="3"/>
      <c r="URI73" s="3"/>
      <c r="URJ73" s="3"/>
      <c r="URK73" s="3"/>
      <c r="URL73" s="3"/>
      <c r="URM73" s="3"/>
      <c r="URN73" s="3"/>
      <c r="URO73" s="3"/>
      <c r="URP73" s="3"/>
      <c r="URQ73" s="3"/>
      <c r="URR73" s="3"/>
      <c r="URS73" s="3"/>
      <c r="URT73" s="3"/>
      <c r="URU73" s="3"/>
      <c r="URV73" s="3"/>
      <c r="URW73" s="3"/>
      <c r="URX73" s="3"/>
      <c r="URY73" s="3"/>
      <c r="URZ73" s="3"/>
      <c r="USA73" s="3"/>
      <c r="USB73" s="3"/>
      <c r="USC73" s="3"/>
      <c r="USD73" s="3"/>
      <c r="USE73" s="3"/>
      <c r="USF73" s="3"/>
      <c r="USG73" s="3"/>
      <c r="USH73" s="3"/>
      <c r="USI73" s="3"/>
      <c r="USJ73" s="3"/>
      <c r="USK73" s="3"/>
      <c r="USL73" s="3"/>
      <c r="USM73" s="3"/>
      <c r="USN73" s="3"/>
      <c r="USO73" s="3"/>
      <c r="USP73" s="3"/>
      <c r="USQ73" s="3"/>
      <c r="USR73" s="3"/>
      <c r="USS73" s="3"/>
      <c r="UST73" s="3"/>
      <c r="USU73" s="3"/>
      <c r="USV73" s="3"/>
      <c r="USW73" s="3"/>
      <c r="USX73" s="3"/>
      <c r="USY73" s="3"/>
      <c r="USZ73" s="3"/>
      <c r="UTA73" s="3"/>
      <c r="UTB73" s="3"/>
      <c r="UTC73" s="3"/>
      <c r="UTD73" s="3"/>
      <c r="UTE73" s="3"/>
      <c r="UTF73" s="3"/>
      <c r="UTG73" s="3"/>
      <c r="UTH73" s="3"/>
      <c r="UTI73" s="3"/>
      <c r="UTJ73" s="3"/>
      <c r="UTK73" s="3"/>
      <c r="UTL73" s="3"/>
      <c r="UTM73" s="3"/>
      <c r="UTN73" s="3"/>
      <c r="UTO73" s="3"/>
      <c r="UTP73" s="3"/>
      <c r="UTQ73" s="3"/>
      <c r="UTR73" s="3"/>
      <c r="UTS73" s="3"/>
      <c r="UTT73" s="3"/>
      <c r="UTU73" s="3"/>
      <c r="UTV73" s="3"/>
      <c r="UTW73" s="3"/>
      <c r="UTX73" s="3"/>
      <c r="UTY73" s="3"/>
      <c r="UTZ73" s="3"/>
      <c r="UUA73" s="3"/>
      <c r="UUB73" s="3"/>
      <c r="UUC73" s="3"/>
      <c r="UUD73" s="3"/>
      <c r="UUE73" s="3"/>
      <c r="UUF73" s="3"/>
      <c r="UUG73" s="3"/>
      <c r="UUH73" s="3"/>
      <c r="UUI73" s="3"/>
      <c r="UUJ73" s="3"/>
      <c r="UUK73" s="3"/>
      <c r="UUL73" s="3"/>
      <c r="UUM73" s="3"/>
      <c r="UUN73" s="3"/>
      <c r="UUO73" s="3"/>
      <c r="UUP73" s="3"/>
      <c r="UUQ73" s="3"/>
      <c r="UUR73" s="3"/>
      <c r="UUS73" s="3"/>
      <c r="UUT73" s="3"/>
      <c r="UUU73" s="3"/>
      <c r="UUV73" s="3"/>
      <c r="UUW73" s="3"/>
      <c r="UUX73" s="3"/>
      <c r="UUY73" s="3"/>
      <c r="UUZ73" s="3"/>
      <c r="UVA73" s="3"/>
      <c r="UVB73" s="3"/>
      <c r="UVC73" s="3"/>
      <c r="UVD73" s="3"/>
      <c r="UVE73" s="3"/>
      <c r="UVF73" s="3"/>
      <c r="UVG73" s="3"/>
      <c r="UVH73" s="3"/>
      <c r="UVI73" s="3"/>
      <c r="UVJ73" s="3"/>
      <c r="UVK73" s="3"/>
      <c r="UVL73" s="3"/>
      <c r="UVM73" s="3"/>
      <c r="UVN73" s="3"/>
      <c r="UVO73" s="3"/>
      <c r="UVP73" s="3"/>
      <c r="UVQ73" s="3"/>
      <c r="UVR73" s="3"/>
      <c r="UVS73" s="3"/>
      <c r="UVT73" s="3"/>
      <c r="UVU73" s="3"/>
      <c r="UVV73" s="3"/>
      <c r="UVW73" s="3"/>
      <c r="UVX73" s="3"/>
      <c r="UVY73" s="3"/>
      <c r="UVZ73" s="3"/>
      <c r="UWA73" s="3"/>
      <c r="UWB73" s="3"/>
      <c r="UWC73" s="3"/>
      <c r="UWD73" s="3"/>
      <c r="UWE73" s="3"/>
      <c r="UWF73" s="3"/>
      <c r="UWG73" s="3"/>
      <c r="UWH73" s="3"/>
      <c r="UWI73" s="3"/>
      <c r="UWJ73" s="3"/>
      <c r="UWK73" s="3"/>
      <c r="UWL73" s="3"/>
      <c r="UWM73" s="3"/>
      <c r="UWN73" s="3"/>
      <c r="UWO73" s="3"/>
      <c r="UWP73" s="3"/>
      <c r="UWQ73" s="3"/>
      <c r="UWR73" s="3"/>
      <c r="UWS73" s="3"/>
      <c r="UWT73" s="3"/>
      <c r="UWU73" s="3"/>
      <c r="UWV73" s="3"/>
      <c r="UWW73" s="3"/>
      <c r="UWX73" s="3"/>
      <c r="UWY73" s="3"/>
      <c r="UWZ73" s="3"/>
      <c r="UXA73" s="3"/>
      <c r="UXB73" s="3"/>
      <c r="UXC73" s="3"/>
      <c r="UXD73" s="3"/>
      <c r="UXE73" s="3"/>
      <c r="UXF73" s="3"/>
      <c r="UXG73" s="3"/>
      <c r="UXH73" s="3"/>
      <c r="UXI73" s="3"/>
      <c r="UXJ73" s="3"/>
      <c r="UXK73" s="3"/>
      <c r="UXL73" s="3"/>
      <c r="UXM73" s="3"/>
      <c r="UXN73" s="3"/>
      <c r="UXO73" s="3"/>
      <c r="UXP73" s="3"/>
      <c r="UXQ73" s="3"/>
      <c r="UXR73" s="3"/>
      <c r="UXS73" s="3"/>
      <c r="UXT73" s="3"/>
      <c r="UXU73" s="3"/>
      <c r="UXV73" s="3"/>
      <c r="UXW73" s="3"/>
      <c r="UXX73" s="3"/>
      <c r="UXY73" s="3"/>
      <c r="UXZ73" s="3"/>
      <c r="UYA73" s="3"/>
      <c r="UYB73" s="3"/>
      <c r="UYC73" s="3"/>
      <c r="UYD73" s="3"/>
      <c r="UYE73" s="3"/>
      <c r="UYF73" s="3"/>
      <c r="UYG73" s="3"/>
      <c r="UYH73" s="3"/>
      <c r="UYI73" s="3"/>
      <c r="UYJ73" s="3"/>
      <c r="UYK73" s="3"/>
      <c r="UYL73" s="3"/>
      <c r="UYM73" s="3"/>
      <c r="UYN73" s="3"/>
      <c r="UYO73" s="3"/>
      <c r="UYP73" s="3"/>
      <c r="UYQ73" s="3"/>
      <c r="UYR73" s="3"/>
      <c r="UYS73" s="3"/>
      <c r="UYT73" s="3"/>
      <c r="UYU73" s="3"/>
      <c r="UYV73" s="3"/>
      <c r="UYW73" s="3"/>
      <c r="UYX73" s="3"/>
      <c r="UYY73" s="3"/>
      <c r="UYZ73" s="3"/>
      <c r="UZA73" s="3"/>
      <c r="UZB73" s="3"/>
      <c r="UZC73" s="3"/>
      <c r="UZD73" s="3"/>
      <c r="UZE73" s="3"/>
      <c r="UZF73" s="3"/>
      <c r="UZG73" s="3"/>
      <c r="UZH73" s="3"/>
      <c r="UZI73" s="3"/>
      <c r="UZJ73" s="3"/>
      <c r="UZK73" s="3"/>
      <c r="UZL73" s="3"/>
      <c r="UZM73" s="3"/>
      <c r="UZN73" s="3"/>
      <c r="UZO73" s="3"/>
      <c r="UZP73" s="3"/>
      <c r="UZQ73" s="3"/>
      <c r="UZR73" s="3"/>
      <c r="UZS73" s="3"/>
      <c r="UZT73" s="3"/>
      <c r="UZU73" s="3"/>
      <c r="UZV73" s="3"/>
      <c r="UZW73" s="3"/>
      <c r="UZX73" s="3"/>
      <c r="UZY73" s="3"/>
      <c r="UZZ73" s="3"/>
      <c r="VAA73" s="3"/>
      <c r="VAB73" s="3"/>
      <c r="VAC73" s="3"/>
      <c r="VAD73" s="3"/>
      <c r="VAE73" s="3"/>
      <c r="VAF73" s="3"/>
      <c r="VAG73" s="3"/>
      <c r="VAH73" s="3"/>
      <c r="VAI73" s="3"/>
      <c r="VAJ73" s="3"/>
      <c r="VAK73" s="3"/>
      <c r="VAL73" s="3"/>
      <c r="VAM73" s="3"/>
      <c r="VAN73" s="3"/>
      <c r="VAO73" s="3"/>
      <c r="VAP73" s="3"/>
      <c r="VAQ73" s="3"/>
      <c r="VAR73" s="3"/>
      <c r="VAS73" s="3"/>
      <c r="VAT73" s="3"/>
      <c r="VAU73" s="3"/>
      <c r="VAV73" s="3"/>
      <c r="VAW73" s="3"/>
      <c r="VAX73" s="3"/>
      <c r="VAY73" s="3"/>
      <c r="VAZ73" s="3"/>
      <c r="VBA73" s="3"/>
      <c r="VBB73" s="3"/>
      <c r="VBC73" s="3"/>
      <c r="VBD73" s="3"/>
      <c r="VBE73" s="3"/>
      <c r="VBF73" s="3"/>
      <c r="VBG73" s="3"/>
      <c r="VBH73" s="3"/>
      <c r="VBI73" s="3"/>
      <c r="VBJ73" s="3"/>
      <c r="VBK73" s="3"/>
      <c r="VBL73" s="3"/>
      <c r="VBM73" s="3"/>
      <c r="VBN73" s="3"/>
      <c r="VBO73" s="3"/>
      <c r="VBP73" s="3"/>
      <c r="VBQ73" s="3"/>
      <c r="VBR73" s="3"/>
      <c r="VBS73" s="3"/>
      <c r="VBT73" s="3"/>
      <c r="VBU73" s="3"/>
      <c r="VBV73" s="3"/>
      <c r="VBW73" s="3"/>
      <c r="VBX73" s="3"/>
      <c r="VBY73" s="3"/>
      <c r="VBZ73" s="3"/>
      <c r="VCA73" s="3"/>
      <c r="VCB73" s="3"/>
      <c r="VCC73" s="3"/>
      <c r="VCD73" s="3"/>
      <c r="VCE73" s="3"/>
      <c r="VCF73" s="3"/>
      <c r="VCG73" s="3"/>
      <c r="VCH73" s="3"/>
      <c r="VCI73" s="3"/>
      <c r="VCJ73" s="3"/>
      <c r="VCK73" s="3"/>
      <c r="VCL73" s="3"/>
      <c r="VCM73" s="3"/>
      <c r="VCN73" s="3"/>
      <c r="VCO73" s="3"/>
      <c r="VCP73" s="3"/>
      <c r="VCQ73" s="3"/>
      <c r="VCR73" s="3"/>
      <c r="VCS73" s="3"/>
      <c r="VCT73" s="3"/>
      <c r="VCU73" s="3"/>
      <c r="VCV73" s="3"/>
      <c r="VCW73" s="3"/>
      <c r="VCX73" s="3"/>
      <c r="VCY73" s="3"/>
      <c r="VCZ73" s="3"/>
      <c r="VDA73" s="3"/>
      <c r="VDB73" s="3"/>
      <c r="VDC73" s="3"/>
      <c r="VDD73" s="3"/>
      <c r="VDE73" s="3"/>
      <c r="VDF73" s="3"/>
      <c r="VDG73" s="3"/>
      <c r="VDH73" s="3"/>
      <c r="VDI73" s="3"/>
      <c r="VDJ73" s="3"/>
      <c r="VDK73" s="3"/>
      <c r="VDL73" s="3"/>
      <c r="VDM73" s="3"/>
      <c r="VDN73" s="3"/>
      <c r="VDO73" s="3"/>
      <c r="VDP73" s="3"/>
      <c r="VDQ73" s="3"/>
      <c r="VDR73" s="3"/>
      <c r="VDS73" s="3"/>
      <c r="VDT73" s="3"/>
      <c r="VDU73" s="3"/>
      <c r="VDV73" s="3"/>
      <c r="VDW73" s="3"/>
      <c r="VDX73" s="3"/>
      <c r="VDY73" s="3"/>
      <c r="VDZ73" s="3"/>
      <c r="VEA73" s="3"/>
      <c r="VEB73" s="3"/>
      <c r="VEC73" s="3"/>
      <c r="VED73" s="3"/>
      <c r="VEE73" s="3"/>
      <c r="VEF73" s="3"/>
      <c r="VEG73" s="3"/>
      <c r="VEH73" s="3"/>
      <c r="VEI73" s="3"/>
      <c r="VEJ73" s="3"/>
      <c r="VEK73" s="3"/>
      <c r="VEL73" s="3"/>
      <c r="VEM73" s="3"/>
      <c r="VEN73" s="3"/>
      <c r="VEO73" s="3"/>
      <c r="VEP73" s="3"/>
      <c r="VEQ73" s="3"/>
      <c r="VER73" s="3"/>
      <c r="VES73" s="3"/>
      <c r="VET73" s="3"/>
      <c r="VEU73" s="3"/>
      <c r="VEV73" s="3"/>
      <c r="VEW73" s="3"/>
      <c r="VEX73" s="3"/>
      <c r="VEY73" s="3"/>
      <c r="VEZ73" s="3"/>
      <c r="VFA73" s="3"/>
      <c r="VFB73" s="3"/>
      <c r="VFC73" s="3"/>
      <c r="VFD73" s="3"/>
      <c r="VFE73" s="3"/>
      <c r="VFF73" s="3"/>
      <c r="VFG73" s="3"/>
      <c r="VFH73" s="3"/>
      <c r="VFI73" s="3"/>
      <c r="VFJ73" s="3"/>
      <c r="VFK73" s="3"/>
      <c r="VFL73" s="3"/>
      <c r="VFM73" s="3"/>
      <c r="VFN73" s="3"/>
      <c r="VFO73" s="3"/>
      <c r="VFP73" s="3"/>
      <c r="VFQ73" s="3"/>
      <c r="VFR73" s="3"/>
      <c r="VFS73" s="3"/>
      <c r="VFT73" s="3"/>
      <c r="VFU73" s="3"/>
      <c r="VFV73" s="3"/>
      <c r="VFW73" s="3"/>
      <c r="VFX73" s="3"/>
      <c r="VFY73" s="3"/>
      <c r="VFZ73" s="3"/>
      <c r="VGA73" s="3"/>
      <c r="VGB73" s="3"/>
      <c r="VGC73" s="3"/>
      <c r="VGD73" s="3"/>
      <c r="VGE73" s="3"/>
      <c r="VGF73" s="3"/>
      <c r="VGG73" s="3"/>
      <c r="VGH73" s="3"/>
      <c r="VGI73" s="3"/>
      <c r="VGJ73" s="3"/>
      <c r="VGK73" s="3"/>
      <c r="VGL73" s="3"/>
      <c r="VGM73" s="3"/>
      <c r="VGN73" s="3"/>
      <c r="VGO73" s="3"/>
      <c r="VGP73" s="3"/>
      <c r="VGQ73" s="3"/>
      <c r="VGR73" s="3"/>
      <c r="VGS73" s="3"/>
      <c r="VGT73" s="3"/>
      <c r="VGU73" s="3"/>
      <c r="VGV73" s="3"/>
      <c r="VGW73" s="3"/>
      <c r="VGX73" s="3"/>
      <c r="VGY73" s="3"/>
      <c r="VGZ73" s="3"/>
      <c r="VHA73" s="3"/>
      <c r="VHB73" s="3"/>
      <c r="VHC73" s="3"/>
      <c r="VHD73" s="3"/>
      <c r="VHE73" s="3"/>
      <c r="VHF73" s="3"/>
      <c r="VHG73" s="3"/>
      <c r="VHH73" s="3"/>
      <c r="VHI73" s="3"/>
      <c r="VHJ73" s="3"/>
      <c r="VHK73" s="3"/>
      <c r="VHL73" s="3"/>
      <c r="VHM73" s="3"/>
      <c r="VHN73" s="3"/>
      <c r="VHO73" s="3"/>
      <c r="VHP73" s="3"/>
      <c r="VHQ73" s="3"/>
      <c r="VHR73" s="3"/>
      <c r="VHS73" s="3"/>
      <c r="VHT73" s="3"/>
      <c r="VHU73" s="3"/>
      <c r="VHV73" s="3"/>
      <c r="VHW73" s="3"/>
      <c r="VHX73" s="3"/>
      <c r="VHY73" s="3"/>
      <c r="VHZ73" s="3"/>
      <c r="VIA73" s="3"/>
      <c r="VIB73" s="3"/>
      <c r="VIC73" s="3"/>
      <c r="VID73" s="3"/>
      <c r="VIE73" s="3"/>
      <c r="VIF73" s="3"/>
      <c r="VIG73" s="3"/>
      <c r="VIH73" s="3"/>
      <c r="VII73" s="3"/>
      <c r="VIJ73" s="3"/>
      <c r="VIK73" s="3"/>
      <c r="VIL73" s="3"/>
      <c r="VIM73" s="3"/>
      <c r="VIN73" s="3"/>
      <c r="VIO73" s="3"/>
      <c r="VIP73" s="3"/>
      <c r="VIQ73" s="3"/>
      <c r="VIR73" s="3"/>
      <c r="VIS73" s="3"/>
      <c r="VIT73" s="3"/>
      <c r="VIU73" s="3"/>
      <c r="VIV73" s="3"/>
      <c r="VIW73" s="3"/>
      <c r="VIX73" s="3"/>
      <c r="VIY73" s="3"/>
      <c r="VIZ73" s="3"/>
      <c r="VJA73" s="3"/>
      <c r="VJB73" s="3"/>
      <c r="VJC73" s="3"/>
      <c r="VJD73" s="3"/>
      <c r="VJE73" s="3"/>
      <c r="VJF73" s="3"/>
      <c r="VJG73" s="3"/>
      <c r="VJH73" s="3"/>
      <c r="VJI73" s="3"/>
      <c r="VJJ73" s="3"/>
      <c r="VJK73" s="3"/>
      <c r="VJL73" s="3"/>
      <c r="VJM73" s="3"/>
      <c r="VJN73" s="3"/>
      <c r="VJO73" s="3"/>
      <c r="VJP73" s="3"/>
      <c r="VJQ73" s="3"/>
      <c r="VJR73" s="3"/>
      <c r="VJS73" s="3"/>
      <c r="VJT73" s="3"/>
      <c r="VJU73" s="3"/>
      <c r="VJV73" s="3"/>
      <c r="VJW73" s="3"/>
      <c r="VJX73" s="3"/>
      <c r="VJY73" s="3"/>
      <c r="VJZ73" s="3"/>
      <c r="VKA73" s="3"/>
      <c r="VKB73" s="3"/>
      <c r="VKC73" s="3"/>
      <c r="VKD73" s="3"/>
      <c r="VKE73" s="3"/>
      <c r="VKF73" s="3"/>
      <c r="VKG73" s="3"/>
      <c r="VKH73" s="3"/>
      <c r="VKI73" s="3"/>
      <c r="VKJ73" s="3"/>
      <c r="VKK73" s="3"/>
      <c r="VKL73" s="3"/>
      <c r="VKM73" s="3"/>
      <c r="VKN73" s="3"/>
      <c r="VKO73" s="3"/>
      <c r="VKP73" s="3"/>
      <c r="VKQ73" s="3"/>
      <c r="VKR73" s="3"/>
      <c r="VKS73" s="3"/>
      <c r="VKT73" s="3"/>
      <c r="VKU73" s="3"/>
      <c r="VKV73" s="3"/>
      <c r="VKW73" s="3"/>
      <c r="VKX73" s="3"/>
      <c r="VKY73" s="3"/>
      <c r="VKZ73" s="3"/>
      <c r="VLA73" s="3"/>
      <c r="VLB73" s="3"/>
      <c r="VLC73" s="3"/>
      <c r="VLD73" s="3"/>
      <c r="VLE73" s="3"/>
      <c r="VLF73" s="3"/>
      <c r="VLG73" s="3"/>
      <c r="VLH73" s="3"/>
      <c r="VLI73" s="3"/>
      <c r="VLJ73" s="3"/>
      <c r="VLK73" s="3"/>
      <c r="VLL73" s="3"/>
      <c r="VLM73" s="3"/>
      <c r="VLN73" s="3"/>
      <c r="VLO73" s="3"/>
      <c r="VLP73" s="3"/>
      <c r="VLQ73" s="3"/>
      <c r="VLR73" s="3"/>
      <c r="VLS73" s="3"/>
      <c r="VLT73" s="3"/>
      <c r="VLU73" s="3"/>
      <c r="VLV73" s="3"/>
      <c r="VLW73" s="3"/>
      <c r="VLX73" s="3"/>
      <c r="VLY73" s="3"/>
      <c r="VLZ73" s="3"/>
      <c r="VMA73" s="3"/>
      <c r="VMB73" s="3"/>
      <c r="VMC73" s="3"/>
      <c r="VMD73" s="3"/>
      <c r="VME73" s="3"/>
      <c r="VMF73" s="3"/>
      <c r="VMG73" s="3"/>
      <c r="VMH73" s="3"/>
      <c r="VMI73" s="3"/>
      <c r="VMJ73" s="3"/>
      <c r="VMK73" s="3"/>
      <c r="VML73" s="3"/>
      <c r="VMM73" s="3"/>
      <c r="VMN73" s="3"/>
      <c r="VMO73" s="3"/>
      <c r="VMP73" s="3"/>
      <c r="VMQ73" s="3"/>
      <c r="VMR73" s="3"/>
      <c r="VMS73" s="3"/>
      <c r="VMT73" s="3"/>
      <c r="VMU73" s="3"/>
      <c r="VMV73" s="3"/>
      <c r="VMW73" s="3"/>
      <c r="VMX73" s="3"/>
      <c r="VMY73" s="3"/>
      <c r="VMZ73" s="3"/>
      <c r="VNA73" s="3"/>
      <c r="VNB73" s="3"/>
      <c r="VNC73" s="3"/>
      <c r="VND73" s="3"/>
      <c r="VNE73" s="3"/>
      <c r="VNF73" s="3"/>
      <c r="VNG73" s="3"/>
      <c r="VNH73" s="3"/>
      <c r="VNI73" s="3"/>
      <c r="VNJ73" s="3"/>
      <c r="VNK73" s="3"/>
      <c r="VNL73" s="3"/>
      <c r="VNM73" s="3"/>
      <c r="VNN73" s="3"/>
      <c r="VNO73" s="3"/>
      <c r="VNP73" s="3"/>
      <c r="VNQ73" s="3"/>
      <c r="VNR73" s="3"/>
      <c r="VNS73" s="3"/>
      <c r="VNT73" s="3"/>
      <c r="VNU73" s="3"/>
      <c r="VNV73" s="3"/>
      <c r="VNW73" s="3"/>
      <c r="VNX73" s="3"/>
      <c r="VNY73" s="3"/>
      <c r="VNZ73" s="3"/>
      <c r="VOA73" s="3"/>
      <c r="VOB73" s="3"/>
      <c r="VOC73" s="3"/>
      <c r="VOD73" s="3"/>
      <c r="VOE73" s="3"/>
      <c r="VOF73" s="3"/>
      <c r="VOG73" s="3"/>
      <c r="VOH73" s="3"/>
      <c r="VOI73" s="3"/>
      <c r="VOJ73" s="3"/>
      <c r="VOK73" s="3"/>
      <c r="VOL73" s="3"/>
      <c r="VOM73" s="3"/>
      <c r="VON73" s="3"/>
      <c r="VOO73" s="3"/>
      <c r="VOP73" s="3"/>
      <c r="VOQ73" s="3"/>
      <c r="VOR73" s="3"/>
      <c r="VOS73" s="3"/>
      <c r="VOT73" s="3"/>
      <c r="VOU73" s="3"/>
      <c r="VOV73" s="3"/>
      <c r="VOW73" s="3"/>
      <c r="VOX73" s="3"/>
      <c r="VOY73" s="3"/>
      <c r="VOZ73" s="3"/>
      <c r="VPA73" s="3"/>
      <c r="VPB73" s="3"/>
      <c r="VPC73" s="3"/>
      <c r="VPD73" s="3"/>
      <c r="VPE73" s="3"/>
      <c r="VPF73" s="3"/>
      <c r="VPG73" s="3"/>
      <c r="VPH73" s="3"/>
      <c r="VPI73" s="3"/>
      <c r="VPJ73" s="3"/>
      <c r="VPK73" s="3"/>
      <c r="VPL73" s="3"/>
      <c r="VPM73" s="3"/>
      <c r="VPN73" s="3"/>
      <c r="VPO73" s="3"/>
      <c r="VPP73" s="3"/>
      <c r="VPQ73" s="3"/>
      <c r="VPR73" s="3"/>
      <c r="VPS73" s="3"/>
      <c r="VPT73" s="3"/>
      <c r="VPU73" s="3"/>
      <c r="VPV73" s="3"/>
      <c r="VPW73" s="3"/>
      <c r="VPX73" s="3"/>
      <c r="VPY73" s="3"/>
      <c r="VPZ73" s="3"/>
      <c r="VQA73" s="3"/>
      <c r="VQB73" s="3"/>
      <c r="VQC73" s="3"/>
      <c r="VQD73" s="3"/>
      <c r="VQE73" s="3"/>
      <c r="VQF73" s="3"/>
      <c r="VQG73" s="3"/>
      <c r="VQH73" s="3"/>
      <c r="VQI73" s="3"/>
      <c r="VQJ73" s="3"/>
      <c r="VQK73" s="3"/>
      <c r="VQL73" s="3"/>
      <c r="VQM73" s="3"/>
      <c r="VQN73" s="3"/>
      <c r="VQO73" s="3"/>
      <c r="VQP73" s="3"/>
      <c r="VQQ73" s="3"/>
      <c r="VQR73" s="3"/>
      <c r="VQS73" s="3"/>
      <c r="VQT73" s="3"/>
      <c r="VQU73" s="3"/>
      <c r="VQV73" s="3"/>
      <c r="VQW73" s="3"/>
      <c r="VQX73" s="3"/>
      <c r="VQY73" s="3"/>
      <c r="VQZ73" s="3"/>
      <c r="VRA73" s="3"/>
      <c r="VRB73" s="3"/>
      <c r="VRC73" s="3"/>
      <c r="VRD73" s="3"/>
      <c r="VRE73" s="3"/>
      <c r="VRF73" s="3"/>
      <c r="VRG73" s="3"/>
      <c r="VRH73" s="3"/>
      <c r="VRI73" s="3"/>
      <c r="VRJ73" s="3"/>
      <c r="VRK73" s="3"/>
      <c r="VRL73" s="3"/>
      <c r="VRM73" s="3"/>
      <c r="VRN73" s="3"/>
      <c r="VRO73" s="3"/>
      <c r="VRP73" s="3"/>
      <c r="VRQ73" s="3"/>
      <c r="VRR73" s="3"/>
      <c r="VRS73" s="3"/>
      <c r="VRT73" s="3"/>
      <c r="VRU73" s="3"/>
      <c r="VRV73" s="3"/>
      <c r="VRW73" s="3"/>
      <c r="VRX73" s="3"/>
      <c r="VRY73" s="3"/>
      <c r="VRZ73" s="3"/>
      <c r="VSA73" s="3"/>
      <c r="VSB73" s="3"/>
      <c r="VSC73" s="3"/>
      <c r="VSD73" s="3"/>
      <c r="VSE73" s="3"/>
      <c r="VSF73" s="3"/>
      <c r="VSG73" s="3"/>
      <c r="VSH73" s="3"/>
      <c r="VSI73" s="3"/>
      <c r="VSJ73" s="3"/>
      <c r="VSK73" s="3"/>
      <c r="VSL73" s="3"/>
      <c r="VSM73" s="3"/>
      <c r="VSN73" s="3"/>
      <c r="VSO73" s="3"/>
      <c r="VSP73" s="3"/>
      <c r="VSQ73" s="3"/>
      <c r="VSR73" s="3"/>
      <c r="VSS73" s="3"/>
      <c r="VST73" s="3"/>
      <c r="VSU73" s="3"/>
      <c r="VSV73" s="3"/>
      <c r="VSW73" s="3"/>
      <c r="VSX73" s="3"/>
      <c r="VSY73" s="3"/>
      <c r="VSZ73" s="3"/>
      <c r="VTA73" s="3"/>
      <c r="VTB73" s="3"/>
      <c r="VTC73" s="3"/>
      <c r="VTD73" s="3"/>
      <c r="VTE73" s="3"/>
      <c r="VTF73" s="3"/>
      <c r="VTG73" s="3"/>
      <c r="VTH73" s="3"/>
      <c r="VTI73" s="3"/>
      <c r="VTJ73" s="3"/>
      <c r="VTK73" s="3"/>
      <c r="VTL73" s="3"/>
      <c r="VTM73" s="3"/>
      <c r="VTN73" s="3"/>
      <c r="VTO73" s="3"/>
      <c r="VTP73" s="3"/>
      <c r="VTQ73" s="3"/>
      <c r="VTR73" s="3"/>
      <c r="VTS73" s="3"/>
      <c r="VTT73" s="3"/>
      <c r="VTU73" s="3"/>
      <c r="VTV73" s="3"/>
      <c r="VTW73" s="3"/>
      <c r="VTX73" s="3"/>
      <c r="VTY73" s="3"/>
      <c r="VTZ73" s="3"/>
      <c r="VUA73" s="3"/>
      <c r="VUB73" s="3"/>
      <c r="VUC73" s="3"/>
      <c r="VUD73" s="3"/>
      <c r="VUE73" s="3"/>
      <c r="VUF73" s="3"/>
      <c r="VUG73" s="3"/>
      <c r="VUH73" s="3"/>
      <c r="VUI73" s="3"/>
      <c r="VUJ73" s="3"/>
      <c r="VUK73" s="3"/>
      <c r="VUL73" s="3"/>
      <c r="VUM73" s="3"/>
      <c r="VUN73" s="3"/>
      <c r="VUO73" s="3"/>
      <c r="VUP73" s="3"/>
      <c r="VUQ73" s="3"/>
      <c r="VUR73" s="3"/>
      <c r="VUS73" s="3"/>
      <c r="VUT73" s="3"/>
      <c r="VUU73" s="3"/>
      <c r="VUV73" s="3"/>
      <c r="VUW73" s="3"/>
      <c r="VUX73" s="3"/>
      <c r="VUY73" s="3"/>
      <c r="VUZ73" s="3"/>
      <c r="VVA73" s="3"/>
      <c r="VVB73" s="3"/>
      <c r="VVC73" s="3"/>
      <c r="VVD73" s="3"/>
      <c r="VVE73" s="3"/>
      <c r="VVF73" s="3"/>
      <c r="VVG73" s="3"/>
      <c r="VVH73" s="3"/>
      <c r="VVI73" s="3"/>
      <c r="VVJ73" s="3"/>
      <c r="VVK73" s="3"/>
      <c r="VVL73" s="3"/>
      <c r="VVM73" s="3"/>
      <c r="VVN73" s="3"/>
      <c r="VVO73" s="3"/>
      <c r="VVP73" s="3"/>
      <c r="VVQ73" s="3"/>
      <c r="VVR73" s="3"/>
      <c r="VVS73" s="3"/>
      <c r="VVT73" s="3"/>
      <c r="VVU73" s="3"/>
      <c r="VVV73" s="3"/>
      <c r="VVW73" s="3"/>
      <c r="VVX73" s="3"/>
      <c r="VVY73" s="3"/>
      <c r="VVZ73" s="3"/>
      <c r="VWA73" s="3"/>
      <c r="VWB73" s="3"/>
      <c r="VWC73" s="3"/>
      <c r="VWD73" s="3"/>
      <c r="VWE73" s="3"/>
      <c r="VWF73" s="3"/>
      <c r="VWG73" s="3"/>
      <c r="VWH73" s="3"/>
      <c r="VWI73" s="3"/>
      <c r="VWJ73" s="3"/>
      <c r="VWK73" s="3"/>
      <c r="VWL73" s="3"/>
      <c r="VWM73" s="3"/>
      <c r="VWN73" s="3"/>
      <c r="VWO73" s="3"/>
      <c r="VWP73" s="3"/>
      <c r="VWQ73" s="3"/>
      <c r="VWR73" s="3"/>
      <c r="VWS73" s="3"/>
      <c r="VWT73" s="3"/>
      <c r="VWU73" s="3"/>
      <c r="VWV73" s="3"/>
      <c r="VWW73" s="3"/>
      <c r="VWX73" s="3"/>
      <c r="VWY73" s="3"/>
      <c r="VWZ73" s="3"/>
      <c r="VXA73" s="3"/>
      <c r="VXB73" s="3"/>
      <c r="VXC73" s="3"/>
      <c r="VXD73" s="3"/>
      <c r="VXE73" s="3"/>
      <c r="VXF73" s="3"/>
      <c r="VXG73" s="3"/>
      <c r="VXH73" s="3"/>
      <c r="VXI73" s="3"/>
      <c r="VXJ73" s="3"/>
      <c r="VXK73" s="3"/>
      <c r="VXL73" s="3"/>
      <c r="VXM73" s="3"/>
      <c r="VXN73" s="3"/>
      <c r="VXO73" s="3"/>
      <c r="VXP73" s="3"/>
      <c r="VXQ73" s="3"/>
      <c r="VXR73" s="3"/>
      <c r="VXS73" s="3"/>
      <c r="VXT73" s="3"/>
      <c r="VXU73" s="3"/>
      <c r="VXV73" s="3"/>
      <c r="VXW73" s="3"/>
      <c r="VXX73" s="3"/>
      <c r="VXY73" s="3"/>
      <c r="VXZ73" s="3"/>
      <c r="VYA73" s="3"/>
      <c r="VYB73" s="3"/>
      <c r="VYC73" s="3"/>
      <c r="VYD73" s="3"/>
      <c r="VYE73" s="3"/>
      <c r="VYF73" s="3"/>
      <c r="VYG73" s="3"/>
      <c r="VYH73" s="3"/>
      <c r="VYI73" s="3"/>
      <c r="VYJ73" s="3"/>
      <c r="VYK73" s="3"/>
      <c r="VYL73" s="3"/>
      <c r="VYM73" s="3"/>
      <c r="VYN73" s="3"/>
      <c r="VYO73" s="3"/>
      <c r="VYP73" s="3"/>
      <c r="VYQ73" s="3"/>
      <c r="VYR73" s="3"/>
      <c r="VYS73" s="3"/>
      <c r="VYT73" s="3"/>
      <c r="VYU73" s="3"/>
      <c r="VYV73" s="3"/>
      <c r="VYW73" s="3"/>
      <c r="VYX73" s="3"/>
      <c r="VYY73" s="3"/>
      <c r="VYZ73" s="3"/>
      <c r="VZA73" s="3"/>
      <c r="VZB73" s="3"/>
      <c r="VZC73" s="3"/>
      <c r="VZD73" s="3"/>
      <c r="VZE73" s="3"/>
      <c r="VZF73" s="3"/>
      <c r="VZG73" s="3"/>
      <c r="VZH73" s="3"/>
      <c r="VZI73" s="3"/>
      <c r="VZJ73" s="3"/>
      <c r="VZK73" s="3"/>
      <c r="VZL73" s="3"/>
      <c r="VZM73" s="3"/>
      <c r="VZN73" s="3"/>
      <c r="VZO73" s="3"/>
      <c r="VZP73" s="3"/>
      <c r="VZQ73" s="3"/>
      <c r="VZR73" s="3"/>
      <c r="VZS73" s="3"/>
      <c r="VZT73" s="3"/>
      <c r="VZU73" s="3"/>
      <c r="VZV73" s="3"/>
      <c r="VZW73" s="3"/>
      <c r="VZX73" s="3"/>
      <c r="VZY73" s="3"/>
      <c r="VZZ73" s="3"/>
      <c r="WAA73" s="3"/>
      <c r="WAB73" s="3"/>
      <c r="WAC73" s="3"/>
      <c r="WAD73" s="3"/>
      <c r="WAE73" s="3"/>
      <c r="WAF73" s="3"/>
      <c r="WAG73" s="3"/>
      <c r="WAH73" s="3"/>
      <c r="WAI73" s="3"/>
      <c r="WAJ73" s="3"/>
      <c r="WAK73" s="3"/>
      <c r="WAL73" s="3"/>
      <c r="WAM73" s="3"/>
      <c r="WAN73" s="3"/>
      <c r="WAO73" s="3"/>
      <c r="WAP73" s="3"/>
      <c r="WAQ73" s="3"/>
      <c r="WAR73" s="3"/>
      <c r="WAS73" s="3"/>
      <c r="WAT73" s="3"/>
      <c r="WAU73" s="3"/>
      <c r="WAV73" s="3"/>
      <c r="WAW73" s="3"/>
      <c r="WAX73" s="3"/>
      <c r="WAY73" s="3"/>
      <c r="WAZ73" s="3"/>
      <c r="WBA73" s="3"/>
      <c r="WBB73" s="3"/>
      <c r="WBC73" s="3"/>
      <c r="WBD73" s="3"/>
      <c r="WBE73" s="3"/>
      <c r="WBF73" s="3"/>
      <c r="WBG73" s="3"/>
      <c r="WBH73" s="3"/>
      <c r="WBI73" s="3"/>
      <c r="WBJ73" s="3"/>
      <c r="WBK73" s="3"/>
      <c r="WBL73" s="3"/>
      <c r="WBM73" s="3"/>
      <c r="WBN73" s="3"/>
      <c r="WBO73" s="3"/>
      <c r="WBP73" s="3"/>
      <c r="WBQ73" s="3"/>
      <c r="WBR73" s="3"/>
      <c r="WBS73" s="3"/>
      <c r="WBT73" s="3"/>
      <c r="WBU73" s="3"/>
      <c r="WBV73" s="3"/>
      <c r="WBW73" s="3"/>
      <c r="WBX73" s="3"/>
      <c r="WBY73" s="3"/>
      <c r="WBZ73" s="3"/>
      <c r="WCA73" s="3"/>
      <c r="WCB73" s="3"/>
      <c r="WCC73" s="3"/>
      <c r="WCD73" s="3"/>
      <c r="WCE73" s="3"/>
      <c r="WCF73" s="3"/>
      <c r="WCG73" s="3"/>
      <c r="WCH73" s="3"/>
      <c r="WCI73" s="3"/>
      <c r="WCJ73" s="3"/>
      <c r="WCK73" s="3"/>
      <c r="WCL73" s="3"/>
      <c r="WCM73" s="3"/>
      <c r="WCN73" s="3"/>
      <c r="WCO73" s="3"/>
      <c r="WCP73" s="3"/>
      <c r="WCQ73" s="3"/>
      <c r="WCR73" s="3"/>
      <c r="WCS73" s="3"/>
      <c r="WCT73" s="3"/>
      <c r="WCU73" s="3"/>
      <c r="WCV73" s="3"/>
      <c r="WCW73" s="3"/>
      <c r="WCX73" s="3"/>
      <c r="WCY73" s="3"/>
      <c r="WCZ73" s="3"/>
      <c r="WDA73" s="3"/>
      <c r="WDB73" s="3"/>
      <c r="WDC73" s="3"/>
      <c r="WDD73" s="3"/>
      <c r="WDE73" s="3"/>
      <c r="WDF73" s="3"/>
      <c r="WDG73" s="3"/>
      <c r="WDH73" s="3"/>
      <c r="WDI73" s="3"/>
      <c r="WDJ73" s="3"/>
      <c r="WDK73" s="3"/>
      <c r="WDL73" s="3"/>
      <c r="WDM73" s="3"/>
      <c r="WDN73" s="3"/>
      <c r="WDO73" s="3"/>
      <c r="WDP73" s="3"/>
      <c r="WDQ73" s="3"/>
      <c r="WDR73" s="3"/>
      <c r="WDS73" s="3"/>
      <c r="WDT73" s="3"/>
      <c r="WDU73" s="3"/>
      <c r="WDV73" s="3"/>
      <c r="WDW73" s="3"/>
      <c r="WDX73" s="3"/>
      <c r="WDY73" s="3"/>
      <c r="WDZ73" s="3"/>
      <c r="WEA73" s="3"/>
      <c r="WEB73" s="3"/>
      <c r="WEC73" s="3"/>
      <c r="WED73" s="3"/>
      <c r="WEE73" s="3"/>
      <c r="WEF73" s="3"/>
      <c r="WEG73" s="3"/>
      <c r="WEH73" s="3"/>
      <c r="WEI73" s="3"/>
      <c r="WEJ73" s="3"/>
      <c r="WEK73" s="3"/>
      <c r="WEL73" s="3"/>
      <c r="WEM73" s="3"/>
      <c r="WEN73" s="3"/>
      <c r="WEO73" s="3"/>
      <c r="WEP73" s="3"/>
      <c r="WEQ73" s="3"/>
      <c r="WER73" s="3"/>
      <c r="WES73" s="3"/>
      <c r="WET73" s="3"/>
      <c r="WEU73" s="3"/>
      <c r="WEV73" s="3"/>
      <c r="WEW73" s="3"/>
      <c r="WEX73" s="3"/>
      <c r="WEY73" s="3"/>
      <c r="WEZ73" s="3"/>
      <c r="WFA73" s="3"/>
      <c r="WFB73" s="3"/>
      <c r="WFC73" s="3"/>
      <c r="WFD73" s="3"/>
      <c r="WFE73" s="3"/>
      <c r="WFF73" s="3"/>
      <c r="WFG73" s="3"/>
      <c r="WFH73" s="3"/>
      <c r="WFI73" s="3"/>
      <c r="WFJ73" s="3"/>
      <c r="WFK73" s="3"/>
      <c r="WFL73" s="3"/>
      <c r="WFM73" s="3"/>
      <c r="WFN73" s="3"/>
      <c r="WFO73" s="3"/>
      <c r="WFP73" s="3"/>
      <c r="WFQ73" s="3"/>
      <c r="WFR73" s="3"/>
      <c r="WFS73" s="3"/>
      <c r="WFT73" s="3"/>
      <c r="WFU73" s="3"/>
      <c r="WFV73" s="3"/>
      <c r="WFW73" s="3"/>
      <c r="WFX73" s="3"/>
      <c r="WFY73" s="3"/>
      <c r="WFZ73" s="3"/>
      <c r="WGA73" s="3"/>
      <c r="WGB73" s="3"/>
      <c r="WGC73" s="3"/>
      <c r="WGD73" s="3"/>
      <c r="WGE73" s="3"/>
      <c r="WGF73" s="3"/>
      <c r="WGG73" s="3"/>
      <c r="WGH73" s="3"/>
      <c r="WGI73" s="3"/>
      <c r="WGJ73" s="3"/>
      <c r="WGK73" s="3"/>
      <c r="WGL73" s="3"/>
      <c r="WGM73" s="3"/>
      <c r="WGN73" s="3"/>
      <c r="WGO73" s="3"/>
      <c r="WGP73" s="3"/>
      <c r="WGQ73" s="3"/>
      <c r="WGR73" s="3"/>
      <c r="WGS73" s="3"/>
      <c r="WGT73" s="3"/>
      <c r="WGU73" s="3"/>
      <c r="WGV73" s="3"/>
      <c r="WGW73" s="3"/>
      <c r="WGX73" s="3"/>
      <c r="WGY73" s="3"/>
      <c r="WGZ73" s="3"/>
      <c r="WHA73" s="3"/>
      <c r="WHB73" s="3"/>
      <c r="WHC73" s="3"/>
      <c r="WHD73" s="3"/>
      <c r="WHE73" s="3"/>
      <c r="WHF73" s="3"/>
      <c r="WHG73" s="3"/>
      <c r="WHH73" s="3"/>
      <c r="WHI73" s="3"/>
      <c r="WHJ73" s="3"/>
      <c r="WHK73" s="3"/>
      <c r="WHL73" s="3"/>
      <c r="WHM73" s="3"/>
      <c r="WHN73" s="3"/>
      <c r="WHO73" s="3"/>
      <c r="WHP73" s="3"/>
      <c r="WHQ73" s="3"/>
      <c r="WHR73" s="3"/>
      <c r="WHS73" s="3"/>
      <c r="WHT73" s="3"/>
      <c r="WHU73" s="3"/>
      <c r="WHV73" s="3"/>
      <c r="WHW73" s="3"/>
      <c r="WHX73" s="3"/>
      <c r="WHY73" s="3"/>
      <c r="WHZ73" s="3"/>
      <c r="WIA73" s="3"/>
      <c r="WIB73" s="3"/>
      <c r="WIC73" s="3"/>
      <c r="WID73" s="3"/>
      <c r="WIE73" s="3"/>
      <c r="WIF73" s="3"/>
      <c r="WIG73" s="3"/>
      <c r="WIH73" s="3"/>
      <c r="WII73" s="3"/>
      <c r="WIJ73" s="3"/>
      <c r="WIK73" s="3"/>
      <c r="WIL73" s="3"/>
      <c r="WIM73" s="3"/>
      <c r="WIN73" s="3"/>
      <c r="WIO73" s="3"/>
      <c r="WIP73" s="3"/>
      <c r="WIQ73" s="3"/>
      <c r="WIR73" s="3"/>
      <c r="WIS73" s="3"/>
      <c r="WIT73" s="3"/>
      <c r="WIU73" s="3"/>
      <c r="WIV73" s="3"/>
      <c r="WIW73" s="3"/>
      <c r="WIX73" s="3"/>
      <c r="WIY73" s="3"/>
      <c r="WIZ73" s="3"/>
      <c r="WJA73" s="3"/>
      <c r="WJB73" s="3"/>
      <c r="WJC73" s="3"/>
      <c r="WJD73" s="3"/>
      <c r="WJE73" s="3"/>
      <c r="WJF73" s="3"/>
      <c r="WJG73" s="3"/>
      <c r="WJH73" s="3"/>
      <c r="WJI73" s="3"/>
      <c r="WJJ73" s="3"/>
      <c r="WJK73" s="3"/>
      <c r="WJL73" s="3"/>
      <c r="WJM73" s="3"/>
      <c r="WJN73" s="3"/>
      <c r="WJO73" s="3"/>
      <c r="WJP73" s="3"/>
      <c r="WJQ73" s="3"/>
      <c r="WJR73" s="3"/>
      <c r="WJS73" s="3"/>
      <c r="WJT73" s="3"/>
      <c r="WJU73" s="3"/>
      <c r="WJV73" s="3"/>
      <c r="WJW73" s="3"/>
      <c r="WJX73" s="3"/>
      <c r="WJY73" s="3"/>
      <c r="WJZ73" s="3"/>
      <c r="WKA73" s="3"/>
      <c r="WKB73" s="3"/>
      <c r="WKC73" s="3"/>
      <c r="WKD73" s="3"/>
      <c r="WKE73" s="3"/>
      <c r="WKF73" s="3"/>
      <c r="WKG73" s="3"/>
      <c r="WKH73" s="3"/>
      <c r="WKI73" s="3"/>
      <c r="WKJ73" s="3"/>
      <c r="WKK73" s="3"/>
      <c r="WKL73" s="3"/>
      <c r="WKM73" s="3"/>
      <c r="WKN73" s="3"/>
      <c r="WKO73" s="3"/>
      <c r="WKP73" s="3"/>
      <c r="WKQ73" s="3"/>
      <c r="WKR73" s="3"/>
      <c r="WKS73" s="3"/>
      <c r="WKT73" s="3"/>
      <c r="WKU73" s="3"/>
      <c r="WKV73" s="3"/>
      <c r="WKW73" s="3"/>
      <c r="WKX73" s="3"/>
      <c r="WKY73" s="3"/>
      <c r="WKZ73" s="3"/>
      <c r="WLA73" s="3"/>
      <c r="WLB73" s="3"/>
      <c r="WLC73" s="3"/>
      <c r="WLD73" s="3"/>
      <c r="WLE73" s="3"/>
      <c r="WLF73" s="3"/>
      <c r="WLG73" s="3"/>
      <c r="WLH73" s="3"/>
      <c r="WLI73" s="3"/>
      <c r="WLJ73" s="3"/>
      <c r="WLK73" s="3"/>
      <c r="WLL73" s="3"/>
      <c r="WLM73" s="3"/>
      <c r="WLN73" s="3"/>
      <c r="WLO73" s="3"/>
      <c r="WLP73" s="3"/>
      <c r="WLQ73" s="3"/>
      <c r="WLR73" s="3"/>
      <c r="WLS73" s="3"/>
      <c r="WLT73" s="3"/>
      <c r="WLU73" s="3"/>
      <c r="WLV73" s="3"/>
      <c r="WLW73" s="3"/>
      <c r="WLX73" s="3"/>
      <c r="WLY73" s="3"/>
      <c r="WLZ73" s="3"/>
      <c r="WMA73" s="3"/>
      <c r="WMB73" s="3"/>
      <c r="WMC73" s="3"/>
      <c r="WMD73" s="3"/>
      <c r="WME73" s="3"/>
      <c r="WMF73" s="3"/>
      <c r="WMG73" s="3"/>
      <c r="WMH73" s="3"/>
      <c r="WMI73" s="3"/>
      <c r="WMJ73" s="3"/>
      <c r="WMK73" s="3"/>
      <c r="WML73" s="3"/>
      <c r="WMM73" s="3"/>
      <c r="WMN73" s="3"/>
      <c r="WMO73" s="3"/>
      <c r="WMP73" s="3"/>
      <c r="WMQ73" s="3"/>
      <c r="WMR73" s="3"/>
      <c r="WMS73" s="3"/>
      <c r="WMT73" s="3"/>
      <c r="WMU73" s="3"/>
      <c r="WMV73" s="3"/>
      <c r="WMW73" s="3"/>
      <c r="WMX73" s="3"/>
      <c r="WMY73" s="3"/>
      <c r="WMZ73" s="3"/>
      <c r="WNA73" s="3"/>
      <c r="WNB73" s="3"/>
      <c r="WNC73" s="3"/>
      <c r="WND73" s="3"/>
      <c r="WNE73" s="3"/>
      <c r="WNF73" s="3"/>
      <c r="WNG73" s="3"/>
      <c r="WNH73" s="3"/>
      <c r="WNI73" s="3"/>
      <c r="WNJ73" s="3"/>
      <c r="WNK73" s="3"/>
      <c r="WNL73" s="3"/>
      <c r="WNM73" s="3"/>
      <c r="WNN73" s="3"/>
      <c r="WNO73" s="3"/>
      <c r="WNP73" s="3"/>
      <c r="WNQ73" s="3"/>
      <c r="WNR73" s="3"/>
      <c r="WNS73" s="3"/>
      <c r="WNT73" s="3"/>
      <c r="WNU73" s="3"/>
      <c r="WNV73" s="3"/>
      <c r="WNW73" s="3"/>
      <c r="WNX73" s="3"/>
      <c r="WNY73" s="3"/>
      <c r="WNZ73" s="3"/>
      <c r="WOA73" s="3"/>
      <c r="WOB73" s="3"/>
      <c r="WOC73" s="3"/>
      <c r="WOD73" s="3"/>
      <c r="WOE73" s="3"/>
      <c r="WOF73" s="3"/>
      <c r="WOG73" s="3"/>
      <c r="WOH73" s="3"/>
      <c r="WOI73" s="3"/>
      <c r="WOJ73" s="3"/>
      <c r="WOK73" s="3"/>
      <c r="WOL73" s="3"/>
      <c r="WOM73" s="3"/>
      <c r="WON73" s="3"/>
      <c r="WOO73" s="3"/>
      <c r="WOP73" s="3"/>
      <c r="WOQ73" s="3"/>
      <c r="WOR73" s="3"/>
      <c r="WOS73" s="3"/>
      <c r="WOT73" s="3"/>
      <c r="WOU73" s="3"/>
      <c r="WOV73" s="3"/>
      <c r="WOW73" s="3"/>
      <c r="WOX73" s="3"/>
      <c r="WOY73" s="3"/>
      <c r="WOZ73" s="3"/>
      <c r="WPA73" s="3"/>
      <c r="WPB73" s="3"/>
      <c r="WPC73" s="3"/>
      <c r="WPD73" s="3"/>
      <c r="WPE73" s="3"/>
      <c r="WPF73" s="3"/>
      <c r="WPG73" s="3"/>
      <c r="WPH73" s="3"/>
      <c r="WPI73" s="3"/>
      <c r="WPJ73" s="3"/>
      <c r="WPK73" s="3"/>
      <c r="WPL73" s="3"/>
      <c r="WPM73" s="3"/>
      <c r="WPN73" s="3"/>
      <c r="WPO73" s="3"/>
      <c r="WPP73" s="3"/>
      <c r="WPQ73" s="3"/>
      <c r="WPR73" s="3"/>
      <c r="WPS73" s="3"/>
      <c r="WPT73" s="3"/>
      <c r="WPU73" s="3"/>
      <c r="WPV73" s="3"/>
      <c r="WPW73" s="3"/>
      <c r="WPX73" s="3"/>
      <c r="WPY73" s="3"/>
      <c r="WPZ73" s="3"/>
      <c r="WQA73" s="3"/>
      <c r="WQB73" s="3"/>
      <c r="WQC73" s="3"/>
      <c r="WQD73" s="3"/>
      <c r="WQE73" s="3"/>
      <c r="WQF73" s="3"/>
      <c r="WQG73" s="3"/>
      <c r="WQH73" s="3"/>
      <c r="WQI73" s="3"/>
      <c r="WQJ73" s="3"/>
      <c r="WQK73" s="3"/>
      <c r="WQL73" s="3"/>
      <c r="WQM73" s="3"/>
      <c r="WQN73" s="3"/>
      <c r="WQO73" s="3"/>
      <c r="WQP73" s="3"/>
      <c r="WQQ73" s="3"/>
      <c r="WQR73" s="3"/>
      <c r="WQS73" s="3"/>
      <c r="WQT73" s="3"/>
      <c r="WQU73" s="3"/>
      <c r="WQV73" s="3"/>
      <c r="WQW73" s="3"/>
      <c r="WQX73" s="3"/>
      <c r="WQY73" s="3"/>
      <c r="WQZ73" s="3"/>
      <c r="WRA73" s="3"/>
      <c r="WRB73" s="3"/>
      <c r="WRC73" s="3"/>
      <c r="WRD73" s="3"/>
      <c r="WRE73" s="3"/>
      <c r="WRF73" s="3"/>
      <c r="WRG73" s="3"/>
      <c r="WRH73" s="3"/>
      <c r="WRI73" s="3"/>
      <c r="WRJ73" s="3"/>
      <c r="WRK73" s="3"/>
      <c r="WRL73" s="3"/>
      <c r="WRM73" s="3"/>
      <c r="WRN73" s="3"/>
      <c r="WRO73" s="3"/>
      <c r="WRP73" s="3"/>
      <c r="WRQ73" s="3"/>
      <c r="WRR73" s="3"/>
      <c r="WRS73" s="3"/>
      <c r="WRT73" s="3"/>
      <c r="WRU73" s="3"/>
      <c r="WRV73" s="3"/>
      <c r="WRW73" s="3"/>
      <c r="WRX73" s="3"/>
      <c r="WRY73" s="3"/>
      <c r="WRZ73" s="3"/>
      <c r="WSA73" s="3"/>
      <c r="WSB73" s="3"/>
      <c r="WSC73" s="3"/>
      <c r="WSD73" s="3"/>
      <c r="WSE73" s="3"/>
      <c r="WSF73" s="3"/>
      <c r="WSG73" s="3"/>
      <c r="WSH73" s="3"/>
      <c r="WSI73" s="3"/>
      <c r="WSJ73" s="3"/>
      <c r="WSK73" s="3"/>
      <c r="WSL73" s="3"/>
      <c r="WSM73" s="3"/>
      <c r="WSN73" s="3"/>
      <c r="WSO73" s="3"/>
      <c r="WSP73" s="3"/>
      <c r="WSQ73" s="3"/>
      <c r="WSR73" s="3"/>
      <c r="WSS73" s="3"/>
      <c r="WST73" s="3"/>
      <c r="WSU73" s="3"/>
      <c r="WSV73" s="3"/>
      <c r="WSW73" s="3"/>
      <c r="WSX73" s="3"/>
      <c r="WSY73" s="3"/>
      <c r="WSZ73" s="3"/>
      <c r="WTA73" s="3"/>
      <c r="WTB73" s="3"/>
      <c r="WTC73" s="3"/>
      <c r="WTD73" s="3"/>
      <c r="WTE73" s="3"/>
      <c r="WTF73" s="3"/>
      <c r="WTG73" s="3"/>
      <c r="WTH73" s="3"/>
      <c r="WTI73" s="3"/>
      <c r="WTJ73" s="3"/>
      <c r="WTK73" s="3"/>
      <c r="WTL73" s="3"/>
      <c r="WTM73" s="3"/>
      <c r="WTN73" s="3"/>
      <c r="WTO73" s="3"/>
      <c r="WTP73" s="3"/>
      <c r="WTQ73" s="3"/>
      <c r="WTR73" s="3"/>
      <c r="WTS73" s="3"/>
      <c r="WTT73" s="3"/>
      <c r="WTU73" s="3"/>
      <c r="WTV73" s="3"/>
      <c r="WTW73" s="3"/>
      <c r="WTX73" s="3"/>
      <c r="WTY73" s="3"/>
      <c r="WTZ73" s="3"/>
      <c r="WUA73" s="3"/>
      <c r="WUB73" s="3"/>
      <c r="WUC73" s="3"/>
      <c r="WUD73" s="3"/>
      <c r="WUE73" s="3"/>
      <c r="WUF73" s="3"/>
      <c r="WUG73" s="3"/>
      <c r="WUH73" s="3"/>
      <c r="WUI73" s="3"/>
      <c r="WUJ73" s="3"/>
      <c r="WUK73" s="3"/>
      <c r="WUL73" s="3"/>
      <c r="WUM73" s="3"/>
      <c r="WUN73" s="3"/>
      <c r="WUO73" s="3"/>
      <c r="WUP73" s="3"/>
      <c r="WUQ73" s="3"/>
      <c r="WUR73" s="3"/>
      <c r="WUS73" s="3"/>
      <c r="WUT73" s="3"/>
      <c r="WUU73" s="3"/>
      <c r="WUV73" s="3"/>
      <c r="WUW73" s="3"/>
      <c r="WUX73" s="3"/>
      <c r="WUY73" s="3"/>
      <c r="WUZ73" s="3"/>
      <c r="WVA73" s="3"/>
      <c r="WVB73" s="3"/>
      <c r="WVC73" s="3"/>
      <c r="WVD73" s="3"/>
      <c r="WVE73" s="3"/>
      <c r="WVF73" s="3"/>
      <c r="WVG73" s="3"/>
      <c r="WVH73" s="3"/>
      <c r="WVI73" s="3"/>
      <c r="WVJ73" s="3"/>
      <c r="WVK73" s="3"/>
      <c r="WVL73" s="3"/>
      <c r="WVM73" s="3"/>
      <c r="WVN73" s="3"/>
      <c r="WVO73" s="3"/>
      <c r="WVP73" s="3"/>
      <c r="WVQ73" s="3"/>
      <c r="WVR73" s="3"/>
      <c r="WVS73" s="3"/>
      <c r="WVT73" s="3"/>
      <c r="WVU73" s="3"/>
      <c r="WVV73" s="3"/>
      <c r="WVW73" s="3"/>
      <c r="WVX73" s="3"/>
      <c r="WVY73" s="3"/>
      <c r="WVZ73" s="3"/>
      <c r="WWA73" s="3"/>
      <c r="WWB73" s="3"/>
      <c r="WWC73" s="3"/>
      <c r="WWD73" s="3"/>
      <c r="WWE73" s="3"/>
      <c r="WWF73" s="3"/>
      <c r="WWG73" s="3"/>
      <c r="WWH73" s="3"/>
      <c r="WWI73" s="3"/>
      <c r="WWJ73" s="3"/>
      <c r="WWK73" s="3"/>
      <c r="WWL73" s="3"/>
      <c r="WWM73" s="3"/>
      <c r="WWN73" s="3"/>
      <c r="WWO73" s="3"/>
      <c r="WWP73" s="3"/>
      <c r="WWQ73" s="3"/>
      <c r="WWR73" s="3"/>
      <c r="WWS73" s="3"/>
      <c r="WWT73" s="3"/>
      <c r="WWU73" s="3"/>
      <c r="WWV73" s="3"/>
      <c r="WWW73" s="3"/>
      <c r="WWX73" s="3"/>
      <c r="WWY73" s="3"/>
      <c r="WWZ73" s="3"/>
      <c r="WXA73" s="3"/>
      <c r="WXB73" s="3"/>
      <c r="WXC73" s="3"/>
      <c r="WXD73" s="3"/>
      <c r="WXE73" s="3"/>
      <c r="WXF73" s="3"/>
      <c r="WXG73" s="3"/>
      <c r="WXH73" s="3"/>
      <c r="WXI73" s="3"/>
      <c r="WXJ73" s="3"/>
      <c r="WXK73" s="3"/>
      <c r="WXL73" s="3"/>
      <c r="WXM73" s="3"/>
      <c r="WXN73" s="3"/>
      <c r="WXO73" s="3"/>
      <c r="WXP73" s="3"/>
      <c r="WXQ73" s="3"/>
      <c r="WXR73" s="3"/>
      <c r="WXS73" s="3"/>
      <c r="WXT73" s="3"/>
      <c r="WXU73" s="3"/>
      <c r="WXV73" s="3"/>
      <c r="WXW73" s="3"/>
      <c r="WXX73" s="3"/>
      <c r="WXY73" s="3"/>
      <c r="WXZ73" s="3"/>
      <c r="WYA73" s="3"/>
      <c r="WYB73" s="3"/>
      <c r="WYC73" s="3"/>
      <c r="WYD73" s="3"/>
      <c r="WYE73" s="3"/>
      <c r="WYF73" s="3"/>
      <c r="WYG73" s="3"/>
      <c r="WYH73" s="3"/>
      <c r="WYI73" s="3"/>
      <c r="WYJ73" s="3"/>
      <c r="WYK73" s="3"/>
      <c r="WYL73" s="3"/>
      <c r="WYM73" s="3"/>
      <c r="WYN73" s="3"/>
      <c r="WYO73" s="3"/>
      <c r="WYP73" s="3"/>
      <c r="WYQ73" s="3"/>
      <c r="WYR73" s="3"/>
      <c r="WYS73" s="3"/>
      <c r="WYT73" s="3"/>
      <c r="WYU73" s="3"/>
      <c r="WYV73" s="3"/>
      <c r="WYW73" s="3"/>
      <c r="WYX73" s="3"/>
      <c r="WYY73" s="3"/>
      <c r="WYZ73" s="3"/>
      <c r="WZA73" s="3"/>
      <c r="WZB73" s="3"/>
      <c r="WZC73" s="3"/>
      <c r="WZD73" s="3"/>
      <c r="WZE73" s="3"/>
      <c r="WZF73" s="3"/>
      <c r="WZG73" s="3"/>
      <c r="WZH73" s="3"/>
      <c r="WZI73" s="3"/>
      <c r="WZJ73" s="3"/>
      <c r="WZK73" s="3"/>
      <c r="WZL73" s="3"/>
      <c r="WZM73" s="3"/>
      <c r="WZN73" s="3"/>
      <c r="WZO73" s="3"/>
      <c r="WZP73" s="3"/>
      <c r="WZQ73" s="3"/>
      <c r="WZR73" s="3"/>
      <c r="WZS73" s="3"/>
      <c r="WZT73" s="3"/>
      <c r="WZU73" s="3"/>
      <c r="WZV73" s="3"/>
      <c r="WZW73" s="3"/>
      <c r="WZX73" s="3"/>
      <c r="WZY73" s="3"/>
      <c r="WZZ73" s="3"/>
      <c r="XAA73" s="3"/>
      <c r="XAB73" s="3"/>
      <c r="XAC73" s="3"/>
      <c r="XAD73" s="3"/>
      <c r="XAE73" s="3"/>
      <c r="XAF73" s="3"/>
      <c r="XAG73" s="3"/>
      <c r="XAH73" s="3"/>
      <c r="XAI73" s="3"/>
      <c r="XAJ73" s="3"/>
      <c r="XAK73" s="3"/>
      <c r="XAL73" s="3"/>
      <c r="XAM73" s="3"/>
      <c r="XAN73" s="3"/>
      <c r="XAO73" s="3"/>
      <c r="XAP73" s="3"/>
      <c r="XAQ73" s="3"/>
      <c r="XAR73" s="3"/>
      <c r="XAS73" s="3"/>
      <c r="XAT73" s="3"/>
      <c r="XAU73" s="3"/>
      <c r="XAV73" s="3"/>
      <c r="XAW73" s="3"/>
      <c r="XAX73" s="3"/>
      <c r="XAY73" s="3"/>
      <c r="XAZ73" s="3"/>
      <c r="XBA73" s="3"/>
      <c r="XBB73" s="3"/>
      <c r="XBC73" s="3"/>
      <c r="XBD73" s="3"/>
      <c r="XBE73" s="3"/>
      <c r="XBF73" s="3"/>
      <c r="XBG73" s="3"/>
      <c r="XBH73" s="3"/>
      <c r="XBI73" s="3"/>
      <c r="XBJ73" s="3"/>
      <c r="XBK73" s="3"/>
      <c r="XBL73" s="3"/>
      <c r="XBM73" s="3"/>
      <c r="XBN73" s="3"/>
      <c r="XBO73" s="3"/>
      <c r="XBP73" s="3"/>
      <c r="XBQ73" s="3"/>
      <c r="XBR73" s="3"/>
      <c r="XBS73" s="3"/>
      <c r="XBT73" s="3"/>
      <c r="XBU73" s="3"/>
      <c r="XBV73" s="3"/>
      <c r="XBW73" s="3"/>
      <c r="XBX73" s="3"/>
      <c r="XBY73" s="3"/>
      <c r="XBZ73" s="3"/>
      <c r="XCA73" s="3"/>
      <c r="XCB73" s="3"/>
      <c r="XCC73" s="3"/>
      <c r="XCD73" s="3"/>
      <c r="XCE73" s="3"/>
      <c r="XCF73" s="3"/>
      <c r="XCG73" s="3"/>
      <c r="XCH73" s="3"/>
      <c r="XCI73" s="3"/>
      <c r="XCJ73" s="3"/>
      <c r="XCK73" s="3"/>
      <c r="XCL73" s="3"/>
      <c r="XCM73" s="3"/>
      <c r="XCN73" s="3"/>
      <c r="XCO73" s="3"/>
      <c r="XCP73" s="3"/>
      <c r="XCQ73" s="3"/>
      <c r="XCR73" s="3"/>
      <c r="XCS73" s="3"/>
      <c r="XCT73" s="3"/>
      <c r="XCU73" s="3"/>
      <c r="XCV73" s="3"/>
      <c r="XCW73" s="3"/>
      <c r="XCX73" s="3"/>
      <c r="XCY73" s="3"/>
      <c r="XCZ73" s="3"/>
      <c r="XDA73" s="3"/>
      <c r="XDB73" s="3"/>
      <c r="XDC73" s="3"/>
      <c r="XDD73" s="3"/>
      <c r="XDE73" s="3"/>
      <c r="XDF73" s="3"/>
      <c r="XDG73" s="3"/>
      <c r="XDH73" s="3"/>
      <c r="XDI73" s="3"/>
      <c r="XDJ73" s="3"/>
      <c r="XDK73" s="3"/>
      <c r="XDL73" s="3"/>
      <c r="XDM73" s="3"/>
      <c r="XDN73" s="3"/>
      <c r="XDO73" s="3"/>
      <c r="XDP73" s="3"/>
      <c r="XDQ73" s="3"/>
      <c r="XDR73" s="3"/>
      <c r="XDS73" s="3"/>
      <c r="XDT73" s="3"/>
      <c r="XDU73" s="3"/>
      <c r="XDV73" s="3"/>
      <c r="XDW73" s="3"/>
      <c r="XDX73" s="3"/>
      <c r="XDY73" s="3"/>
      <c r="XDZ73" s="3"/>
      <c r="XEA73" s="3"/>
      <c r="XEB73" s="3"/>
      <c r="XEC73" s="3"/>
      <c r="XED73" s="3"/>
      <c r="XEE73" s="3"/>
      <c r="XEF73" s="3"/>
      <c r="XEG73" s="3"/>
      <c r="XEH73" s="3"/>
      <c r="XEI73" s="3"/>
      <c r="XEJ73" s="3"/>
      <c r="XEK73" s="3"/>
      <c r="XEL73" s="3"/>
      <c r="XEM73" s="3"/>
      <c r="XEN73" s="3"/>
      <c r="XEO73" s="3"/>
      <c r="XEP73" s="3"/>
      <c r="XEQ73" s="3"/>
      <c r="XER73" s="3"/>
      <c r="XES73" s="3"/>
      <c r="XET73" s="3"/>
      <c r="XEU73" s="3"/>
      <c r="XEV73" s="3"/>
      <c r="XEW73" s="3"/>
      <c r="XEX73" s="3"/>
      <c r="XEY73" s="3"/>
      <c r="XEZ73" s="3"/>
      <c r="XFA73" s="3"/>
      <c r="XFB73" s="3"/>
      <c r="XFC73" s="3"/>
    </row>
    <row r="74" spans="1:16383" ht="16" x14ac:dyDescent="0.2">
      <c r="B74" s="13" t="s">
        <v>142</v>
      </c>
      <c r="C74" s="83" t="s">
        <v>7</v>
      </c>
      <c r="D74" s="84">
        <v>0</v>
      </c>
      <c r="E74" s="84">
        <v>1</v>
      </c>
      <c r="F74" s="84">
        <v>2</v>
      </c>
      <c r="G74" s="84">
        <v>3</v>
      </c>
      <c r="H74" s="84">
        <v>4</v>
      </c>
      <c r="I74" s="84">
        <v>5</v>
      </c>
      <c r="J74" s="84">
        <v>6</v>
      </c>
      <c r="K74" s="84">
        <v>7</v>
      </c>
      <c r="L74" s="84">
        <v>8</v>
      </c>
      <c r="M74" s="84">
        <v>9</v>
      </c>
      <c r="N74" s="84">
        <v>10</v>
      </c>
    </row>
    <row r="75" spans="1:16383" x14ac:dyDescent="0.15">
      <c r="B75" s="13" t="s">
        <v>4</v>
      </c>
      <c r="C75" s="11" t="s">
        <v>5</v>
      </c>
      <c r="D75" s="18">
        <v>0.04</v>
      </c>
      <c r="E75" s="18">
        <v>0.04</v>
      </c>
      <c r="F75" s="18">
        <v>0.04</v>
      </c>
      <c r="G75" s="18">
        <v>0.04</v>
      </c>
      <c r="H75" s="18">
        <v>0.04</v>
      </c>
      <c r="I75" s="18">
        <v>0.04</v>
      </c>
      <c r="J75" s="18">
        <v>0.04</v>
      </c>
      <c r="K75" s="18">
        <v>0.04</v>
      </c>
      <c r="L75" s="18">
        <v>0.04</v>
      </c>
      <c r="M75" s="18">
        <v>0.04</v>
      </c>
      <c r="N75" s="18">
        <v>0.04</v>
      </c>
    </row>
    <row r="76" spans="1:16383" x14ac:dyDescent="0.15">
      <c r="B76" s="10" t="s">
        <v>6</v>
      </c>
      <c r="C76" s="12" t="s">
        <v>7</v>
      </c>
      <c r="D76" s="17">
        <v>12</v>
      </c>
      <c r="E76" s="17">
        <v>12</v>
      </c>
      <c r="F76" s="17">
        <v>12</v>
      </c>
      <c r="G76" s="17">
        <v>12</v>
      </c>
      <c r="H76" s="17">
        <v>12</v>
      </c>
      <c r="I76" s="17">
        <v>12</v>
      </c>
      <c r="J76" s="17">
        <v>12</v>
      </c>
      <c r="K76" s="17">
        <v>12</v>
      </c>
      <c r="L76" s="17">
        <v>12</v>
      </c>
      <c r="M76" s="17">
        <v>12</v>
      </c>
      <c r="N76" s="17">
        <v>12</v>
      </c>
    </row>
    <row r="77" spans="1:16383" x14ac:dyDescent="0.15">
      <c r="B77" s="22"/>
      <c r="C77" s="24"/>
      <c r="D77" s="23"/>
      <c r="E77" s="25"/>
    </row>
    <row r="78" spans="1:16383" ht="16" x14ac:dyDescent="0.15">
      <c r="A78" s="19" t="s">
        <v>9</v>
      </c>
      <c r="B78" s="20"/>
      <c r="C78" s="21"/>
      <c r="D78" s="36">
        <f>D79+D95+D96+D97+D98</f>
        <v>437623.52228271781</v>
      </c>
      <c r="E78" s="36">
        <f t="shared" ref="E78:N78" si="4">E79+E95+E96+E97+E98</f>
        <v>464995.9434876265</v>
      </c>
      <c r="F78" s="36">
        <f t="shared" si="4"/>
        <v>494268.44793432142</v>
      </c>
      <c r="G78" s="36">
        <f t="shared" si="4"/>
        <v>525582.74216219073</v>
      </c>
      <c r="H78" s="36">
        <f t="shared" si="4"/>
        <v>559091.56235411135</v>
      </c>
      <c r="I78" s="36">
        <f t="shared" si="4"/>
        <v>594959.55301095231</v>
      </c>
      <c r="J78" s="36">
        <f t="shared" si="4"/>
        <v>633364.21647214098</v>
      </c>
      <c r="K78" s="36">
        <f t="shared" si="4"/>
        <v>674496.93902918242</v>
      </c>
      <c r="L78" s="36">
        <f t="shared" si="4"/>
        <v>718564.09984659532</v>
      </c>
      <c r="M78" s="36">
        <f t="shared" si="4"/>
        <v>765788.2694104145</v>
      </c>
      <c r="N78" s="36">
        <f t="shared" si="4"/>
        <v>816409.50477129442</v>
      </c>
    </row>
    <row r="79" spans="1:16383" x14ac:dyDescent="0.15">
      <c r="A79" s="5" t="s">
        <v>13</v>
      </c>
      <c r="B79" s="5"/>
      <c r="C79" s="5" t="s">
        <v>16</v>
      </c>
      <c r="D79" s="28">
        <f>SUM(D80:D94)</f>
        <v>402767.48700000002</v>
      </c>
      <c r="E79" s="28">
        <f t="shared" ref="E79:N79" si="5">SUM(E80:E94)</f>
        <v>418878.18648000003</v>
      </c>
      <c r="F79" s="28">
        <f t="shared" si="5"/>
        <v>435633.31393920002</v>
      </c>
      <c r="G79" s="28">
        <f t="shared" si="5"/>
        <v>453058.64649676805</v>
      </c>
      <c r="H79" s="28">
        <f t="shared" si="5"/>
        <v>471180.99235663883</v>
      </c>
      <c r="I79" s="28">
        <f t="shared" si="5"/>
        <v>490028.23205090442</v>
      </c>
      <c r="J79" s="28">
        <f t="shared" si="5"/>
        <v>509629.36133294058</v>
      </c>
      <c r="K79" s="28">
        <f t="shared" si="5"/>
        <v>530014.53578625806</v>
      </c>
      <c r="L79" s="28">
        <f t="shared" si="5"/>
        <v>551215.1172177085</v>
      </c>
      <c r="M79" s="28">
        <f t="shared" si="5"/>
        <v>573263.72190641705</v>
      </c>
      <c r="N79" s="28">
        <f t="shared" si="5"/>
        <v>596194.27078267362</v>
      </c>
    </row>
    <row r="80" spans="1:16383" outlineLevel="1" x14ac:dyDescent="0.15">
      <c r="A80" s="1"/>
      <c r="B80" s="3">
        <v>1</v>
      </c>
      <c r="C80" s="24" t="s">
        <v>16</v>
      </c>
      <c r="D80" s="4">
        <f t="shared" ref="D80:D94" si="6">D31*D50</f>
        <v>20766.239999999998</v>
      </c>
      <c r="E80" s="4">
        <f>(E31*E50)*(1+E75)^E74</f>
        <v>21596.889599999999</v>
      </c>
      <c r="F80" s="4">
        <f t="shared" ref="F80:N80" si="7">(F31*F50)*(1+F75)^F74</f>
        <v>22460.765184</v>
      </c>
      <c r="G80" s="4">
        <f t="shared" si="7"/>
        <v>23359.195791359998</v>
      </c>
      <c r="H80" s="4">
        <f t="shared" si="7"/>
        <v>24293.563623014401</v>
      </c>
      <c r="I80" s="4">
        <f t="shared" si="7"/>
        <v>25265.306167934981</v>
      </c>
      <c r="J80" s="4">
        <f t="shared" si="7"/>
        <v>26275.91841465238</v>
      </c>
      <c r="K80" s="4">
        <f t="shared" si="7"/>
        <v>27326.955151238471</v>
      </c>
      <c r="L80" s="4">
        <f t="shared" si="7"/>
        <v>28420.033357288015</v>
      </c>
      <c r="M80" s="4">
        <f t="shared" si="7"/>
        <v>29556.834691579541</v>
      </c>
      <c r="N80" s="4">
        <f t="shared" si="7"/>
        <v>30739.10807924272</v>
      </c>
    </row>
    <row r="81" spans="1:14" outlineLevel="1" x14ac:dyDescent="0.15">
      <c r="A81" s="1"/>
      <c r="B81" s="3">
        <v>2</v>
      </c>
      <c r="C81" s="24" t="s">
        <v>16</v>
      </c>
      <c r="D81" s="4">
        <f t="shared" si="6"/>
        <v>13907.768</v>
      </c>
      <c r="E81" s="4">
        <f t="shared" ref="E81:N81" si="8">(E32*E51)*(1+E$75)^E$74</f>
        <v>14464.078720000001</v>
      </c>
      <c r="F81" s="4">
        <f t="shared" si="8"/>
        <v>15042.641868800001</v>
      </c>
      <c r="G81" s="4">
        <f t="shared" si="8"/>
        <v>15644.347543552001</v>
      </c>
      <c r="H81" s="4">
        <f t="shared" si="8"/>
        <v>16270.121445294082</v>
      </c>
      <c r="I81" s="4">
        <f t="shared" si="8"/>
        <v>16920.926303105847</v>
      </c>
      <c r="J81" s="4">
        <f t="shared" si="8"/>
        <v>17597.763355230083</v>
      </c>
      <c r="K81" s="4">
        <f t="shared" si="8"/>
        <v>18301.673889439284</v>
      </c>
      <c r="L81" s="4">
        <f t="shared" si="8"/>
        <v>19033.740845016859</v>
      </c>
      <c r="M81" s="4">
        <f t="shared" si="8"/>
        <v>19795.090478817536</v>
      </c>
      <c r="N81" s="4">
        <f t="shared" si="8"/>
        <v>20586.894097970235</v>
      </c>
    </row>
    <row r="82" spans="1:14" outlineLevel="1" x14ac:dyDescent="0.15">
      <c r="A82" s="1"/>
      <c r="B82" s="3">
        <v>3</v>
      </c>
      <c r="C82" s="24" t="s">
        <v>16</v>
      </c>
      <c r="D82" s="4">
        <f t="shared" si="6"/>
        <v>18614.263999999999</v>
      </c>
      <c r="E82" s="4">
        <f t="shared" ref="E82:N82" si="9">(E33*E52)*(1+E$75)^E$74</f>
        <v>19358.834559999999</v>
      </c>
      <c r="F82" s="4">
        <f t="shared" si="9"/>
        <v>20133.1879424</v>
      </c>
      <c r="G82" s="4">
        <f t="shared" si="9"/>
        <v>20938.515460096001</v>
      </c>
      <c r="H82" s="4">
        <f t="shared" si="9"/>
        <v>21776.056078499842</v>
      </c>
      <c r="I82" s="4">
        <f t="shared" si="9"/>
        <v>22647.098321639838</v>
      </c>
      <c r="J82" s="4">
        <f t="shared" si="9"/>
        <v>23552.982254505434</v>
      </c>
      <c r="K82" s="4">
        <f t="shared" si="9"/>
        <v>24495.101544685647</v>
      </c>
      <c r="L82" s="4">
        <f t="shared" si="9"/>
        <v>25474.905606473079</v>
      </c>
      <c r="M82" s="4">
        <f t="shared" si="9"/>
        <v>26493.901830732004</v>
      </c>
      <c r="N82" s="4">
        <f t="shared" si="9"/>
        <v>27553.657903961284</v>
      </c>
    </row>
    <row r="83" spans="1:14" outlineLevel="1" x14ac:dyDescent="0.15">
      <c r="A83" s="1"/>
      <c r="B83" s="3">
        <v>4</v>
      </c>
      <c r="C83" s="24" t="s">
        <v>16</v>
      </c>
      <c r="D83" s="4">
        <f t="shared" si="6"/>
        <v>9404.5</v>
      </c>
      <c r="E83" s="4">
        <f t="shared" ref="E83:N83" si="10">(E34*E53)*(1+E$75)^E$74</f>
        <v>9780.68</v>
      </c>
      <c r="F83" s="4">
        <f t="shared" si="10"/>
        <v>10171.907200000001</v>
      </c>
      <c r="G83" s="4">
        <f t="shared" si="10"/>
        <v>10578.783488000001</v>
      </c>
      <c r="H83" s="4">
        <f t="shared" si="10"/>
        <v>11001.934827520003</v>
      </c>
      <c r="I83" s="4">
        <f t="shared" si="10"/>
        <v>11442.012220620803</v>
      </c>
      <c r="J83" s="4">
        <f t="shared" si="10"/>
        <v>11899.692709445635</v>
      </c>
      <c r="K83" s="4">
        <f t="shared" si="10"/>
        <v>12375.68041782346</v>
      </c>
      <c r="L83" s="4">
        <f t="shared" si="10"/>
        <v>12870.7076345364</v>
      </c>
      <c r="M83" s="4">
        <f t="shared" si="10"/>
        <v>13385.535939917858</v>
      </c>
      <c r="N83" s="4">
        <f t="shared" si="10"/>
        <v>13920.957377514571</v>
      </c>
    </row>
    <row r="84" spans="1:14" outlineLevel="1" x14ac:dyDescent="0.15">
      <c r="A84" s="1"/>
      <c r="B84" s="3">
        <v>5</v>
      </c>
      <c r="C84" s="24" t="s">
        <v>16</v>
      </c>
      <c r="D84" s="4">
        <f t="shared" si="6"/>
        <v>17932.2</v>
      </c>
      <c r="E84" s="4">
        <f t="shared" ref="E84:N84" si="11">(E35*E54)*(1+E$75)^E$74</f>
        <v>18649.488000000001</v>
      </c>
      <c r="F84" s="4">
        <f t="shared" si="11"/>
        <v>19395.467520000002</v>
      </c>
      <c r="G84" s="4">
        <f t="shared" si="11"/>
        <v>20171.286220800001</v>
      </c>
      <c r="H84" s="4">
        <f t="shared" si="11"/>
        <v>20978.137669632004</v>
      </c>
      <c r="I84" s="4">
        <f t="shared" si="11"/>
        <v>21817.263176417287</v>
      </c>
      <c r="J84" s="4">
        <f t="shared" si="11"/>
        <v>22689.953703473977</v>
      </c>
      <c r="K84" s="4">
        <f t="shared" si="11"/>
        <v>23597.551851612934</v>
      </c>
      <c r="L84" s="4">
        <f t="shared" si="11"/>
        <v>24541.453925677459</v>
      </c>
      <c r="M84" s="4">
        <f t="shared" si="11"/>
        <v>25523.112082704556</v>
      </c>
      <c r="N84" s="4">
        <f t="shared" si="11"/>
        <v>26544.036566012739</v>
      </c>
    </row>
    <row r="85" spans="1:14" outlineLevel="1" x14ac:dyDescent="0.15">
      <c r="A85" s="1"/>
      <c r="B85" s="3">
        <v>6</v>
      </c>
      <c r="C85" s="24" t="s">
        <v>16</v>
      </c>
      <c r="D85" s="4">
        <f t="shared" si="6"/>
        <v>22750</v>
      </c>
      <c r="E85" s="4">
        <f t="shared" ref="E85:N85" si="12">(E36*E55)*(1+E$75)^E$74</f>
        <v>23660</v>
      </c>
      <c r="F85" s="4">
        <f t="shared" si="12"/>
        <v>24606.400000000001</v>
      </c>
      <c r="G85" s="4">
        <f t="shared" si="12"/>
        <v>25590.656000000003</v>
      </c>
      <c r="H85" s="4">
        <f t="shared" si="12"/>
        <v>26614.282240000004</v>
      </c>
      <c r="I85" s="4">
        <f t="shared" si="12"/>
        <v>27678.853529600008</v>
      </c>
      <c r="J85" s="4">
        <f t="shared" si="12"/>
        <v>28786.007670784009</v>
      </c>
      <c r="K85" s="4">
        <f t="shared" si="12"/>
        <v>29937.447977615368</v>
      </c>
      <c r="L85" s="4">
        <f t="shared" si="12"/>
        <v>31134.945896719986</v>
      </c>
      <c r="M85" s="4">
        <f t="shared" si="12"/>
        <v>32380.34373258879</v>
      </c>
      <c r="N85" s="4">
        <f t="shared" si="12"/>
        <v>33675.557481892341</v>
      </c>
    </row>
    <row r="86" spans="1:14" outlineLevel="1" x14ac:dyDescent="0.15">
      <c r="A86" s="1"/>
      <c r="B86" s="3">
        <v>7</v>
      </c>
      <c r="C86" s="24" t="s">
        <v>16</v>
      </c>
      <c r="D86" s="4">
        <f t="shared" si="6"/>
        <v>955.5</v>
      </c>
      <c r="E86" s="4">
        <f t="shared" ref="E86:N86" si="13">(E37*E56)*(1+E$75)^E$74</f>
        <v>993.72</v>
      </c>
      <c r="F86" s="4">
        <f t="shared" si="13"/>
        <v>1033.4688000000001</v>
      </c>
      <c r="G86" s="4">
        <f t="shared" si="13"/>
        <v>1074.807552</v>
      </c>
      <c r="H86" s="4">
        <f t="shared" si="13"/>
        <v>1117.7998540800002</v>
      </c>
      <c r="I86" s="4">
        <f t="shared" si="13"/>
        <v>1162.5118482432003</v>
      </c>
      <c r="J86" s="4">
        <f t="shared" si="13"/>
        <v>1209.0123221729284</v>
      </c>
      <c r="K86" s="4">
        <f t="shared" si="13"/>
        <v>1257.3728150598454</v>
      </c>
      <c r="L86" s="4">
        <f t="shared" si="13"/>
        <v>1307.6677276622395</v>
      </c>
      <c r="M86" s="4">
        <f t="shared" si="13"/>
        <v>1359.974436768729</v>
      </c>
      <c r="N86" s="4">
        <f t="shared" si="13"/>
        <v>1414.3734142394783</v>
      </c>
    </row>
    <row r="87" spans="1:14" outlineLevel="1" x14ac:dyDescent="0.15">
      <c r="A87" s="1"/>
      <c r="B87" s="3">
        <v>8</v>
      </c>
      <c r="C87" s="24" t="s">
        <v>16</v>
      </c>
      <c r="D87" s="4">
        <f t="shared" si="6"/>
        <v>463.85999999999996</v>
      </c>
      <c r="E87" s="4">
        <f t="shared" ref="E87:N87" si="14">(E38*E57)*(1+E$75)^E$74</f>
        <v>482.41439999999994</v>
      </c>
      <c r="F87" s="4">
        <f t="shared" si="14"/>
        <v>501.71097600000002</v>
      </c>
      <c r="G87" s="4">
        <f t="shared" si="14"/>
        <v>521.77941504</v>
      </c>
      <c r="H87" s="4">
        <f t="shared" si="14"/>
        <v>542.65059164160004</v>
      </c>
      <c r="I87" s="4">
        <f t="shared" si="14"/>
        <v>564.35661530726406</v>
      </c>
      <c r="J87" s="4">
        <f t="shared" si="14"/>
        <v>586.93087991955463</v>
      </c>
      <c r="K87" s="4">
        <f t="shared" si="14"/>
        <v>610.40811511633683</v>
      </c>
      <c r="L87" s="4">
        <f t="shared" si="14"/>
        <v>634.82443972099043</v>
      </c>
      <c r="M87" s="4">
        <f t="shared" si="14"/>
        <v>660.21741730983001</v>
      </c>
      <c r="N87" s="4">
        <f t="shared" si="14"/>
        <v>686.62611400222329</v>
      </c>
    </row>
    <row r="88" spans="1:14" outlineLevel="1" x14ac:dyDescent="0.15">
      <c r="A88" s="1"/>
      <c r="B88" s="3">
        <v>9</v>
      </c>
      <c r="C88" s="24" t="s">
        <v>16</v>
      </c>
      <c r="D88" s="4">
        <f t="shared" si="6"/>
        <v>3382.47</v>
      </c>
      <c r="E88" s="4">
        <f t="shared" ref="E88:N88" si="15">(E39*E58)*(1+E$75)^E$74</f>
        <v>3517.7687999999998</v>
      </c>
      <c r="F88" s="4">
        <f t="shared" si="15"/>
        <v>3658.4795520000002</v>
      </c>
      <c r="G88" s="4">
        <f t="shared" si="15"/>
        <v>3804.81873408</v>
      </c>
      <c r="H88" s="4">
        <f t="shared" si="15"/>
        <v>3957.0114834432006</v>
      </c>
      <c r="I88" s="4">
        <f t="shared" si="15"/>
        <v>4115.2919427809293</v>
      </c>
      <c r="J88" s="4">
        <f t="shared" si="15"/>
        <v>4279.9036204921658</v>
      </c>
      <c r="K88" s="4">
        <f t="shared" si="15"/>
        <v>4451.099765311852</v>
      </c>
      <c r="L88" s="4">
        <f t="shared" si="15"/>
        <v>4629.1437559243268</v>
      </c>
      <c r="M88" s="4">
        <f t="shared" si="15"/>
        <v>4814.3095061613003</v>
      </c>
      <c r="N88" s="4">
        <f t="shared" si="15"/>
        <v>5006.881886407753</v>
      </c>
    </row>
    <row r="89" spans="1:14" ht="19.5" customHeight="1" outlineLevel="1" x14ac:dyDescent="0.15">
      <c r="A89" s="1"/>
      <c r="B89" s="3">
        <v>10</v>
      </c>
      <c r="C89" s="24" t="s">
        <v>16</v>
      </c>
      <c r="D89" s="4">
        <f t="shared" si="6"/>
        <v>4466</v>
      </c>
      <c r="E89" s="4">
        <f t="shared" ref="E89:N89" si="16">(E40*E59)*(1+E$75)^E$74</f>
        <v>4644.6400000000003</v>
      </c>
      <c r="F89" s="4">
        <f t="shared" si="16"/>
        <v>4830.4256000000005</v>
      </c>
      <c r="G89" s="4">
        <f t="shared" si="16"/>
        <v>5023.6426240000001</v>
      </c>
      <c r="H89" s="4">
        <f t="shared" si="16"/>
        <v>5224.5883289600006</v>
      </c>
      <c r="I89" s="4">
        <f t="shared" si="16"/>
        <v>5433.5718621184014</v>
      </c>
      <c r="J89" s="4">
        <f t="shared" si="16"/>
        <v>5650.9147366031375</v>
      </c>
      <c r="K89" s="4">
        <f t="shared" si="16"/>
        <v>5876.9513260672629</v>
      </c>
      <c r="L89" s="4">
        <f t="shared" si="16"/>
        <v>6112.0293791099539</v>
      </c>
      <c r="M89" s="4">
        <f t="shared" si="16"/>
        <v>6356.5105542743531</v>
      </c>
      <c r="N89" s="4">
        <f t="shared" si="16"/>
        <v>6610.7709764453266</v>
      </c>
    </row>
    <row r="90" spans="1:14" outlineLevel="1" x14ac:dyDescent="0.15">
      <c r="A90" s="1"/>
      <c r="B90" s="3">
        <v>11</v>
      </c>
      <c r="C90" s="24" t="s">
        <v>16</v>
      </c>
      <c r="D90" s="4">
        <f t="shared" si="6"/>
        <v>114959</v>
      </c>
      <c r="E90" s="4">
        <f t="shared" ref="E90:N90" si="17">(E41*E60)*(1+E$75)^E$74</f>
        <v>119557.36</v>
      </c>
      <c r="F90" s="4">
        <f t="shared" si="17"/>
        <v>124339.65440000001</v>
      </c>
      <c r="G90" s="4">
        <f t="shared" si="17"/>
        <v>129313.24057600001</v>
      </c>
      <c r="H90" s="4">
        <f t="shared" si="17"/>
        <v>134485.77019904004</v>
      </c>
      <c r="I90" s="4">
        <f t="shared" si="17"/>
        <v>139865.20100700163</v>
      </c>
      <c r="J90" s="4">
        <f t="shared" si="17"/>
        <v>145459.80904728171</v>
      </c>
      <c r="K90" s="4">
        <f t="shared" si="17"/>
        <v>151278.20140917297</v>
      </c>
      <c r="L90" s="4">
        <f t="shared" si="17"/>
        <v>157329.32946553989</v>
      </c>
      <c r="M90" s="4">
        <f t="shared" si="17"/>
        <v>163622.50264416152</v>
      </c>
      <c r="N90" s="4">
        <f t="shared" si="17"/>
        <v>170167.40274992798</v>
      </c>
    </row>
    <row r="91" spans="1:14" outlineLevel="1" x14ac:dyDescent="0.15">
      <c r="A91" s="1"/>
      <c r="B91" s="3">
        <v>12</v>
      </c>
      <c r="C91" s="24" t="s">
        <v>16</v>
      </c>
      <c r="D91" s="4">
        <f t="shared" si="6"/>
        <v>17493</v>
      </c>
      <c r="E91" s="4">
        <f t="shared" ref="E91:N91" si="18">(E42*E61)*(1+E$75)^E$74</f>
        <v>18192.72</v>
      </c>
      <c r="F91" s="4">
        <f t="shared" si="18"/>
        <v>18920.428800000002</v>
      </c>
      <c r="G91" s="4">
        <f t="shared" si="18"/>
        <v>19677.245952000001</v>
      </c>
      <c r="H91" s="4">
        <f t="shared" si="18"/>
        <v>20464.335790080004</v>
      </c>
      <c r="I91" s="4">
        <f t="shared" si="18"/>
        <v>21282.909221683207</v>
      </c>
      <c r="J91" s="4">
        <f t="shared" si="18"/>
        <v>22134.225590550534</v>
      </c>
      <c r="K91" s="4">
        <f t="shared" si="18"/>
        <v>23019.594614172554</v>
      </c>
      <c r="L91" s="4">
        <f t="shared" si="18"/>
        <v>23940.37839873946</v>
      </c>
      <c r="M91" s="4">
        <f t="shared" si="18"/>
        <v>24897.993534689042</v>
      </c>
      <c r="N91" s="4">
        <f t="shared" si="18"/>
        <v>25893.913276076601</v>
      </c>
    </row>
    <row r="92" spans="1:14" outlineLevel="1" x14ac:dyDescent="0.15">
      <c r="B92" s="3">
        <v>13</v>
      </c>
      <c r="C92" s="24" t="s">
        <v>16</v>
      </c>
      <c r="D92" s="4">
        <f t="shared" si="6"/>
        <v>4634.4040000000005</v>
      </c>
      <c r="E92" s="4">
        <f t="shared" ref="E92:N92" si="19">(E43*E62)*(1+E$75)^E$74</f>
        <v>4819.7801600000003</v>
      </c>
      <c r="F92" s="4">
        <f t="shared" si="19"/>
        <v>5012.5713664000014</v>
      </c>
      <c r="G92" s="4">
        <f t="shared" si="19"/>
        <v>5213.0742210560011</v>
      </c>
      <c r="H92" s="4">
        <f t="shared" si="19"/>
        <v>5421.5971898982416</v>
      </c>
      <c r="I92" s="4">
        <f t="shared" si="19"/>
        <v>5638.4610774941721</v>
      </c>
      <c r="J92" s="4">
        <f t="shared" si="19"/>
        <v>5863.9995205939385</v>
      </c>
      <c r="K92" s="4">
        <f t="shared" si="19"/>
        <v>6098.5595014176961</v>
      </c>
      <c r="L92" s="4">
        <f t="shared" si="19"/>
        <v>6342.5018814744044</v>
      </c>
      <c r="M92" s="4">
        <f t="shared" si="19"/>
        <v>6596.2019567333809</v>
      </c>
      <c r="N92" s="4">
        <f t="shared" si="19"/>
        <v>6860.0500350027169</v>
      </c>
    </row>
    <row r="93" spans="1:14" outlineLevel="1" x14ac:dyDescent="0.15">
      <c r="B93" s="3">
        <v>14</v>
      </c>
      <c r="C93" s="24" t="s">
        <v>16</v>
      </c>
      <c r="D93" s="4">
        <f t="shared" si="6"/>
        <v>149026</v>
      </c>
      <c r="E93" s="4">
        <f t="shared" ref="E93:N93" si="20">(E44*E63)*(1+E$75)^E$74</f>
        <v>154987.04</v>
      </c>
      <c r="F93" s="4">
        <f t="shared" si="20"/>
        <v>161186.52160000001</v>
      </c>
      <c r="G93" s="4">
        <f t="shared" si="20"/>
        <v>167633.982464</v>
      </c>
      <c r="H93" s="4">
        <f t="shared" si="20"/>
        <v>174339.34176256004</v>
      </c>
      <c r="I93" s="4">
        <f t="shared" si="20"/>
        <v>181312.91543306244</v>
      </c>
      <c r="J93" s="4">
        <f t="shared" si="20"/>
        <v>188565.43205038496</v>
      </c>
      <c r="K93" s="4">
        <f t="shared" si="20"/>
        <v>196108.04933240032</v>
      </c>
      <c r="L93" s="4">
        <f t="shared" si="20"/>
        <v>203952.37130569638</v>
      </c>
      <c r="M93" s="4">
        <f t="shared" si="20"/>
        <v>212110.46615792424</v>
      </c>
      <c r="N93" s="4">
        <f t="shared" si="20"/>
        <v>220594.88480424121</v>
      </c>
    </row>
    <row r="94" spans="1:14" ht="21" customHeight="1" outlineLevel="1" x14ac:dyDescent="0.15">
      <c r="B94" s="3">
        <v>15</v>
      </c>
      <c r="C94" s="24" t="s">
        <v>16</v>
      </c>
      <c r="D94" s="4">
        <f t="shared" si="6"/>
        <v>4012.2809999999999</v>
      </c>
      <c r="E94" s="4">
        <f t="shared" ref="E94:N94" si="21">(E45*E64)*(1+E$75)^E$74</f>
        <v>4172.7722400000002</v>
      </c>
      <c r="F94" s="4">
        <f t="shared" si="21"/>
        <v>4339.6831296</v>
      </c>
      <c r="G94" s="4">
        <f t="shared" si="21"/>
        <v>4513.2704547840003</v>
      </c>
      <c r="H94" s="4">
        <f t="shared" si="21"/>
        <v>4693.8012729753609</v>
      </c>
      <c r="I94" s="4">
        <f t="shared" si="21"/>
        <v>4881.5533238943754</v>
      </c>
      <c r="J94" s="4">
        <f t="shared" si="21"/>
        <v>5076.8154568501504</v>
      </c>
      <c r="K94" s="4">
        <f t="shared" si="21"/>
        <v>5279.8880751241559</v>
      </c>
      <c r="L94" s="4">
        <f t="shared" si="21"/>
        <v>5491.0835981291239</v>
      </c>
      <c r="M94" s="4">
        <f t="shared" si="21"/>
        <v>5710.7269420542889</v>
      </c>
      <c r="N94" s="4">
        <f t="shared" si="21"/>
        <v>5939.1560197364606</v>
      </c>
    </row>
    <row r="95" spans="1:14" x14ac:dyDescent="0.15">
      <c r="A95" s="5" t="s">
        <v>147</v>
      </c>
      <c r="B95" s="5"/>
      <c r="C95" s="5" t="s">
        <v>16</v>
      </c>
      <c r="D95" s="35">
        <f>IF($C$6="Да",(D69*D68*D70)-(D69*D68*D71),0)</f>
        <v>0</v>
      </c>
      <c r="E95" s="35">
        <f t="shared" ref="E95:N95" si="22">IF($C$6="Да",((E69*E68*E70)-(E69*E68*E71))*(1+E75)^E74,0)</f>
        <v>9867.4803136000046</v>
      </c>
      <c r="F95" s="35">
        <f t="shared" si="22"/>
        <v>20934.84623333381</v>
      </c>
      <c r="G95" s="35">
        <f t="shared" si="22"/>
        <v>33315.79639316364</v>
      </c>
      <c r="H95" s="35">
        <f t="shared" si="22"/>
        <v>47133.938754323135</v>
      </c>
      <c r="I95" s="35">
        <f t="shared" si="22"/>
        <v>62523.624467172413</v>
      </c>
      <c r="J95" s="35">
        <f t="shared" si="22"/>
        <v>79630.850786610012</v>
      </c>
      <c r="K95" s="35">
        <f t="shared" si="22"/>
        <v>98614.238716230378</v>
      </c>
      <c r="L95" s="35">
        <f t="shared" si="22"/>
        <v>119646.091521125</v>
      </c>
      <c r="M95" s="35">
        <f t="shared" si="22"/>
        <v>142913.5407519252</v>
      </c>
      <c r="N95" s="35">
        <f t="shared" si="22"/>
        <v>168619.78696646565</v>
      </c>
    </row>
    <row r="96" spans="1:14" x14ac:dyDescent="0.15">
      <c r="A96" s="5" t="s">
        <v>223</v>
      </c>
      <c r="B96" s="5"/>
      <c r="C96" s="5" t="s">
        <v>16</v>
      </c>
      <c r="D96" s="35">
        <v>10527.7157094057</v>
      </c>
      <c r="E96" s="35">
        <f t="shared" ref="E96:N96" si="23">D96*(1+E$75)</f>
        <v>10948.824337781929</v>
      </c>
      <c r="F96" s="35">
        <f t="shared" si="23"/>
        <v>11386.777311293206</v>
      </c>
      <c r="G96" s="35">
        <f t="shared" si="23"/>
        <v>11842.248403744936</v>
      </c>
      <c r="H96" s="35">
        <f t="shared" si="23"/>
        <v>12315.938339894734</v>
      </c>
      <c r="I96" s="35">
        <f t="shared" si="23"/>
        <v>12808.575873490523</v>
      </c>
      <c r="J96" s="35">
        <f t="shared" si="23"/>
        <v>13320.918908430145</v>
      </c>
      <c r="K96" s="35">
        <f t="shared" si="23"/>
        <v>13853.755664767352</v>
      </c>
      <c r="L96" s="35">
        <f t="shared" si="23"/>
        <v>14407.905891358047</v>
      </c>
      <c r="M96" s="35">
        <f t="shared" si="23"/>
        <v>14984.222127012368</v>
      </c>
      <c r="N96" s="35">
        <f t="shared" si="23"/>
        <v>15583.591012092864</v>
      </c>
    </row>
    <row r="97" spans="1:14" x14ac:dyDescent="0.15">
      <c r="A97" s="5" t="s">
        <v>14</v>
      </c>
      <c r="B97" s="5"/>
      <c r="C97" s="5" t="s">
        <v>16</v>
      </c>
      <c r="D97" s="35">
        <v>23630.880000000001</v>
      </c>
      <c r="E97" s="35">
        <f t="shared" ref="E97:N97" si="24">D97*(1+E$75)</f>
        <v>24576.1152</v>
      </c>
      <c r="F97" s="35">
        <f t="shared" si="24"/>
        <v>25559.159808</v>
      </c>
      <c r="G97" s="35">
        <f t="shared" si="24"/>
        <v>26581.52620032</v>
      </c>
      <c r="H97" s="35">
        <f t="shared" si="24"/>
        <v>27644.787248332803</v>
      </c>
      <c r="I97" s="35">
        <f t="shared" si="24"/>
        <v>28750.578738266115</v>
      </c>
      <c r="J97" s="35">
        <f t="shared" si="24"/>
        <v>29900.601887796762</v>
      </c>
      <c r="K97" s="35">
        <f t="shared" si="24"/>
        <v>31096.625963308634</v>
      </c>
      <c r="L97" s="35">
        <f t="shared" si="24"/>
        <v>32340.491001840979</v>
      </c>
      <c r="M97" s="35">
        <f t="shared" si="24"/>
        <v>33634.110641914616</v>
      </c>
      <c r="N97" s="35">
        <f t="shared" si="24"/>
        <v>34979.4750675912</v>
      </c>
    </row>
    <row r="98" spans="1:14" x14ac:dyDescent="0.15">
      <c r="A98" s="5" t="s">
        <v>15</v>
      </c>
      <c r="B98" s="5"/>
      <c r="C98" s="5" t="s">
        <v>16</v>
      </c>
      <c r="D98" s="35">
        <v>697.4395733120831</v>
      </c>
      <c r="E98" s="35">
        <f t="shared" ref="E98:N98" si="25">D98*(1+E$75)</f>
        <v>725.33715624456647</v>
      </c>
      <c r="F98" s="35">
        <f t="shared" si="25"/>
        <v>754.35064249434913</v>
      </c>
      <c r="G98" s="35">
        <f t="shared" si="25"/>
        <v>784.52466819412314</v>
      </c>
      <c r="H98" s="35">
        <f t="shared" si="25"/>
        <v>815.90565492188807</v>
      </c>
      <c r="I98" s="35">
        <f t="shared" si="25"/>
        <v>848.54188111876363</v>
      </c>
      <c r="J98" s="35">
        <f t="shared" si="25"/>
        <v>882.48355636351425</v>
      </c>
      <c r="K98" s="35">
        <f t="shared" si="25"/>
        <v>917.7828986180549</v>
      </c>
      <c r="L98" s="35">
        <f t="shared" si="25"/>
        <v>954.49421456277707</v>
      </c>
      <c r="M98" s="35">
        <f t="shared" si="25"/>
        <v>992.67398314528816</v>
      </c>
      <c r="N98" s="35">
        <f t="shared" si="25"/>
        <v>1032.3809424710996</v>
      </c>
    </row>
    <row r="99" spans="1:14" x14ac:dyDescent="0.15">
      <c r="B99" s="6"/>
      <c r="C99" s="24"/>
      <c r="D99" s="2"/>
      <c r="E99" s="2"/>
      <c r="F99" s="2"/>
    </row>
    <row r="100" spans="1:14" x14ac:dyDescent="0.15">
      <c r="A100" s="19" t="s">
        <v>10</v>
      </c>
      <c r="B100" s="26"/>
      <c r="C100" s="27"/>
      <c r="D100" s="27">
        <f t="shared" ref="D100:N100" si="26">D101+D112+D115+D116</f>
        <v>1945166.5473726972</v>
      </c>
      <c r="E100" s="27">
        <f t="shared" si="26"/>
        <v>2022973.2092676053</v>
      </c>
      <c r="F100" s="27">
        <f t="shared" si="26"/>
        <v>2103892.1376383095</v>
      </c>
      <c r="G100" s="27">
        <f t="shared" si="26"/>
        <v>2188047.8231438422</v>
      </c>
      <c r="H100" s="27">
        <f t="shared" si="26"/>
        <v>2275569.7360695959</v>
      </c>
      <c r="I100" s="27">
        <f t="shared" si="26"/>
        <v>2366592.5255123796</v>
      </c>
      <c r="J100" s="27">
        <f t="shared" si="26"/>
        <v>2461256.2265328746</v>
      </c>
      <c r="K100" s="27">
        <f t="shared" si="26"/>
        <v>2559706.4755941899</v>
      </c>
      <c r="L100" s="27">
        <f t="shared" si="26"/>
        <v>2662094.7346179578</v>
      </c>
      <c r="M100" s="27">
        <f t="shared" si="26"/>
        <v>2768578.5240026768</v>
      </c>
      <c r="N100" s="27">
        <f t="shared" si="26"/>
        <v>2879321.6649627835</v>
      </c>
    </row>
    <row r="101" spans="1:14" x14ac:dyDescent="0.15">
      <c r="A101" s="5" t="s">
        <v>0</v>
      </c>
      <c r="B101" s="5"/>
      <c r="C101" s="5"/>
      <c r="D101" s="28">
        <f>D102+D105</f>
        <v>1832691.5924432692</v>
      </c>
      <c r="E101" s="28">
        <f t="shared" ref="E101:M101" si="27">E102+E105</f>
        <v>1905999.256141</v>
      </c>
      <c r="F101" s="28">
        <f t="shared" si="27"/>
        <v>1982239.22638664</v>
      </c>
      <c r="G101" s="28">
        <f t="shared" si="27"/>
        <v>2061528.7954421057</v>
      </c>
      <c r="H101" s="28">
        <f t="shared" si="27"/>
        <v>2143989.9472597903</v>
      </c>
      <c r="I101" s="28">
        <f t="shared" si="27"/>
        <v>2229749.5451501817</v>
      </c>
      <c r="J101" s="28">
        <f t="shared" si="27"/>
        <v>2318939.526956189</v>
      </c>
      <c r="K101" s="28">
        <f t="shared" si="27"/>
        <v>2411697.1080344366</v>
      </c>
      <c r="L101" s="28">
        <f t="shared" si="27"/>
        <v>2508164.9923558147</v>
      </c>
      <c r="M101" s="28">
        <f t="shared" si="27"/>
        <v>2608491.5920500476</v>
      </c>
      <c r="N101" s="28">
        <f>N102+N105</f>
        <v>2712831.2557320492</v>
      </c>
    </row>
    <row r="102" spans="1:14" x14ac:dyDescent="0.15">
      <c r="A102" s="37"/>
      <c r="B102" s="37" t="s">
        <v>17</v>
      </c>
      <c r="C102" s="24" t="s">
        <v>16</v>
      </c>
      <c r="D102" s="38">
        <f>D103+D104</f>
        <v>1654920.394378176</v>
      </c>
      <c r="E102" s="38">
        <f t="shared" ref="E102:N102" si="28">E103+E104</f>
        <v>1721117.2101533031</v>
      </c>
      <c r="F102" s="38">
        <f t="shared" si="28"/>
        <v>1789961.8985594353</v>
      </c>
      <c r="G102" s="38">
        <f t="shared" si="28"/>
        <v>1861560.3745018127</v>
      </c>
      <c r="H102" s="38">
        <f t="shared" si="28"/>
        <v>1936022.7894818853</v>
      </c>
      <c r="I102" s="38">
        <f t="shared" si="28"/>
        <v>2013463.7010611608</v>
      </c>
      <c r="J102" s="38">
        <f t="shared" si="28"/>
        <v>2094002.2491036074</v>
      </c>
      <c r="K102" s="38">
        <f t="shared" si="28"/>
        <v>2177762.3390677515</v>
      </c>
      <c r="L102" s="38">
        <f t="shared" si="28"/>
        <v>2264872.832630462</v>
      </c>
      <c r="M102" s="38">
        <f t="shared" si="28"/>
        <v>2355467.7459356808</v>
      </c>
      <c r="N102" s="38">
        <f t="shared" si="28"/>
        <v>2449686.4557731077</v>
      </c>
    </row>
    <row r="103" spans="1:14" ht="24.75" customHeight="1" x14ac:dyDescent="0.15">
      <c r="A103" s="37"/>
      <c r="B103" s="41" t="s">
        <v>116</v>
      </c>
      <c r="C103" s="24" t="s">
        <v>16</v>
      </c>
      <c r="D103" s="39">
        <f>'Таблица по должностям'!E34/100</f>
        <v>1641000</v>
      </c>
      <c r="E103" s="39">
        <f>D103*(1+E$75)</f>
        <v>1706640</v>
      </c>
      <c r="F103" s="39">
        <f>E103*(1+F$75)</f>
        <v>1774905.6</v>
      </c>
      <c r="G103" s="39">
        <f t="shared" ref="G103:N103" si="29">F103*(1+G$75)</f>
        <v>1845901.8240000003</v>
      </c>
      <c r="H103" s="39">
        <f t="shared" si="29"/>
        <v>1919737.8969600003</v>
      </c>
      <c r="I103" s="39">
        <f t="shared" si="29"/>
        <v>1996527.4128384003</v>
      </c>
      <c r="J103" s="39">
        <f t="shared" si="29"/>
        <v>2076388.5093519364</v>
      </c>
      <c r="K103" s="39">
        <f t="shared" si="29"/>
        <v>2159444.049726014</v>
      </c>
      <c r="L103" s="39">
        <f t="shared" si="29"/>
        <v>2245821.8117150548</v>
      </c>
      <c r="M103" s="39">
        <f t="shared" si="29"/>
        <v>2335654.6841836572</v>
      </c>
      <c r="N103" s="39">
        <f t="shared" si="29"/>
        <v>2429080.8715510033</v>
      </c>
    </row>
    <row r="104" spans="1:14" x14ac:dyDescent="0.15">
      <c r="A104" s="37"/>
      <c r="B104" s="41" t="s">
        <v>117</v>
      </c>
      <c r="C104" s="24" t="s">
        <v>16</v>
      </c>
      <c r="D104" s="39">
        <v>13920.394378176001</v>
      </c>
      <c r="E104" s="39">
        <f>D104*(1+E$75)</f>
        <v>14477.210153303042</v>
      </c>
      <c r="F104" s="39">
        <f t="shared" ref="F104:N104" si="30">E104*(1+F$75)</f>
        <v>15056.298559435165</v>
      </c>
      <c r="G104" s="39">
        <f t="shared" si="30"/>
        <v>15658.550501812571</v>
      </c>
      <c r="H104" s="39">
        <f t="shared" si="30"/>
        <v>16284.892521885075</v>
      </c>
      <c r="I104" s="39">
        <f t="shared" si="30"/>
        <v>16936.288222760479</v>
      </c>
      <c r="J104" s="39">
        <f t="shared" si="30"/>
        <v>17613.739751670899</v>
      </c>
      <c r="K104" s="39">
        <f t="shared" si="30"/>
        <v>18318.289341737735</v>
      </c>
      <c r="L104" s="39">
        <f t="shared" si="30"/>
        <v>19051.020915407244</v>
      </c>
      <c r="M104" s="39">
        <f t="shared" si="30"/>
        <v>19813.061752023536</v>
      </c>
      <c r="N104" s="39">
        <f t="shared" si="30"/>
        <v>20605.584222104477</v>
      </c>
    </row>
    <row r="105" spans="1:14" x14ac:dyDescent="0.15">
      <c r="A105" s="37"/>
      <c r="B105" s="37" t="s">
        <v>121</v>
      </c>
      <c r="C105" s="24" t="s">
        <v>16</v>
      </c>
      <c r="D105" s="38">
        <f>SUM(D106:D111)</f>
        <v>177771.19806509319</v>
      </c>
      <c r="E105" s="38">
        <f t="shared" ref="E105:N105" si="31">SUM(E106:E111)</f>
        <v>184882.04598769691</v>
      </c>
      <c r="F105" s="38">
        <f t="shared" si="31"/>
        <v>192277.3278272048</v>
      </c>
      <c r="G105" s="38">
        <f t="shared" si="31"/>
        <v>199968.420940293</v>
      </c>
      <c r="H105" s="38">
        <f t="shared" si="31"/>
        <v>207967.15777790477</v>
      </c>
      <c r="I105" s="38">
        <f t="shared" si="31"/>
        <v>216285.84408902095</v>
      </c>
      <c r="J105" s="38">
        <f t="shared" si="31"/>
        <v>224937.27785258178</v>
      </c>
      <c r="K105" s="38">
        <f t="shared" si="31"/>
        <v>233934.76896668505</v>
      </c>
      <c r="L105" s="38">
        <f t="shared" si="31"/>
        <v>243292.15972535248</v>
      </c>
      <c r="M105" s="38">
        <f t="shared" si="31"/>
        <v>253023.84611436658</v>
      </c>
      <c r="N105" s="38">
        <f t="shared" si="31"/>
        <v>263144.79995894129</v>
      </c>
    </row>
    <row r="106" spans="1:14" x14ac:dyDescent="0.15">
      <c r="A106" s="37"/>
      <c r="B106" s="42" t="s">
        <v>18</v>
      </c>
      <c r="C106" s="24" t="s">
        <v>16</v>
      </c>
      <c r="D106" s="39">
        <v>60723.967358080001</v>
      </c>
      <c r="E106" s="39">
        <f>D106*(1+E$75)</f>
        <v>63152.9260524032</v>
      </c>
      <c r="F106" s="39">
        <f t="shared" ref="F106:N106" si="32">E106*(1+F$75)</f>
        <v>65679.043094499328</v>
      </c>
      <c r="G106" s="39">
        <f t="shared" si="32"/>
        <v>68306.204818279308</v>
      </c>
      <c r="H106" s="39">
        <f t="shared" si="32"/>
        <v>71038.453011010482</v>
      </c>
      <c r="I106" s="39">
        <f t="shared" si="32"/>
        <v>73879.991131450908</v>
      </c>
      <c r="J106" s="39">
        <f t="shared" si="32"/>
        <v>76835.190776708943</v>
      </c>
      <c r="K106" s="39">
        <f t="shared" si="32"/>
        <v>79908.598407777303</v>
      </c>
      <c r="L106" s="39">
        <f t="shared" si="32"/>
        <v>83104.942344088398</v>
      </c>
      <c r="M106" s="39">
        <f t="shared" si="32"/>
        <v>86429.140037851932</v>
      </c>
      <c r="N106" s="39">
        <f t="shared" si="32"/>
        <v>89886.305639366008</v>
      </c>
    </row>
    <row r="107" spans="1:14" x14ac:dyDescent="0.15">
      <c r="A107" s="37"/>
      <c r="B107" s="42" t="s">
        <v>119</v>
      </c>
      <c r="C107" s="24" t="s">
        <v>16</v>
      </c>
      <c r="D107" s="39">
        <v>29088.909588544</v>
      </c>
      <c r="E107" s="39">
        <f t="shared" ref="E107:N110" si="33">D107*(1+E$75)</f>
        <v>30252.46597208576</v>
      </c>
      <c r="F107" s="39">
        <f t="shared" si="33"/>
        <v>31462.564610969192</v>
      </c>
      <c r="G107" s="39">
        <f t="shared" si="33"/>
        <v>32721.067195407959</v>
      </c>
      <c r="H107" s="39">
        <f t="shared" si="33"/>
        <v>34029.909883224282</v>
      </c>
      <c r="I107" s="39">
        <f t="shared" si="33"/>
        <v>35391.106278553256</v>
      </c>
      <c r="J107" s="39">
        <f t="shared" si="33"/>
        <v>36806.75052969539</v>
      </c>
      <c r="K107" s="39">
        <f t="shared" si="33"/>
        <v>38279.020550883208</v>
      </c>
      <c r="L107" s="39">
        <f t="shared" si="33"/>
        <v>39810.181372918538</v>
      </c>
      <c r="M107" s="39">
        <f t="shared" si="33"/>
        <v>41402.588627835277</v>
      </c>
      <c r="N107" s="39">
        <f t="shared" si="33"/>
        <v>43058.692172948693</v>
      </c>
    </row>
    <row r="108" spans="1:14" x14ac:dyDescent="0.15">
      <c r="A108" s="37"/>
      <c r="B108" s="42" t="s">
        <v>19</v>
      </c>
      <c r="C108" s="24" t="s">
        <v>16</v>
      </c>
      <c r="D108" s="39">
        <v>11599.510856127999</v>
      </c>
      <c r="E108" s="39">
        <f t="shared" si="33"/>
        <v>12063.49129037312</v>
      </c>
      <c r="F108" s="39">
        <f t="shared" si="33"/>
        <v>12546.030941988045</v>
      </c>
      <c r="G108" s="39">
        <f t="shared" si="33"/>
        <v>13047.872179667567</v>
      </c>
      <c r="H108" s="39">
        <f t="shared" si="33"/>
        <v>13569.787066854271</v>
      </c>
      <c r="I108" s="39">
        <f t="shared" si="33"/>
        <v>14112.578549528442</v>
      </c>
      <c r="J108" s="39">
        <f t="shared" si="33"/>
        <v>14677.08169150958</v>
      </c>
      <c r="K108" s="39">
        <f t="shared" si="33"/>
        <v>15264.164959169964</v>
      </c>
      <c r="L108" s="39">
        <f t="shared" si="33"/>
        <v>15874.731557536763</v>
      </c>
      <c r="M108" s="39">
        <f t="shared" si="33"/>
        <v>16509.720819838232</v>
      </c>
      <c r="N108" s="39">
        <f t="shared" si="33"/>
        <v>17170.109652631763</v>
      </c>
    </row>
    <row r="109" spans="1:14" x14ac:dyDescent="0.15">
      <c r="A109" s="37"/>
      <c r="B109" s="42" t="s">
        <v>118</v>
      </c>
      <c r="C109" s="24" t="s">
        <v>16</v>
      </c>
      <c r="D109" s="39">
        <v>288.87589120000001</v>
      </c>
      <c r="E109" s="39">
        <f t="shared" si="33"/>
        <v>300.43092684800001</v>
      </c>
      <c r="F109" s="39">
        <f t="shared" si="33"/>
        <v>312.44816392192001</v>
      </c>
      <c r="G109" s="39">
        <f t="shared" si="33"/>
        <v>324.9460904787968</v>
      </c>
      <c r="H109" s="39">
        <f t="shared" si="33"/>
        <v>337.94393409794867</v>
      </c>
      <c r="I109" s="39">
        <f t="shared" si="33"/>
        <v>351.46169146186662</v>
      </c>
      <c r="J109" s="39">
        <f t="shared" si="33"/>
        <v>365.5201591203413</v>
      </c>
      <c r="K109" s="39">
        <f t="shared" si="33"/>
        <v>380.14096548515499</v>
      </c>
      <c r="L109" s="39">
        <f t="shared" si="33"/>
        <v>395.34660410456121</v>
      </c>
      <c r="M109" s="39">
        <f t="shared" si="33"/>
        <v>411.16046826874367</v>
      </c>
      <c r="N109" s="39">
        <f t="shared" si="33"/>
        <v>427.60688699949344</v>
      </c>
    </row>
    <row r="110" spans="1:14" x14ac:dyDescent="0.15">
      <c r="A110" s="37"/>
      <c r="B110" s="42" t="s">
        <v>120</v>
      </c>
      <c r="C110" s="24" t="s">
        <v>16</v>
      </c>
      <c r="D110" s="39">
        <v>6680.5858021758904</v>
      </c>
      <c r="E110" s="39">
        <f>D110*(1+E$75)</f>
        <v>6947.8092342629261</v>
      </c>
      <c r="F110" s="39">
        <f t="shared" si="33"/>
        <v>7225.721603633443</v>
      </c>
      <c r="G110" s="39">
        <f t="shared" si="33"/>
        <v>7514.7504677787811</v>
      </c>
      <c r="H110" s="39">
        <f t="shared" si="33"/>
        <v>7815.3404864899321</v>
      </c>
      <c r="I110" s="39">
        <f t="shared" si="33"/>
        <v>8127.9541059495295</v>
      </c>
      <c r="J110" s="39">
        <f t="shared" si="33"/>
        <v>8453.0722701875111</v>
      </c>
      <c r="K110" s="39">
        <f t="shared" si="33"/>
        <v>8791.195160995012</v>
      </c>
      <c r="L110" s="39">
        <f t="shared" si="33"/>
        <v>9142.8429674348135</v>
      </c>
      <c r="M110" s="39">
        <f t="shared" si="33"/>
        <v>9508.5566861322059</v>
      </c>
      <c r="N110" s="39">
        <f t="shared" si="33"/>
        <v>9888.8989535774945</v>
      </c>
    </row>
    <row r="111" spans="1:14" x14ac:dyDescent="0.15">
      <c r="A111" s="37"/>
      <c r="B111" s="42" t="s">
        <v>200</v>
      </c>
      <c r="C111" s="24"/>
      <c r="D111" s="39">
        <f>D147</f>
        <v>69389.348568965303</v>
      </c>
      <c r="E111" s="39">
        <f t="shared" ref="E111:N111" si="34">E147</f>
        <v>72164.922511723926</v>
      </c>
      <c r="F111" s="39">
        <f t="shared" si="34"/>
        <v>75051.51941219288</v>
      </c>
      <c r="G111" s="39">
        <f t="shared" si="34"/>
        <v>78053.5801886806</v>
      </c>
      <c r="H111" s="39">
        <f t="shared" si="34"/>
        <v>81175.723396227841</v>
      </c>
      <c r="I111" s="39">
        <f t="shared" si="34"/>
        <v>84422.752332076954</v>
      </c>
      <c r="J111" s="39">
        <f t="shared" si="34"/>
        <v>87799.662425360031</v>
      </c>
      <c r="K111" s="39">
        <f t="shared" si="34"/>
        <v>91311.648922374428</v>
      </c>
      <c r="L111" s="39">
        <f t="shared" si="34"/>
        <v>94964.114879269429</v>
      </c>
      <c r="M111" s="39">
        <f t="shared" si="34"/>
        <v>98762.6794744402</v>
      </c>
      <c r="N111" s="39">
        <f t="shared" si="34"/>
        <v>102713.1866534178</v>
      </c>
    </row>
    <row r="112" spans="1:14" x14ac:dyDescent="0.15">
      <c r="A112" s="5" t="s">
        <v>129</v>
      </c>
      <c r="B112" s="5"/>
      <c r="C112" s="5" t="s">
        <v>16</v>
      </c>
      <c r="D112" s="28">
        <f>SUM(D113:D114)</f>
        <v>67127.914499999999</v>
      </c>
      <c r="E112" s="28">
        <f t="shared" ref="E112:N112" si="35">SUM(E113:E114)</f>
        <v>69813.031080000001</v>
      </c>
      <c r="F112" s="28">
        <f t="shared" si="35"/>
        <v>72605.552323199998</v>
      </c>
      <c r="G112" s="28">
        <f t="shared" si="35"/>
        <v>75509.774416127999</v>
      </c>
      <c r="H112" s="28">
        <f t="shared" si="35"/>
        <v>78530.165392773139</v>
      </c>
      <c r="I112" s="28">
        <f t="shared" si="35"/>
        <v>81671.372008484061</v>
      </c>
      <c r="J112" s="28">
        <f t="shared" si="35"/>
        <v>84938.226888823425</v>
      </c>
      <c r="K112" s="28">
        <f t="shared" si="35"/>
        <v>88335.755964376338</v>
      </c>
      <c r="L112" s="28">
        <f t="shared" si="35"/>
        <v>91869.186202951416</v>
      </c>
      <c r="M112" s="28">
        <f t="shared" si="35"/>
        <v>95543.953651069503</v>
      </c>
      <c r="N112" s="28">
        <f t="shared" si="35"/>
        <v>99365.711797112264</v>
      </c>
    </row>
    <row r="113" spans="1:14" x14ac:dyDescent="0.15">
      <c r="A113" s="37"/>
      <c r="B113" s="42" t="s">
        <v>20</v>
      </c>
      <c r="C113" s="24" t="s">
        <v>16</v>
      </c>
      <c r="D113" s="39">
        <f t="shared" ref="D113:N113" si="36">IF($C$5="да",(D80*D12*D27)+(D81*D13*D27)+(D82*D14*D27)+(D83*D15*D27)+(D84*D16*D27)+(D85*D17*D27)+(D86*D18*D27)+(D87*D19*D27)+(D88*D20*D27)+(D89*D21*D27)+(D90*D22*D27)+(D91*D23*D27)+(D92*D24*D27)+(D93*D25*D27)+(D94*D26*D27),D79*D27)</f>
        <v>67127.914499999999</v>
      </c>
      <c r="E113" s="39">
        <f t="shared" si="36"/>
        <v>69813.031080000001</v>
      </c>
      <c r="F113" s="39">
        <f t="shared" si="36"/>
        <v>72605.552323199998</v>
      </c>
      <c r="G113" s="39">
        <f t="shared" si="36"/>
        <v>75509.774416127999</v>
      </c>
      <c r="H113" s="39">
        <f t="shared" si="36"/>
        <v>78530.165392773139</v>
      </c>
      <c r="I113" s="39">
        <f t="shared" si="36"/>
        <v>81671.372008484061</v>
      </c>
      <c r="J113" s="39">
        <f t="shared" si="36"/>
        <v>84938.226888823425</v>
      </c>
      <c r="K113" s="39">
        <f t="shared" si="36"/>
        <v>88335.755964376338</v>
      </c>
      <c r="L113" s="39">
        <f t="shared" si="36"/>
        <v>91869.186202951416</v>
      </c>
      <c r="M113" s="39">
        <f t="shared" si="36"/>
        <v>95543.953651069503</v>
      </c>
      <c r="N113" s="39">
        <f t="shared" si="36"/>
        <v>99365.711797112264</v>
      </c>
    </row>
    <row r="114" spans="1:14" x14ac:dyDescent="0.15">
      <c r="A114" s="37"/>
      <c r="B114" s="42" t="s">
        <v>130</v>
      </c>
      <c r="C114" s="24" t="s">
        <v>16</v>
      </c>
      <c r="D114" s="39">
        <f t="shared" ref="D114:N114" si="37">IF(D78-D101-D115-D116&gt;0,(D78-D101-D115-D116)*20%,0)</f>
        <v>0</v>
      </c>
      <c r="E114" s="39">
        <f t="shared" si="37"/>
        <v>0</v>
      </c>
      <c r="F114" s="39">
        <f t="shared" si="37"/>
        <v>0</v>
      </c>
      <c r="G114" s="39">
        <f t="shared" si="37"/>
        <v>0</v>
      </c>
      <c r="H114" s="39">
        <f t="shared" si="37"/>
        <v>0</v>
      </c>
      <c r="I114" s="39">
        <f t="shared" si="37"/>
        <v>0</v>
      </c>
      <c r="J114" s="39">
        <f t="shared" si="37"/>
        <v>0</v>
      </c>
      <c r="K114" s="39">
        <f t="shared" si="37"/>
        <v>0</v>
      </c>
      <c r="L114" s="39">
        <f t="shared" si="37"/>
        <v>0</v>
      </c>
      <c r="M114" s="39">
        <f t="shared" si="37"/>
        <v>0</v>
      </c>
      <c r="N114" s="39">
        <f t="shared" si="37"/>
        <v>0</v>
      </c>
    </row>
    <row r="115" spans="1:14" ht="27" customHeight="1" x14ac:dyDescent="0.15">
      <c r="A115" s="308" t="s">
        <v>224</v>
      </c>
      <c r="B115" s="308"/>
      <c r="C115" s="24" t="s">
        <v>16</v>
      </c>
      <c r="D115" s="38">
        <f>IF(C8="Да",Аренда!C21,0)</f>
        <v>0</v>
      </c>
      <c r="E115" s="38">
        <f t="shared" ref="E115:N115" si="38">D115*(1+E75)</f>
        <v>0</v>
      </c>
      <c r="F115" s="38">
        <f t="shared" si="38"/>
        <v>0</v>
      </c>
      <c r="G115" s="38">
        <f t="shared" si="38"/>
        <v>0</v>
      </c>
      <c r="H115" s="38">
        <f t="shared" si="38"/>
        <v>0</v>
      </c>
      <c r="I115" s="38">
        <f t="shared" si="38"/>
        <v>0</v>
      </c>
      <c r="J115" s="38">
        <f t="shared" si="38"/>
        <v>0</v>
      </c>
      <c r="K115" s="38">
        <f t="shared" si="38"/>
        <v>0</v>
      </c>
      <c r="L115" s="38">
        <f t="shared" si="38"/>
        <v>0</v>
      </c>
      <c r="M115" s="38">
        <f t="shared" si="38"/>
        <v>0</v>
      </c>
      <c r="N115" s="38">
        <f t="shared" si="38"/>
        <v>0</v>
      </c>
    </row>
    <row r="116" spans="1:14" ht="27" customHeight="1" x14ac:dyDescent="0.15">
      <c r="A116" s="308" t="s">
        <v>225</v>
      </c>
      <c r="B116" s="308"/>
      <c r="C116" s="24" t="s">
        <v>16</v>
      </c>
      <c r="D116" s="38">
        <f>'Расходы на содержание 2024'!S68/1000</f>
        <v>45347.040429428052</v>
      </c>
      <c r="E116" s="38">
        <f>D116*(1+E75)</f>
        <v>47160.922046605177</v>
      </c>
      <c r="F116" s="38">
        <f t="shared" ref="F116:N116" si="39">E116*(1+F75)</f>
        <v>49047.358928469388</v>
      </c>
      <c r="G116" s="38">
        <f t="shared" si="39"/>
        <v>51009.253285608167</v>
      </c>
      <c r="H116" s="38">
        <f t="shared" si="39"/>
        <v>53049.623417032497</v>
      </c>
      <c r="I116" s="38">
        <f t="shared" si="39"/>
        <v>55171.608353713797</v>
      </c>
      <c r="J116" s="38">
        <f t="shared" si="39"/>
        <v>57378.472687862348</v>
      </c>
      <c r="K116" s="38">
        <f t="shared" si="39"/>
        <v>59673.611595376846</v>
      </c>
      <c r="L116" s="38">
        <f t="shared" si="39"/>
        <v>62060.55605919192</v>
      </c>
      <c r="M116" s="38">
        <f t="shared" si="39"/>
        <v>64542.978301559597</v>
      </c>
      <c r="N116" s="38">
        <f t="shared" si="39"/>
        <v>67124.697433621986</v>
      </c>
    </row>
    <row r="117" spans="1:14" ht="22.5" customHeight="1" x14ac:dyDescent="0.15">
      <c r="A117" s="31" t="s">
        <v>11</v>
      </c>
      <c r="B117" s="29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 spans="1:14" x14ac:dyDescent="0.15">
      <c r="A118" s="306" t="s">
        <v>127</v>
      </c>
      <c r="B118" s="306"/>
      <c r="C118" s="24" t="s">
        <v>16</v>
      </c>
      <c r="D118" s="4">
        <f t="shared" ref="D118:N118" si="40">D78-D100</f>
        <v>-1507543.0250899794</v>
      </c>
      <c r="E118" s="4">
        <f t="shared" si="40"/>
        <v>-1557977.2657799788</v>
      </c>
      <c r="F118" s="4">
        <f t="shared" si="40"/>
        <v>-1609623.6897039881</v>
      </c>
      <c r="G118" s="4">
        <f t="shared" si="40"/>
        <v>-1662465.0809816513</v>
      </c>
      <c r="H118" s="4">
        <f t="shared" si="40"/>
        <v>-1716478.1737154846</v>
      </c>
      <c r="I118" s="4">
        <f t="shared" si="40"/>
        <v>-1771632.9725014274</v>
      </c>
      <c r="J118" s="4">
        <f t="shared" si="40"/>
        <v>-1827892.0100607336</v>
      </c>
      <c r="K118" s="4">
        <f t="shared" si="40"/>
        <v>-1885209.5365650076</v>
      </c>
      <c r="L118" s="4">
        <f t="shared" si="40"/>
        <v>-1943530.6347713624</v>
      </c>
      <c r="M118" s="4">
        <f t="shared" si="40"/>
        <v>-2002790.2545922622</v>
      </c>
      <c r="N118" s="4">
        <f t="shared" si="40"/>
        <v>-2062912.1601914889</v>
      </c>
    </row>
    <row r="119" spans="1:14" x14ac:dyDescent="0.15">
      <c r="A119" s="307" t="s">
        <v>128</v>
      </c>
      <c r="B119" s="307"/>
      <c r="C119" s="33" t="s">
        <v>16</v>
      </c>
      <c r="D119" s="34">
        <f>D118</f>
        <v>-1507543.0250899794</v>
      </c>
      <c r="E119" s="34">
        <f>D119+E118</f>
        <v>-3065520.2908699582</v>
      </c>
      <c r="F119" s="34">
        <f>E119+F118</f>
        <v>-4675143.9805739466</v>
      </c>
      <c r="G119" s="34">
        <f t="shared" ref="G119:M119" si="41">F119+G118</f>
        <v>-6337609.0615555979</v>
      </c>
      <c r="H119" s="34">
        <f t="shared" si="41"/>
        <v>-8054087.2352710823</v>
      </c>
      <c r="I119" s="34">
        <f t="shared" si="41"/>
        <v>-9825720.2077725101</v>
      </c>
      <c r="J119" s="34">
        <f t="shared" si="41"/>
        <v>-11653612.217833243</v>
      </c>
      <c r="K119" s="34">
        <f t="shared" si="41"/>
        <v>-13538821.754398251</v>
      </c>
      <c r="L119" s="34">
        <f t="shared" si="41"/>
        <v>-15482352.389169613</v>
      </c>
      <c r="M119" s="34">
        <f t="shared" si="41"/>
        <v>-17485142.643761873</v>
      </c>
      <c r="N119" s="34">
        <f>M119+N118</f>
        <v>-19548054.803953361</v>
      </c>
    </row>
    <row r="120" spans="1:14" ht="9.75" customHeight="1" x14ac:dyDescent="0.15"/>
    <row r="121" spans="1:14" ht="22.5" customHeight="1" x14ac:dyDescent="0.15">
      <c r="A121" s="31" t="s">
        <v>149</v>
      </c>
      <c r="B121" s="29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</row>
    <row r="122" spans="1:14" x14ac:dyDescent="0.15">
      <c r="A122" s="306" t="s">
        <v>150</v>
      </c>
      <c r="B122" s="306"/>
      <c r="C122" s="24" t="s">
        <v>16</v>
      </c>
      <c r="D122" s="4">
        <f t="shared" ref="D122:N122" si="42">(D102+D115+D116+D112)/(D78-D105)*D78</f>
        <v>2976512.8341985717</v>
      </c>
      <c r="E122" s="4">
        <f t="shared" si="42"/>
        <v>3051276.4354572045</v>
      </c>
      <c r="F122" s="4">
        <f t="shared" si="42"/>
        <v>3128737.3110787426</v>
      </c>
      <c r="G122" s="4">
        <f t="shared" si="42"/>
        <v>3209011.876152209</v>
      </c>
      <c r="H122" s="4">
        <f t="shared" si="42"/>
        <v>3292221.0497436426</v>
      </c>
      <c r="I122" s="4">
        <f t="shared" si="42"/>
        <v>3378490.4308734564</v>
      </c>
      <c r="J122" s="4">
        <f t="shared" si="42"/>
        <v>3467950.4821596639</v>
      </c>
      <c r="K122" s="4">
        <f t="shared" si="42"/>
        <v>3560736.7213993729</v>
      </c>
      <c r="L122" s="4">
        <f t="shared" si="42"/>
        <v>3656989.9213720635</v>
      </c>
      <c r="M122" s="4">
        <f t="shared" si="42"/>
        <v>3756856.3181598736</v>
      </c>
      <c r="N122" s="4">
        <f t="shared" si="42"/>
        <v>3860487.8282924495</v>
      </c>
    </row>
    <row r="123" spans="1:14" x14ac:dyDescent="0.15">
      <c r="A123" s="108"/>
      <c r="B123" s="108"/>
      <c r="C123" s="24"/>
      <c r="K123" s="4"/>
      <c r="L123" s="4"/>
      <c r="M123" s="4"/>
      <c r="N123" s="4"/>
    </row>
    <row r="124" spans="1:14" x14ac:dyDescent="0.15">
      <c r="A124" s="108"/>
      <c r="B124" s="108"/>
      <c r="C124" s="24"/>
      <c r="K124" s="4"/>
      <c r="L124" s="4"/>
      <c r="M124" s="4"/>
      <c r="N124" s="4"/>
    </row>
    <row r="125" spans="1:14" x14ac:dyDescent="0.15">
      <c r="A125" s="108"/>
      <c r="B125" s="108"/>
      <c r="C125" s="24"/>
      <c r="K125" s="4"/>
      <c r="L125" s="4"/>
      <c r="M125" s="4"/>
      <c r="N125" s="4"/>
    </row>
    <row r="126" spans="1:14" ht="18" x14ac:dyDescent="0.2">
      <c r="A126" s="108"/>
      <c r="B126" s="303" t="s">
        <v>201</v>
      </c>
      <c r="C126" s="304"/>
      <c r="D126" s="304"/>
      <c r="E126" s="304"/>
      <c r="F126" s="304"/>
      <c r="G126" s="304"/>
      <c r="H126" s="304"/>
      <c r="I126" s="304"/>
      <c r="J126" s="304"/>
      <c r="K126" s="304"/>
      <c r="L126" s="304"/>
      <c r="M126" s="304"/>
      <c r="N126" s="305"/>
    </row>
    <row r="127" spans="1:14" x14ac:dyDescent="0.15">
      <c r="B127" s="298">
        <v>1</v>
      </c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</row>
    <row r="128" spans="1:14" ht="15" x14ac:dyDescent="0.15">
      <c r="B128" s="110" t="s">
        <v>18</v>
      </c>
      <c r="C128" s="111" t="s">
        <v>16</v>
      </c>
      <c r="D128" s="111">
        <v>1378.6694187916987</v>
      </c>
      <c r="E128" s="111">
        <f>D128*(1+E$75)</f>
        <v>1433.8161955433668</v>
      </c>
      <c r="F128" s="111">
        <f t="shared" ref="F128:N128" si="43">E128*(1+F$75)</f>
        <v>1491.1688433651016</v>
      </c>
      <c r="G128" s="111">
        <f t="shared" si="43"/>
        <v>1550.8155970997057</v>
      </c>
      <c r="H128" s="111">
        <f t="shared" si="43"/>
        <v>1612.8482209836939</v>
      </c>
      <c r="I128" s="111">
        <f t="shared" si="43"/>
        <v>1677.3621498230416</v>
      </c>
      <c r="J128" s="111">
        <f t="shared" si="43"/>
        <v>1744.4566358159634</v>
      </c>
      <c r="K128" s="111">
        <f t="shared" si="43"/>
        <v>1814.234901248602</v>
      </c>
      <c r="L128" s="111">
        <f t="shared" si="43"/>
        <v>1886.8042972985461</v>
      </c>
      <c r="M128" s="111">
        <f t="shared" si="43"/>
        <v>1962.2764691904879</v>
      </c>
      <c r="N128" s="111">
        <f t="shared" si="43"/>
        <v>2040.7675279581074</v>
      </c>
    </row>
    <row r="129" spans="2:14" ht="15" x14ac:dyDescent="0.15">
      <c r="B129" s="110" t="s">
        <v>195</v>
      </c>
      <c r="C129" s="111" t="s">
        <v>16</v>
      </c>
      <c r="D129" s="111">
        <v>275.7338837583398</v>
      </c>
      <c r="E129" s="111">
        <f t="shared" ref="E129:N145" si="44">D129*(1+E$75)</f>
        <v>286.76323910867342</v>
      </c>
      <c r="F129" s="111">
        <f t="shared" si="44"/>
        <v>298.23376867302034</v>
      </c>
      <c r="G129" s="111">
        <f t="shared" si="44"/>
        <v>310.16311941994115</v>
      </c>
      <c r="H129" s="111">
        <f t="shared" si="44"/>
        <v>322.56964419673881</v>
      </c>
      <c r="I129" s="111">
        <f t="shared" si="44"/>
        <v>335.47242996460835</v>
      </c>
      <c r="J129" s="111">
        <f t="shared" si="44"/>
        <v>348.89132716319267</v>
      </c>
      <c r="K129" s="111">
        <f t="shared" si="44"/>
        <v>362.84698024972039</v>
      </c>
      <c r="L129" s="111">
        <f t="shared" si="44"/>
        <v>377.36085945970922</v>
      </c>
      <c r="M129" s="111">
        <f t="shared" si="44"/>
        <v>392.45529383809759</v>
      </c>
      <c r="N129" s="111">
        <f t="shared" si="44"/>
        <v>408.15350559162152</v>
      </c>
    </row>
    <row r="130" spans="2:14" ht="15" x14ac:dyDescent="0.15">
      <c r="B130" s="110" t="s">
        <v>19</v>
      </c>
      <c r="C130" s="111" t="s">
        <v>16</v>
      </c>
      <c r="D130" s="111">
        <v>165.44033025500386</v>
      </c>
      <c r="E130" s="111">
        <f t="shared" si="44"/>
        <v>172.057943465204</v>
      </c>
      <c r="F130" s="111">
        <f t="shared" si="44"/>
        <v>178.94026120381218</v>
      </c>
      <c r="G130" s="111">
        <f t="shared" si="44"/>
        <v>186.09787165196468</v>
      </c>
      <c r="H130" s="111">
        <f t="shared" si="44"/>
        <v>193.54178651804327</v>
      </c>
      <c r="I130" s="111">
        <f t="shared" si="44"/>
        <v>201.283457978765</v>
      </c>
      <c r="J130" s="111">
        <f t="shared" si="44"/>
        <v>209.3347962979156</v>
      </c>
      <c r="K130" s="111">
        <f t="shared" si="44"/>
        <v>217.70818814983224</v>
      </c>
      <c r="L130" s="111">
        <f t="shared" si="44"/>
        <v>226.41651567582554</v>
      </c>
      <c r="M130" s="111">
        <f t="shared" si="44"/>
        <v>235.47317630285858</v>
      </c>
      <c r="N130" s="111">
        <f t="shared" si="44"/>
        <v>244.89210335497293</v>
      </c>
    </row>
    <row r="131" spans="2:14" ht="15" x14ac:dyDescent="0.15">
      <c r="B131" s="110" t="s">
        <v>196</v>
      </c>
      <c r="C131" s="111" t="s">
        <v>16</v>
      </c>
      <c r="D131" s="111">
        <v>551.4677675166796</v>
      </c>
      <c r="E131" s="111">
        <f>D131*(1+E$75)</f>
        <v>573.52647821734683</v>
      </c>
      <c r="F131" s="111">
        <f t="shared" ref="F131:N131" si="45">E131*(1+F$75)</f>
        <v>596.46753734604067</v>
      </c>
      <c r="G131" s="111">
        <f t="shared" si="45"/>
        <v>620.32623883988231</v>
      </c>
      <c r="H131" s="111">
        <f t="shared" si="45"/>
        <v>645.13928839347761</v>
      </c>
      <c r="I131" s="111">
        <f t="shared" si="45"/>
        <v>670.9448599292167</v>
      </c>
      <c r="J131" s="111">
        <f t="shared" si="45"/>
        <v>697.78265432638534</v>
      </c>
      <c r="K131" s="111">
        <f t="shared" si="45"/>
        <v>725.69396049944078</v>
      </c>
      <c r="L131" s="111">
        <f t="shared" si="45"/>
        <v>754.72171891941844</v>
      </c>
      <c r="M131" s="111">
        <f t="shared" si="45"/>
        <v>784.91058767619518</v>
      </c>
      <c r="N131" s="111">
        <f t="shared" si="45"/>
        <v>816.30701118324305</v>
      </c>
    </row>
    <row r="132" spans="2:14" x14ac:dyDescent="0.15">
      <c r="B132" s="300">
        <v>2</v>
      </c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2"/>
    </row>
    <row r="133" spans="2:14" ht="15" x14ac:dyDescent="0.15">
      <c r="B133" s="110" t="s">
        <v>18</v>
      </c>
      <c r="C133" s="111" t="s">
        <v>16</v>
      </c>
      <c r="D133" s="111">
        <v>31577.997933871957</v>
      </c>
      <c r="E133" s="111">
        <f t="shared" si="44"/>
        <v>32841.117851226838</v>
      </c>
      <c r="F133" s="111">
        <f t="shared" si="44"/>
        <v>34154.762565275916</v>
      </c>
      <c r="G133" s="111">
        <f t="shared" si="44"/>
        <v>35520.953067886956</v>
      </c>
      <c r="H133" s="111">
        <f t="shared" si="44"/>
        <v>36941.791190602438</v>
      </c>
      <c r="I133" s="111">
        <f t="shared" si="44"/>
        <v>38419.462838226536</v>
      </c>
      <c r="J133" s="111">
        <f t="shared" si="44"/>
        <v>39956.241351755598</v>
      </c>
      <c r="K133" s="111">
        <f t="shared" si="44"/>
        <v>41554.491005825825</v>
      </c>
      <c r="L133" s="111">
        <f t="shared" si="44"/>
        <v>43216.670646058861</v>
      </c>
      <c r="M133" s="111">
        <f t="shared" si="44"/>
        <v>44945.337471901214</v>
      </c>
      <c r="N133" s="111">
        <f t="shared" si="44"/>
        <v>46743.150970777264</v>
      </c>
    </row>
    <row r="134" spans="2:14" ht="15" x14ac:dyDescent="0.15">
      <c r="B134" s="110" t="s">
        <v>195</v>
      </c>
      <c r="C134" s="111" t="s">
        <v>16</v>
      </c>
      <c r="D134" s="111">
        <v>6315.5995867743914</v>
      </c>
      <c r="E134" s="111">
        <f t="shared" si="44"/>
        <v>6568.2235702453672</v>
      </c>
      <c r="F134" s="111">
        <f t="shared" si="44"/>
        <v>6830.952513055182</v>
      </c>
      <c r="G134" s="111">
        <f t="shared" si="44"/>
        <v>7104.1906135773897</v>
      </c>
      <c r="H134" s="111">
        <f t="shared" si="44"/>
        <v>7388.358238120486</v>
      </c>
      <c r="I134" s="111">
        <f t="shared" si="44"/>
        <v>7683.8925676453055</v>
      </c>
      <c r="J134" s="111">
        <f t="shared" si="44"/>
        <v>7991.2482703511178</v>
      </c>
      <c r="K134" s="111">
        <f t="shared" si="44"/>
        <v>8310.8982011651624</v>
      </c>
      <c r="L134" s="111">
        <f t="shared" si="44"/>
        <v>8643.3341292117693</v>
      </c>
      <c r="M134" s="111">
        <f t="shared" si="44"/>
        <v>8989.0674943802405</v>
      </c>
      <c r="N134" s="111">
        <f t="shared" si="44"/>
        <v>9348.6301941554502</v>
      </c>
    </row>
    <row r="135" spans="2:14" ht="15" x14ac:dyDescent="0.15">
      <c r="B135" s="110" t="s">
        <v>19</v>
      </c>
      <c r="C135" s="111" t="s">
        <v>16</v>
      </c>
      <c r="D135" s="111">
        <v>5052.4796694195138</v>
      </c>
      <c r="E135" s="111">
        <f t="shared" si="44"/>
        <v>5254.5788561962945</v>
      </c>
      <c r="F135" s="111">
        <f t="shared" si="44"/>
        <v>5464.7620104441467</v>
      </c>
      <c r="G135" s="111">
        <f t="shared" si="44"/>
        <v>5683.3524908619129</v>
      </c>
      <c r="H135" s="111">
        <f t="shared" si="44"/>
        <v>5910.6865904963897</v>
      </c>
      <c r="I135" s="111">
        <f t="shared" si="44"/>
        <v>6147.1140541162458</v>
      </c>
      <c r="J135" s="111">
        <f t="shared" si="44"/>
        <v>6392.9986162808955</v>
      </c>
      <c r="K135" s="111">
        <f t="shared" si="44"/>
        <v>6648.7185609321314</v>
      </c>
      <c r="L135" s="111">
        <f t="shared" si="44"/>
        <v>6914.6673033694169</v>
      </c>
      <c r="M135" s="111">
        <f t="shared" si="44"/>
        <v>7191.2539955041939</v>
      </c>
      <c r="N135" s="111">
        <f t="shared" si="44"/>
        <v>7478.9041553243615</v>
      </c>
    </row>
    <row r="136" spans="2:14" ht="15" x14ac:dyDescent="0.15">
      <c r="B136" s="110" t="s">
        <v>196</v>
      </c>
      <c r="C136" s="111" t="s">
        <v>16</v>
      </c>
      <c r="D136" s="111">
        <v>12631.199173548783</v>
      </c>
      <c r="E136" s="111">
        <f t="shared" si="44"/>
        <v>13136.447140490734</v>
      </c>
      <c r="F136" s="111">
        <f t="shared" si="44"/>
        <v>13661.905026110364</v>
      </c>
      <c r="G136" s="111">
        <f t="shared" si="44"/>
        <v>14208.381227154779</v>
      </c>
      <c r="H136" s="111">
        <f t="shared" si="44"/>
        <v>14776.716476240972</v>
      </c>
      <c r="I136" s="111">
        <f t="shared" si="44"/>
        <v>15367.785135290611</v>
      </c>
      <c r="J136" s="111">
        <f t="shared" si="44"/>
        <v>15982.496540702236</v>
      </c>
      <c r="K136" s="111">
        <f t="shared" si="44"/>
        <v>16621.796402330325</v>
      </c>
      <c r="L136" s="111">
        <f t="shared" si="44"/>
        <v>17286.668258423539</v>
      </c>
      <c r="M136" s="111">
        <f t="shared" si="44"/>
        <v>17978.134988760481</v>
      </c>
      <c r="N136" s="111">
        <f t="shared" si="44"/>
        <v>18697.2603883109</v>
      </c>
    </row>
    <row r="137" spans="2:14" x14ac:dyDescent="0.15">
      <c r="B137" s="300">
        <v>3</v>
      </c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2"/>
    </row>
    <row r="138" spans="2:14" ht="15" x14ac:dyDescent="0.15">
      <c r="B138" s="110" t="s">
        <v>18</v>
      </c>
      <c r="C138" s="111" t="s">
        <v>16</v>
      </c>
      <c r="D138" s="111">
        <v>991.4577229116245</v>
      </c>
      <c r="E138" s="111">
        <f t="shared" si="44"/>
        <v>1031.1160318280895</v>
      </c>
      <c r="F138" s="111">
        <f t="shared" si="44"/>
        <v>1072.360673101213</v>
      </c>
      <c r="G138" s="111">
        <f t="shared" si="44"/>
        <v>1115.2551000252615</v>
      </c>
      <c r="H138" s="111">
        <f t="shared" si="44"/>
        <v>1159.865304026272</v>
      </c>
      <c r="I138" s="111">
        <f t="shared" si="44"/>
        <v>1206.2599161873229</v>
      </c>
      <c r="J138" s="111">
        <f t="shared" si="44"/>
        <v>1254.510312834816</v>
      </c>
      <c r="K138" s="111">
        <f t="shared" si="44"/>
        <v>1304.6907253482086</v>
      </c>
      <c r="L138" s="111">
        <f t="shared" si="44"/>
        <v>1356.8783543621371</v>
      </c>
      <c r="M138" s="111">
        <f t="shared" si="44"/>
        <v>1411.1534885366227</v>
      </c>
      <c r="N138" s="111">
        <f t="shared" si="44"/>
        <v>1467.5996280780878</v>
      </c>
    </row>
    <row r="139" spans="2:14" ht="15" x14ac:dyDescent="0.15">
      <c r="B139" s="110" t="s">
        <v>195</v>
      </c>
      <c r="C139" s="111" t="s">
        <v>16</v>
      </c>
      <c r="D139" s="111">
        <v>248.89322548417465</v>
      </c>
      <c r="E139" s="111">
        <f t="shared" si="44"/>
        <v>258.84895450354162</v>
      </c>
      <c r="F139" s="111">
        <f t="shared" si="44"/>
        <v>269.20291268368328</v>
      </c>
      <c r="G139" s="111">
        <f t="shared" si="44"/>
        <v>279.9710291910306</v>
      </c>
      <c r="H139" s="111">
        <f t="shared" si="44"/>
        <v>291.1698703586718</v>
      </c>
      <c r="I139" s="111">
        <f t="shared" si="44"/>
        <v>302.81666517301869</v>
      </c>
      <c r="J139" s="111">
        <f t="shared" si="44"/>
        <v>314.92933177993945</v>
      </c>
      <c r="K139" s="111">
        <f t="shared" si="44"/>
        <v>327.52650505113701</v>
      </c>
      <c r="L139" s="111">
        <f t="shared" si="44"/>
        <v>340.62756525318252</v>
      </c>
      <c r="M139" s="111">
        <f t="shared" si="44"/>
        <v>354.25266786330985</v>
      </c>
      <c r="N139" s="111">
        <f t="shared" si="44"/>
        <v>368.42277457784223</v>
      </c>
    </row>
    <row r="140" spans="2:14" ht="15" x14ac:dyDescent="0.15">
      <c r="B140" s="110" t="s">
        <v>19</v>
      </c>
      <c r="C140" s="111" t="s">
        <v>16</v>
      </c>
      <c r="D140" s="111">
        <v>103.96830943885648</v>
      </c>
      <c r="E140" s="111">
        <f t="shared" si="44"/>
        <v>108.12704181641074</v>
      </c>
      <c r="F140" s="111">
        <f t="shared" si="44"/>
        <v>112.45212348906718</v>
      </c>
      <c r="G140" s="111">
        <f t="shared" si="44"/>
        <v>116.95020842862986</v>
      </c>
      <c r="H140" s="111">
        <f t="shared" si="44"/>
        <v>121.62821676577506</v>
      </c>
      <c r="I140" s="111">
        <f t="shared" si="44"/>
        <v>126.49334543640607</v>
      </c>
      <c r="J140" s="111">
        <f t="shared" si="44"/>
        <v>131.55307925386231</v>
      </c>
      <c r="K140" s="111">
        <f t="shared" si="44"/>
        <v>136.8152024240168</v>
      </c>
      <c r="L140" s="111">
        <f t="shared" si="44"/>
        <v>142.28781052097747</v>
      </c>
      <c r="M140" s="111">
        <f t="shared" si="44"/>
        <v>147.97932294181658</v>
      </c>
      <c r="N140" s="111">
        <f t="shared" si="44"/>
        <v>153.89849585948926</v>
      </c>
    </row>
    <row r="141" spans="2:14" ht="18" customHeight="1" x14ac:dyDescent="0.15">
      <c r="B141" s="110" t="s">
        <v>196</v>
      </c>
      <c r="C141" s="111" t="s">
        <v>16</v>
      </c>
      <c r="D141" s="111">
        <v>519.8415471942825</v>
      </c>
      <c r="E141" s="111">
        <f t="shared" si="44"/>
        <v>540.63520908205385</v>
      </c>
      <c r="F141" s="111">
        <f t="shared" si="44"/>
        <v>562.26061744533604</v>
      </c>
      <c r="G141" s="111">
        <f t="shared" si="44"/>
        <v>584.75104214314945</v>
      </c>
      <c r="H141" s="111">
        <f t="shared" si="44"/>
        <v>608.14108382887548</v>
      </c>
      <c r="I141" s="111">
        <f t="shared" si="44"/>
        <v>632.46672718203047</v>
      </c>
      <c r="J141" s="111">
        <f t="shared" si="44"/>
        <v>657.76539626931174</v>
      </c>
      <c r="K141" s="111">
        <f t="shared" si="44"/>
        <v>684.07601212008421</v>
      </c>
      <c r="L141" s="111">
        <f t="shared" si="44"/>
        <v>711.43905260488759</v>
      </c>
      <c r="M141" s="111">
        <f t="shared" si="44"/>
        <v>739.89661470908311</v>
      </c>
      <c r="N141" s="111">
        <f t="shared" si="44"/>
        <v>769.49247929744649</v>
      </c>
    </row>
    <row r="142" spans="2:14" x14ac:dyDescent="0.15">
      <c r="B142" s="300">
        <v>4</v>
      </c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2"/>
    </row>
    <row r="143" spans="2:14" ht="15" x14ac:dyDescent="0.15">
      <c r="B143" s="110" t="s">
        <v>197</v>
      </c>
      <c r="C143" s="111" t="s">
        <v>16</v>
      </c>
      <c r="D143" s="111">
        <v>1560</v>
      </c>
      <c r="E143" s="111">
        <f t="shared" si="44"/>
        <v>1622.4</v>
      </c>
      <c r="F143" s="111">
        <f t="shared" si="44"/>
        <v>1687.296</v>
      </c>
      <c r="G143" s="111">
        <f t="shared" si="44"/>
        <v>1754.7878400000002</v>
      </c>
      <c r="H143" s="111">
        <f t="shared" si="44"/>
        <v>1824.9793536000002</v>
      </c>
      <c r="I143" s="111">
        <f t="shared" si="44"/>
        <v>1897.9785277440003</v>
      </c>
      <c r="J143" s="111">
        <f t="shared" si="44"/>
        <v>1973.8976688537605</v>
      </c>
      <c r="K143" s="111">
        <f t="shared" si="44"/>
        <v>2052.8535756079109</v>
      </c>
      <c r="L143" s="111">
        <f t="shared" si="44"/>
        <v>2134.9677186322274</v>
      </c>
      <c r="M143" s="111">
        <f t="shared" si="44"/>
        <v>2220.3664273775166</v>
      </c>
      <c r="N143" s="111">
        <f t="shared" si="44"/>
        <v>2309.1810844726174</v>
      </c>
    </row>
    <row r="144" spans="2:14" ht="15" x14ac:dyDescent="0.15">
      <c r="B144" s="110" t="s">
        <v>18</v>
      </c>
      <c r="C144" s="111" t="s">
        <v>16</v>
      </c>
      <c r="D144" s="111">
        <v>6816.6</v>
      </c>
      <c r="E144" s="111">
        <f t="shared" si="44"/>
        <v>7089.264000000001</v>
      </c>
      <c r="F144" s="111">
        <f t="shared" si="44"/>
        <v>7372.8345600000011</v>
      </c>
      <c r="G144" s="111">
        <f t="shared" si="44"/>
        <v>7667.7479424000012</v>
      </c>
      <c r="H144" s="111">
        <f t="shared" si="44"/>
        <v>7974.4578600960012</v>
      </c>
      <c r="I144" s="111">
        <f t="shared" si="44"/>
        <v>8293.4361744998423</v>
      </c>
      <c r="J144" s="111">
        <f t="shared" si="44"/>
        <v>8625.1736214798366</v>
      </c>
      <c r="K144" s="111">
        <f t="shared" si="44"/>
        <v>8970.1805663390296</v>
      </c>
      <c r="L144" s="111">
        <f t="shared" si="44"/>
        <v>9328.987788992592</v>
      </c>
      <c r="M144" s="111">
        <f t="shared" si="44"/>
        <v>9702.1473005522967</v>
      </c>
      <c r="N144" s="111">
        <f t="shared" si="44"/>
        <v>10090.233192574389</v>
      </c>
    </row>
    <row r="145" spans="2:14" ht="15" x14ac:dyDescent="0.15">
      <c r="B145" s="110" t="s">
        <v>196</v>
      </c>
      <c r="C145" s="111" t="s">
        <v>16</v>
      </c>
      <c r="D145" s="111">
        <v>1200</v>
      </c>
      <c r="E145" s="111">
        <f t="shared" si="44"/>
        <v>1248</v>
      </c>
      <c r="F145" s="111">
        <f t="shared" si="44"/>
        <v>1297.92</v>
      </c>
      <c r="G145" s="111">
        <f t="shared" si="44"/>
        <v>1349.8368</v>
      </c>
      <c r="H145" s="111">
        <f t="shared" si="44"/>
        <v>1403.8302720000002</v>
      </c>
      <c r="I145" s="111">
        <f t="shared" si="44"/>
        <v>1459.9834828800001</v>
      </c>
      <c r="J145" s="111">
        <f t="shared" si="44"/>
        <v>1518.3828221952001</v>
      </c>
      <c r="K145" s="111">
        <f t="shared" si="44"/>
        <v>1579.1181350830082</v>
      </c>
      <c r="L145" s="111">
        <f t="shared" si="44"/>
        <v>1642.2828604863284</v>
      </c>
      <c r="M145" s="111">
        <f t="shared" si="44"/>
        <v>1707.9741749057816</v>
      </c>
      <c r="N145" s="111">
        <f t="shared" si="44"/>
        <v>1776.2931419020131</v>
      </c>
    </row>
    <row r="146" spans="2:14" x14ac:dyDescent="0.15">
      <c r="B146" s="299" t="s">
        <v>123</v>
      </c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</row>
    <row r="147" spans="2:14" x14ac:dyDescent="0.15">
      <c r="B147" s="111"/>
      <c r="C147" s="111" t="s">
        <v>16</v>
      </c>
      <c r="D147" s="111">
        <f>SUM(D128:D131)+SUM(D133:D136)+SUM(D138:D141)+SUM(D143:D145)</f>
        <v>69389.348568965303</v>
      </c>
      <c r="E147" s="111">
        <f t="shared" ref="E147:N147" si="46">SUM(E128:E131)+SUM(E133:E136)+SUM(E138:E141)+SUM(E143:E145)</f>
        <v>72164.922511723926</v>
      </c>
      <c r="F147" s="111">
        <f t="shared" si="46"/>
        <v>75051.51941219288</v>
      </c>
      <c r="G147" s="111">
        <f t="shared" si="46"/>
        <v>78053.5801886806</v>
      </c>
      <c r="H147" s="111">
        <f t="shared" si="46"/>
        <v>81175.723396227841</v>
      </c>
      <c r="I147" s="111">
        <f t="shared" si="46"/>
        <v>84422.752332076954</v>
      </c>
      <c r="J147" s="111">
        <f t="shared" si="46"/>
        <v>87799.662425360031</v>
      </c>
      <c r="K147" s="111">
        <f t="shared" si="46"/>
        <v>91311.648922374428</v>
      </c>
      <c r="L147" s="111">
        <f t="shared" si="46"/>
        <v>94964.114879269429</v>
      </c>
      <c r="M147" s="111">
        <f t="shared" si="46"/>
        <v>98762.6794744402</v>
      </c>
      <c r="N147" s="111">
        <f t="shared" si="46"/>
        <v>102713.1866534178</v>
      </c>
    </row>
    <row r="148" spans="2:14" x14ac:dyDescent="0.15">
      <c r="B148" s="3"/>
      <c r="C148" s="3"/>
      <c r="D148" s="3"/>
      <c r="E148" s="3"/>
      <c r="F148" s="3"/>
      <c r="G148" s="3"/>
      <c r="H148" s="3"/>
      <c r="I148" s="3"/>
      <c r="J148" s="3"/>
    </row>
  </sheetData>
  <mergeCells count="11">
    <mergeCell ref="B126:N126"/>
    <mergeCell ref="A122:B122"/>
    <mergeCell ref="A119:B119"/>
    <mergeCell ref="A118:B118"/>
    <mergeCell ref="A115:B115"/>
    <mergeCell ref="A116:B116"/>
    <mergeCell ref="B127:N127"/>
    <mergeCell ref="B146:N146"/>
    <mergeCell ref="B132:N132"/>
    <mergeCell ref="B137:N137"/>
    <mergeCell ref="B142:N142"/>
  </mergeCells>
  <dataValidations count="1">
    <dataValidation type="list" allowBlank="1" showInputMessage="1" showErrorMessage="1" sqref="C5:C8" xr:uid="{00000000-0002-0000-0000-000000000000}">
      <formula1>"Да,Нет"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8"/>
  <sheetViews>
    <sheetView workbookViewId="0">
      <selection activeCell="A9" sqref="A9"/>
    </sheetView>
  </sheetViews>
  <sheetFormatPr baseColWidth="10" defaultColWidth="9.1640625" defaultRowHeight="14" x14ac:dyDescent="0.15"/>
  <cols>
    <col min="1" max="1" width="47.5" style="3" customWidth="1"/>
    <col min="2" max="2" width="9.1640625" style="3"/>
    <col min="3" max="3" width="14.5" style="3" customWidth="1"/>
    <col min="4" max="16384" width="9.1640625" style="3"/>
  </cols>
  <sheetData>
    <row r="2" spans="1:4" x14ac:dyDescent="0.15">
      <c r="A2" s="5" t="s">
        <v>13</v>
      </c>
      <c r="B2" s="5" t="s">
        <v>3</v>
      </c>
      <c r="C2" s="43" t="s">
        <v>132</v>
      </c>
      <c r="D2" s="5"/>
    </row>
    <row r="3" spans="1:4" x14ac:dyDescent="0.15">
      <c r="A3" s="3">
        <v>1</v>
      </c>
      <c r="B3" s="3" t="s">
        <v>122</v>
      </c>
      <c r="C3" s="51">
        <v>566.79999999999995</v>
      </c>
    </row>
    <row r="4" spans="1:4" x14ac:dyDescent="0.15">
      <c r="A4" s="3">
        <v>2</v>
      </c>
      <c r="B4" s="3" t="s">
        <v>122</v>
      </c>
      <c r="C4" s="51">
        <v>135.30000000000001</v>
      </c>
    </row>
    <row r="5" spans="1:4" x14ac:dyDescent="0.15">
      <c r="A5" s="3">
        <v>3</v>
      </c>
      <c r="B5" s="3" t="s">
        <v>122</v>
      </c>
      <c r="C5" s="51">
        <v>1121.4000000000001</v>
      </c>
    </row>
    <row r="6" spans="1:4" x14ac:dyDescent="0.15">
      <c r="A6" s="3">
        <v>4</v>
      </c>
      <c r="B6" s="3" t="s">
        <v>122</v>
      </c>
      <c r="C6" s="52">
        <v>318.5</v>
      </c>
    </row>
    <row r="7" spans="1:4" x14ac:dyDescent="0.15">
      <c r="A7" s="3">
        <v>5</v>
      </c>
      <c r="B7" s="3" t="s">
        <v>122</v>
      </c>
      <c r="C7" s="51">
        <v>595.4</v>
      </c>
    </row>
    <row r="8" spans="1:4" x14ac:dyDescent="0.15">
      <c r="A8" s="3">
        <v>6</v>
      </c>
      <c r="B8" s="3" t="s">
        <v>122</v>
      </c>
      <c r="C8" s="51">
        <v>267.89999999999998</v>
      </c>
    </row>
    <row r="9" spans="1:4" x14ac:dyDescent="0.15">
      <c r="A9" s="3">
        <v>7</v>
      </c>
      <c r="B9" s="3" t="s">
        <v>122</v>
      </c>
      <c r="C9" s="51">
        <v>92.4</v>
      </c>
    </row>
    <row r="10" spans="1:4" x14ac:dyDescent="0.15">
      <c r="A10" s="3">
        <v>8</v>
      </c>
      <c r="B10" s="3" t="s">
        <v>122</v>
      </c>
      <c r="C10" s="51">
        <v>76.5</v>
      </c>
    </row>
    <row r="11" spans="1:4" x14ac:dyDescent="0.15">
      <c r="A11" s="3">
        <v>9</v>
      </c>
      <c r="B11" s="3" t="s">
        <v>122</v>
      </c>
      <c r="C11" s="51">
        <v>149.39999999999998</v>
      </c>
    </row>
    <row r="12" spans="1:4" x14ac:dyDescent="0.15">
      <c r="A12" s="3">
        <v>10</v>
      </c>
      <c r="B12" s="3" t="s">
        <v>122</v>
      </c>
      <c r="C12" s="52">
        <v>135.30000000000001</v>
      </c>
    </row>
    <row r="13" spans="1:4" x14ac:dyDescent="0.15">
      <c r="A13" s="3">
        <v>11</v>
      </c>
      <c r="B13" s="3" t="s">
        <v>122</v>
      </c>
      <c r="C13" s="52">
        <v>1327</v>
      </c>
    </row>
    <row r="14" spans="1:4" x14ac:dyDescent="0.15">
      <c r="A14" s="3">
        <v>12</v>
      </c>
      <c r="B14" s="3" t="s">
        <v>122</v>
      </c>
      <c r="C14" s="52">
        <v>334.3</v>
      </c>
    </row>
    <row r="15" spans="1:4" x14ac:dyDescent="0.15">
      <c r="A15" s="3">
        <v>13</v>
      </c>
      <c r="B15" s="3" t="s">
        <v>122</v>
      </c>
      <c r="C15" s="52">
        <v>100</v>
      </c>
    </row>
    <row r="16" spans="1:4" x14ac:dyDescent="0.15">
      <c r="A16" s="3">
        <v>14</v>
      </c>
      <c r="B16" s="3" t="s">
        <v>122</v>
      </c>
      <c r="C16" s="52">
        <v>1248</v>
      </c>
    </row>
    <row r="17" spans="1:4" x14ac:dyDescent="0.15">
      <c r="A17" s="3">
        <v>15</v>
      </c>
      <c r="B17" s="3" t="s">
        <v>122</v>
      </c>
      <c r="C17" s="52">
        <v>111.1</v>
      </c>
    </row>
    <row r="18" spans="1:4" x14ac:dyDescent="0.15">
      <c r="A18" s="44" t="s">
        <v>123</v>
      </c>
      <c r="B18" s="47" t="s">
        <v>122</v>
      </c>
      <c r="C18" s="53">
        <f>SUM(C3:C17)</f>
        <v>6579.3000000000011</v>
      </c>
    </row>
    <row r="19" spans="1:4" x14ac:dyDescent="0.15">
      <c r="D19" s="55"/>
    </row>
    <row r="20" spans="1:4" ht="15" thickBot="1" x14ac:dyDescent="0.2">
      <c r="A20" s="5" t="s">
        <v>131</v>
      </c>
      <c r="B20" s="5" t="s">
        <v>16</v>
      </c>
      <c r="C20" s="43">
        <v>22</v>
      </c>
    </row>
    <row r="21" spans="1:4" ht="15" thickBot="1" x14ac:dyDescent="0.2">
      <c r="A21" s="45" t="s">
        <v>124</v>
      </c>
      <c r="B21" s="46" t="s">
        <v>16</v>
      </c>
      <c r="C21" s="54">
        <f>C18*C20</f>
        <v>144744.60000000003</v>
      </c>
    </row>
    <row r="23" spans="1:4" ht="15" thickBot="1" x14ac:dyDescent="0.2"/>
    <row r="24" spans="1:4" ht="15" thickBot="1" x14ac:dyDescent="0.2">
      <c r="A24" s="48"/>
      <c r="B24" s="3" t="s">
        <v>125</v>
      </c>
    </row>
    <row r="25" spans="1:4" ht="15" thickBot="1" x14ac:dyDescent="0.2"/>
    <row r="26" spans="1:4" ht="15" thickBot="1" x14ac:dyDescent="0.2">
      <c r="A26" s="49"/>
      <c r="B26" s="3" t="s">
        <v>126</v>
      </c>
    </row>
    <row r="28" spans="1:4" ht="15" x14ac:dyDescent="0.2">
      <c r="B28" s="5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8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5.5" customWidth="1"/>
    <col min="2" max="2" width="33.5" customWidth="1"/>
    <col min="3" max="3" width="27.83203125" customWidth="1"/>
    <col min="4" max="4" width="18.5" customWidth="1"/>
    <col min="5" max="5" width="12" bestFit="1" customWidth="1"/>
    <col min="6" max="6" width="21" customWidth="1"/>
    <col min="7" max="7" width="26.83203125" customWidth="1"/>
  </cols>
  <sheetData>
    <row r="1" spans="2:7" ht="30" x14ac:dyDescent="0.2">
      <c r="B1" s="37" t="s">
        <v>185</v>
      </c>
      <c r="C1" s="101" t="s">
        <v>189</v>
      </c>
      <c r="D1" s="101" t="s">
        <v>186</v>
      </c>
      <c r="E1" s="101" t="s">
        <v>188</v>
      </c>
      <c r="F1" s="101" t="s">
        <v>184</v>
      </c>
      <c r="G1" s="101" t="s">
        <v>187</v>
      </c>
    </row>
    <row r="2" spans="2:7" ht="16" x14ac:dyDescent="0.2">
      <c r="B2" s="99" t="s">
        <v>158</v>
      </c>
      <c r="C2" s="100">
        <v>250000</v>
      </c>
      <c r="D2" s="100">
        <f>C2*0.302</f>
        <v>75500</v>
      </c>
      <c r="E2" s="100">
        <f>C2*0.13</f>
        <v>32500</v>
      </c>
      <c r="F2" s="3">
        <v>1</v>
      </c>
      <c r="G2" s="109">
        <f t="shared" ref="G2:G21" si="0">(F2*(C2+D2+E2)*12)/1000</f>
        <v>4296</v>
      </c>
    </row>
    <row r="3" spans="2:7" ht="16" x14ac:dyDescent="0.2">
      <c r="B3" s="99" t="s">
        <v>159</v>
      </c>
      <c r="C3" s="100">
        <v>120000</v>
      </c>
      <c r="D3" s="100">
        <f t="shared" ref="D3:D21" si="1">C3*0.302</f>
        <v>36240</v>
      </c>
      <c r="E3" s="100">
        <f t="shared" ref="E3:E21" si="2">C3*0.13</f>
        <v>15600</v>
      </c>
      <c r="F3" s="3">
        <v>6</v>
      </c>
      <c r="G3" s="109">
        <f t="shared" si="0"/>
        <v>12372.48</v>
      </c>
    </row>
    <row r="4" spans="2:7" ht="16" x14ac:dyDescent="0.2">
      <c r="B4" s="99" t="s">
        <v>160</v>
      </c>
      <c r="C4" s="100">
        <v>150000</v>
      </c>
      <c r="D4" s="100">
        <f t="shared" si="1"/>
        <v>45300</v>
      </c>
      <c r="E4" s="100">
        <f t="shared" si="2"/>
        <v>19500</v>
      </c>
      <c r="F4" s="3">
        <v>2</v>
      </c>
      <c r="G4" s="109">
        <f t="shared" si="0"/>
        <v>5155.2</v>
      </c>
    </row>
    <row r="5" spans="2:7" ht="16" x14ac:dyDescent="0.2">
      <c r="B5" s="99" t="s">
        <v>162</v>
      </c>
      <c r="C5" s="100">
        <v>120000</v>
      </c>
      <c r="D5" s="100">
        <f t="shared" si="1"/>
        <v>36240</v>
      </c>
      <c r="E5" s="100">
        <f t="shared" si="2"/>
        <v>15600</v>
      </c>
      <c r="F5" s="3">
        <v>1</v>
      </c>
      <c r="G5" s="109">
        <f t="shared" si="0"/>
        <v>2062.08</v>
      </c>
    </row>
    <row r="6" spans="2:7" ht="16" x14ac:dyDescent="0.2">
      <c r="B6" s="99" t="s">
        <v>166</v>
      </c>
      <c r="C6" s="100">
        <v>60000</v>
      </c>
      <c r="D6" s="100">
        <f t="shared" si="1"/>
        <v>18120</v>
      </c>
      <c r="E6" s="100">
        <f t="shared" si="2"/>
        <v>7800</v>
      </c>
      <c r="F6" s="3">
        <v>4.5</v>
      </c>
      <c r="G6" s="109">
        <f t="shared" si="0"/>
        <v>4639.68</v>
      </c>
    </row>
    <row r="7" spans="2:7" ht="16" x14ac:dyDescent="0.2">
      <c r="B7" s="99" t="s">
        <v>167</v>
      </c>
      <c r="C7" s="100">
        <v>55000</v>
      </c>
      <c r="D7" s="100">
        <f t="shared" si="1"/>
        <v>16610</v>
      </c>
      <c r="E7" s="100">
        <f t="shared" si="2"/>
        <v>7150</v>
      </c>
      <c r="F7" s="3">
        <v>6.5</v>
      </c>
      <c r="G7" s="109">
        <f t="shared" si="0"/>
        <v>6143.28</v>
      </c>
    </row>
    <row r="8" spans="2:7" ht="16" x14ac:dyDescent="0.2">
      <c r="B8" s="99" t="s">
        <v>168</v>
      </c>
      <c r="C8" s="100">
        <v>70000</v>
      </c>
      <c r="D8" s="100">
        <f t="shared" si="1"/>
        <v>21140</v>
      </c>
      <c r="E8" s="100">
        <f t="shared" si="2"/>
        <v>9100</v>
      </c>
      <c r="F8" s="3">
        <v>3</v>
      </c>
      <c r="G8" s="109">
        <f t="shared" si="0"/>
        <v>3608.64</v>
      </c>
    </row>
    <row r="9" spans="2:7" ht="16" x14ac:dyDescent="0.2">
      <c r="B9" s="99" t="s">
        <v>169</v>
      </c>
      <c r="C9" s="100">
        <v>90000</v>
      </c>
      <c r="D9" s="100">
        <f t="shared" si="1"/>
        <v>27180</v>
      </c>
      <c r="E9" s="100">
        <f t="shared" si="2"/>
        <v>11700</v>
      </c>
      <c r="F9" s="3">
        <v>3</v>
      </c>
      <c r="G9" s="109">
        <f t="shared" si="0"/>
        <v>4639.68</v>
      </c>
    </row>
    <row r="10" spans="2:7" ht="16" x14ac:dyDescent="0.2">
      <c r="B10" s="99" t="s">
        <v>170</v>
      </c>
      <c r="C10" s="100">
        <v>50000</v>
      </c>
      <c r="D10" s="100">
        <f t="shared" si="1"/>
        <v>15100</v>
      </c>
      <c r="E10" s="100">
        <f t="shared" si="2"/>
        <v>6500</v>
      </c>
      <c r="F10" s="3">
        <v>21.5</v>
      </c>
      <c r="G10" s="109">
        <f t="shared" si="0"/>
        <v>18472.8</v>
      </c>
    </row>
    <row r="11" spans="2:7" ht="16" x14ac:dyDescent="0.2">
      <c r="B11" s="99" t="s">
        <v>171</v>
      </c>
      <c r="C11" s="100">
        <v>50000</v>
      </c>
      <c r="D11" s="100">
        <f t="shared" si="1"/>
        <v>15100</v>
      </c>
      <c r="E11" s="100">
        <f t="shared" si="2"/>
        <v>6500</v>
      </c>
      <c r="F11" s="3">
        <v>6</v>
      </c>
      <c r="G11" s="109">
        <f t="shared" si="0"/>
        <v>5155.2</v>
      </c>
    </row>
    <row r="12" spans="2:7" ht="16" x14ac:dyDescent="0.2">
      <c r="B12" s="99" t="s">
        <v>172</v>
      </c>
      <c r="C12" s="100">
        <v>40000</v>
      </c>
      <c r="D12" s="100">
        <f t="shared" si="1"/>
        <v>12080</v>
      </c>
      <c r="E12" s="100">
        <f t="shared" si="2"/>
        <v>5200</v>
      </c>
      <c r="F12" s="3">
        <v>12.5</v>
      </c>
      <c r="G12" s="109">
        <f t="shared" si="0"/>
        <v>8592</v>
      </c>
    </row>
    <row r="13" spans="2:7" ht="16" x14ac:dyDescent="0.2">
      <c r="B13" s="99" t="s">
        <v>173</v>
      </c>
      <c r="C13" s="100">
        <v>80000</v>
      </c>
      <c r="D13" s="100">
        <f t="shared" si="1"/>
        <v>24160</v>
      </c>
      <c r="E13" s="100">
        <f t="shared" si="2"/>
        <v>10400</v>
      </c>
      <c r="F13" s="3">
        <v>2</v>
      </c>
      <c r="G13" s="109">
        <f t="shared" si="0"/>
        <v>2749.44</v>
      </c>
    </row>
    <row r="14" spans="2:7" ht="16" x14ac:dyDescent="0.2">
      <c r="B14" s="99" t="s">
        <v>174</v>
      </c>
      <c r="C14" s="100">
        <v>60000</v>
      </c>
      <c r="D14" s="100">
        <f t="shared" si="1"/>
        <v>18120</v>
      </c>
      <c r="E14" s="100">
        <f t="shared" si="2"/>
        <v>7800</v>
      </c>
      <c r="F14" s="3">
        <v>3</v>
      </c>
      <c r="G14" s="109">
        <f t="shared" si="0"/>
        <v>3093.12</v>
      </c>
    </row>
    <row r="15" spans="2:7" ht="16" x14ac:dyDescent="0.2">
      <c r="B15" s="99" t="s">
        <v>175</v>
      </c>
      <c r="C15" s="100">
        <v>70000</v>
      </c>
      <c r="D15" s="100">
        <f t="shared" si="1"/>
        <v>21140</v>
      </c>
      <c r="E15" s="100">
        <f t="shared" si="2"/>
        <v>9100</v>
      </c>
      <c r="F15" s="3">
        <v>24.5</v>
      </c>
      <c r="G15" s="109">
        <f t="shared" si="0"/>
        <v>29470.560000000001</v>
      </c>
    </row>
    <row r="16" spans="2:7" ht="16" x14ac:dyDescent="0.2">
      <c r="B16" s="99" t="s">
        <v>176</v>
      </c>
      <c r="C16" s="100">
        <v>60000</v>
      </c>
      <c r="D16" s="100">
        <f t="shared" si="1"/>
        <v>18120</v>
      </c>
      <c r="E16" s="100">
        <f t="shared" si="2"/>
        <v>7800</v>
      </c>
      <c r="F16" s="3">
        <v>3.5</v>
      </c>
      <c r="G16" s="109">
        <f t="shared" si="0"/>
        <v>3608.64</v>
      </c>
    </row>
    <row r="17" spans="2:7" ht="16" x14ac:dyDescent="0.2">
      <c r="B17" s="99" t="s">
        <v>178</v>
      </c>
      <c r="C17" s="100">
        <v>90000</v>
      </c>
      <c r="D17" s="100">
        <f t="shared" si="1"/>
        <v>27180</v>
      </c>
      <c r="E17" s="100">
        <f t="shared" si="2"/>
        <v>11700</v>
      </c>
      <c r="F17" s="3">
        <v>2</v>
      </c>
      <c r="G17" s="109">
        <f t="shared" si="0"/>
        <v>3093.12</v>
      </c>
    </row>
    <row r="18" spans="2:7" x14ac:dyDescent="0.2">
      <c r="B18" s="3" t="s">
        <v>179</v>
      </c>
      <c r="C18" s="100">
        <v>120000</v>
      </c>
      <c r="D18" s="100">
        <f t="shared" si="1"/>
        <v>36240</v>
      </c>
      <c r="E18" s="100">
        <f t="shared" si="2"/>
        <v>15600</v>
      </c>
      <c r="F18" s="3">
        <v>3.5</v>
      </c>
      <c r="G18" s="109">
        <f t="shared" si="0"/>
        <v>7217.28</v>
      </c>
    </row>
    <row r="19" spans="2:7" x14ac:dyDescent="0.2">
      <c r="B19" s="3" t="s">
        <v>180</v>
      </c>
      <c r="C19" s="100">
        <v>100000</v>
      </c>
      <c r="D19" s="100">
        <f t="shared" si="1"/>
        <v>30200</v>
      </c>
      <c r="E19" s="100">
        <f t="shared" si="2"/>
        <v>13000</v>
      </c>
      <c r="F19" s="3">
        <v>1</v>
      </c>
      <c r="G19" s="109">
        <f t="shared" si="0"/>
        <v>1718.4</v>
      </c>
    </row>
    <row r="20" spans="2:7" x14ac:dyDescent="0.2">
      <c r="B20" s="3" t="s">
        <v>181</v>
      </c>
      <c r="C20" s="100">
        <v>120000</v>
      </c>
      <c r="D20" s="100">
        <f t="shared" si="1"/>
        <v>36240</v>
      </c>
      <c r="E20" s="100">
        <f t="shared" si="2"/>
        <v>15600</v>
      </c>
      <c r="F20" s="3">
        <v>6</v>
      </c>
      <c r="G20" s="109">
        <f t="shared" si="0"/>
        <v>12372.48</v>
      </c>
    </row>
    <row r="21" spans="2:7" x14ac:dyDescent="0.2">
      <c r="B21" s="3" t="s">
        <v>182</v>
      </c>
      <c r="C21" s="100">
        <v>150000</v>
      </c>
      <c r="D21" s="100">
        <f t="shared" si="1"/>
        <v>45300</v>
      </c>
      <c r="E21" s="100">
        <f t="shared" si="2"/>
        <v>19500</v>
      </c>
      <c r="F21" s="3">
        <v>4</v>
      </c>
      <c r="G21" s="109">
        <f t="shared" si="0"/>
        <v>10310.4</v>
      </c>
    </row>
    <row r="22" spans="2:7" x14ac:dyDescent="0.2">
      <c r="B22" s="57" t="s">
        <v>123</v>
      </c>
      <c r="C22" s="74">
        <f t="shared" ref="C22:E22" si="3">SUM(C2:C21)</f>
        <v>1905000</v>
      </c>
      <c r="D22" s="74">
        <f t="shared" si="3"/>
        <v>575310</v>
      </c>
      <c r="E22" s="74">
        <f t="shared" si="3"/>
        <v>247650</v>
      </c>
      <c r="F22" s="74">
        <f>SUM(F2:F21)</f>
        <v>116.5</v>
      </c>
      <c r="G22" s="74">
        <f>SUM(G2:G21)</f>
        <v>148770.47999999998</v>
      </c>
    </row>
    <row r="24" spans="2:7" x14ac:dyDescent="0.2">
      <c r="B24" s="3" t="s">
        <v>190</v>
      </c>
      <c r="C24" t="s">
        <v>191</v>
      </c>
    </row>
    <row r="25" spans="2:7" x14ac:dyDescent="0.2">
      <c r="C25" t="s">
        <v>192</v>
      </c>
    </row>
    <row r="27" spans="2:7" x14ac:dyDescent="0.2">
      <c r="B27" s="102"/>
      <c r="C27" s="103">
        <v>2024</v>
      </c>
      <c r="D27" s="103">
        <v>2025</v>
      </c>
    </row>
    <row r="28" spans="2:7" x14ac:dyDescent="0.2">
      <c r="B28" s="102" t="s">
        <v>193</v>
      </c>
      <c r="C28" s="104">
        <f>G22</f>
        <v>148770.47999999998</v>
      </c>
      <c r="D28" s="104">
        <f>C28*1.04</f>
        <v>154721.29919999998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39"/>
  <sheetViews>
    <sheetView topLeftCell="A6" zoomScale="85" zoomScaleNormal="85" workbookViewId="0">
      <selection activeCell="E35" sqref="E35"/>
    </sheetView>
  </sheetViews>
  <sheetFormatPr baseColWidth="10" defaultColWidth="9.1640625" defaultRowHeight="14" x14ac:dyDescent="0.15"/>
  <cols>
    <col min="1" max="1" width="10.1640625" style="90" customWidth="1"/>
    <col min="2" max="2" width="26.1640625" style="90" customWidth="1"/>
    <col min="3" max="3" width="9.33203125" style="90" bestFit="1" customWidth="1"/>
    <col min="4" max="4" width="29.5" style="90" customWidth="1"/>
    <col min="5" max="5" width="10" style="90" bestFit="1" customWidth="1"/>
    <col min="6" max="16384" width="9.1640625" style="90"/>
  </cols>
  <sheetData>
    <row r="1" spans="1:5" x14ac:dyDescent="0.15">
      <c r="A1" s="311" t="s">
        <v>154</v>
      </c>
      <c r="B1" s="312"/>
    </row>
    <row r="2" spans="1:5" ht="15" thickBot="1" x14ac:dyDescent="0.2">
      <c r="A2" s="313"/>
      <c r="B2" s="314"/>
    </row>
    <row r="6" spans="1:5" x14ac:dyDescent="0.15">
      <c r="C6" s="91"/>
    </row>
    <row r="8" spans="1:5" ht="15" customHeight="1" x14ac:dyDescent="0.15">
      <c r="A8" s="315" t="s">
        <v>155</v>
      </c>
      <c r="B8" s="317" t="s">
        <v>156</v>
      </c>
      <c r="C8" s="92"/>
      <c r="D8" s="90" t="s">
        <v>221</v>
      </c>
    </row>
    <row r="9" spans="1:5" ht="30" x14ac:dyDescent="0.15">
      <c r="A9" s="316"/>
      <c r="B9" s="317"/>
      <c r="C9" s="297" t="s">
        <v>220</v>
      </c>
      <c r="E9" s="90" t="s">
        <v>219</v>
      </c>
    </row>
    <row r="10" spans="1:5" ht="15" x14ac:dyDescent="0.15">
      <c r="A10" s="93" t="s">
        <v>157</v>
      </c>
      <c r="B10" s="94" t="s">
        <v>158</v>
      </c>
      <c r="C10" s="95">
        <v>1</v>
      </c>
      <c r="D10" s="100">
        <v>250000</v>
      </c>
      <c r="E10" s="90">
        <f>C10*D10*12</f>
        <v>3000000</v>
      </c>
    </row>
    <row r="11" spans="1:5" ht="15" x14ac:dyDescent="0.15">
      <c r="A11" s="93" t="s">
        <v>157</v>
      </c>
      <c r="B11" s="94" t="s">
        <v>159</v>
      </c>
      <c r="C11" s="95">
        <v>9</v>
      </c>
      <c r="D11" s="100">
        <v>120000</v>
      </c>
      <c r="E11" s="90">
        <f t="shared" ref="E11:E33" si="0">C11*D11*12</f>
        <v>12960000</v>
      </c>
    </row>
    <row r="12" spans="1:5" ht="15" x14ac:dyDescent="0.15">
      <c r="A12" s="93" t="s">
        <v>157</v>
      </c>
      <c r="B12" s="94" t="s">
        <v>160</v>
      </c>
      <c r="C12" s="95">
        <v>2</v>
      </c>
      <c r="D12" s="100">
        <v>150000</v>
      </c>
      <c r="E12" s="90">
        <f t="shared" si="0"/>
        <v>3600000</v>
      </c>
    </row>
    <row r="13" spans="1:5" ht="30" x14ac:dyDescent="0.15">
      <c r="A13" s="93" t="s">
        <v>157</v>
      </c>
      <c r="B13" s="94" t="s">
        <v>161</v>
      </c>
      <c r="C13" s="95">
        <v>9</v>
      </c>
      <c r="D13" s="100">
        <v>120000</v>
      </c>
      <c r="E13" s="90">
        <f t="shared" si="0"/>
        <v>12960000</v>
      </c>
    </row>
    <row r="14" spans="1:5" ht="15" x14ac:dyDescent="0.15">
      <c r="A14" s="93" t="s">
        <v>157</v>
      </c>
      <c r="B14" s="94" t="s">
        <v>162</v>
      </c>
      <c r="C14" s="95">
        <v>1</v>
      </c>
      <c r="D14" s="100">
        <v>120000</v>
      </c>
      <c r="E14" s="90">
        <f t="shared" si="0"/>
        <v>1440000</v>
      </c>
    </row>
    <row r="15" spans="1:5" ht="15" x14ac:dyDescent="0.15">
      <c r="A15" s="93" t="s">
        <v>157</v>
      </c>
      <c r="B15" s="94" t="s">
        <v>163</v>
      </c>
      <c r="C15" s="95">
        <v>1</v>
      </c>
      <c r="D15" s="90">
        <v>90000</v>
      </c>
      <c r="E15" s="90">
        <f t="shared" si="0"/>
        <v>1080000</v>
      </c>
    </row>
    <row r="16" spans="1:5" ht="15" x14ac:dyDescent="0.15">
      <c r="A16" s="93" t="s">
        <v>157</v>
      </c>
      <c r="B16" s="94" t="s">
        <v>164</v>
      </c>
      <c r="C16" s="95">
        <v>1</v>
      </c>
      <c r="D16" s="90">
        <v>90000</v>
      </c>
      <c r="E16" s="90">
        <f t="shared" si="0"/>
        <v>1080000</v>
      </c>
    </row>
    <row r="17" spans="1:5" ht="15" x14ac:dyDescent="0.15">
      <c r="A17" s="93" t="s">
        <v>165</v>
      </c>
      <c r="B17" s="94" t="s">
        <v>166</v>
      </c>
      <c r="C17" s="95">
        <v>6</v>
      </c>
      <c r="D17" s="100">
        <v>60000</v>
      </c>
      <c r="E17" s="90">
        <f t="shared" si="0"/>
        <v>4320000</v>
      </c>
    </row>
    <row r="18" spans="1:5" ht="15" x14ac:dyDescent="0.15">
      <c r="A18" s="93" t="s">
        <v>165</v>
      </c>
      <c r="B18" s="94" t="s">
        <v>167</v>
      </c>
      <c r="C18" s="95">
        <v>15</v>
      </c>
      <c r="D18" s="100">
        <v>55000</v>
      </c>
      <c r="E18" s="90">
        <f t="shared" si="0"/>
        <v>9900000</v>
      </c>
    </row>
    <row r="19" spans="1:5" ht="15" x14ac:dyDescent="0.15">
      <c r="A19" s="93" t="s">
        <v>165</v>
      </c>
      <c r="B19" s="94" t="s">
        <v>168</v>
      </c>
      <c r="C19" s="95">
        <v>3</v>
      </c>
      <c r="D19" s="100">
        <v>70000</v>
      </c>
      <c r="E19" s="90">
        <f t="shared" si="0"/>
        <v>2520000</v>
      </c>
    </row>
    <row r="20" spans="1:5" ht="15" x14ac:dyDescent="0.15">
      <c r="A20" s="93" t="s">
        <v>165</v>
      </c>
      <c r="B20" s="94" t="s">
        <v>169</v>
      </c>
      <c r="C20" s="95">
        <v>3</v>
      </c>
      <c r="D20" s="100">
        <v>90000</v>
      </c>
      <c r="E20" s="90">
        <f t="shared" si="0"/>
        <v>3240000</v>
      </c>
    </row>
    <row r="21" spans="1:5" ht="15" x14ac:dyDescent="0.15">
      <c r="A21" s="93" t="s">
        <v>165</v>
      </c>
      <c r="B21" s="94" t="s">
        <v>170</v>
      </c>
      <c r="C21" s="95">
        <v>28</v>
      </c>
      <c r="D21" s="100">
        <v>50000</v>
      </c>
      <c r="E21" s="90">
        <f t="shared" si="0"/>
        <v>16800000</v>
      </c>
    </row>
    <row r="22" spans="1:5" ht="15" x14ac:dyDescent="0.15">
      <c r="A22" s="93" t="s">
        <v>165</v>
      </c>
      <c r="B22" s="94" t="s">
        <v>171</v>
      </c>
      <c r="C22" s="95">
        <v>10</v>
      </c>
      <c r="D22" s="100">
        <v>50000</v>
      </c>
      <c r="E22" s="90">
        <f t="shared" si="0"/>
        <v>6000000</v>
      </c>
    </row>
    <row r="23" spans="1:5" ht="15" x14ac:dyDescent="0.15">
      <c r="A23" s="93" t="s">
        <v>165</v>
      </c>
      <c r="B23" s="94" t="s">
        <v>172</v>
      </c>
      <c r="C23" s="95">
        <v>33</v>
      </c>
      <c r="D23" s="100">
        <v>40000</v>
      </c>
      <c r="E23" s="90">
        <f t="shared" si="0"/>
        <v>15840000</v>
      </c>
    </row>
    <row r="24" spans="1:5" ht="15" x14ac:dyDescent="0.15">
      <c r="A24" s="93" t="s">
        <v>165</v>
      </c>
      <c r="B24" s="94" t="s">
        <v>173</v>
      </c>
      <c r="C24" s="95">
        <v>4</v>
      </c>
      <c r="D24" s="100">
        <v>80000</v>
      </c>
      <c r="E24" s="90">
        <f t="shared" si="0"/>
        <v>3840000</v>
      </c>
    </row>
    <row r="25" spans="1:5" ht="15" x14ac:dyDescent="0.15">
      <c r="A25" s="93" t="s">
        <v>165</v>
      </c>
      <c r="B25" s="94" t="s">
        <v>174</v>
      </c>
      <c r="C25" s="95">
        <v>5</v>
      </c>
      <c r="D25" s="100">
        <v>60000</v>
      </c>
      <c r="E25" s="90">
        <f t="shared" si="0"/>
        <v>3600000</v>
      </c>
    </row>
    <row r="26" spans="1:5" ht="15" x14ac:dyDescent="0.15">
      <c r="A26" s="93" t="s">
        <v>165</v>
      </c>
      <c r="B26" s="94" t="s">
        <v>175</v>
      </c>
      <c r="C26" s="95">
        <v>32</v>
      </c>
      <c r="D26" s="100">
        <v>70000</v>
      </c>
      <c r="E26" s="90">
        <f t="shared" si="0"/>
        <v>26880000</v>
      </c>
    </row>
    <row r="27" spans="1:5" ht="15" x14ac:dyDescent="0.15">
      <c r="A27" s="93" t="s">
        <v>165</v>
      </c>
      <c r="B27" s="94" t="s">
        <v>176</v>
      </c>
      <c r="C27" s="95">
        <v>12</v>
      </c>
      <c r="D27" s="100">
        <v>60000</v>
      </c>
      <c r="E27" s="90">
        <f t="shared" si="0"/>
        <v>8640000</v>
      </c>
    </row>
    <row r="28" spans="1:5" ht="30" x14ac:dyDescent="0.15">
      <c r="A28" s="93" t="s">
        <v>165</v>
      </c>
      <c r="B28" s="94" t="s">
        <v>177</v>
      </c>
      <c r="C28" s="95">
        <v>2</v>
      </c>
      <c r="D28" s="90">
        <v>60000</v>
      </c>
      <c r="E28" s="90">
        <f t="shared" si="0"/>
        <v>1440000</v>
      </c>
    </row>
    <row r="29" spans="1:5" ht="15" x14ac:dyDescent="0.15">
      <c r="A29" s="93" t="s">
        <v>165</v>
      </c>
      <c r="B29" s="94" t="s">
        <v>178</v>
      </c>
      <c r="C29" s="95">
        <v>2</v>
      </c>
      <c r="D29" s="100">
        <v>90000</v>
      </c>
      <c r="E29" s="90">
        <f t="shared" si="0"/>
        <v>2160000</v>
      </c>
    </row>
    <row r="30" spans="1:5" x14ac:dyDescent="0.15">
      <c r="A30" s="93" t="s">
        <v>165</v>
      </c>
      <c r="B30" s="93" t="s">
        <v>179</v>
      </c>
      <c r="C30" s="95">
        <v>4</v>
      </c>
      <c r="D30" s="100">
        <v>120000</v>
      </c>
      <c r="E30" s="90">
        <f t="shared" si="0"/>
        <v>5760000</v>
      </c>
    </row>
    <row r="31" spans="1:5" x14ac:dyDescent="0.15">
      <c r="A31" s="93" t="s">
        <v>165</v>
      </c>
      <c r="B31" s="93" t="s">
        <v>180</v>
      </c>
      <c r="C31" s="95">
        <v>1</v>
      </c>
      <c r="D31" s="100">
        <v>100000</v>
      </c>
      <c r="E31" s="90">
        <f t="shared" si="0"/>
        <v>1200000</v>
      </c>
    </row>
    <row r="32" spans="1:5" x14ac:dyDescent="0.15">
      <c r="A32" s="93" t="s">
        <v>165</v>
      </c>
      <c r="B32" s="93" t="s">
        <v>181</v>
      </c>
      <c r="C32" s="95">
        <v>6</v>
      </c>
      <c r="D32" s="100">
        <v>120000</v>
      </c>
      <c r="E32" s="90">
        <f t="shared" si="0"/>
        <v>8640000</v>
      </c>
    </row>
    <row r="33" spans="1:5" x14ac:dyDescent="0.15">
      <c r="A33" s="93" t="s">
        <v>165</v>
      </c>
      <c r="B33" s="93" t="s">
        <v>182</v>
      </c>
      <c r="C33" s="95">
        <v>4</v>
      </c>
      <c r="D33" s="100">
        <v>150000</v>
      </c>
      <c r="E33" s="90">
        <f t="shared" si="0"/>
        <v>7200000</v>
      </c>
    </row>
    <row r="34" spans="1:5" x14ac:dyDescent="0.15">
      <c r="A34" s="309" t="s">
        <v>183</v>
      </c>
      <c r="B34" s="310"/>
      <c r="C34" s="96">
        <f>SUM(C10:C33)</f>
        <v>194</v>
      </c>
      <c r="E34" s="90">
        <f>SUM(E10:E33)</f>
        <v>164100000</v>
      </c>
    </row>
    <row r="35" spans="1:5" x14ac:dyDescent="0.15">
      <c r="A35" s="309"/>
      <c r="B35" s="310"/>
      <c r="C35" s="97"/>
    </row>
    <row r="39" spans="1:5" ht="20" x14ac:dyDescent="0.2">
      <c r="A39" s="98"/>
    </row>
  </sheetData>
  <mergeCells count="5">
    <mergeCell ref="A34:B34"/>
    <mergeCell ref="A35:B35"/>
    <mergeCell ref="A1:B2"/>
    <mergeCell ref="A8:A9"/>
    <mergeCell ref="B8:B9"/>
  </mergeCells>
  <pageMargins left="0.19685039370078741" right="0.19685039370078741" top="0.74803149606299213" bottom="0.74803149606299213" header="0.31496062992125984" footer="0.31496062992125984"/>
  <pageSetup paperSize="9" scale="46" fitToHeight="0" orientation="landscape" verticalDpi="0" r:id="rId1"/>
  <headerFoot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62"/>
  <sheetViews>
    <sheetView showGridLines="0" topLeftCell="A34" zoomScale="55" zoomScaleNormal="55" workbookViewId="0">
      <selection activeCell="X56" sqref="X56"/>
    </sheetView>
  </sheetViews>
  <sheetFormatPr baseColWidth="10" defaultColWidth="8.83203125" defaultRowHeight="14" outlineLevelRow="1" x14ac:dyDescent="0.15"/>
  <cols>
    <col min="1" max="1" width="35.83203125" style="172" customWidth="1"/>
    <col min="2" max="2" width="15.5" style="172" customWidth="1"/>
    <col min="3" max="3" width="21.33203125" style="112" customWidth="1"/>
    <col min="4" max="4" width="22.5" style="112" hidden="1" customWidth="1"/>
    <col min="5" max="5" width="18.5" style="112" customWidth="1"/>
    <col min="6" max="6" width="16.83203125" style="112" customWidth="1"/>
    <col min="7" max="7" width="18.5" style="112" customWidth="1"/>
    <col min="8" max="8" width="15.5" style="112" customWidth="1"/>
    <col min="9" max="9" width="22.33203125" style="112" customWidth="1"/>
    <col min="10" max="10" width="21.5" style="112" customWidth="1"/>
    <col min="11" max="11" width="18.6640625" style="112" customWidth="1"/>
    <col min="12" max="12" width="15.5" style="112" customWidth="1"/>
    <col min="13" max="13" width="13.83203125" style="112" customWidth="1"/>
    <col min="14" max="14" width="20.5" style="112" customWidth="1"/>
    <col min="15" max="15" width="16.83203125" style="112" customWidth="1"/>
    <col min="16" max="16" width="32.6640625" style="112" customWidth="1"/>
    <col min="17" max="17" width="17.5" style="112" customWidth="1"/>
    <col min="18" max="18" width="12.5" style="112" bestFit="1" customWidth="1"/>
    <col min="19" max="16384" width="8.83203125" style="112"/>
  </cols>
  <sheetData>
    <row r="1" spans="1:18" ht="16" x14ac:dyDescent="0.2">
      <c r="A1" s="318" t="s">
        <v>21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</row>
    <row r="2" spans="1:18" ht="28" x14ac:dyDescent="0.15">
      <c r="A2" s="113"/>
      <c r="B2" s="114" t="s">
        <v>22</v>
      </c>
      <c r="C2" s="114" t="s">
        <v>23</v>
      </c>
      <c r="D2" s="115" t="s">
        <v>24</v>
      </c>
      <c r="E2" s="113" t="s">
        <v>25</v>
      </c>
      <c r="F2" s="115" t="s">
        <v>26</v>
      </c>
      <c r="G2" s="113" t="s">
        <v>27</v>
      </c>
      <c r="H2" s="113" t="s">
        <v>28</v>
      </c>
      <c r="I2" s="116" t="s">
        <v>29</v>
      </c>
      <c r="J2" s="113" t="s">
        <v>30</v>
      </c>
      <c r="K2" s="113" t="s">
        <v>31</v>
      </c>
      <c r="L2" s="113" t="s">
        <v>32</v>
      </c>
      <c r="M2" s="113" t="s">
        <v>33</v>
      </c>
      <c r="N2" s="113" t="s">
        <v>34</v>
      </c>
      <c r="O2" s="113" t="s">
        <v>35</v>
      </c>
      <c r="P2" s="113" t="s">
        <v>36</v>
      </c>
      <c r="Q2" s="113" t="s">
        <v>37</v>
      </c>
    </row>
    <row r="3" spans="1:18" x14ac:dyDescent="0.15">
      <c r="A3" s="117">
        <v>1</v>
      </c>
      <c r="B3" s="118"/>
      <c r="C3" s="118">
        <f>A3+1</f>
        <v>2</v>
      </c>
      <c r="D3" s="117">
        <f t="shared" ref="D3:N3" si="0">C3+1</f>
        <v>3</v>
      </c>
      <c r="E3" s="117">
        <f t="shared" si="0"/>
        <v>4</v>
      </c>
      <c r="F3" s="117">
        <f t="shared" si="0"/>
        <v>5</v>
      </c>
      <c r="G3" s="117">
        <f t="shared" si="0"/>
        <v>6</v>
      </c>
      <c r="H3" s="117">
        <f t="shared" si="0"/>
        <v>7</v>
      </c>
      <c r="I3" s="117">
        <f t="shared" si="0"/>
        <v>8</v>
      </c>
      <c r="J3" s="117">
        <f t="shared" si="0"/>
        <v>9</v>
      </c>
      <c r="K3" s="117">
        <f t="shared" si="0"/>
        <v>10</v>
      </c>
      <c r="L3" s="117">
        <f t="shared" si="0"/>
        <v>11</v>
      </c>
      <c r="M3" s="117">
        <f t="shared" si="0"/>
        <v>12</v>
      </c>
      <c r="N3" s="117">
        <f t="shared" si="0"/>
        <v>13</v>
      </c>
      <c r="O3" s="117">
        <v>14</v>
      </c>
      <c r="P3" s="117">
        <v>15</v>
      </c>
      <c r="Q3" s="117">
        <v>16</v>
      </c>
    </row>
    <row r="4" spans="1:18" x14ac:dyDescent="0.15">
      <c r="A4" s="119" t="s">
        <v>38</v>
      </c>
      <c r="B4" s="120" t="s">
        <v>39</v>
      </c>
      <c r="C4" s="121">
        <v>101710</v>
      </c>
      <c r="D4" s="122">
        <v>3414.2</v>
      </c>
      <c r="E4" s="122">
        <v>4406.3</v>
      </c>
      <c r="F4" s="122">
        <v>21290.2</v>
      </c>
      <c r="G4" s="122">
        <f>2992.5+3904.6</f>
        <v>6897.1</v>
      </c>
      <c r="H4" s="122">
        <v>4727.2</v>
      </c>
      <c r="I4" s="122">
        <v>6984</v>
      </c>
      <c r="J4" s="122">
        <v>3916.1</v>
      </c>
      <c r="K4" s="122">
        <v>3534.3</v>
      </c>
      <c r="L4" s="122">
        <v>3658.5</v>
      </c>
      <c r="M4" s="122">
        <f>3816.8+231.5+68.8</f>
        <v>4117.1000000000004</v>
      </c>
      <c r="N4" s="122">
        <v>14514.8</v>
      </c>
      <c r="O4" s="122">
        <v>3128.1</v>
      </c>
      <c r="P4" s="123">
        <v>11558.2</v>
      </c>
      <c r="Q4" s="123"/>
    </row>
    <row r="5" spans="1:18" x14ac:dyDescent="0.15">
      <c r="A5" s="124" t="s">
        <v>40</v>
      </c>
      <c r="B5" s="125" t="s">
        <v>39</v>
      </c>
      <c r="C5" s="126">
        <v>135.30000000000001</v>
      </c>
      <c r="D5" s="127">
        <v>99.9</v>
      </c>
      <c r="E5" s="127">
        <v>92.4</v>
      </c>
      <c r="F5" s="127">
        <v>1121.4000000000001</v>
      </c>
      <c r="G5" s="127">
        <v>586.4</v>
      </c>
      <c r="H5" s="127">
        <v>76.5</v>
      </c>
      <c r="I5" s="127">
        <v>218.2</v>
      </c>
      <c r="J5" s="127">
        <v>135.1</v>
      </c>
      <c r="K5" s="127">
        <v>116.1</v>
      </c>
      <c r="L5" s="127">
        <v>181.1</v>
      </c>
      <c r="M5" s="127">
        <v>134.5</v>
      </c>
      <c r="N5" s="127">
        <v>595.4</v>
      </c>
      <c r="O5" s="127">
        <v>149.39999999999998</v>
      </c>
      <c r="P5" s="127">
        <v>267.89999999999998</v>
      </c>
      <c r="Q5" s="127">
        <f>SUM(C5:P5)</f>
        <v>3909.6</v>
      </c>
      <c r="R5" s="128"/>
    </row>
    <row r="6" spans="1:18" x14ac:dyDescent="0.15">
      <c r="A6" s="129" t="s">
        <v>41</v>
      </c>
      <c r="B6" s="130" t="s">
        <v>42</v>
      </c>
      <c r="C6" s="131">
        <v>95.8</v>
      </c>
      <c r="D6" s="132">
        <v>50.1</v>
      </c>
      <c r="E6" s="132">
        <v>50.6</v>
      </c>
      <c r="F6" s="132">
        <v>486</v>
      </c>
      <c r="G6" s="132">
        <v>311</v>
      </c>
      <c r="H6" s="132">
        <v>49.3</v>
      </c>
      <c r="I6" s="132">
        <v>105.1</v>
      </c>
      <c r="J6" s="132">
        <v>125.1</v>
      </c>
      <c r="K6" s="132">
        <v>99.7</v>
      </c>
      <c r="L6" s="132">
        <v>119</v>
      </c>
      <c r="M6" s="132">
        <v>115.3</v>
      </c>
      <c r="N6" s="132">
        <v>361.1</v>
      </c>
      <c r="O6" s="132">
        <v>77.099999999999994</v>
      </c>
      <c r="P6" s="133">
        <v>100</v>
      </c>
      <c r="Q6" s="133"/>
    </row>
    <row r="7" spans="1:18" x14ac:dyDescent="0.15">
      <c r="A7" s="129" t="s">
        <v>43</v>
      </c>
      <c r="B7" s="130" t="s">
        <v>44</v>
      </c>
      <c r="C7" s="131">
        <v>39.5</v>
      </c>
      <c r="D7" s="132">
        <v>49.8</v>
      </c>
      <c r="E7" s="132">
        <v>41.8</v>
      </c>
      <c r="F7" s="132">
        <v>635.4</v>
      </c>
      <c r="G7" s="132">
        <v>275.39999999999998</v>
      </c>
      <c r="H7" s="132">
        <v>27.2</v>
      </c>
      <c r="I7" s="132">
        <v>113.1</v>
      </c>
      <c r="J7" s="132">
        <v>10</v>
      </c>
      <c r="K7" s="132">
        <v>16.399999999999999</v>
      </c>
      <c r="L7" s="132">
        <v>62.1</v>
      </c>
      <c r="M7" s="132">
        <v>19.2</v>
      </c>
      <c r="N7" s="132">
        <v>234.3</v>
      </c>
      <c r="O7" s="132">
        <v>72.3</v>
      </c>
      <c r="P7" s="133">
        <v>167.9</v>
      </c>
      <c r="Q7" s="133"/>
    </row>
    <row r="8" spans="1:18" x14ac:dyDescent="0.15">
      <c r="A8" s="129" t="s">
        <v>45</v>
      </c>
      <c r="B8" s="130"/>
      <c r="C8" s="134" t="s">
        <v>46</v>
      </c>
      <c r="D8" s="135" t="s">
        <v>47</v>
      </c>
      <c r="E8" s="135" t="s">
        <v>47</v>
      </c>
      <c r="F8" s="135" t="s">
        <v>47</v>
      </c>
      <c r="G8" s="135" t="s">
        <v>47</v>
      </c>
      <c r="H8" s="135" t="s">
        <v>47</v>
      </c>
      <c r="I8" s="135" t="s">
        <v>47</v>
      </c>
      <c r="J8" s="135" t="s">
        <v>47</v>
      </c>
      <c r="K8" s="135" t="s">
        <v>47</v>
      </c>
      <c r="L8" s="135" t="s">
        <v>47</v>
      </c>
      <c r="M8" s="135" t="s">
        <v>47</v>
      </c>
      <c r="N8" s="135" t="s">
        <v>47</v>
      </c>
      <c r="O8" s="135" t="s">
        <v>47</v>
      </c>
      <c r="P8" s="135" t="s">
        <v>47</v>
      </c>
      <c r="Q8" s="135"/>
    </row>
    <row r="9" spans="1:18" s="140" customFormat="1" ht="28" x14ac:dyDescent="0.15">
      <c r="A9" s="136" t="s">
        <v>48</v>
      </c>
      <c r="B9" s="137" t="s">
        <v>5</v>
      </c>
      <c r="C9" s="138">
        <f>C5/C4</f>
        <v>1.3302526791859209E-3</v>
      </c>
      <c r="D9" s="139">
        <f t="shared" ref="D9:P9" si="1">D5/D4</f>
        <v>2.9260148790346205E-2</v>
      </c>
      <c r="E9" s="139">
        <f t="shared" si="1"/>
        <v>2.0969974808796497E-2</v>
      </c>
      <c r="F9" s="139">
        <f t="shared" si="1"/>
        <v>5.2672121445547719E-2</v>
      </c>
      <c r="G9" s="139">
        <f t="shared" si="1"/>
        <v>8.5021240811355495E-2</v>
      </c>
      <c r="H9" s="139">
        <f t="shared" si="1"/>
        <v>1.618294127601963E-2</v>
      </c>
      <c r="I9" s="139">
        <f t="shared" si="1"/>
        <v>3.1242840778923253E-2</v>
      </c>
      <c r="J9" s="139">
        <f t="shared" si="1"/>
        <v>3.4498608309287297E-2</v>
      </c>
      <c r="K9" s="139">
        <f t="shared" si="1"/>
        <v>3.2849503437738729E-2</v>
      </c>
      <c r="L9" s="139">
        <f t="shared" si="1"/>
        <v>4.9501161678283445E-2</v>
      </c>
      <c r="M9" s="139">
        <f t="shared" si="1"/>
        <v>3.2668625974593767E-2</v>
      </c>
      <c r="N9" s="139">
        <f t="shared" si="1"/>
        <v>4.1020200071651004E-2</v>
      </c>
      <c r="O9" s="139">
        <f t="shared" si="1"/>
        <v>4.7760621463508193E-2</v>
      </c>
      <c r="P9" s="139">
        <f t="shared" si="1"/>
        <v>2.3178349570002248E-2</v>
      </c>
      <c r="Q9" s="139"/>
    </row>
    <row r="10" spans="1:18" s="140" customFormat="1" x14ac:dyDescent="0.15">
      <c r="A10" s="141" t="s">
        <v>49</v>
      </c>
      <c r="B10" s="142"/>
      <c r="C10" s="143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8" x14ac:dyDescent="0.15">
      <c r="A11" s="129" t="s">
        <v>50</v>
      </c>
      <c r="B11" s="130" t="s">
        <v>51</v>
      </c>
      <c r="C11" s="145">
        <v>15381.928</v>
      </c>
      <c r="D11" s="146">
        <f>449.88+339.39</f>
        <v>789.27</v>
      </c>
      <c r="E11" s="146">
        <v>495.18</v>
      </c>
      <c r="F11" s="146">
        <v>4956.5649999999996</v>
      </c>
      <c r="G11" s="146">
        <v>1531.55</v>
      </c>
      <c r="H11" s="146">
        <v>1368.16</v>
      </c>
      <c r="I11" s="146">
        <v>2207.4</v>
      </c>
      <c r="J11" s="146">
        <v>503.53</v>
      </c>
      <c r="K11" s="146">
        <v>925.48</v>
      </c>
      <c r="L11" s="146">
        <v>643.09</v>
      </c>
      <c r="M11" s="146">
        <v>671.89</v>
      </c>
      <c r="N11" s="146">
        <v>3502.21</v>
      </c>
      <c r="O11" s="146">
        <v>339.00599999999997</v>
      </c>
      <c r="P11" s="146">
        <v>1816.1</v>
      </c>
      <c r="Q11" s="146"/>
      <c r="R11" s="128"/>
    </row>
    <row r="12" spans="1:18" x14ac:dyDescent="0.15">
      <c r="A12" s="129" t="s">
        <v>52</v>
      </c>
      <c r="B12" s="130" t="s">
        <v>53</v>
      </c>
      <c r="C12" s="145">
        <v>2325.8759865242355</v>
      </c>
      <c r="D12" s="146">
        <f>(2467.38+2546.83)/2</f>
        <v>2507.105</v>
      </c>
      <c r="E12" s="146">
        <v>2912.5319793034937</v>
      </c>
      <c r="F12" s="146">
        <v>2325.8759865242355</v>
      </c>
      <c r="G12" s="146">
        <v>2912.5319793034937</v>
      </c>
      <c r="H12" s="146">
        <v>2325.8759865242355</v>
      </c>
      <c r="I12" s="146">
        <v>2325.8759865242355</v>
      </c>
      <c r="J12" s="146">
        <v>2912.5319793034937</v>
      </c>
      <c r="K12" s="146">
        <v>2912.5319793034937</v>
      </c>
      <c r="L12" s="146">
        <v>2912.5319793034937</v>
      </c>
      <c r="M12" s="146">
        <v>2325.8759865242355</v>
      </c>
      <c r="N12" s="146">
        <v>2325.8759865242355</v>
      </c>
      <c r="O12" s="146">
        <v>2325.8759865242355</v>
      </c>
      <c r="P12" s="146">
        <v>2325.8759865242355</v>
      </c>
      <c r="Q12" s="146"/>
    </row>
    <row r="13" spans="1:18" s="150" customFormat="1" x14ac:dyDescent="0.15">
      <c r="A13" s="147" t="s">
        <v>54</v>
      </c>
      <c r="B13" s="130" t="s">
        <v>55</v>
      </c>
      <c r="C13" s="148">
        <f>C11*C12*C9</f>
        <v>47591.727725007739</v>
      </c>
      <c r="D13" s="149">
        <f t="shared" ref="D13:P13" si="2">D11*D12*D9</f>
        <v>57899.478079393419</v>
      </c>
      <c r="E13" s="149">
        <f t="shared" si="2"/>
        <v>30243.476136727633</v>
      </c>
      <c r="F13" s="149">
        <f t="shared" si="2"/>
        <v>607222.94144521339</v>
      </c>
      <c r="G13" s="149">
        <f t="shared" si="2"/>
        <v>379253.25863651221</v>
      </c>
      <c r="H13" s="149">
        <f t="shared" si="2"/>
        <v>51496.878165469912</v>
      </c>
      <c r="I13" s="149">
        <f t="shared" si="2"/>
        <v>160405.07646177191</v>
      </c>
      <c r="J13" s="149">
        <f t="shared" si="2"/>
        <v>50593.838369928431</v>
      </c>
      <c r="K13" s="149">
        <f t="shared" si="2"/>
        <v>88545.511181703041</v>
      </c>
      <c r="L13" s="149">
        <f t="shared" si="2"/>
        <v>92716.675280108888</v>
      </c>
      <c r="M13" s="149">
        <f t="shared" si="2"/>
        <v>51052.333883263913</v>
      </c>
      <c r="N13" s="149">
        <f t="shared" si="2"/>
        <v>334138.49553701782</v>
      </c>
      <c r="O13" s="149">
        <f t="shared" si="2"/>
        <v>37658.577300704143</v>
      </c>
      <c r="P13" s="149">
        <f t="shared" si="2"/>
        <v>97905.890473259962</v>
      </c>
      <c r="Q13" s="149"/>
    </row>
    <row r="14" spans="1:18" s="151" customFormat="1" outlineLevel="1" x14ac:dyDescent="0.15">
      <c r="A14" s="129" t="s">
        <v>56</v>
      </c>
      <c r="B14" s="130" t="s">
        <v>42</v>
      </c>
      <c r="C14" s="145">
        <v>0</v>
      </c>
      <c r="D14" s="146">
        <f>95.63+97.15</f>
        <v>192.78</v>
      </c>
      <c r="E14" s="146">
        <v>211.42100000000002</v>
      </c>
      <c r="F14" s="146">
        <v>0</v>
      </c>
      <c r="G14" s="146">
        <v>1071.8270000000002</v>
      </c>
      <c r="H14" s="146">
        <v>0</v>
      </c>
      <c r="I14" s="146">
        <v>0</v>
      </c>
      <c r="J14" s="146">
        <v>338.28699999999998</v>
      </c>
      <c r="K14" s="146">
        <v>5248.1469999999999</v>
      </c>
      <c r="L14" s="146">
        <v>266</v>
      </c>
      <c r="M14" s="146">
        <v>0</v>
      </c>
      <c r="N14" s="146">
        <v>0</v>
      </c>
      <c r="O14" s="146">
        <v>0</v>
      </c>
      <c r="P14" s="146">
        <v>0</v>
      </c>
      <c r="Q14" s="146"/>
    </row>
    <row r="15" spans="1:18" outlineLevel="1" x14ac:dyDescent="0.15">
      <c r="A15" s="129" t="s">
        <v>57</v>
      </c>
      <c r="B15" s="130" t="s">
        <v>58</v>
      </c>
      <c r="C15" s="132">
        <v>243.16</v>
      </c>
      <c r="D15" s="132">
        <v>243.16</v>
      </c>
      <c r="E15" s="132">
        <v>243.16</v>
      </c>
      <c r="F15" s="132">
        <v>0</v>
      </c>
      <c r="G15" s="132">
        <v>243.16</v>
      </c>
      <c r="H15" s="132">
        <v>0</v>
      </c>
      <c r="I15" s="132">
        <v>0</v>
      </c>
      <c r="J15" s="132">
        <v>243.16</v>
      </c>
      <c r="K15" s="132">
        <v>243.16</v>
      </c>
      <c r="L15" s="132">
        <v>243.16</v>
      </c>
      <c r="M15" s="132">
        <v>0</v>
      </c>
      <c r="N15" s="132">
        <v>0</v>
      </c>
      <c r="O15" s="132">
        <v>0</v>
      </c>
      <c r="P15" s="132">
        <v>0</v>
      </c>
      <c r="Q15" s="132"/>
    </row>
    <row r="16" spans="1:18" s="150" customFormat="1" ht="15" customHeight="1" outlineLevel="1" x14ac:dyDescent="0.15">
      <c r="A16" s="147" t="s">
        <v>59</v>
      </c>
      <c r="B16" s="130" t="s">
        <v>60</v>
      </c>
      <c r="C16" s="152">
        <f>C14*C15*C9</f>
        <v>0</v>
      </c>
      <c r="D16" s="153">
        <f t="shared" ref="D16:P16" si="3">D14*D15*D9</f>
        <v>1371.6099940015233</v>
      </c>
      <c r="E16" s="153">
        <f t="shared" si="3"/>
        <v>1078.0481685913353</v>
      </c>
      <c r="F16" s="153">
        <f t="shared" si="3"/>
        <v>0</v>
      </c>
      <c r="G16" s="153">
        <f t="shared" si="3"/>
        <v>22158.699428288415</v>
      </c>
      <c r="H16" s="153">
        <f t="shared" si="3"/>
        <v>0</v>
      </c>
      <c r="I16" s="153">
        <f t="shared" si="3"/>
        <v>0</v>
      </c>
      <c r="J16" s="153">
        <f t="shared" si="3"/>
        <v>2837.7819312305605</v>
      </c>
      <c r="K16" s="153">
        <f t="shared" si="3"/>
        <v>41920.546412803662</v>
      </c>
      <c r="L16" s="153">
        <f t="shared" si="3"/>
        <v>3201.7628580019132</v>
      </c>
      <c r="M16" s="153">
        <f t="shared" si="3"/>
        <v>0</v>
      </c>
      <c r="N16" s="153">
        <f t="shared" si="3"/>
        <v>0</v>
      </c>
      <c r="O16" s="153">
        <f t="shared" si="3"/>
        <v>0</v>
      </c>
      <c r="P16" s="153">
        <f t="shared" si="3"/>
        <v>0</v>
      </c>
      <c r="Q16" s="153"/>
    </row>
    <row r="17" spans="1:18" x14ac:dyDescent="0.15">
      <c r="A17" s="129" t="s">
        <v>61</v>
      </c>
      <c r="B17" s="130" t="s">
        <v>62</v>
      </c>
      <c r="C17" s="131">
        <v>9696124</v>
      </c>
      <c r="D17" s="132">
        <v>86480</v>
      </c>
      <c r="E17" s="146">
        <v>107748</v>
      </c>
      <c r="F17" s="146">
        <v>2378718</v>
      </c>
      <c r="G17" s="146">
        <v>213568</v>
      </c>
      <c r="H17" s="146">
        <v>553022.83400000003</v>
      </c>
      <c r="I17" s="146">
        <v>344889</v>
      </c>
      <c r="J17" s="146">
        <v>87160</v>
      </c>
      <c r="K17" s="146">
        <v>117940</v>
      </c>
      <c r="L17" s="146">
        <v>100400</v>
      </c>
      <c r="M17" s="146">
        <v>166110</v>
      </c>
      <c r="N17" s="146">
        <v>2031280</v>
      </c>
      <c r="O17" s="146">
        <v>191270</v>
      </c>
      <c r="P17" s="146">
        <v>1310928</v>
      </c>
      <c r="Q17" s="146"/>
      <c r="R17" s="128"/>
    </row>
    <row r="18" spans="1:18" x14ac:dyDescent="0.15">
      <c r="A18" s="129" t="s">
        <v>63</v>
      </c>
      <c r="B18" s="130" t="s">
        <v>64</v>
      </c>
      <c r="C18" s="131">
        <v>6.5531422342868515</v>
      </c>
      <c r="D18" s="132">
        <v>7.33</v>
      </c>
      <c r="E18" s="132">
        <v>7.7869610389610386</v>
      </c>
      <c r="F18" s="132">
        <v>6.5701663740278402</v>
      </c>
      <c r="G18" s="132">
        <v>7.7869610389610386</v>
      </c>
      <c r="H18" s="132">
        <v>7.7869610389610386</v>
      </c>
      <c r="I18" s="132">
        <v>5.8827167692864899</v>
      </c>
      <c r="J18" s="132">
        <v>7.33</v>
      </c>
      <c r="K18" s="132">
        <v>7.7869610389610386</v>
      </c>
      <c r="L18" s="132">
        <v>7.7869610389610386</v>
      </c>
      <c r="M18" s="132">
        <v>7.7869610389610386</v>
      </c>
      <c r="N18" s="132">
        <v>6.33</v>
      </c>
      <c r="O18" s="132">
        <v>7.7869685418208743</v>
      </c>
      <c r="P18" s="132">
        <v>6.7832782642689606</v>
      </c>
      <c r="Q18" s="132"/>
    </row>
    <row r="19" spans="1:18" ht="28" x14ac:dyDescent="0.15">
      <c r="A19" s="154" t="s">
        <v>65</v>
      </c>
      <c r="B19" s="155"/>
      <c r="C19" s="156">
        <v>1</v>
      </c>
      <c r="D19" s="157">
        <v>1.2</v>
      </c>
      <c r="E19" s="157">
        <v>1.2</v>
      </c>
      <c r="F19" s="157">
        <v>1.2</v>
      </c>
      <c r="G19" s="157">
        <v>1.2</v>
      </c>
      <c r="H19" s="157">
        <v>1.2</v>
      </c>
      <c r="I19" s="157">
        <v>1.2</v>
      </c>
      <c r="J19" s="157">
        <v>1.2</v>
      </c>
      <c r="K19" s="157">
        <v>1.2</v>
      </c>
      <c r="L19" s="157">
        <v>1.2</v>
      </c>
      <c r="M19" s="157">
        <v>1.2</v>
      </c>
      <c r="N19" s="157">
        <v>1</v>
      </c>
      <c r="O19" s="157">
        <v>1</v>
      </c>
      <c r="P19" s="157">
        <v>1</v>
      </c>
      <c r="Q19" s="157"/>
    </row>
    <row r="20" spans="1:18" s="150" customFormat="1" x14ac:dyDescent="0.15">
      <c r="A20" s="147" t="s">
        <v>66</v>
      </c>
      <c r="B20" s="130" t="s">
        <v>67</v>
      </c>
      <c r="C20" s="152">
        <f>C17*C18*C9*C19</f>
        <v>84524.361247675799</v>
      </c>
      <c r="D20" s="153">
        <f t="shared" ref="D20:P20" si="4">D17*D18*D9*D19</f>
        <v>22257.553802354876</v>
      </c>
      <c r="E20" s="153">
        <f t="shared" si="4"/>
        <v>21113.312421650819</v>
      </c>
      <c r="F20" s="153">
        <f t="shared" si="4"/>
        <v>987828.11515978875</v>
      </c>
      <c r="G20" s="153">
        <f t="shared" si="4"/>
        <v>169673.05023508475</v>
      </c>
      <c r="H20" s="153">
        <f t="shared" si="4"/>
        <v>83627.626216971665</v>
      </c>
      <c r="I20" s="153">
        <f t="shared" si="4"/>
        <v>76065.731116567375</v>
      </c>
      <c r="J20" s="153">
        <f t="shared" si="4"/>
        <v>26448.680967288881</v>
      </c>
      <c r="K20" s="153">
        <f t="shared" si="4"/>
        <v>36202.551522268404</v>
      </c>
      <c r="L20" s="153">
        <f t="shared" si="4"/>
        <v>46440.656620991147</v>
      </c>
      <c r="M20" s="153">
        <f t="shared" si="4"/>
        <v>50707.9314679132</v>
      </c>
      <c r="N20" s="153">
        <f>N17*N18*N9*N19</f>
        <v>527437.83096976881</v>
      </c>
      <c r="O20" s="153">
        <f t="shared" si="4"/>
        <v>71135.313086319278</v>
      </c>
      <c r="P20" s="153">
        <f t="shared" si="4"/>
        <v>206110.91022098088</v>
      </c>
      <c r="Q20" s="153"/>
    </row>
    <row r="21" spans="1:18" s="151" customFormat="1" outlineLevel="1" x14ac:dyDescent="0.15">
      <c r="A21" s="129" t="s">
        <v>68</v>
      </c>
      <c r="B21" s="130" t="s">
        <v>42</v>
      </c>
      <c r="C21" s="145">
        <v>36088.639999999999</v>
      </c>
      <c r="D21" s="146">
        <v>334</v>
      </c>
      <c r="E21" s="146">
        <v>369.03800000000001</v>
      </c>
      <c r="F21" s="146">
        <v>4219.1319999999996</v>
      </c>
      <c r="G21" s="146">
        <v>1578.29</v>
      </c>
      <c r="H21" s="146">
        <v>4677.2719999999999</v>
      </c>
      <c r="I21" s="146">
        <v>20883.203000000001</v>
      </c>
      <c r="J21" s="146">
        <v>2170</v>
      </c>
      <c r="K21" s="146">
        <v>3553</v>
      </c>
      <c r="L21" s="146">
        <v>2094.703</v>
      </c>
      <c r="M21" s="146">
        <v>2998</v>
      </c>
      <c r="N21" s="146">
        <v>17140</v>
      </c>
      <c r="O21" s="146">
        <v>1075</v>
      </c>
      <c r="P21" s="146">
        <v>10441</v>
      </c>
      <c r="Q21" s="146"/>
    </row>
    <row r="22" spans="1:18" ht="26.25" customHeight="1" outlineLevel="1" x14ac:dyDescent="0.15">
      <c r="A22" s="129" t="s">
        <v>69</v>
      </c>
      <c r="B22" s="130" t="s">
        <v>58</v>
      </c>
      <c r="C22" s="131">
        <v>43.57</v>
      </c>
      <c r="D22" s="131">
        <v>43.57</v>
      </c>
      <c r="E22" s="131">
        <v>43.57</v>
      </c>
      <c r="F22" s="131">
        <v>43.57</v>
      </c>
      <c r="G22" s="131">
        <v>43.57</v>
      </c>
      <c r="H22" s="131">
        <v>43.57</v>
      </c>
      <c r="I22" s="131">
        <v>43.57</v>
      </c>
      <c r="J22" s="131">
        <v>43.57</v>
      </c>
      <c r="K22" s="131">
        <v>43.57</v>
      </c>
      <c r="L22" s="131">
        <v>43.57</v>
      </c>
      <c r="M22" s="131">
        <v>43.57</v>
      </c>
      <c r="N22" s="131">
        <v>43.57</v>
      </c>
      <c r="O22" s="131">
        <v>43.57</v>
      </c>
      <c r="P22" s="131">
        <v>43.57</v>
      </c>
      <c r="Q22" s="131"/>
    </row>
    <row r="23" spans="1:18" s="150" customFormat="1" ht="29.25" customHeight="1" outlineLevel="1" x14ac:dyDescent="0.15">
      <c r="A23" s="147" t="s">
        <v>70</v>
      </c>
      <c r="B23" s="130" t="s">
        <v>67</v>
      </c>
      <c r="C23" s="152">
        <f>C21*C22*C9</f>
        <v>2091.6654277990369</v>
      </c>
      <c r="D23" s="153">
        <f t="shared" ref="D23:N23" si="5">D21*D22*D9</f>
        <v>425.8048040536583</v>
      </c>
      <c r="E23" s="153">
        <f t="shared" si="5"/>
        <v>337.17592424120011</v>
      </c>
      <c r="F23" s="153">
        <f t="shared" si="5"/>
        <v>9682.5886841145675</v>
      </c>
      <c r="G23" s="153">
        <f t="shared" si="5"/>
        <v>5846.5787481579209</v>
      </c>
      <c r="H23" s="153">
        <f t="shared" si="5"/>
        <v>3297.9012289642915</v>
      </c>
      <c r="I23" s="153">
        <f t="shared" si="5"/>
        <v>28427.272044347366</v>
      </c>
      <c r="J23" s="153">
        <f t="shared" si="5"/>
        <v>3261.736469957355</v>
      </c>
      <c r="K23" s="153">
        <f t="shared" si="5"/>
        <v>5085.2414285714276</v>
      </c>
      <c r="L23" s="153">
        <f t="shared" si="5"/>
        <v>4517.783402618832</v>
      </c>
      <c r="M23" s="153">
        <f t="shared" si="5"/>
        <v>4267.2693570717247</v>
      </c>
      <c r="N23" s="153">
        <f t="shared" si="5"/>
        <v>30633.46700746824</v>
      </c>
      <c r="O23" s="153"/>
      <c r="P23" s="153"/>
      <c r="Q23" s="153"/>
    </row>
    <row r="24" spans="1:18" s="151" customFormat="1" ht="29.25" customHeight="1" outlineLevel="1" x14ac:dyDescent="0.15">
      <c r="A24" s="129" t="s">
        <v>71</v>
      </c>
      <c r="B24" s="130" t="s">
        <v>72</v>
      </c>
      <c r="C24" s="145">
        <v>36088.639999999999</v>
      </c>
      <c r="D24" s="146">
        <v>334</v>
      </c>
      <c r="E24" s="146">
        <v>735.03800000000001</v>
      </c>
      <c r="F24" s="146">
        <v>4219.1319999999996</v>
      </c>
      <c r="G24" s="146">
        <v>2241.163</v>
      </c>
      <c r="H24" s="146">
        <v>4677.2719999999999</v>
      </c>
      <c r="I24" s="146">
        <v>20883.203000000001</v>
      </c>
      <c r="J24" s="146">
        <v>2170</v>
      </c>
      <c r="K24" s="146">
        <v>4974.2</v>
      </c>
      <c r="L24" s="146">
        <v>2355</v>
      </c>
      <c r="M24" s="146">
        <v>2998</v>
      </c>
      <c r="N24" s="146">
        <v>17140</v>
      </c>
      <c r="O24" s="146">
        <v>1075</v>
      </c>
      <c r="P24" s="146">
        <v>10441</v>
      </c>
      <c r="Q24" s="146"/>
    </row>
    <row r="25" spans="1:18" outlineLevel="1" x14ac:dyDescent="0.15">
      <c r="A25" s="129" t="s">
        <v>73</v>
      </c>
      <c r="B25" s="130" t="s">
        <v>58</v>
      </c>
      <c r="C25" s="131">
        <v>32.020000000000003</v>
      </c>
      <c r="D25" s="131">
        <v>32.020000000000003</v>
      </c>
      <c r="E25" s="131">
        <v>32.020000000000003</v>
      </c>
      <c r="F25" s="131">
        <v>32.020000000000003</v>
      </c>
      <c r="G25" s="131">
        <v>32.020000000000003</v>
      </c>
      <c r="H25" s="131">
        <v>32.020000000000003</v>
      </c>
      <c r="I25" s="131">
        <v>32.020000000000003</v>
      </c>
      <c r="J25" s="131">
        <v>32.020000000000003</v>
      </c>
      <c r="K25" s="131">
        <v>32.020000000000003</v>
      </c>
      <c r="L25" s="131">
        <v>32.020000000000003</v>
      </c>
      <c r="M25" s="131">
        <v>32.020000000000003</v>
      </c>
      <c r="N25" s="131">
        <v>32.020000000000003</v>
      </c>
      <c r="O25" s="131">
        <v>32.020000000000003</v>
      </c>
      <c r="P25" s="131">
        <v>32.020000000000003</v>
      </c>
      <c r="Q25" s="131"/>
    </row>
    <row r="26" spans="1:18" s="150" customFormat="1" ht="28.5" customHeight="1" outlineLevel="1" x14ac:dyDescent="0.15">
      <c r="A26" s="147" t="s">
        <v>74</v>
      </c>
      <c r="B26" s="158"/>
      <c r="C26" s="152">
        <f>C24*C25*C9</f>
        <v>1537.1844617426018</v>
      </c>
      <c r="D26" s="153">
        <f t="shared" ref="D26:N26" si="6">D24*D25*D9</f>
        <v>312.92792806513978</v>
      </c>
      <c r="E26" s="153">
        <f t="shared" si="6"/>
        <v>493.54758155913134</v>
      </c>
      <c r="F26" s="153">
        <f t="shared" si="6"/>
        <v>7115.824871823469</v>
      </c>
      <c r="G26" s="153">
        <f>G24*G25*G9</f>
        <v>6101.2976210384077</v>
      </c>
      <c r="H26" s="153">
        <f t="shared" si="6"/>
        <v>2423.6584198172282</v>
      </c>
      <c r="I26" s="153">
        <f t="shared" si="6"/>
        <v>20891.467772779499</v>
      </c>
      <c r="J26" s="153">
        <f t="shared" si="6"/>
        <v>2397.0806005975332</v>
      </c>
      <c r="K26" s="153">
        <f t="shared" si="6"/>
        <v>5232.0680000000002</v>
      </c>
      <c r="L26" s="153">
        <f t="shared" si="6"/>
        <v>3732.7390487904877</v>
      </c>
      <c r="M26" s="153">
        <f t="shared" si="6"/>
        <v>3136.0561123120642</v>
      </c>
      <c r="N26" s="153">
        <f t="shared" si="6"/>
        <v>22512.821059883707</v>
      </c>
      <c r="O26" s="153"/>
      <c r="P26" s="153"/>
      <c r="Q26" s="153"/>
    </row>
    <row r="27" spans="1:18" ht="28" x14ac:dyDescent="0.15">
      <c r="A27" s="129" t="s">
        <v>75</v>
      </c>
      <c r="B27" s="130" t="s">
        <v>76</v>
      </c>
      <c r="C27" s="131">
        <f>12-10-C28</f>
        <v>1</v>
      </c>
      <c r="D27" s="132">
        <v>12</v>
      </c>
      <c r="E27" s="132">
        <v>12</v>
      </c>
      <c r="F27" s="132">
        <v>12</v>
      </c>
      <c r="G27" s="132">
        <v>12</v>
      </c>
      <c r="H27" s="132">
        <v>12</v>
      </c>
      <c r="I27" s="132">
        <v>12</v>
      </c>
      <c r="J27" s="132">
        <v>12</v>
      </c>
      <c r="K27" s="132">
        <v>12</v>
      </c>
      <c r="L27" s="132">
        <v>12</v>
      </c>
      <c r="M27" s="132">
        <v>12</v>
      </c>
      <c r="N27" s="132">
        <v>12</v>
      </c>
      <c r="O27" s="132">
        <v>12</v>
      </c>
      <c r="P27" s="132">
        <v>12</v>
      </c>
      <c r="Q27" s="132"/>
    </row>
    <row r="28" spans="1:18" ht="28" x14ac:dyDescent="0.15">
      <c r="A28" s="129" t="s">
        <v>77</v>
      </c>
      <c r="B28" s="130" t="s">
        <v>76</v>
      </c>
      <c r="C28" s="131">
        <f>4-3</f>
        <v>1</v>
      </c>
      <c r="D28" s="132">
        <v>4</v>
      </c>
      <c r="E28" s="132">
        <v>4</v>
      </c>
      <c r="F28" s="132">
        <v>4</v>
      </c>
      <c r="G28" s="132">
        <v>4</v>
      </c>
      <c r="H28" s="132">
        <v>4</v>
      </c>
      <c r="I28" s="132">
        <v>4</v>
      </c>
      <c r="J28" s="132">
        <v>4</v>
      </c>
      <c r="K28" s="132">
        <v>4</v>
      </c>
      <c r="L28" s="132">
        <v>4</v>
      </c>
      <c r="M28" s="132">
        <v>4</v>
      </c>
      <c r="N28" s="132">
        <v>4</v>
      </c>
      <c r="O28" s="132">
        <v>4</v>
      </c>
      <c r="P28" s="132">
        <v>4</v>
      </c>
      <c r="Q28" s="132"/>
    </row>
    <row r="29" spans="1:18" x14ac:dyDescent="0.15">
      <c r="A29" s="154" t="s">
        <v>78</v>
      </c>
      <c r="B29" s="155" t="s">
        <v>79</v>
      </c>
      <c r="C29" s="159">
        <v>10</v>
      </c>
      <c r="D29" s="160">
        <v>50</v>
      </c>
      <c r="E29" s="160">
        <v>50</v>
      </c>
      <c r="F29" s="160">
        <v>50</v>
      </c>
      <c r="G29" s="160">
        <v>50</v>
      </c>
      <c r="H29" s="160">
        <v>50</v>
      </c>
      <c r="I29" s="160">
        <v>50</v>
      </c>
      <c r="J29" s="160">
        <v>50</v>
      </c>
      <c r="K29" s="160">
        <v>50</v>
      </c>
      <c r="L29" s="160">
        <v>50</v>
      </c>
      <c r="M29" s="160">
        <v>50</v>
      </c>
      <c r="N29" s="160">
        <v>50</v>
      </c>
      <c r="O29" s="160">
        <v>50</v>
      </c>
      <c r="P29" s="160">
        <v>50</v>
      </c>
      <c r="Q29" s="160"/>
    </row>
    <row r="30" spans="1:18" ht="28" x14ac:dyDescent="0.15">
      <c r="A30" s="129" t="s">
        <v>80</v>
      </c>
      <c r="B30" s="130" t="s">
        <v>79</v>
      </c>
      <c r="C30" s="161">
        <v>2</v>
      </c>
      <c r="D30" s="162">
        <v>3</v>
      </c>
      <c r="E30" s="162">
        <v>3</v>
      </c>
      <c r="F30" s="162">
        <v>3</v>
      </c>
      <c r="G30" s="162">
        <v>3</v>
      </c>
      <c r="H30" s="162">
        <v>3</v>
      </c>
      <c r="I30" s="162">
        <v>3</v>
      </c>
      <c r="J30" s="162">
        <v>3</v>
      </c>
      <c r="K30" s="162">
        <v>3</v>
      </c>
      <c r="L30" s="162">
        <v>3</v>
      </c>
      <c r="M30" s="162">
        <v>3</v>
      </c>
      <c r="N30" s="162">
        <v>3</v>
      </c>
      <c r="O30" s="162">
        <v>3</v>
      </c>
      <c r="P30" s="162">
        <v>3</v>
      </c>
      <c r="Q30" s="162"/>
    </row>
    <row r="31" spans="1:18" x14ac:dyDescent="0.15">
      <c r="A31" s="154" t="s">
        <v>81</v>
      </c>
      <c r="B31" s="155" t="s">
        <v>82</v>
      </c>
      <c r="C31" s="159">
        <v>6</v>
      </c>
      <c r="D31" s="160">
        <v>6</v>
      </c>
      <c r="E31" s="160">
        <v>6</v>
      </c>
      <c r="F31" s="160">
        <v>6</v>
      </c>
      <c r="G31" s="160">
        <v>6</v>
      </c>
      <c r="H31" s="160">
        <v>6</v>
      </c>
      <c r="I31" s="160">
        <v>6</v>
      </c>
      <c r="J31" s="160">
        <v>6</v>
      </c>
      <c r="K31" s="160">
        <v>6</v>
      </c>
      <c r="L31" s="160">
        <v>6</v>
      </c>
      <c r="M31" s="160">
        <v>6</v>
      </c>
      <c r="N31" s="160">
        <v>6</v>
      </c>
      <c r="O31" s="160">
        <v>6</v>
      </c>
      <c r="P31" s="160">
        <v>6</v>
      </c>
      <c r="Q31" s="160"/>
    </row>
    <row r="32" spans="1:18" ht="28" x14ac:dyDescent="0.15">
      <c r="A32" s="129" t="s">
        <v>83</v>
      </c>
      <c r="B32" s="130"/>
      <c r="C32" s="131">
        <v>1.5</v>
      </c>
      <c r="D32" s="132">
        <v>1.5</v>
      </c>
      <c r="E32" s="132">
        <v>1.5</v>
      </c>
      <c r="F32" s="132">
        <v>1.5</v>
      </c>
      <c r="G32" s="132">
        <v>1.5</v>
      </c>
      <c r="H32" s="132">
        <v>1.5</v>
      </c>
      <c r="I32" s="132">
        <v>1.5</v>
      </c>
      <c r="J32" s="132">
        <v>1.5</v>
      </c>
      <c r="K32" s="132">
        <v>1.5</v>
      </c>
      <c r="L32" s="132">
        <v>1.5</v>
      </c>
      <c r="M32" s="132">
        <v>1.5</v>
      </c>
      <c r="N32" s="132">
        <v>1.5</v>
      </c>
      <c r="O32" s="132">
        <v>1.5</v>
      </c>
      <c r="P32" s="132">
        <v>1.5</v>
      </c>
      <c r="Q32" s="132"/>
    </row>
    <row r="33" spans="1:17" x14ac:dyDescent="0.15">
      <c r="A33" s="129" t="s">
        <v>84</v>
      </c>
      <c r="B33" s="130"/>
      <c r="C33" s="131">
        <v>0.45</v>
      </c>
      <c r="D33" s="132">
        <v>0.45</v>
      </c>
      <c r="E33" s="132">
        <v>0.45</v>
      </c>
      <c r="F33" s="132">
        <v>0.45</v>
      </c>
      <c r="G33" s="132">
        <v>0.45</v>
      </c>
      <c r="H33" s="132">
        <v>0.45</v>
      </c>
      <c r="I33" s="132">
        <v>0.45</v>
      </c>
      <c r="J33" s="132">
        <v>0.45</v>
      </c>
      <c r="K33" s="132">
        <v>0.45</v>
      </c>
      <c r="L33" s="132">
        <v>0.45</v>
      </c>
      <c r="M33" s="132">
        <v>0.45</v>
      </c>
      <c r="N33" s="132">
        <v>0.45</v>
      </c>
      <c r="O33" s="132">
        <v>0.45</v>
      </c>
      <c r="P33" s="132">
        <v>0.45</v>
      </c>
      <c r="Q33" s="132"/>
    </row>
    <row r="34" spans="1:17" ht="28" x14ac:dyDescent="0.15">
      <c r="A34" s="129" t="s">
        <v>85</v>
      </c>
      <c r="B34" s="130" t="s">
        <v>86</v>
      </c>
      <c r="C34" s="131">
        <f>2.2*C29*C30</f>
        <v>44</v>
      </c>
      <c r="D34" s="132">
        <f t="shared" ref="D34:P34" si="7">2.2*D29*D30</f>
        <v>330.00000000000006</v>
      </c>
      <c r="E34" s="132">
        <f t="shared" si="7"/>
        <v>330.00000000000006</v>
      </c>
      <c r="F34" s="132">
        <f>2.2*F29*F30</f>
        <v>330.00000000000006</v>
      </c>
      <c r="G34" s="132">
        <f t="shared" si="7"/>
        <v>330.00000000000006</v>
      </c>
      <c r="H34" s="132">
        <f t="shared" si="7"/>
        <v>330.00000000000006</v>
      </c>
      <c r="I34" s="132">
        <f t="shared" si="7"/>
        <v>330.00000000000006</v>
      </c>
      <c r="J34" s="132">
        <f t="shared" si="7"/>
        <v>330.00000000000006</v>
      </c>
      <c r="K34" s="132">
        <f t="shared" si="7"/>
        <v>330.00000000000006</v>
      </c>
      <c r="L34" s="132">
        <f t="shared" si="7"/>
        <v>330.00000000000006</v>
      </c>
      <c r="M34" s="132">
        <f t="shared" si="7"/>
        <v>330.00000000000006</v>
      </c>
      <c r="N34" s="132">
        <f t="shared" si="7"/>
        <v>330.00000000000006</v>
      </c>
      <c r="O34" s="132">
        <f t="shared" si="7"/>
        <v>330.00000000000006</v>
      </c>
      <c r="P34" s="132">
        <f t="shared" si="7"/>
        <v>330.00000000000006</v>
      </c>
      <c r="Q34" s="132"/>
    </row>
    <row r="35" spans="1:17" ht="28" x14ac:dyDescent="0.15">
      <c r="A35" s="129" t="s">
        <v>87</v>
      </c>
      <c r="B35" s="130" t="s">
        <v>88</v>
      </c>
      <c r="C35" s="131">
        <f>C34*C31*C33</f>
        <v>118.8</v>
      </c>
      <c r="D35" s="132">
        <f t="shared" ref="D35:P35" si="8">D34*D31*D33</f>
        <v>891.00000000000023</v>
      </c>
      <c r="E35" s="132">
        <f t="shared" si="8"/>
        <v>891.00000000000023</v>
      </c>
      <c r="F35" s="132">
        <f>F34*F31*F33</f>
        <v>891.00000000000023</v>
      </c>
      <c r="G35" s="132">
        <f t="shared" si="8"/>
        <v>891.00000000000023</v>
      </c>
      <c r="H35" s="132">
        <f t="shared" si="8"/>
        <v>891.00000000000023</v>
      </c>
      <c r="I35" s="132">
        <f t="shared" si="8"/>
        <v>891.00000000000023</v>
      </c>
      <c r="J35" s="132">
        <f t="shared" si="8"/>
        <v>891.00000000000023</v>
      </c>
      <c r="K35" s="132">
        <f t="shared" si="8"/>
        <v>891.00000000000023</v>
      </c>
      <c r="L35" s="132">
        <f t="shared" si="8"/>
        <v>891.00000000000023</v>
      </c>
      <c r="M35" s="132">
        <f t="shared" si="8"/>
        <v>891.00000000000023</v>
      </c>
      <c r="N35" s="132">
        <f t="shared" si="8"/>
        <v>891.00000000000023</v>
      </c>
      <c r="O35" s="132">
        <f t="shared" si="8"/>
        <v>891.00000000000023</v>
      </c>
      <c r="P35" s="132">
        <f t="shared" si="8"/>
        <v>891.00000000000023</v>
      </c>
      <c r="Q35" s="132"/>
    </row>
    <row r="36" spans="1:17" x14ac:dyDescent="0.15">
      <c r="A36" s="129" t="s">
        <v>89</v>
      </c>
      <c r="B36" s="130" t="s">
        <v>90</v>
      </c>
      <c r="C36" s="131">
        <f>0.001*C32*C27*C35</f>
        <v>0.1782</v>
      </c>
      <c r="D36" s="132">
        <f t="shared" ref="D36:P36" si="9">0.001*D32*D27*D35</f>
        <v>16.038000000000007</v>
      </c>
      <c r="E36" s="132">
        <f t="shared" si="9"/>
        <v>16.038000000000007</v>
      </c>
      <c r="F36" s="132">
        <f t="shared" si="9"/>
        <v>16.038000000000007</v>
      </c>
      <c r="G36" s="132">
        <f t="shared" si="9"/>
        <v>16.038000000000007</v>
      </c>
      <c r="H36" s="132">
        <f t="shared" si="9"/>
        <v>16.038000000000007</v>
      </c>
      <c r="I36" s="132">
        <f t="shared" si="9"/>
        <v>16.038000000000007</v>
      </c>
      <c r="J36" s="132">
        <f t="shared" si="9"/>
        <v>16.038000000000007</v>
      </c>
      <c r="K36" s="132">
        <f t="shared" si="9"/>
        <v>16.038000000000007</v>
      </c>
      <c r="L36" s="132">
        <f t="shared" si="9"/>
        <v>16.038000000000007</v>
      </c>
      <c r="M36" s="132">
        <f t="shared" si="9"/>
        <v>16.038000000000007</v>
      </c>
      <c r="N36" s="132">
        <f t="shared" si="9"/>
        <v>16.038000000000007</v>
      </c>
      <c r="O36" s="132">
        <f t="shared" si="9"/>
        <v>16.038000000000007</v>
      </c>
      <c r="P36" s="132">
        <f t="shared" si="9"/>
        <v>16.038000000000007</v>
      </c>
      <c r="Q36" s="132"/>
    </row>
    <row r="37" spans="1:17" x14ac:dyDescent="0.15">
      <c r="A37" s="129" t="s">
        <v>91</v>
      </c>
      <c r="B37" s="130" t="s">
        <v>90</v>
      </c>
      <c r="C37" s="131">
        <f t="shared" ref="C37:P37" si="10">0.001*C32*C28*C35</f>
        <v>0.1782</v>
      </c>
      <c r="D37" s="132">
        <f t="shared" si="10"/>
        <v>5.3460000000000019</v>
      </c>
      <c r="E37" s="132">
        <f t="shared" si="10"/>
        <v>5.3460000000000019</v>
      </c>
      <c r="F37" s="132">
        <f t="shared" si="10"/>
        <v>5.3460000000000019</v>
      </c>
      <c r="G37" s="132">
        <f t="shared" si="10"/>
        <v>5.3460000000000019</v>
      </c>
      <c r="H37" s="132">
        <f t="shared" si="10"/>
        <v>5.3460000000000019</v>
      </c>
      <c r="I37" s="132">
        <f t="shared" si="10"/>
        <v>5.3460000000000019</v>
      </c>
      <c r="J37" s="132">
        <f t="shared" si="10"/>
        <v>5.3460000000000019</v>
      </c>
      <c r="K37" s="132">
        <f t="shared" si="10"/>
        <v>5.3460000000000019</v>
      </c>
      <c r="L37" s="132">
        <f t="shared" si="10"/>
        <v>5.3460000000000019</v>
      </c>
      <c r="M37" s="132">
        <f t="shared" si="10"/>
        <v>5.3460000000000019</v>
      </c>
      <c r="N37" s="132">
        <f t="shared" si="10"/>
        <v>5.3460000000000019</v>
      </c>
      <c r="O37" s="132">
        <f t="shared" si="10"/>
        <v>5.3460000000000019</v>
      </c>
      <c r="P37" s="132">
        <f t="shared" si="10"/>
        <v>5.3460000000000019</v>
      </c>
      <c r="Q37" s="132"/>
    </row>
    <row r="38" spans="1:17" x14ac:dyDescent="0.15">
      <c r="A38" s="129"/>
      <c r="B38" s="130"/>
      <c r="C38" s="131">
        <f>C37*C15</f>
        <v>43.331111999999997</v>
      </c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</row>
    <row r="39" spans="1:17" s="150" customFormat="1" ht="36" customHeight="1" x14ac:dyDescent="0.15">
      <c r="A39" s="147" t="s">
        <v>92</v>
      </c>
      <c r="B39" s="130" t="s">
        <v>60</v>
      </c>
      <c r="C39" s="152">
        <f t="shared" ref="C39:P39" si="11">C37*C40*C15</f>
        <v>10702.784663999999</v>
      </c>
      <c r="D39" s="153">
        <f t="shared" si="11"/>
        <v>321083.53992000013</v>
      </c>
      <c r="E39" s="153">
        <f t="shared" si="11"/>
        <v>321083.53992000013</v>
      </c>
      <c r="F39" s="153">
        <f t="shared" si="11"/>
        <v>0</v>
      </c>
      <c r="G39" s="153">
        <f>G37*G40*G15</f>
        <v>321083.53992000013</v>
      </c>
      <c r="H39" s="153">
        <f t="shared" si="11"/>
        <v>0</v>
      </c>
      <c r="I39" s="153">
        <f t="shared" si="11"/>
        <v>0</v>
      </c>
      <c r="J39" s="153">
        <f t="shared" si="11"/>
        <v>321083.53992000013</v>
      </c>
      <c r="K39" s="153">
        <f t="shared" si="11"/>
        <v>321083.53992000013</v>
      </c>
      <c r="L39" s="153">
        <f t="shared" si="11"/>
        <v>321083.53992000013</v>
      </c>
      <c r="M39" s="153">
        <f t="shared" si="11"/>
        <v>0</v>
      </c>
      <c r="N39" s="153">
        <f t="shared" si="11"/>
        <v>0</v>
      </c>
      <c r="O39" s="153">
        <f t="shared" si="11"/>
        <v>0</v>
      </c>
      <c r="P39" s="153">
        <f t="shared" si="11"/>
        <v>0</v>
      </c>
      <c r="Q39" s="153"/>
    </row>
    <row r="40" spans="1:17" x14ac:dyDescent="0.15">
      <c r="A40" s="154" t="s">
        <v>93</v>
      </c>
      <c r="B40" s="155" t="s">
        <v>94</v>
      </c>
      <c r="C40" s="159">
        <v>247</v>
      </c>
      <c r="D40" s="160">
        <v>247</v>
      </c>
      <c r="E40" s="160">
        <v>247</v>
      </c>
      <c r="F40" s="160">
        <v>247</v>
      </c>
      <c r="G40" s="160">
        <v>247</v>
      </c>
      <c r="H40" s="160">
        <v>247</v>
      </c>
      <c r="I40" s="160">
        <v>247</v>
      </c>
      <c r="J40" s="160">
        <v>247</v>
      </c>
      <c r="K40" s="160">
        <v>247</v>
      </c>
      <c r="L40" s="160">
        <v>247</v>
      </c>
      <c r="M40" s="160">
        <v>247</v>
      </c>
      <c r="N40" s="160">
        <v>247</v>
      </c>
      <c r="O40" s="160">
        <v>247</v>
      </c>
      <c r="P40" s="160">
        <v>247</v>
      </c>
      <c r="Q40" s="160"/>
    </row>
    <row r="41" spans="1:17" ht="22.5" customHeight="1" x14ac:dyDescent="0.15">
      <c r="A41" s="129" t="s">
        <v>95</v>
      </c>
      <c r="B41" s="130" t="s">
        <v>67</v>
      </c>
      <c r="C41" s="131">
        <f t="shared" ref="C41:P41" si="12">C36*C40*C22</f>
        <v>1917.750978</v>
      </c>
      <c r="D41" s="132">
        <f t="shared" si="12"/>
        <v>172597.58802000008</v>
      </c>
      <c r="E41" s="132">
        <f t="shared" si="12"/>
        <v>172597.58802000008</v>
      </c>
      <c r="F41" s="132">
        <f t="shared" si="12"/>
        <v>172597.58802000008</v>
      </c>
      <c r="G41" s="132">
        <f>G36*G40*G22</f>
        <v>172597.58802000008</v>
      </c>
      <c r="H41" s="132">
        <f t="shared" si="12"/>
        <v>172597.58802000008</v>
      </c>
      <c r="I41" s="132">
        <f t="shared" si="12"/>
        <v>172597.58802000008</v>
      </c>
      <c r="J41" s="132">
        <f t="shared" si="12"/>
        <v>172597.58802000008</v>
      </c>
      <c r="K41" s="132">
        <f t="shared" si="12"/>
        <v>172597.58802000008</v>
      </c>
      <c r="L41" s="132">
        <f t="shared" si="12"/>
        <v>172597.58802000008</v>
      </c>
      <c r="M41" s="132">
        <f t="shared" si="12"/>
        <v>172597.58802000008</v>
      </c>
      <c r="N41" s="132">
        <f t="shared" si="12"/>
        <v>172597.58802000008</v>
      </c>
      <c r="O41" s="132">
        <f t="shared" si="12"/>
        <v>172597.58802000008</v>
      </c>
      <c r="P41" s="132">
        <f t="shared" si="12"/>
        <v>172597.58802000008</v>
      </c>
      <c r="Q41" s="132"/>
    </row>
    <row r="42" spans="1:17" ht="33" customHeight="1" x14ac:dyDescent="0.15">
      <c r="A42" s="129" t="s">
        <v>96</v>
      </c>
      <c r="B42" s="130" t="s">
        <v>67</v>
      </c>
      <c r="C42" s="131">
        <f t="shared" ref="C42:P42" si="13">C36*C40*C25</f>
        <v>1409.3731080000002</v>
      </c>
      <c r="D42" s="132">
        <f t="shared" si="13"/>
        <v>126843.57972000007</v>
      </c>
      <c r="E42" s="132">
        <f t="shared" si="13"/>
        <v>126843.57972000007</v>
      </c>
      <c r="F42" s="132">
        <f t="shared" si="13"/>
        <v>126843.57972000007</v>
      </c>
      <c r="G42" s="132">
        <f>G36*G40*G25</f>
        <v>126843.57972000007</v>
      </c>
      <c r="H42" s="132">
        <f t="shared" si="13"/>
        <v>126843.57972000007</v>
      </c>
      <c r="I42" s="132">
        <f t="shared" si="13"/>
        <v>126843.57972000007</v>
      </c>
      <c r="J42" s="132">
        <f t="shared" si="13"/>
        <v>126843.57972000007</v>
      </c>
      <c r="K42" s="132">
        <f t="shared" si="13"/>
        <v>126843.57972000007</v>
      </c>
      <c r="L42" s="132">
        <f t="shared" si="13"/>
        <v>126843.57972000007</v>
      </c>
      <c r="M42" s="132">
        <f t="shared" si="13"/>
        <v>126843.57972000007</v>
      </c>
      <c r="N42" s="132">
        <f t="shared" si="13"/>
        <v>126843.57972000007</v>
      </c>
      <c r="O42" s="132">
        <f t="shared" si="13"/>
        <v>126843.57972000007</v>
      </c>
      <c r="P42" s="132">
        <f t="shared" si="13"/>
        <v>126843.57972000007</v>
      </c>
      <c r="Q42" s="132"/>
    </row>
    <row r="43" spans="1:17" s="150" customFormat="1" ht="23.25" customHeight="1" x14ac:dyDescent="0.15">
      <c r="A43" s="147" t="s">
        <v>97</v>
      </c>
      <c r="B43" s="130" t="s">
        <v>67</v>
      </c>
      <c r="C43" s="152">
        <f>C41+C42</f>
        <v>3327.1240860000003</v>
      </c>
      <c r="D43" s="153">
        <f>D41+D42</f>
        <v>299441.16774000018</v>
      </c>
      <c r="E43" s="153">
        <f t="shared" ref="E43:P43" si="14">E41+E42</f>
        <v>299441.16774000018</v>
      </c>
      <c r="F43" s="153">
        <f t="shared" si="14"/>
        <v>299441.16774000018</v>
      </c>
      <c r="G43" s="153">
        <f>G41+G42</f>
        <v>299441.16774000018</v>
      </c>
      <c r="H43" s="153">
        <f t="shared" si="14"/>
        <v>299441.16774000018</v>
      </c>
      <c r="I43" s="153">
        <f t="shared" si="14"/>
        <v>299441.16774000018</v>
      </c>
      <c r="J43" s="153">
        <f t="shared" si="14"/>
        <v>299441.16774000018</v>
      </c>
      <c r="K43" s="153">
        <f t="shared" si="14"/>
        <v>299441.16774000018</v>
      </c>
      <c r="L43" s="153">
        <f t="shared" si="14"/>
        <v>299441.16774000018</v>
      </c>
      <c r="M43" s="153">
        <f t="shared" si="14"/>
        <v>299441.16774000018</v>
      </c>
      <c r="N43" s="153">
        <f t="shared" si="14"/>
        <v>299441.16774000018</v>
      </c>
      <c r="O43" s="153">
        <f t="shared" si="14"/>
        <v>299441.16774000018</v>
      </c>
      <c r="P43" s="153">
        <f t="shared" si="14"/>
        <v>299441.16774000018</v>
      </c>
      <c r="Q43" s="153"/>
    </row>
    <row r="44" spans="1:17" s="150" customFormat="1" x14ac:dyDescent="0.15">
      <c r="A44" s="147" t="s">
        <v>98</v>
      </c>
      <c r="B44" s="130" t="s">
        <v>67</v>
      </c>
      <c r="C44" s="152">
        <f>C13+C20+C39+C43</f>
        <v>146145.99772268353</v>
      </c>
      <c r="D44" s="153">
        <f t="shared" ref="D44:P44" si="15">D13+D20+D39+D43</f>
        <v>700681.73954174854</v>
      </c>
      <c r="E44" s="153">
        <f t="shared" si="15"/>
        <v>671881.49621837877</v>
      </c>
      <c r="F44" s="153">
        <f t="shared" si="15"/>
        <v>1894492.2243450023</v>
      </c>
      <c r="G44" s="153">
        <f>G13+G20+G39+G43</f>
        <v>1169451.0165315974</v>
      </c>
      <c r="H44" s="153">
        <f t="shared" si="15"/>
        <v>434565.67212244176</v>
      </c>
      <c r="I44" s="153">
        <f t="shared" si="15"/>
        <v>535911.97531833942</v>
      </c>
      <c r="J44" s="153">
        <f t="shared" si="15"/>
        <v>697567.22699721763</v>
      </c>
      <c r="K44" s="153">
        <f t="shared" si="15"/>
        <v>745272.77036397182</v>
      </c>
      <c r="L44" s="153">
        <f t="shared" si="15"/>
        <v>759682.0395611003</v>
      </c>
      <c r="M44" s="153">
        <f t="shared" si="15"/>
        <v>401201.43309117726</v>
      </c>
      <c r="N44" s="153">
        <f t="shared" si="15"/>
        <v>1161017.4942467869</v>
      </c>
      <c r="O44" s="153">
        <f t="shared" si="15"/>
        <v>408235.05812702363</v>
      </c>
      <c r="P44" s="153">
        <f t="shared" si="15"/>
        <v>603457.96843424102</v>
      </c>
      <c r="Q44" s="153"/>
    </row>
    <row r="45" spans="1:17" x14ac:dyDescent="0.15">
      <c r="A45" s="147" t="s">
        <v>99</v>
      </c>
      <c r="B45" s="130" t="s">
        <v>100</v>
      </c>
      <c r="C45" s="148">
        <f>C44/12</f>
        <v>12178.833143556962</v>
      </c>
      <c r="D45" s="149">
        <f t="shared" ref="D45:P45" si="16">D44/12</f>
        <v>58390.144961812381</v>
      </c>
      <c r="E45" s="149">
        <f t="shared" si="16"/>
        <v>55990.124684864895</v>
      </c>
      <c r="F45" s="149">
        <f t="shared" si="16"/>
        <v>157874.3520287502</v>
      </c>
      <c r="G45" s="149">
        <f>G44/12</f>
        <v>97454.251377633118</v>
      </c>
      <c r="H45" s="149">
        <f t="shared" si="16"/>
        <v>36213.80601020348</v>
      </c>
      <c r="I45" s="149">
        <f t="shared" si="16"/>
        <v>44659.331276528283</v>
      </c>
      <c r="J45" s="149">
        <f t="shared" si="16"/>
        <v>58130.602249768133</v>
      </c>
      <c r="K45" s="149">
        <f t="shared" si="16"/>
        <v>62106.06419699765</v>
      </c>
      <c r="L45" s="149">
        <f t="shared" si="16"/>
        <v>63306.83663009169</v>
      </c>
      <c r="M45" s="149">
        <f t="shared" si="16"/>
        <v>33433.452757598105</v>
      </c>
      <c r="N45" s="149">
        <f t="shared" si="16"/>
        <v>96751.457853898915</v>
      </c>
      <c r="O45" s="149">
        <f t="shared" si="16"/>
        <v>34019.588177251972</v>
      </c>
      <c r="P45" s="149">
        <f t="shared" si="16"/>
        <v>50288.164036186754</v>
      </c>
      <c r="Q45" s="149"/>
    </row>
    <row r="46" spans="1:17" x14ac:dyDescent="0.15">
      <c r="A46" s="163" t="s">
        <v>101</v>
      </c>
      <c r="B46" s="164"/>
      <c r="C46" s="165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</row>
    <row r="47" spans="1:17" x14ac:dyDescent="0.15">
      <c r="A47" s="154" t="s">
        <v>102</v>
      </c>
      <c r="B47" s="155" t="s">
        <v>7</v>
      </c>
      <c r="C47" s="167">
        <v>12</v>
      </c>
      <c r="D47" s="167">
        <v>12</v>
      </c>
      <c r="E47" s="167">
        <v>12</v>
      </c>
      <c r="F47" s="167">
        <v>12</v>
      </c>
      <c r="G47" s="167">
        <v>12</v>
      </c>
      <c r="H47" s="167">
        <v>12</v>
      </c>
      <c r="I47" s="167">
        <v>12</v>
      </c>
      <c r="J47" s="167">
        <v>12</v>
      </c>
      <c r="K47" s="167">
        <v>12</v>
      </c>
      <c r="L47" s="167">
        <v>12</v>
      </c>
      <c r="M47" s="167">
        <v>12</v>
      </c>
      <c r="N47" s="167">
        <v>12</v>
      </c>
      <c r="O47" s="167">
        <v>12</v>
      </c>
      <c r="P47" s="167">
        <v>12</v>
      </c>
      <c r="Q47" s="167"/>
    </row>
    <row r="48" spans="1:17" x14ac:dyDescent="0.15">
      <c r="A48" s="129" t="s">
        <v>103</v>
      </c>
      <c r="B48" s="130" t="s">
        <v>55</v>
      </c>
      <c r="C48" s="131">
        <f>841.77*1.1</f>
        <v>925.947</v>
      </c>
      <c r="D48" s="131">
        <v>923.15</v>
      </c>
      <c r="E48" s="131">
        <v>925.947</v>
      </c>
      <c r="F48" s="131">
        <v>925.947</v>
      </c>
      <c r="G48" s="131">
        <v>925.947</v>
      </c>
      <c r="H48" s="131">
        <v>925.947</v>
      </c>
      <c r="I48" s="131">
        <v>925.947</v>
      </c>
      <c r="J48" s="131">
        <v>925.947</v>
      </c>
      <c r="K48" s="131">
        <v>925.947</v>
      </c>
      <c r="L48" s="131">
        <v>925.947</v>
      </c>
      <c r="M48" s="131">
        <v>925.947</v>
      </c>
      <c r="N48" s="131">
        <v>925.947</v>
      </c>
      <c r="O48" s="131">
        <v>925.947</v>
      </c>
      <c r="P48" s="131">
        <v>925.947</v>
      </c>
      <c r="Q48" s="131"/>
    </row>
    <row r="49" spans="1:17" s="168" customFormat="1" x14ac:dyDescent="0.15">
      <c r="A49" s="147" t="s">
        <v>104</v>
      </c>
      <c r="B49" s="130" t="s">
        <v>105</v>
      </c>
      <c r="C49" s="148">
        <f>C48*C47</f>
        <v>11111.364</v>
      </c>
      <c r="D49" s="148">
        <f t="shared" ref="D49:P49" si="17">D48*D47</f>
        <v>11077.8</v>
      </c>
      <c r="E49" s="148">
        <f t="shared" si="17"/>
        <v>11111.364</v>
      </c>
      <c r="F49" s="148">
        <f t="shared" si="17"/>
        <v>11111.364</v>
      </c>
      <c r="G49" s="148">
        <f t="shared" si="17"/>
        <v>11111.364</v>
      </c>
      <c r="H49" s="148">
        <f t="shared" si="17"/>
        <v>11111.364</v>
      </c>
      <c r="I49" s="148">
        <f t="shared" si="17"/>
        <v>11111.364</v>
      </c>
      <c r="J49" s="148">
        <f t="shared" si="17"/>
        <v>11111.364</v>
      </c>
      <c r="K49" s="148">
        <f t="shared" si="17"/>
        <v>11111.364</v>
      </c>
      <c r="L49" s="148">
        <f t="shared" si="17"/>
        <v>11111.364</v>
      </c>
      <c r="M49" s="148">
        <f t="shared" si="17"/>
        <v>11111.364</v>
      </c>
      <c r="N49" s="148">
        <f t="shared" si="17"/>
        <v>11111.364</v>
      </c>
      <c r="O49" s="148">
        <f t="shared" si="17"/>
        <v>11111.364</v>
      </c>
      <c r="P49" s="148">
        <f t="shared" si="17"/>
        <v>11111.364</v>
      </c>
      <c r="Q49" s="148"/>
    </row>
    <row r="50" spans="1:17" s="168" customFormat="1" x14ac:dyDescent="0.15">
      <c r="A50" s="147" t="s">
        <v>106</v>
      </c>
      <c r="B50" s="130" t="s">
        <v>100</v>
      </c>
      <c r="C50" s="148">
        <f t="shared" ref="C50:P50" si="18">0.38*C5</f>
        <v>51.414000000000001</v>
      </c>
      <c r="D50" s="148">
        <f t="shared" si="18"/>
        <v>37.962000000000003</v>
      </c>
      <c r="E50" s="148">
        <f t="shared" si="18"/>
        <v>35.112000000000002</v>
      </c>
      <c r="F50" s="148">
        <f t="shared" si="18"/>
        <v>426.13200000000006</v>
      </c>
      <c r="G50" s="148">
        <f t="shared" si="18"/>
        <v>222.83199999999999</v>
      </c>
      <c r="H50" s="148">
        <f t="shared" si="18"/>
        <v>29.07</v>
      </c>
      <c r="I50" s="148">
        <f t="shared" si="18"/>
        <v>82.915999999999997</v>
      </c>
      <c r="J50" s="148">
        <f t="shared" si="18"/>
        <v>51.338000000000001</v>
      </c>
      <c r="K50" s="148">
        <f t="shared" si="18"/>
        <v>44.117999999999995</v>
      </c>
      <c r="L50" s="148">
        <f t="shared" si="18"/>
        <v>68.817999999999998</v>
      </c>
      <c r="M50" s="148">
        <f t="shared" si="18"/>
        <v>51.11</v>
      </c>
      <c r="N50" s="148">
        <f t="shared" si="18"/>
        <v>226.25199999999998</v>
      </c>
      <c r="O50" s="148">
        <f t="shared" si="18"/>
        <v>56.771999999999991</v>
      </c>
      <c r="P50" s="148">
        <f t="shared" si="18"/>
        <v>101.80199999999999</v>
      </c>
      <c r="Q50" s="148"/>
    </row>
    <row r="51" spans="1:17" s="168" customFormat="1" ht="28" x14ac:dyDescent="0.15">
      <c r="A51" s="129" t="s">
        <v>107</v>
      </c>
      <c r="B51" s="130" t="s">
        <v>67</v>
      </c>
      <c r="C51" s="169">
        <f>219999999.96*0.28</f>
        <v>61599999.988800012</v>
      </c>
      <c r="D51" s="148">
        <f>438621.85+456166.72</f>
        <v>894788.57</v>
      </c>
      <c r="E51" s="148">
        <v>1668238.17</v>
      </c>
      <c r="F51" s="148">
        <v>7308456.8000000007</v>
      </c>
      <c r="G51" s="148">
        <v>2467873.61</v>
      </c>
      <c r="H51" s="148">
        <v>1926469.9700000002</v>
      </c>
      <c r="I51" s="148">
        <v>3161520.46</v>
      </c>
      <c r="J51" s="148">
        <v>1635992.45</v>
      </c>
      <c r="K51" s="148">
        <v>1594814.9799999997</v>
      </c>
      <c r="L51" s="148">
        <v>1677651.8599999999</v>
      </c>
      <c r="M51" s="148">
        <v>1780342.6300000001</v>
      </c>
      <c r="N51" s="148">
        <v>6755829.8699999992</v>
      </c>
      <c r="O51" s="148">
        <v>1383024.3</v>
      </c>
      <c r="P51" s="148">
        <v>5252854.93</v>
      </c>
      <c r="Q51" s="148"/>
    </row>
    <row r="52" spans="1:17" s="168" customFormat="1" ht="28" x14ac:dyDescent="0.15">
      <c r="A52" s="129" t="s">
        <v>108</v>
      </c>
      <c r="B52" s="130" t="s">
        <v>55</v>
      </c>
      <c r="C52" s="169">
        <f t="shared" ref="C52:P52" si="19">C51/C4/12</f>
        <v>50.470291342050935</v>
      </c>
      <c r="D52" s="148">
        <f t="shared" si="19"/>
        <v>21.839878790541462</v>
      </c>
      <c r="E52" s="148">
        <f t="shared" si="19"/>
        <v>31.550245670971108</v>
      </c>
      <c r="F52" s="148">
        <f t="shared" si="19"/>
        <v>28.606498138423628</v>
      </c>
      <c r="G52" s="148">
        <f t="shared" si="19"/>
        <v>29.817768941535814</v>
      </c>
      <c r="H52" s="148">
        <f t="shared" si="19"/>
        <v>33.96073027726068</v>
      </c>
      <c r="I52" s="148">
        <f t="shared" si="19"/>
        <v>37.723373186330662</v>
      </c>
      <c r="J52" s="148">
        <f t="shared" si="19"/>
        <v>34.813386830435043</v>
      </c>
      <c r="K52" s="148">
        <f t="shared" si="19"/>
        <v>37.603273161116292</v>
      </c>
      <c r="L52" s="148">
        <f t="shared" si="19"/>
        <v>38.21356339118946</v>
      </c>
      <c r="M52" s="148">
        <f t="shared" si="19"/>
        <v>36.035531280108167</v>
      </c>
      <c r="N52" s="148">
        <f t="shared" si="19"/>
        <v>38.787018939289545</v>
      </c>
      <c r="O52" s="148">
        <f t="shared" si="19"/>
        <v>36.844098654135102</v>
      </c>
      <c r="P52" s="148">
        <f t="shared" si="19"/>
        <v>37.872498384984972</v>
      </c>
      <c r="Q52" s="148"/>
    </row>
    <row r="53" spans="1:17" s="168" customFormat="1" x14ac:dyDescent="0.15">
      <c r="A53" s="147" t="s">
        <v>109</v>
      </c>
      <c r="B53" s="130" t="s">
        <v>67</v>
      </c>
      <c r="C53" s="169">
        <f>C52*C6</f>
        <v>4835.0539105684793</v>
      </c>
      <c r="D53" s="148"/>
      <c r="E53" s="148">
        <f t="shared" ref="E53:P53" si="20">E52*E6</f>
        <v>1596.442430951138</v>
      </c>
      <c r="F53" s="148">
        <f t="shared" si="20"/>
        <v>13902.758095273883</v>
      </c>
      <c r="G53" s="148">
        <f t="shared" si="20"/>
        <v>9273.3261408176386</v>
      </c>
      <c r="H53" s="148">
        <f t="shared" si="20"/>
        <v>1674.2640026689514</v>
      </c>
      <c r="I53" s="148">
        <f t="shared" si="20"/>
        <v>3964.7265218833522</v>
      </c>
      <c r="J53" s="148">
        <f t="shared" si="20"/>
        <v>4355.1546924874237</v>
      </c>
      <c r="K53" s="148">
        <f t="shared" si="20"/>
        <v>3749.0463341632944</v>
      </c>
      <c r="L53" s="148">
        <f t="shared" si="20"/>
        <v>4547.4140435515455</v>
      </c>
      <c r="M53" s="148">
        <f t="shared" si="20"/>
        <v>4154.8967565964713</v>
      </c>
      <c r="N53" s="148">
        <f t="shared" si="20"/>
        <v>14005.992538977456</v>
      </c>
      <c r="O53" s="148">
        <f t="shared" si="20"/>
        <v>2840.6800062338161</v>
      </c>
      <c r="P53" s="148">
        <f t="shared" si="20"/>
        <v>3787.2498384984974</v>
      </c>
      <c r="Q53" s="148"/>
    </row>
    <row r="54" spans="1:17" s="168" customFormat="1" x14ac:dyDescent="0.15">
      <c r="A54" s="129" t="s">
        <v>110</v>
      </c>
      <c r="B54" s="130" t="s">
        <v>39</v>
      </c>
      <c r="C54" s="148"/>
      <c r="D54" s="148"/>
      <c r="E54" s="148">
        <v>26.68</v>
      </c>
      <c r="F54" s="148">
        <v>294.45</v>
      </c>
      <c r="G54" s="148">
        <v>586.4</v>
      </c>
      <c r="H54" s="148">
        <v>32</v>
      </c>
      <c r="I54" s="148">
        <v>82.7</v>
      </c>
      <c r="J54" s="148">
        <v>32</v>
      </c>
      <c r="K54" s="148">
        <v>24</v>
      </c>
      <c r="L54" s="148">
        <v>36</v>
      </c>
      <c r="M54" s="148">
        <v>37.5</v>
      </c>
      <c r="N54" s="148">
        <v>107.24</v>
      </c>
      <c r="O54" s="148">
        <v>24.42</v>
      </c>
      <c r="P54" s="148"/>
      <c r="Q54" s="148"/>
    </row>
    <row r="55" spans="1:17" s="168" customFormat="1" x14ac:dyDescent="0.15">
      <c r="A55" s="129" t="s">
        <v>111</v>
      </c>
      <c r="B55" s="130" t="s">
        <v>112</v>
      </c>
      <c r="C55" s="169">
        <v>35</v>
      </c>
      <c r="D55" s="148">
        <v>35</v>
      </c>
      <c r="E55" s="148">
        <v>35</v>
      </c>
      <c r="F55" s="148">
        <v>35</v>
      </c>
      <c r="G55" s="148">
        <v>35</v>
      </c>
      <c r="H55" s="148">
        <v>35</v>
      </c>
      <c r="I55" s="148">
        <v>35</v>
      </c>
      <c r="J55" s="148">
        <v>35</v>
      </c>
      <c r="K55" s="148">
        <v>35</v>
      </c>
      <c r="L55" s="148">
        <v>35</v>
      </c>
      <c r="M55" s="148">
        <v>35</v>
      </c>
      <c r="N55" s="148">
        <v>35</v>
      </c>
      <c r="O55" s="148">
        <v>35</v>
      </c>
      <c r="P55" s="148">
        <v>35</v>
      </c>
      <c r="Q55" s="148"/>
    </row>
    <row r="56" spans="1:17" s="168" customFormat="1" x14ac:dyDescent="0.15">
      <c r="A56" s="147" t="s">
        <v>113</v>
      </c>
      <c r="B56" s="130" t="s">
        <v>55</v>
      </c>
      <c r="C56" s="148">
        <f>C54*C55</f>
        <v>0</v>
      </c>
      <c r="D56" s="148">
        <f t="shared" ref="D56:P56" si="21">D54*D55</f>
        <v>0</v>
      </c>
      <c r="E56" s="148">
        <f t="shared" si="21"/>
        <v>933.8</v>
      </c>
      <c r="F56" s="148">
        <f t="shared" si="21"/>
        <v>10305.75</v>
      </c>
      <c r="G56" s="148">
        <f t="shared" si="21"/>
        <v>20524</v>
      </c>
      <c r="H56" s="148">
        <f t="shared" si="21"/>
        <v>1120</v>
      </c>
      <c r="I56" s="148">
        <f t="shared" si="21"/>
        <v>2894.5</v>
      </c>
      <c r="J56" s="148">
        <f t="shared" si="21"/>
        <v>1120</v>
      </c>
      <c r="K56" s="148">
        <f t="shared" si="21"/>
        <v>840</v>
      </c>
      <c r="L56" s="148">
        <f t="shared" si="21"/>
        <v>1260</v>
      </c>
      <c r="M56" s="148">
        <f t="shared" si="21"/>
        <v>1312.5</v>
      </c>
      <c r="N56" s="148">
        <f t="shared" si="21"/>
        <v>3753.3999999999996</v>
      </c>
      <c r="O56" s="148">
        <f t="shared" si="21"/>
        <v>854.7</v>
      </c>
      <c r="P56" s="148">
        <f t="shared" si="21"/>
        <v>0</v>
      </c>
      <c r="Q56" s="148"/>
    </row>
    <row r="57" spans="1:17" s="168" customFormat="1" x14ac:dyDescent="0.15">
      <c r="A57" s="147" t="s">
        <v>114</v>
      </c>
      <c r="B57" s="130" t="s">
        <v>100</v>
      </c>
      <c r="C57" s="148">
        <f>C49+C50+C53+C56</f>
        <v>15997.831910568479</v>
      </c>
      <c r="D57" s="148">
        <f t="shared" ref="D57:P57" si="22">D49+D50+D53+D56</f>
        <v>11115.761999999999</v>
      </c>
      <c r="E57" s="148">
        <f t="shared" si="22"/>
        <v>13676.718430951136</v>
      </c>
      <c r="F57" s="148">
        <f t="shared" si="22"/>
        <v>35746.004095273878</v>
      </c>
      <c r="G57" s="148">
        <f t="shared" si="22"/>
        <v>41131.522140817637</v>
      </c>
      <c r="H57" s="148">
        <f t="shared" si="22"/>
        <v>13934.698002668951</v>
      </c>
      <c r="I57" s="148">
        <f t="shared" si="22"/>
        <v>18053.506521883352</v>
      </c>
      <c r="J57" s="148">
        <f t="shared" si="22"/>
        <v>16637.856692487425</v>
      </c>
      <c r="K57" s="148">
        <f t="shared" si="22"/>
        <v>15744.528334163295</v>
      </c>
      <c r="L57" s="148">
        <f t="shared" si="22"/>
        <v>16987.596043551544</v>
      </c>
      <c r="M57" s="148">
        <f t="shared" si="22"/>
        <v>16629.870756596472</v>
      </c>
      <c r="N57" s="148">
        <f t="shared" si="22"/>
        <v>29097.008538977454</v>
      </c>
      <c r="O57" s="148">
        <f t="shared" si="22"/>
        <v>14863.516006233818</v>
      </c>
      <c r="P57" s="148">
        <f t="shared" si="22"/>
        <v>15000.415838498497</v>
      </c>
      <c r="Q57" s="148"/>
    </row>
    <row r="58" spans="1:17" x14ac:dyDescent="0.15">
      <c r="A58" s="170" t="s">
        <v>115</v>
      </c>
      <c r="B58" s="164" t="s">
        <v>105</v>
      </c>
      <c r="C58" s="171">
        <f>C45+C57</f>
        <v>28176.665054125442</v>
      </c>
      <c r="D58" s="171">
        <f t="shared" ref="D58:P58" si="23">D45+D57</f>
        <v>69505.906961812376</v>
      </c>
      <c r="E58" s="171">
        <f t="shared" si="23"/>
        <v>69666.843115816038</v>
      </c>
      <c r="F58" s="171">
        <f t="shared" si="23"/>
        <v>193620.35612402408</v>
      </c>
      <c r="G58" s="171">
        <f>G45+G57</f>
        <v>138585.77351845076</v>
      </c>
      <c r="H58" s="171">
        <f t="shared" si="23"/>
        <v>50148.504012872429</v>
      </c>
      <c r="I58" s="171">
        <f t="shared" si="23"/>
        <v>62712.837798411638</v>
      </c>
      <c r="J58" s="171">
        <f t="shared" si="23"/>
        <v>74768.458942255558</v>
      </c>
      <c r="K58" s="171">
        <f t="shared" si="23"/>
        <v>77850.592531160946</v>
      </c>
      <c r="L58" s="171">
        <f t="shared" si="23"/>
        <v>80294.432673643227</v>
      </c>
      <c r="M58" s="171">
        <f t="shared" si="23"/>
        <v>50063.323514194577</v>
      </c>
      <c r="N58" s="171">
        <f>N45+N57</f>
        <v>125848.46639287638</v>
      </c>
      <c r="O58" s="171">
        <f t="shared" si="23"/>
        <v>48883.10418348579</v>
      </c>
      <c r="P58" s="171">
        <f t="shared" si="23"/>
        <v>65288.579874685252</v>
      </c>
      <c r="Q58" s="171">
        <f>SUM(C58:P58)</f>
        <v>1135413.8446978144</v>
      </c>
    </row>
    <row r="59" spans="1:17" ht="15" thickBot="1" x14ac:dyDescent="0.2">
      <c r="C59" s="172"/>
      <c r="P59" s="173"/>
      <c r="Q59" s="174"/>
    </row>
    <row r="60" spans="1:17" x14ac:dyDescent="0.15">
      <c r="A60" s="175"/>
      <c r="B60" s="175"/>
      <c r="C60" s="176"/>
      <c r="P60" s="177" t="s">
        <v>139</v>
      </c>
      <c r="Q60" s="178">
        <f>Q58/Q5</f>
        <v>290.41688272401638</v>
      </c>
    </row>
    <row r="61" spans="1:17" x14ac:dyDescent="0.15">
      <c r="P61" s="179" t="s">
        <v>140</v>
      </c>
      <c r="Q61" s="180">
        <f>Аренда!C18</f>
        <v>6579.3000000000011</v>
      </c>
    </row>
    <row r="62" spans="1:17" ht="19" thickBot="1" x14ac:dyDescent="0.25">
      <c r="C62" s="172"/>
      <c r="P62" s="173" t="s">
        <v>141</v>
      </c>
      <c r="Q62" s="181">
        <f>Q60*Q61*12</f>
        <v>22928877.558073454</v>
      </c>
    </row>
  </sheetData>
  <mergeCells count="1">
    <mergeCell ref="A1:N1"/>
  </mergeCells>
  <pageMargins left="0.7" right="0.7" top="0.75" bottom="0.75" header="0.3" footer="0.3"/>
  <pageSetup paperSize="9" scale="49" fitToHeight="0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69"/>
  <sheetViews>
    <sheetView showGridLines="0" tabSelected="1" zoomScale="80" zoomScaleNormal="80" workbookViewId="0">
      <pane xSplit="3" ySplit="8" topLeftCell="D16" activePane="bottomRight" state="frozen"/>
      <selection pane="topRight" activeCell="E1" sqref="E1"/>
      <selection pane="bottomLeft" activeCell="A9" sqref="A9"/>
      <selection pane="bottomRight" activeCell="L57" sqref="L57:L58"/>
    </sheetView>
  </sheetViews>
  <sheetFormatPr baseColWidth="10" defaultColWidth="9.1640625" defaultRowHeight="14" outlineLevelRow="1" x14ac:dyDescent="0.15"/>
  <cols>
    <col min="1" max="1" width="35.83203125" style="292" customWidth="1"/>
    <col min="2" max="2" width="15.5" style="292" customWidth="1"/>
    <col min="3" max="3" width="21.33203125" style="182" customWidth="1"/>
    <col min="4" max="4" width="18.5" style="182" customWidth="1"/>
    <col min="5" max="5" width="16.83203125" style="182" customWidth="1"/>
    <col min="6" max="6" width="15.5" style="182" customWidth="1"/>
    <col min="7" max="7" width="22.33203125" style="293" hidden="1" customWidth="1"/>
    <col min="8" max="8" width="21.5" style="182" customWidth="1"/>
    <col min="9" max="9" width="18.6640625" style="182" customWidth="1"/>
    <col min="10" max="10" width="15.5" style="182" customWidth="1"/>
    <col min="11" max="11" width="17.1640625" style="182" customWidth="1"/>
    <col min="12" max="12" width="20.5" style="182" customWidth="1"/>
    <col min="13" max="13" width="16.83203125" style="182" customWidth="1"/>
    <col min="14" max="17" width="17.5" style="182" customWidth="1"/>
    <col min="18" max="18" width="19" style="182" customWidth="1"/>
    <col min="19" max="19" width="21.83203125" style="182" customWidth="1"/>
    <col min="20" max="16384" width="9.1640625" style="182"/>
  </cols>
  <sheetData>
    <row r="1" spans="1:20" ht="17" thickBot="1" x14ac:dyDescent="0.25">
      <c r="A1" s="320" t="s">
        <v>218</v>
      </c>
      <c r="B1" s="320"/>
      <c r="C1" s="320"/>
      <c r="D1" s="320"/>
      <c r="E1" s="320"/>
      <c r="F1" s="320"/>
      <c r="G1" s="320"/>
      <c r="H1" s="321"/>
      <c r="I1" s="321"/>
      <c r="J1" s="321"/>
      <c r="K1" s="321"/>
      <c r="L1" s="320"/>
      <c r="M1" s="320"/>
      <c r="N1" s="320"/>
      <c r="O1" s="320"/>
      <c r="P1" s="320"/>
      <c r="Q1" s="320"/>
      <c r="R1" s="320"/>
    </row>
    <row r="2" spans="1:20" ht="16" x14ac:dyDescent="0.2">
      <c r="A2" s="322"/>
      <c r="B2" s="183"/>
      <c r="C2" s="183"/>
      <c r="D2" s="323">
        <v>7</v>
      </c>
      <c r="E2" s="324">
        <v>3</v>
      </c>
      <c r="F2" s="323">
        <v>8</v>
      </c>
      <c r="G2" s="325" t="s">
        <v>29</v>
      </c>
      <c r="H2" s="326">
        <v>1</v>
      </c>
      <c r="I2" s="327"/>
      <c r="J2" s="327"/>
      <c r="K2" s="328"/>
      <c r="L2" s="329">
        <v>5</v>
      </c>
      <c r="M2" s="323">
        <v>9</v>
      </c>
      <c r="N2" s="323">
        <v>6</v>
      </c>
      <c r="O2" s="323">
        <v>4</v>
      </c>
      <c r="P2" s="323">
        <v>11</v>
      </c>
      <c r="Q2" s="323">
        <v>15</v>
      </c>
      <c r="R2" s="323">
        <v>12</v>
      </c>
      <c r="S2" s="319" t="s">
        <v>202</v>
      </c>
    </row>
    <row r="3" spans="1:20" x14ac:dyDescent="0.15">
      <c r="A3" s="322"/>
      <c r="B3" s="184" t="s">
        <v>22</v>
      </c>
      <c r="C3" s="184">
        <v>2</v>
      </c>
      <c r="D3" s="323"/>
      <c r="E3" s="324"/>
      <c r="F3" s="323"/>
      <c r="G3" s="325"/>
      <c r="H3" s="185">
        <v>1</v>
      </c>
      <c r="I3" s="184">
        <v>1</v>
      </c>
      <c r="J3" s="184">
        <v>1</v>
      </c>
      <c r="K3" s="186">
        <v>1</v>
      </c>
      <c r="L3" s="329"/>
      <c r="M3" s="323"/>
      <c r="N3" s="323"/>
      <c r="O3" s="323"/>
      <c r="P3" s="323"/>
      <c r="Q3" s="323"/>
      <c r="R3" s="323"/>
      <c r="S3" s="319"/>
    </row>
    <row r="4" spans="1:20" x14ac:dyDescent="0.15">
      <c r="A4" s="184"/>
      <c r="B4" s="184"/>
      <c r="C4" s="184"/>
      <c r="D4" s="184"/>
      <c r="E4" s="184"/>
      <c r="F4" s="184"/>
      <c r="G4" s="188"/>
      <c r="H4" s="185"/>
      <c r="I4" s="184"/>
      <c r="J4" s="184"/>
      <c r="K4" s="186"/>
      <c r="L4" s="189"/>
      <c r="M4" s="184"/>
      <c r="N4" s="184"/>
      <c r="O4" s="184"/>
      <c r="P4" s="184"/>
      <c r="Q4" s="184"/>
      <c r="R4" s="184"/>
      <c r="S4" s="190"/>
    </row>
    <row r="5" spans="1:20" ht="16" x14ac:dyDescent="0.15">
      <c r="A5" s="191" t="s">
        <v>38</v>
      </c>
      <c r="B5" s="191" t="s">
        <v>39</v>
      </c>
      <c r="C5" s="192">
        <v>101710</v>
      </c>
      <c r="D5" s="192">
        <v>4406.3</v>
      </c>
      <c r="E5" s="192">
        <v>21290.2</v>
      </c>
      <c r="F5" s="192">
        <v>4727.2</v>
      </c>
      <c r="G5" s="194">
        <v>6984</v>
      </c>
      <c r="H5" s="195">
        <v>3916.1</v>
      </c>
      <c r="I5" s="192">
        <v>3534.3</v>
      </c>
      <c r="J5" s="192">
        <v>3658.5</v>
      </c>
      <c r="K5" s="196">
        <f>3816.8+231.5+68.8</f>
        <v>4117.1000000000004</v>
      </c>
      <c r="L5" s="197">
        <v>14514.8</v>
      </c>
      <c r="M5" s="192">
        <v>3128.1</v>
      </c>
      <c r="N5" s="198">
        <v>11558.2</v>
      </c>
      <c r="O5" s="198">
        <v>2969.2</v>
      </c>
      <c r="P5" s="198">
        <v>91814.400000000009</v>
      </c>
      <c r="Q5" s="198">
        <v>3919.8</v>
      </c>
      <c r="R5" s="198">
        <v>12243.4</v>
      </c>
      <c r="S5" s="199">
        <f>SUM(C5:R5)</f>
        <v>294491.60000000003</v>
      </c>
    </row>
    <row r="6" spans="1:20" ht="16" x14ac:dyDescent="0.15">
      <c r="A6" s="191" t="s">
        <v>40</v>
      </c>
      <c r="B6" s="191" t="s">
        <v>39</v>
      </c>
      <c r="C6" s="198">
        <v>135.30000000000001</v>
      </c>
      <c r="D6" s="198">
        <v>92.4</v>
      </c>
      <c r="E6" s="198">
        <v>1121.4000000000001</v>
      </c>
      <c r="F6" s="198">
        <v>76.5</v>
      </c>
      <c r="G6" s="200">
        <v>218.2</v>
      </c>
      <c r="H6" s="201">
        <v>135.1</v>
      </c>
      <c r="I6" s="198">
        <v>116.1</v>
      </c>
      <c r="J6" s="198">
        <v>181.1</v>
      </c>
      <c r="K6" s="202">
        <v>134.5</v>
      </c>
      <c r="L6" s="203">
        <v>595.4</v>
      </c>
      <c r="M6" s="198">
        <v>149.39999999999998</v>
      </c>
      <c r="N6" s="198">
        <v>267.89999999999998</v>
      </c>
      <c r="O6" s="198">
        <v>318.5</v>
      </c>
      <c r="P6" s="198">
        <v>1327</v>
      </c>
      <c r="Q6" s="198">
        <v>111.1</v>
      </c>
      <c r="R6" s="198">
        <v>334.3</v>
      </c>
      <c r="S6" s="199">
        <f>SUM(C6:R6)</f>
        <v>5314.2000000000007</v>
      </c>
    </row>
    <row r="7" spans="1:20" ht="16" x14ac:dyDescent="0.15">
      <c r="A7" s="191" t="s">
        <v>41</v>
      </c>
      <c r="B7" s="191" t="s">
        <v>42</v>
      </c>
      <c r="C7" s="192">
        <v>95.8</v>
      </c>
      <c r="D7" s="192">
        <v>50.6</v>
      </c>
      <c r="E7" s="192">
        <v>486</v>
      </c>
      <c r="F7" s="192">
        <v>49.3</v>
      </c>
      <c r="G7" s="194">
        <v>105.1</v>
      </c>
      <c r="H7" s="195">
        <v>125.1</v>
      </c>
      <c r="I7" s="192">
        <v>99.7</v>
      </c>
      <c r="J7" s="192">
        <v>119</v>
      </c>
      <c r="K7" s="196">
        <v>115.3</v>
      </c>
      <c r="L7" s="197">
        <v>361.1</v>
      </c>
      <c r="M7" s="192">
        <v>77.099999999999994</v>
      </c>
      <c r="N7" s="193">
        <v>100</v>
      </c>
      <c r="O7" s="204"/>
      <c r="P7" s="204"/>
      <c r="Q7" s="204"/>
      <c r="R7" s="204"/>
      <c r="S7" s="199">
        <f>SUM(C7:R7)</f>
        <v>1784.1</v>
      </c>
    </row>
    <row r="8" spans="1:20" ht="16" x14ac:dyDescent="0.15">
      <c r="A8" s="191" t="s">
        <v>43</v>
      </c>
      <c r="B8" s="191" t="s">
        <v>44</v>
      </c>
      <c r="C8" s="192">
        <v>39.5</v>
      </c>
      <c r="D8" s="192">
        <v>41.8</v>
      </c>
      <c r="E8" s="192">
        <v>635.4</v>
      </c>
      <c r="F8" s="192">
        <v>27.2</v>
      </c>
      <c r="G8" s="194">
        <v>113.1</v>
      </c>
      <c r="H8" s="195">
        <v>10</v>
      </c>
      <c r="I8" s="192">
        <v>16.399999999999999</v>
      </c>
      <c r="J8" s="192">
        <v>62.1</v>
      </c>
      <c r="K8" s="196">
        <v>19.2</v>
      </c>
      <c r="L8" s="197">
        <v>234.3</v>
      </c>
      <c r="M8" s="192">
        <v>72.3</v>
      </c>
      <c r="N8" s="193">
        <v>167.9</v>
      </c>
      <c r="O8" s="204"/>
      <c r="P8" s="204"/>
      <c r="Q8" s="204"/>
      <c r="R8" s="204"/>
      <c r="S8" s="199">
        <f>SUM(C8:R8)</f>
        <v>1439.2</v>
      </c>
    </row>
    <row r="9" spans="1:20" ht="16" x14ac:dyDescent="0.15">
      <c r="A9" s="191" t="s">
        <v>45</v>
      </c>
      <c r="B9" s="191"/>
      <c r="C9" s="205" t="s">
        <v>203</v>
      </c>
      <c r="D9" s="205" t="s">
        <v>47</v>
      </c>
      <c r="E9" s="205" t="s">
        <v>47</v>
      </c>
      <c r="F9" s="205" t="s">
        <v>47</v>
      </c>
      <c r="G9" s="206" t="s">
        <v>47</v>
      </c>
      <c r="H9" s="207" t="s">
        <v>47</v>
      </c>
      <c r="I9" s="205" t="s">
        <v>47</v>
      </c>
      <c r="J9" s="205" t="s">
        <v>47</v>
      </c>
      <c r="K9" s="208" t="s">
        <v>47</v>
      </c>
      <c r="L9" s="209" t="s">
        <v>47</v>
      </c>
      <c r="M9" s="205" t="s">
        <v>47</v>
      </c>
      <c r="N9" s="205" t="s">
        <v>47</v>
      </c>
      <c r="O9" s="205" t="s">
        <v>47</v>
      </c>
      <c r="P9" s="205" t="s">
        <v>47</v>
      </c>
      <c r="Q9" s="205" t="s">
        <v>47</v>
      </c>
      <c r="R9" s="205" t="s">
        <v>47</v>
      </c>
      <c r="S9" s="199"/>
    </row>
    <row r="10" spans="1:20" s="216" customFormat="1" ht="28" x14ac:dyDescent="0.15">
      <c r="A10" s="210" t="s">
        <v>48</v>
      </c>
      <c r="B10" s="210" t="s">
        <v>5</v>
      </c>
      <c r="C10" s="211">
        <f>C6/C5</f>
        <v>1.3302526791859209E-3</v>
      </c>
      <c r="D10" s="211">
        <f t="shared" ref="D10:R10" si="0">D6/D5</f>
        <v>2.0969974808796497E-2</v>
      </c>
      <c r="E10" s="211">
        <f t="shared" si="0"/>
        <v>5.2672121445547719E-2</v>
      </c>
      <c r="F10" s="211">
        <f t="shared" si="0"/>
        <v>1.618294127601963E-2</v>
      </c>
      <c r="G10" s="212">
        <f t="shared" si="0"/>
        <v>3.1242840778923253E-2</v>
      </c>
      <c r="H10" s="213">
        <f t="shared" si="0"/>
        <v>3.4498608309287297E-2</v>
      </c>
      <c r="I10" s="211">
        <f t="shared" si="0"/>
        <v>3.2849503437738729E-2</v>
      </c>
      <c r="J10" s="211">
        <f t="shared" si="0"/>
        <v>4.9501161678283445E-2</v>
      </c>
      <c r="K10" s="214">
        <f t="shared" si="0"/>
        <v>3.2668625974593767E-2</v>
      </c>
      <c r="L10" s="215">
        <f t="shared" si="0"/>
        <v>4.1020200071651004E-2</v>
      </c>
      <c r="M10" s="211">
        <f t="shared" si="0"/>
        <v>4.7760621463508193E-2</v>
      </c>
      <c r="N10" s="211">
        <f t="shared" si="0"/>
        <v>2.3178349570002248E-2</v>
      </c>
      <c r="O10" s="211">
        <f t="shared" si="0"/>
        <v>0.10726795096322242</v>
      </c>
      <c r="P10" s="211">
        <f t="shared" si="0"/>
        <v>1.4453070542311444E-2</v>
      </c>
      <c r="Q10" s="211">
        <f t="shared" si="0"/>
        <v>2.8343282820552065E-2</v>
      </c>
      <c r="R10" s="211">
        <f t="shared" si="0"/>
        <v>2.730450691801297E-2</v>
      </c>
      <c r="S10" s="199"/>
    </row>
    <row r="11" spans="1:20" s="216" customFormat="1" ht="16" x14ac:dyDescent="0.15">
      <c r="A11" s="217" t="s">
        <v>49</v>
      </c>
      <c r="B11" s="218"/>
      <c r="C11" s="219"/>
      <c r="D11" s="219"/>
      <c r="E11" s="219"/>
      <c r="F11" s="219"/>
      <c r="G11" s="220"/>
      <c r="H11" s="221"/>
      <c r="I11" s="219"/>
      <c r="J11" s="219"/>
      <c r="K11" s="222"/>
      <c r="L11" s="223"/>
      <c r="M11" s="219"/>
      <c r="N11" s="219"/>
      <c r="O11" s="219"/>
      <c r="P11" s="219"/>
      <c r="Q11" s="219"/>
      <c r="R11" s="219"/>
      <c r="S11" s="199"/>
    </row>
    <row r="12" spans="1:20" ht="16" x14ac:dyDescent="0.15">
      <c r="A12" s="224" t="s">
        <v>50</v>
      </c>
      <c r="B12" s="224" t="s">
        <v>51</v>
      </c>
      <c r="C12" s="225">
        <v>14685.755000000001</v>
      </c>
      <c r="D12" s="225">
        <v>542.56700000000001</v>
      </c>
      <c r="E12" s="225">
        <v>3826.42</v>
      </c>
      <c r="F12" s="225">
        <v>1254.183</v>
      </c>
      <c r="G12" s="226">
        <v>2232.357</v>
      </c>
      <c r="H12" s="227">
        <v>638.53600000000006</v>
      </c>
      <c r="I12" s="225">
        <v>437.048</v>
      </c>
      <c r="J12" s="225">
        <v>588.15899999999999</v>
      </c>
      <c r="K12" s="228">
        <v>559.82100000000003</v>
      </c>
      <c r="L12" s="229">
        <v>3354.0929999999998</v>
      </c>
      <c r="M12" s="225">
        <v>362.13200000000001</v>
      </c>
      <c r="N12" s="225">
        <f>3540.887*(11558.2/15555.5)</f>
        <v>2630.984547163383</v>
      </c>
      <c r="O12" s="225">
        <v>434.79699999999997</v>
      </c>
      <c r="P12" s="225">
        <v>6869.7139999999999</v>
      </c>
      <c r="Q12" s="225">
        <v>1250.692</v>
      </c>
      <c r="R12" s="225">
        <v>2127.7049999999999</v>
      </c>
      <c r="S12" s="199">
        <f t="shared" ref="S12:S43" si="1">SUM(C12:R12)</f>
        <v>41794.963547163388</v>
      </c>
      <c r="T12" s="182">
        <f>N18/N5</f>
        <v>113.41973663719264</v>
      </c>
    </row>
    <row r="13" spans="1:20" ht="16" x14ac:dyDescent="0.15">
      <c r="A13" s="191" t="s">
        <v>52</v>
      </c>
      <c r="B13" s="191" t="s">
        <v>53</v>
      </c>
      <c r="C13" s="198">
        <f>(2325.88+2569.16)/2</f>
        <v>2447.52</v>
      </c>
      <c r="D13" s="198">
        <f>(2912.53+3217.19)/2</f>
        <v>3064.86</v>
      </c>
      <c r="E13" s="198">
        <f>(2325.88+2569.16)/2</f>
        <v>2447.52</v>
      </c>
      <c r="F13" s="198">
        <f>(2325.88+2569.16)/2</f>
        <v>2447.52</v>
      </c>
      <c r="G13" s="200">
        <f>(2325.88+2569.16)/2</f>
        <v>2447.52</v>
      </c>
      <c r="H13" s="201">
        <f>(2912.53+3217.19)/2</f>
        <v>3064.86</v>
      </c>
      <c r="I13" s="198">
        <f>(2912.53+3217.19)/2</f>
        <v>3064.86</v>
      </c>
      <c r="J13" s="198">
        <f>(2912.53+3217.19)/2</f>
        <v>3064.86</v>
      </c>
      <c r="K13" s="202">
        <f>(2325.88+2569.16)/2</f>
        <v>2447.52</v>
      </c>
      <c r="L13" s="203">
        <f>(2325.88+2569.16)/2</f>
        <v>2447.52</v>
      </c>
      <c r="M13" s="198">
        <f>(2325.88+2569.16)/2</f>
        <v>2447.52</v>
      </c>
      <c r="N13" s="198">
        <f>(2325.88+2569.16)/2</f>
        <v>2447.52</v>
      </c>
      <c r="O13" s="198">
        <f>(2912.53+3217.19)/2</f>
        <v>3064.86</v>
      </c>
      <c r="P13" s="198">
        <f>(2325.88+2569.16)/2</f>
        <v>2447.52</v>
      </c>
      <c r="Q13" s="198">
        <f>(2325.88+2569.16)/2</f>
        <v>2447.52</v>
      </c>
      <c r="R13" s="198">
        <f>(2325.88+2569.16)/2</f>
        <v>2447.52</v>
      </c>
      <c r="S13" s="199">
        <f t="shared" si="1"/>
        <v>42247.01999999999</v>
      </c>
    </row>
    <row r="14" spans="1:20" s="236" customFormat="1" ht="16" x14ac:dyDescent="0.15">
      <c r="A14" s="184" t="s">
        <v>54</v>
      </c>
      <c r="B14" s="191" t="s">
        <v>55</v>
      </c>
      <c r="C14" s="230">
        <f>C12*C13*C10</f>
        <v>47814.175392776335</v>
      </c>
      <c r="D14" s="230">
        <f t="shared" ref="D14:R14" si="2">D12*D13*D10</f>
        <v>34870.801160903255</v>
      </c>
      <c r="E14" s="230">
        <f t="shared" si="2"/>
        <v>493287.03117292275</v>
      </c>
      <c r="F14" s="230">
        <f t="shared" si="2"/>
        <v>49675.771106837026</v>
      </c>
      <c r="G14" s="232">
        <f t="shared" si="2"/>
        <v>170702.70903385567</v>
      </c>
      <c r="H14" s="233">
        <f t="shared" si="2"/>
        <v>67514.58527976711</v>
      </c>
      <c r="I14" s="230">
        <f t="shared" si="2"/>
        <v>44001.612017601219</v>
      </c>
      <c r="J14" s="230">
        <f t="shared" si="2"/>
        <v>89232.031210937275</v>
      </c>
      <c r="K14" s="234">
        <f t="shared" si="2"/>
        <v>44761.672325724423</v>
      </c>
      <c r="L14" s="235">
        <f t="shared" si="2"/>
        <v>336743.42429788521</v>
      </c>
      <c r="M14" s="230">
        <f t="shared" si="2"/>
        <v>42331.447750524596</v>
      </c>
      <c r="N14" s="230">
        <f t="shared" si="2"/>
        <v>149254.36982991843</v>
      </c>
      <c r="O14" s="230">
        <f>O12*O13*O10</f>
        <v>142944.40616808229</v>
      </c>
      <c r="P14" s="230">
        <f t="shared" si="2"/>
        <v>243010.49418298824</v>
      </c>
      <c r="Q14" s="230">
        <f t="shared" si="2"/>
        <v>86761.444021282703</v>
      </c>
      <c r="R14" s="230">
        <f t="shared" si="2"/>
        <v>142190.9650143653</v>
      </c>
      <c r="S14" s="199">
        <f t="shared" si="1"/>
        <v>2185096.9399663722</v>
      </c>
    </row>
    <row r="15" spans="1:20" s="237" customFormat="1" ht="16" outlineLevel="1" x14ac:dyDescent="0.15">
      <c r="A15" s="191" t="s">
        <v>56</v>
      </c>
      <c r="B15" s="191" t="s">
        <v>42</v>
      </c>
      <c r="C15" s="198">
        <v>0</v>
      </c>
      <c r="D15" s="198">
        <v>211.42100000000002</v>
      </c>
      <c r="E15" s="198">
        <v>0</v>
      </c>
      <c r="F15" s="198">
        <v>0</v>
      </c>
      <c r="G15" s="200">
        <v>0</v>
      </c>
      <c r="H15" s="201">
        <v>338.28699999999998</v>
      </c>
      <c r="I15" s="198">
        <v>5248.1469999999999</v>
      </c>
      <c r="J15" s="198">
        <v>266</v>
      </c>
      <c r="K15" s="202">
        <v>0</v>
      </c>
      <c r="L15" s="203">
        <v>0</v>
      </c>
      <c r="M15" s="198">
        <v>0</v>
      </c>
      <c r="N15" s="198">
        <v>0</v>
      </c>
      <c r="O15" s="198">
        <v>592.649</v>
      </c>
      <c r="P15" s="198">
        <v>0</v>
      </c>
      <c r="Q15" s="198">
        <v>0</v>
      </c>
      <c r="R15" s="198">
        <v>0</v>
      </c>
      <c r="S15" s="199">
        <f t="shared" si="1"/>
        <v>6656.5039999999999</v>
      </c>
    </row>
    <row r="16" spans="1:20" ht="16" outlineLevel="1" x14ac:dyDescent="0.15">
      <c r="A16" s="191" t="s">
        <v>57</v>
      </c>
      <c r="B16" s="191" t="s">
        <v>58</v>
      </c>
      <c r="C16" s="192">
        <v>243.16</v>
      </c>
      <c r="D16" s="192">
        <f>(243.16+272.14)/2</f>
        <v>257.64999999999998</v>
      </c>
      <c r="E16" s="192">
        <v>0</v>
      </c>
      <c r="F16" s="192">
        <v>0</v>
      </c>
      <c r="G16" s="194">
        <v>0</v>
      </c>
      <c r="H16" s="195">
        <f>(243.16+272.14)/2</f>
        <v>257.64999999999998</v>
      </c>
      <c r="I16" s="192">
        <f>(243.16+272.14)/2</f>
        <v>257.64999999999998</v>
      </c>
      <c r="J16" s="192">
        <f>(243.16+272.14)/2</f>
        <v>257.64999999999998</v>
      </c>
      <c r="K16" s="196">
        <v>0</v>
      </c>
      <c r="L16" s="197">
        <v>0</v>
      </c>
      <c r="M16" s="192">
        <v>0</v>
      </c>
      <c r="N16" s="192">
        <v>0</v>
      </c>
      <c r="O16" s="192">
        <f>(243.16+272.14)/2</f>
        <v>257.64999999999998</v>
      </c>
      <c r="P16" s="192">
        <v>0</v>
      </c>
      <c r="Q16" s="192">
        <v>0</v>
      </c>
      <c r="R16" s="192">
        <v>0</v>
      </c>
      <c r="S16" s="199">
        <f t="shared" si="1"/>
        <v>1531.4099999999999</v>
      </c>
    </row>
    <row r="17" spans="1:19" s="236" customFormat="1" ht="15" customHeight="1" outlineLevel="1" x14ac:dyDescent="0.15">
      <c r="A17" s="184" t="s">
        <v>59</v>
      </c>
      <c r="B17" s="191" t="s">
        <v>60</v>
      </c>
      <c r="C17" s="238">
        <f>C15*C16*C10</f>
        <v>0</v>
      </c>
      <c r="D17" s="238">
        <f t="shared" ref="D17:R17" si="3">D15*D16*D10</f>
        <v>1142.2894827996279</v>
      </c>
      <c r="E17" s="238">
        <f t="shared" si="3"/>
        <v>0</v>
      </c>
      <c r="F17" s="238">
        <f t="shared" si="3"/>
        <v>0</v>
      </c>
      <c r="G17" s="239">
        <f t="shared" si="3"/>
        <v>0</v>
      </c>
      <c r="H17" s="240">
        <f t="shared" si="3"/>
        <v>3006.8864722057651</v>
      </c>
      <c r="I17" s="238">
        <f t="shared" si="3"/>
        <v>44418.608254889215</v>
      </c>
      <c r="J17" s="238">
        <f t="shared" si="3"/>
        <v>3392.557165504988</v>
      </c>
      <c r="K17" s="241">
        <f t="shared" si="3"/>
        <v>0</v>
      </c>
      <c r="L17" s="242">
        <f t="shared" si="3"/>
        <v>0</v>
      </c>
      <c r="M17" s="238">
        <f t="shared" si="3"/>
        <v>0</v>
      </c>
      <c r="N17" s="238">
        <f t="shared" si="3"/>
        <v>0</v>
      </c>
      <c r="O17" s="238">
        <f t="shared" si="3"/>
        <v>16379.388633209281</v>
      </c>
      <c r="P17" s="238">
        <f t="shared" si="3"/>
        <v>0</v>
      </c>
      <c r="Q17" s="238">
        <f t="shared" si="3"/>
        <v>0</v>
      </c>
      <c r="R17" s="238">
        <f t="shared" si="3"/>
        <v>0</v>
      </c>
      <c r="S17" s="199">
        <f t="shared" si="1"/>
        <v>68339.730008608865</v>
      </c>
    </row>
    <row r="18" spans="1:19" ht="16" x14ac:dyDescent="0.15">
      <c r="A18" s="191" t="s">
        <v>61</v>
      </c>
      <c r="B18" s="191" t="s">
        <v>62</v>
      </c>
      <c r="C18" s="192">
        <v>9919665.0500000007</v>
      </c>
      <c r="D18" s="198">
        <v>107748</v>
      </c>
      <c r="E18" s="198">
        <v>2378718</v>
      </c>
      <c r="F18" s="198">
        <v>553022.83400000003</v>
      </c>
      <c r="G18" s="200">
        <v>344889</v>
      </c>
      <c r="H18" s="201">
        <v>87160</v>
      </c>
      <c r="I18" s="198">
        <v>117940</v>
      </c>
      <c r="J18" s="198">
        <v>100400</v>
      </c>
      <c r="K18" s="202">
        <v>166110</v>
      </c>
      <c r="L18" s="203">
        <v>2031280</v>
      </c>
      <c r="M18" s="198">
        <v>191270</v>
      </c>
      <c r="N18" s="198">
        <v>1310928</v>
      </c>
      <c r="O18" s="198">
        <v>580104</v>
      </c>
      <c r="P18" s="198">
        <v>1279359.8800000001</v>
      </c>
      <c r="Q18" s="198">
        <v>229860</v>
      </c>
      <c r="R18" s="198">
        <v>470100</v>
      </c>
      <c r="S18" s="199">
        <f t="shared" si="1"/>
        <v>19868554.764000002</v>
      </c>
    </row>
    <row r="19" spans="1:19" ht="16" x14ac:dyDescent="0.15">
      <c r="A19" s="191" t="s">
        <v>63</v>
      </c>
      <c r="B19" s="191" t="s">
        <v>64</v>
      </c>
      <c r="C19" s="192">
        <v>7</v>
      </c>
      <c r="D19" s="192">
        <v>7.7869610389610386</v>
      </c>
      <c r="E19" s="192">
        <v>6.5701663740278402</v>
      </c>
      <c r="F19" s="192">
        <v>7.7869610389610386</v>
      </c>
      <c r="G19" s="194">
        <v>5.8827167692864899</v>
      </c>
      <c r="H19" s="195">
        <v>7.33</v>
      </c>
      <c r="I19" s="192">
        <v>7.7869610389610386</v>
      </c>
      <c r="J19" s="192">
        <v>7.7869610389610386</v>
      </c>
      <c r="K19" s="196">
        <v>7.7869610389610386</v>
      </c>
      <c r="L19" s="197">
        <v>6.33</v>
      </c>
      <c r="M19" s="192">
        <v>7.7869685418208743</v>
      </c>
      <c r="N19" s="192">
        <v>6.7832782642689606</v>
      </c>
      <c r="O19" s="192">
        <v>8.0337469194724154</v>
      </c>
      <c r="P19" s="192">
        <v>7.679847512925666</v>
      </c>
      <c r="Q19" s="192">
        <v>8.2562299110055477</v>
      </c>
      <c r="R19" s="192">
        <v>8.2403208089267377</v>
      </c>
      <c r="S19" s="199">
        <f t="shared" si="1"/>
        <v>118.82808029653972</v>
      </c>
    </row>
    <row r="20" spans="1:19" ht="28" x14ac:dyDescent="0.15">
      <c r="A20" s="224" t="s">
        <v>65</v>
      </c>
      <c r="B20" s="224"/>
      <c r="C20" s="243">
        <v>1</v>
      </c>
      <c r="D20" s="243">
        <v>1.2</v>
      </c>
      <c r="E20" s="243">
        <v>1.2</v>
      </c>
      <c r="F20" s="243">
        <v>1.2</v>
      </c>
      <c r="G20" s="244">
        <v>1.2</v>
      </c>
      <c r="H20" s="245">
        <v>1.2</v>
      </c>
      <c r="I20" s="243">
        <v>1.2</v>
      </c>
      <c r="J20" s="243">
        <v>1.2</v>
      </c>
      <c r="K20" s="246">
        <v>1.2</v>
      </c>
      <c r="L20" s="247">
        <v>1</v>
      </c>
      <c r="M20" s="243">
        <v>1</v>
      </c>
      <c r="N20" s="243">
        <v>1</v>
      </c>
      <c r="O20" s="243">
        <v>1.2</v>
      </c>
      <c r="P20" s="243">
        <v>1.2</v>
      </c>
      <c r="Q20" s="243">
        <v>1.2</v>
      </c>
      <c r="R20" s="243">
        <v>1.2</v>
      </c>
      <c r="S20" s="199">
        <f t="shared" si="1"/>
        <v>18.399999999999999</v>
      </c>
    </row>
    <row r="21" spans="1:19" s="236" customFormat="1" ht="16" x14ac:dyDescent="0.15">
      <c r="A21" s="184" t="s">
        <v>66</v>
      </c>
      <c r="B21" s="191" t="s">
        <v>67</v>
      </c>
      <c r="C21" s="238">
        <f>C18*C19*C10*C20</f>
        <v>92369.627065726105</v>
      </c>
      <c r="D21" s="238">
        <f t="shared" ref="D21:Q21" si="4">D18*D19*D10*D20</f>
        <v>21113.312421650819</v>
      </c>
      <c r="E21" s="238">
        <f t="shared" si="4"/>
        <v>987828.11515978875</v>
      </c>
      <c r="F21" s="238">
        <f t="shared" si="4"/>
        <v>83627.626216971665</v>
      </c>
      <c r="G21" s="239">
        <f t="shared" si="4"/>
        <v>76065.731116567375</v>
      </c>
      <c r="H21" s="240">
        <f t="shared" si="4"/>
        <v>26448.680967288881</v>
      </c>
      <c r="I21" s="238">
        <f t="shared" si="4"/>
        <v>36202.551522268404</v>
      </c>
      <c r="J21" s="238">
        <f t="shared" si="4"/>
        <v>46440.656620991147</v>
      </c>
      <c r="K21" s="241">
        <f t="shared" si="4"/>
        <v>50707.9314679132</v>
      </c>
      <c r="L21" s="242">
        <f>L18*L19*L10*L20</f>
        <v>527437.83096976881</v>
      </c>
      <c r="M21" s="238">
        <f t="shared" si="4"/>
        <v>71135.313086319278</v>
      </c>
      <c r="N21" s="238">
        <f t="shared" si="4"/>
        <v>206110.91022098088</v>
      </c>
      <c r="O21" s="238">
        <f t="shared" si="4"/>
        <v>599894.99323741067</v>
      </c>
      <c r="P21" s="238">
        <f t="shared" si="4"/>
        <v>170406.71042085323</v>
      </c>
      <c r="Q21" s="238">
        <f t="shared" si="4"/>
        <v>64547.076539381276</v>
      </c>
      <c r="R21" s="238">
        <f>R18*R19*R10*R20</f>
        <v>126925.81339275237</v>
      </c>
      <c r="S21" s="199">
        <f t="shared" si="1"/>
        <v>3187262.8804266327</v>
      </c>
    </row>
    <row r="22" spans="1:19" s="237" customFormat="1" ht="16" outlineLevel="1" x14ac:dyDescent="0.15">
      <c r="A22" s="191" t="s">
        <v>68</v>
      </c>
      <c r="B22" s="191" t="s">
        <v>42</v>
      </c>
      <c r="C22" s="198">
        <v>35601.387000000002</v>
      </c>
      <c r="D22" s="198">
        <v>369.03800000000001</v>
      </c>
      <c r="E22" s="198">
        <v>4219.1319999999996</v>
      </c>
      <c r="F22" s="198">
        <v>4677.2719999999999</v>
      </c>
      <c r="G22" s="200">
        <v>20883.203000000001</v>
      </c>
      <c r="H22" s="201">
        <v>2170</v>
      </c>
      <c r="I22" s="198">
        <v>3553</v>
      </c>
      <c r="J22" s="198">
        <v>2094.703</v>
      </c>
      <c r="K22" s="202">
        <v>2998</v>
      </c>
      <c r="L22" s="203">
        <v>17140</v>
      </c>
      <c r="M22" s="198">
        <v>1075</v>
      </c>
      <c r="N22" s="198">
        <v>10441</v>
      </c>
      <c r="O22" s="198">
        <v>1793.62</v>
      </c>
      <c r="P22" s="198">
        <v>25368.131999999998</v>
      </c>
      <c r="Q22" s="198">
        <v>6192.99</v>
      </c>
      <c r="R22" s="198">
        <v>9613.9</v>
      </c>
      <c r="S22" s="199">
        <f t="shared" si="1"/>
        <v>148190.37699999998</v>
      </c>
    </row>
    <row r="23" spans="1:19" ht="26.25" customHeight="1" outlineLevel="1" x14ac:dyDescent="0.15">
      <c r="A23" s="191" t="s">
        <v>69</v>
      </c>
      <c r="B23" s="191" t="s">
        <v>58</v>
      </c>
      <c r="C23" s="192">
        <v>43.57</v>
      </c>
      <c r="D23" s="192">
        <f>(50.93+59.8)/2</f>
        <v>55.364999999999995</v>
      </c>
      <c r="E23" s="192">
        <f t="shared" ref="E23:R23" si="5">(50.93+59.8)/2</f>
        <v>55.364999999999995</v>
      </c>
      <c r="F23" s="192">
        <f t="shared" si="5"/>
        <v>55.364999999999995</v>
      </c>
      <c r="G23" s="248">
        <f t="shared" si="5"/>
        <v>55.364999999999995</v>
      </c>
      <c r="H23" s="195">
        <f t="shared" si="5"/>
        <v>55.364999999999995</v>
      </c>
      <c r="I23" s="192">
        <f t="shared" si="5"/>
        <v>55.364999999999995</v>
      </c>
      <c r="J23" s="192">
        <f t="shared" si="5"/>
        <v>55.364999999999995</v>
      </c>
      <c r="K23" s="196">
        <f t="shared" si="5"/>
        <v>55.364999999999995</v>
      </c>
      <c r="L23" s="197">
        <f t="shared" si="5"/>
        <v>55.364999999999995</v>
      </c>
      <c r="M23" s="192">
        <f t="shared" si="5"/>
        <v>55.364999999999995</v>
      </c>
      <c r="N23" s="192">
        <f t="shared" si="5"/>
        <v>55.364999999999995</v>
      </c>
      <c r="O23" s="192">
        <f t="shared" si="5"/>
        <v>55.364999999999995</v>
      </c>
      <c r="P23" s="192">
        <f t="shared" si="5"/>
        <v>55.364999999999995</v>
      </c>
      <c r="Q23" s="192">
        <f t="shared" si="5"/>
        <v>55.364999999999995</v>
      </c>
      <c r="R23" s="192">
        <f t="shared" si="5"/>
        <v>55.364999999999995</v>
      </c>
      <c r="S23" s="199">
        <f t="shared" si="1"/>
        <v>874.04500000000007</v>
      </c>
    </row>
    <row r="24" spans="1:19" s="236" customFormat="1" ht="29.25" customHeight="1" outlineLevel="1" x14ac:dyDescent="0.15">
      <c r="A24" s="184" t="s">
        <v>70</v>
      </c>
      <c r="B24" s="191" t="s">
        <v>67</v>
      </c>
      <c r="C24" s="238">
        <f>C22*C23*C10</f>
        <v>2063.4246779483537</v>
      </c>
      <c r="D24" s="238">
        <f t="shared" ref="D24:R24" si="6">D22*D23*D10</f>
        <v>428.45409790254865</v>
      </c>
      <c r="E24" s="238">
        <f t="shared" si="6"/>
        <v>12303.799001514873</v>
      </c>
      <c r="F24" s="238">
        <f t="shared" si="6"/>
        <v>4190.6885825478075</v>
      </c>
      <c r="G24" s="239">
        <f t="shared" si="6"/>
        <v>36122.926709554551</v>
      </c>
      <c r="H24" s="240">
        <f t="shared" si="6"/>
        <v>4144.7335244248097</v>
      </c>
      <c r="I24" s="238">
        <f t="shared" si="6"/>
        <v>6461.8864285714271</v>
      </c>
      <c r="J24" s="238">
        <f t="shared" si="6"/>
        <v>5740.8096875371048</v>
      </c>
      <c r="K24" s="241">
        <f t="shared" si="6"/>
        <v>5422.4780342959848</v>
      </c>
      <c r="L24" s="242">
        <f t="shared" si="6"/>
        <v>38926.369081213648</v>
      </c>
      <c r="M24" s="238">
        <f t="shared" si="6"/>
        <v>2842.5868178766655</v>
      </c>
      <c r="N24" s="238">
        <f t="shared" si="6"/>
        <v>13398.615011290683</v>
      </c>
      <c r="O24" s="238">
        <f t="shared" si="6"/>
        <v>10652.112070271451</v>
      </c>
      <c r="P24" s="238">
        <f t="shared" si="6"/>
        <v>20299.433374229528</v>
      </c>
      <c r="Q24" s="238">
        <f t="shared" si="6"/>
        <v>9718.2000175991088</v>
      </c>
      <c r="R24" s="238">
        <f t="shared" si="6"/>
        <v>14533.467469906234</v>
      </c>
      <c r="S24" s="199">
        <f t="shared" si="1"/>
        <v>187249.98458668479</v>
      </c>
    </row>
    <row r="25" spans="1:19" s="237" customFormat="1" ht="29.25" customHeight="1" outlineLevel="1" x14ac:dyDescent="0.15">
      <c r="A25" s="191" t="s">
        <v>71</v>
      </c>
      <c r="B25" s="191" t="s">
        <v>72</v>
      </c>
      <c r="C25" s="198">
        <v>35601.387000000002</v>
      </c>
      <c r="D25" s="198">
        <v>735.03800000000001</v>
      </c>
      <c r="E25" s="198">
        <v>4219.1319999999996</v>
      </c>
      <c r="F25" s="198">
        <v>4677.2719999999999</v>
      </c>
      <c r="G25" s="200">
        <v>20883.203000000001</v>
      </c>
      <c r="H25" s="201">
        <v>2170</v>
      </c>
      <c r="I25" s="198">
        <v>4974.2</v>
      </c>
      <c r="J25" s="198">
        <v>2355</v>
      </c>
      <c r="K25" s="202">
        <v>2998</v>
      </c>
      <c r="L25" s="203">
        <v>17140</v>
      </c>
      <c r="M25" s="198">
        <v>1075</v>
      </c>
      <c r="N25" s="198">
        <v>10441</v>
      </c>
      <c r="O25" s="198">
        <v>2798.0470000000005</v>
      </c>
      <c r="P25" s="198">
        <v>25368.131999999998</v>
      </c>
      <c r="Q25" s="198">
        <v>6192.99</v>
      </c>
      <c r="R25" s="198">
        <v>9613.9</v>
      </c>
      <c r="S25" s="199">
        <f t="shared" si="1"/>
        <v>151242.30100000001</v>
      </c>
    </row>
    <row r="26" spans="1:19" ht="16" outlineLevel="1" x14ac:dyDescent="0.15">
      <c r="A26" s="191" t="s">
        <v>73</v>
      </c>
      <c r="B26" s="191" t="s">
        <v>58</v>
      </c>
      <c r="C26" s="192">
        <v>32.020000000000003</v>
      </c>
      <c r="D26" s="192">
        <f>(39.97+45.91)/2</f>
        <v>42.94</v>
      </c>
      <c r="E26" s="192">
        <f t="shared" ref="E26:R26" si="7">(39.97+45.91)/2</f>
        <v>42.94</v>
      </c>
      <c r="F26" s="192">
        <f t="shared" si="7"/>
        <v>42.94</v>
      </c>
      <c r="G26" s="248">
        <f t="shared" si="7"/>
        <v>42.94</v>
      </c>
      <c r="H26" s="195">
        <f t="shared" si="7"/>
        <v>42.94</v>
      </c>
      <c r="I26" s="192">
        <f t="shared" si="7"/>
        <v>42.94</v>
      </c>
      <c r="J26" s="192">
        <f t="shared" si="7"/>
        <v>42.94</v>
      </c>
      <c r="K26" s="196">
        <f t="shared" si="7"/>
        <v>42.94</v>
      </c>
      <c r="L26" s="197">
        <f t="shared" si="7"/>
        <v>42.94</v>
      </c>
      <c r="M26" s="192">
        <f t="shared" si="7"/>
        <v>42.94</v>
      </c>
      <c r="N26" s="192">
        <f t="shared" si="7"/>
        <v>42.94</v>
      </c>
      <c r="O26" s="192">
        <f t="shared" si="7"/>
        <v>42.94</v>
      </c>
      <c r="P26" s="192">
        <f t="shared" si="7"/>
        <v>42.94</v>
      </c>
      <c r="Q26" s="192">
        <f t="shared" si="7"/>
        <v>42.94</v>
      </c>
      <c r="R26" s="192">
        <f t="shared" si="7"/>
        <v>42.94</v>
      </c>
      <c r="S26" s="199">
        <f t="shared" si="1"/>
        <v>676.12000000000012</v>
      </c>
    </row>
    <row r="27" spans="1:19" s="236" customFormat="1" ht="28.5" customHeight="1" outlineLevel="1" x14ac:dyDescent="0.15">
      <c r="A27" s="184" t="s">
        <v>74</v>
      </c>
      <c r="B27" s="249"/>
      <c r="C27" s="238">
        <f>C25*C26*C10</f>
        <v>1516.430070872304</v>
      </c>
      <c r="D27" s="238">
        <f t="shared" ref="D27:R27" si="8">D25*D26*D10</f>
        <v>661.8654950702404</v>
      </c>
      <c r="E27" s="238">
        <f t="shared" si="8"/>
        <v>9542.5833852623255</v>
      </c>
      <c r="F27" s="238">
        <f t="shared" si="8"/>
        <v>3250.2152575562695</v>
      </c>
      <c r="G27" s="239">
        <f t="shared" si="8"/>
        <v>28016.228174989119</v>
      </c>
      <c r="H27" s="240">
        <f t="shared" si="8"/>
        <v>3214.5734225377282</v>
      </c>
      <c r="I27" s="238">
        <f t="shared" si="8"/>
        <v>7016.3959999999988</v>
      </c>
      <c r="J27" s="238">
        <f t="shared" si="8"/>
        <v>5005.7406232062312</v>
      </c>
      <c r="K27" s="241">
        <f t="shared" si="8"/>
        <v>4205.5668164484705</v>
      </c>
      <c r="L27" s="242">
        <f t="shared" si="8"/>
        <v>30190.522683054536</v>
      </c>
      <c r="M27" s="238">
        <f>M25*M26*M10</f>
        <v>2204.65416706627</v>
      </c>
      <c r="N27" s="238">
        <f t="shared" si="8"/>
        <v>10391.701049125295</v>
      </c>
      <c r="O27" s="238">
        <f t="shared" si="8"/>
        <v>12888.044594614712</v>
      </c>
      <c r="P27" s="238">
        <f t="shared" si="8"/>
        <v>15743.839412795376</v>
      </c>
      <c r="Q27" s="238">
        <f t="shared" si="8"/>
        <v>7537.2439041940897</v>
      </c>
      <c r="R27" s="238">
        <f t="shared" si="8"/>
        <v>11271.870191597105</v>
      </c>
      <c r="S27" s="199">
        <f t="shared" si="1"/>
        <v>152657.47524839008</v>
      </c>
    </row>
    <row r="28" spans="1:19" ht="28" x14ac:dyDescent="0.15">
      <c r="A28" s="191" t="s">
        <v>75</v>
      </c>
      <c r="B28" s="191" t="s">
        <v>76</v>
      </c>
      <c r="C28" s="192">
        <v>12</v>
      </c>
      <c r="D28" s="192">
        <v>12</v>
      </c>
      <c r="E28" s="192">
        <v>12</v>
      </c>
      <c r="F28" s="192">
        <v>12</v>
      </c>
      <c r="G28" s="194">
        <v>12</v>
      </c>
      <c r="H28" s="195">
        <v>12</v>
      </c>
      <c r="I28" s="192">
        <v>12</v>
      </c>
      <c r="J28" s="192">
        <v>12</v>
      </c>
      <c r="K28" s="196">
        <v>12</v>
      </c>
      <c r="L28" s="197">
        <v>12</v>
      </c>
      <c r="M28" s="192">
        <v>12</v>
      </c>
      <c r="N28" s="192">
        <v>12</v>
      </c>
      <c r="O28" s="192">
        <v>12</v>
      </c>
      <c r="P28" s="192">
        <v>12</v>
      </c>
      <c r="Q28" s="192">
        <v>12</v>
      </c>
      <c r="R28" s="192">
        <v>12</v>
      </c>
      <c r="S28" s="199">
        <f t="shared" si="1"/>
        <v>192</v>
      </c>
    </row>
    <row r="29" spans="1:19" ht="28" x14ac:dyDescent="0.15">
      <c r="A29" s="191" t="s">
        <v>77</v>
      </c>
      <c r="B29" s="191" t="s">
        <v>76</v>
      </c>
      <c r="C29" s="192">
        <v>4</v>
      </c>
      <c r="D29" s="192">
        <v>4</v>
      </c>
      <c r="E29" s="192">
        <v>4</v>
      </c>
      <c r="F29" s="192">
        <v>4</v>
      </c>
      <c r="G29" s="194">
        <v>4</v>
      </c>
      <c r="H29" s="195">
        <v>4</v>
      </c>
      <c r="I29" s="192">
        <v>4</v>
      </c>
      <c r="J29" s="192">
        <v>4</v>
      </c>
      <c r="K29" s="196">
        <v>4</v>
      </c>
      <c r="L29" s="197">
        <v>4</v>
      </c>
      <c r="M29" s="192">
        <v>4</v>
      </c>
      <c r="N29" s="192">
        <v>4</v>
      </c>
      <c r="O29" s="192">
        <v>4</v>
      </c>
      <c r="P29" s="192">
        <v>4</v>
      </c>
      <c r="Q29" s="192">
        <v>4</v>
      </c>
      <c r="R29" s="192">
        <v>4</v>
      </c>
      <c r="S29" s="199">
        <f t="shared" si="1"/>
        <v>64</v>
      </c>
    </row>
    <row r="30" spans="1:19" ht="16" x14ac:dyDescent="0.15">
      <c r="A30" s="224" t="s">
        <v>78</v>
      </c>
      <c r="B30" s="224" t="s">
        <v>79</v>
      </c>
      <c r="C30" s="250">
        <v>32</v>
      </c>
      <c r="D30" s="250">
        <v>36</v>
      </c>
      <c r="E30" s="250">
        <v>150</v>
      </c>
      <c r="F30" s="250">
        <v>40</v>
      </c>
      <c r="G30" s="251">
        <v>50</v>
      </c>
      <c r="H30" s="252">
        <v>50</v>
      </c>
      <c r="I30" s="250">
        <v>50</v>
      </c>
      <c r="J30" s="250">
        <v>50</v>
      </c>
      <c r="K30" s="253">
        <v>50</v>
      </c>
      <c r="L30" s="254">
        <v>150</v>
      </c>
      <c r="M30" s="250">
        <v>64</v>
      </c>
      <c r="N30" s="250">
        <v>185</v>
      </c>
      <c r="O30" s="250">
        <v>82</v>
      </c>
      <c r="P30" s="250">
        <v>90</v>
      </c>
      <c r="Q30" s="250">
        <v>38</v>
      </c>
      <c r="R30" s="250">
        <v>90</v>
      </c>
      <c r="S30" s="199">
        <f t="shared" si="1"/>
        <v>1207</v>
      </c>
    </row>
    <row r="31" spans="1:19" ht="28" x14ac:dyDescent="0.15">
      <c r="A31" s="191" t="s">
        <v>80</v>
      </c>
      <c r="B31" s="191" t="s">
        <v>79</v>
      </c>
      <c r="C31" s="255">
        <v>2</v>
      </c>
      <c r="D31" s="255">
        <v>3</v>
      </c>
      <c r="E31" s="255">
        <v>3</v>
      </c>
      <c r="F31" s="255">
        <v>3</v>
      </c>
      <c r="G31" s="256">
        <v>3</v>
      </c>
      <c r="H31" s="257">
        <v>3</v>
      </c>
      <c r="I31" s="255">
        <v>3</v>
      </c>
      <c r="J31" s="255">
        <v>3</v>
      </c>
      <c r="K31" s="258">
        <v>3</v>
      </c>
      <c r="L31" s="259">
        <v>3</v>
      </c>
      <c r="M31" s="255">
        <v>3</v>
      </c>
      <c r="N31" s="255">
        <v>3</v>
      </c>
      <c r="O31" s="255">
        <v>3</v>
      </c>
      <c r="P31" s="255">
        <v>3</v>
      </c>
      <c r="Q31" s="255">
        <v>3</v>
      </c>
      <c r="R31" s="255">
        <v>3</v>
      </c>
      <c r="S31" s="199">
        <f t="shared" si="1"/>
        <v>47</v>
      </c>
    </row>
    <row r="32" spans="1:19" ht="16" x14ac:dyDescent="0.15">
      <c r="A32" s="224" t="s">
        <v>81</v>
      </c>
      <c r="B32" s="224" t="s">
        <v>82</v>
      </c>
      <c r="C32" s="225">
        <v>6</v>
      </c>
      <c r="D32" s="225">
        <v>10</v>
      </c>
      <c r="E32" s="225">
        <v>10</v>
      </c>
      <c r="F32" s="225">
        <v>10</v>
      </c>
      <c r="G32" s="260">
        <v>10</v>
      </c>
      <c r="H32" s="227">
        <v>10</v>
      </c>
      <c r="I32" s="225">
        <v>10</v>
      </c>
      <c r="J32" s="225">
        <v>10</v>
      </c>
      <c r="K32" s="228">
        <v>10</v>
      </c>
      <c r="L32" s="229">
        <v>10</v>
      </c>
      <c r="M32" s="225">
        <v>10</v>
      </c>
      <c r="N32" s="225">
        <v>10</v>
      </c>
      <c r="O32" s="225">
        <v>10</v>
      </c>
      <c r="P32" s="225">
        <v>10</v>
      </c>
      <c r="Q32" s="225">
        <v>10</v>
      </c>
      <c r="R32" s="225">
        <v>10</v>
      </c>
      <c r="S32" s="199">
        <f t="shared" si="1"/>
        <v>156</v>
      </c>
    </row>
    <row r="33" spans="1:19" ht="28" x14ac:dyDescent="0.15">
      <c r="A33" s="191" t="s">
        <v>83</v>
      </c>
      <c r="B33" s="191"/>
      <c r="C33" s="192">
        <v>1.5</v>
      </c>
      <c r="D33" s="192">
        <v>1.5</v>
      </c>
      <c r="E33" s="192">
        <v>1.5</v>
      </c>
      <c r="F33" s="192">
        <v>1.5</v>
      </c>
      <c r="G33" s="194">
        <v>1.5</v>
      </c>
      <c r="H33" s="195">
        <v>1.5</v>
      </c>
      <c r="I33" s="192">
        <v>1.5</v>
      </c>
      <c r="J33" s="192">
        <v>1.5</v>
      </c>
      <c r="K33" s="196">
        <v>1.5</v>
      </c>
      <c r="L33" s="197">
        <v>1.5</v>
      </c>
      <c r="M33" s="192">
        <v>1.5</v>
      </c>
      <c r="N33" s="192">
        <v>1.5</v>
      </c>
      <c r="O33" s="192">
        <v>1.5</v>
      </c>
      <c r="P33" s="192">
        <v>1.5</v>
      </c>
      <c r="Q33" s="192">
        <v>1.5</v>
      </c>
      <c r="R33" s="192">
        <v>1.5</v>
      </c>
      <c r="S33" s="199">
        <f t="shared" si="1"/>
        <v>24</v>
      </c>
    </row>
    <row r="34" spans="1:19" ht="16" x14ac:dyDescent="0.15">
      <c r="A34" s="191" t="s">
        <v>84</v>
      </c>
      <c r="B34" s="191"/>
      <c r="C34" s="192">
        <v>0.45</v>
      </c>
      <c r="D34" s="192">
        <v>0.45</v>
      </c>
      <c r="E34" s="192">
        <v>0.45</v>
      </c>
      <c r="F34" s="192">
        <v>0.45</v>
      </c>
      <c r="G34" s="194">
        <v>0.45</v>
      </c>
      <c r="H34" s="195">
        <v>0.45</v>
      </c>
      <c r="I34" s="192">
        <v>0.45</v>
      </c>
      <c r="J34" s="192">
        <v>0.45</v>
      </c>
      <c r="K34" s="196">
        <v>0.45</v>
      </c>
      <c r="L34" s="197">
        <v>0.45</v>
      </c>
      <c r="M34" s="192">
        <v>0.45</v>
      </c>
      <c r="N34" s="192">
        <v>0.45</v>
      </c>
      <c r="O34" s="192">
        <v>0.45</v>
      </c>
      <c r="P34" s="192">
        <v>0.45</v>
      </c>
      <c r="Q34" s="192">
        <v>0.45</v>
      </c>
      <c r="R34" s="192">
        <v>0.45</v>
      </c>
      <c r="S34" s="199">
        <f t="shared" si="1"/>
        <v>7.200000000000002</v>
      </c>
    </row>
    <row r="35" spans="1:19" ht="28" x14ac:dyDescent="0.15">
      <c r="A35" s="191" t="s">
        <v>85</v>
      </c>
      <c r="B35" s="191" t="s">
        <v>86</v>
      </c>
      <c r="C35" s="192">
        <f>2.2*C30*C31</f>
        <v>140.80000000000001</v>
      </c>
      <c r="D35" s="192">
        <f t="shared" ref="D35:R35" si="9">2.2*D30*D31</f>
        <v>237.60000000000002</v>
      </c>
      <c r="E35" s="192">
        <f>2.2*E30*E31</f>
        <v>990</v>
      </c>
      <c r="F35" s="192">
        <f t="shared" si="9"/>
        <v>264</v>
      </c>
      <c r="G35" s="194">
        <f t="shared" si="9"/>
        <v>330.00000000000006</v>
      </c>
      <c r="H35" s="195">
        <f t="shared" si="9"/>
        <v>330.00000000000006</v>
      </c>
      <c r="I35" s="192">
        <f t="shared" si="9"/>
        <v>330.00000000000006</v>
      </c>
      <c r="J35" s="192">
        <f t="shared" si="9"/>
        <v>330.00000000000006</v>
      </c>
      <c r="K35" s="196">
        <f t="shared" si="9"/>
        <v>330.00000000000006</v>
      </c>
      <c r="L35" s="197">
        <f t="shared" si="9"/>
        <v>990</v>
      </c>
      <c r="M35" s="192">
        <f t="shared" si="9"/>
        <v>422.40000000000003</v>
      </c>
      <c r="N35" s="192">
        <f t="shared" si="9"/>
        <v>1221.0000000000002</v>
      </c>
      <c r="O35" s="192">
        <f t="shared" si="9"/>
        <v>541.20000000000005</v>
      </c>
      <c r="P35" s="192">
        <f t="shared" si="9"/>
        <v>594.00000000000011</v>
      </c>
      <c r="Q35" s="192">
        <f t="shared" si="9"/>
        <v>250.8</v>
      </c>
      <c r="R35" s="192">
        <f t="shared" si="9"/>
        <v>594.00000000000011</v>
      </c>
      <c r="S35" s="199">
        <f t="shared" si="1"/>
        <v>7895.7999999999993</v>
      </c>
    </row>
    <row r="36" spans="1:19" ht="28" x14ac:dyDescent="0.15">
      <c r="A36" s="191" t="s">
        <v>87</v>
      </c>
      <c r="B36" s="191" t="s">
        <v>88</v>
      </c>
      <c r="C36" s="192">
        <f>C35*C32*C34</f>
        <v>380.16</v>
      </c>
      <c r="D36" s="192">
        <f t="shared" ref="D36:R36" si="10">D35*D32*D34</f>
        <v>1069.2</v>
      </c>
      <c r="E36" s="192">
        <f>E35*E32*E34</f>
        <v>4455</v>
      </c>
      <c r="F36" s="192">
        <f t="shared" si="10"/>
        <v>1188</v>
      </c>
      <c r="G36" s="194">
        <f t="shared" si="10"/>
        <v>1485.0000000000002</v>
      </c>
      <c r="H36" s="195">
        <f t="shared" si="10"/>
        <v>1485.0000000000002</v>
      </c>
      <c r="I36" s="192">
        <f t="shared" si="10"/>
        <v>1485.0000000000002</v>
      </c>
      <c r="J36" s="192">
        <f t="shared" si="10"/>
        <v>1485.0000000000002</v>
      </c>
      <c r="K36" s="196">
        <f t="shared" si="10"/>
        <v>1485.0000000000002</v>
      </c>
      <c r="L36" s="197">
        <f t="shared" si="10"/>
        <v>4455</v>
      </c>
      <c r="M36" s="192">
        <f t="shared" si="10"/>
        <v>1900.8</v>
      </c>
      <c r="N36" s="192">
        <f t="shared" si="10"/>
        <v>5494.5000000000009</v>
      </c>
      <c r="O36" s="192">
        <f t="shared" si="10"/>
        <v>2435.4</v>
      </c>
      <c r="P36" s="192">
        <f t="shared" si="10"/>
        <v>2673.0000000000005</v>
      </c>
      <c r="Q36" s="192">
        <f t="shared" si="10"/>
        <v>1128.6000000000001</v>
      </c>
      <c r="R36" s="192">
        <f t="shared" si="10"/>
        <v>2673.0000000000005</v>
      </c>
      <c r="S36" s="199">
        <f t="shared" si="1"/>
        <v>35277.660000000003</v>
      </c>
    </row>
    <row r="37" spans="1:19" ht="16" x14ac:dyDescent="0.15">
      <c r="A37" s="191" t="s">
        <v>89</v>
      </c>
      <c r="B37" s="191" t="s">
        <v>90</v>
      </c>
      <c r="C37" s="192">
        <f>0.001*C33*C28*C36</f>
        <v>6.842880000000001</v>
      </c>
      <c r="D37" s="192">
        <f>0.001*D33*D28*D36</f>
        <v>19.245600000000003</v>
      </c>
      <c r="E37" s="192">
        <f t="shared" ref="E37:R37" si="11">0.001*E33*E28*E36</f>
        <v>80.190000000000012</v>
      </c>
      <c r="F37" s="192">
        <f t="shared" si="11"/>
        <v>21.384000000000004</v>
      </c>
      <c r="G37" s="194">
        <f t="shared" si="11"/>
        <v>26.730000000000008</v>
      </c>
      <c r="H37" s="195">
        <f t="shared" si="11"/>
        <v>26.730000000000008</v>
      </c>
      <c r="I37" s="192">
        <f t="shared" si="11"/>
        <v>26.730000000000008</v>
      </c>
      <c r="J37" s="192">
        <f t="shared" si="11"/>
        <v>26.730000000000008</v>
      </c>
      <c r="K37" s="196">
        <f t="shared" si="11"/>
        <v>26.730000000000008</v>
      </c>
      <c r="L37" s="197">
        <f t="shared" si="11"/>
        <v>80.190000000000012</v>
      </c>
      <c r="M37" s="192">
        <f t="shared" si="11"/>
        <v>34.214400000000005</v>
      </c>
      <c r="N37" s="192">
        <f t="shared" si="11"/>
        <v>98.901000000000025</v>
      </c>
      <c r="O37" s="192">
        <f t="shared" si="11"/>
        <v>43.83720000000001</v>
      </c>
      <c r="P37" s="192">
        <f t="shared" si="11"/>
        <v>48.114000000000011</v>
      </c>
      <c r="Q37" s="192">
        <f t="shared" si="11"/>
        <v>20.314800000000005</v>
      </c>
      <c r="R37" s="192">
        <f t="shared" si="11"/>
        <v>48.114000000000011</v>
      </c>
      <c r="S37" s="199">
        <f t="shared" si="1"/>
        <v>634.99788000000024</v>
      </c>
    </row>
    <row r="38" spans="1:19" ht="16" x14ac:dyDescent="0.15">
      <c r="A38" s="191" t="s">
        <v>91</v>
      </c>
      <c r="B38" s="191" t="s">
        <v>90</v>
      </c>
      <c r="C38" s="192">
        <f t="shared" ref="C38:R38" si="12">0.001*C33*C29*C36</f>
        <v>2.2809600000000003</v>
      </c>
      <c r="D38" s="192">
        <f t="shared" si="12"/>
        <v>6.4152000000000005</v>
      </c>
      <c r="E38" s="192">
        <f t="shared" si="12"/>
        <v>26.73</v>
      </c>
      <c r="F38" s="192">
        <f t="shared" si="12"/>
        <v>7.1280000000000001</v>
      </c>
      <c r="G38" s="194">
        <f t="shared" si="12"/>
        <v>8.9100000000000019</v>
      </c>
      <c r="H38" s="195">
        <f t="shared" si="12"/>
        <v>8.9100000000000019</v>
      </c>
      <c r="I38" s="192">
        <f t="shared" si="12"/>
        <v>8.9100000000000019</v>
      </c>
      <c r="J38" s="192">
        <f t="shared" si="12"/>
        <v>8.9100000000000019</v>
      </c>
      <c r="K38" s="196">
        <f t="shared" si="12"/>
        <v>8.9100000000000019</v>
      </c>
      <c r="L38" s="197">
        <f t="shared" si="12"/>
        <v>26.73</v>
      </c>
      <c r="M38" s="192">
        <f t="shared" si="12"/>
        <v>11.4048</v>
      </c>
      <c r="N38" s="192">
        <f t="shared" si="12"/>
        <v>32.967000000000006</v>
      </c>
      <c r="O38" s="192">
        <f t="shared" si="12"/>
        <v>14.612400000000001</v>
      </c>
      <c r="P38" s="192">
        <f t="shared" si="12"/>
        <v>16.038000000000004</v>
      </c>
      <c r="Q38" s="192">
        <f t="shared" si="12"/>
        <v>6.7716000000000012</v>
      </c>
      <c r="R38" s="192">
        <f t="shared" si="12"/>
        <v>16.038000000000004</v>
      </c>
      <c r="S38" s="199">
        <f t="shared" si="1"/>
        <v>211.66596000000004</v>
      </c>
    </row>
    <row r="39" spans="1:19" ht="16" x14ac:dyDescent="0.15">
      <c r="A39" s="191"/>
      <c r="B39" s="191"/>
      <c r="C39" s="192">
        <f>C38*C16</f>
        <v>554.63823360000004</v>
      </c>
      <c r="D39" s="192"/>
      <c r="E39" s="192"/>
      <c r="F39" s="192"/>
      <c r="G39" s="194"/>
      <c r="H39" s="195"/>
      <c r="I39" s="192"/>
      <c r="J39" s="192"/>
      <c r="K39" s="196"/>
      <c r="L39" s="197"/>
      <c r="M39" s="192"/>
      <c r="N39" s="192"/>
      <c r="O39" s="192"/>
      <c r="P39" s="192"/>
      <c r="Q39" s="192"/>
      <c r="R39" s="192"/>
      <c r="S39" s="199">
        <f t="shared" si="1"/>
        <v>554.63823360000004</v>
      </c>
    </row>
    <row r="40" spans="1:19" s="236" customFormat="1" ht="36" customHeight="1" x14ac:dyDescent="0.15">
      <c r="A40" s="184" t="s">
        <v>92</v>
      </c>
      <c r="B40" s="191" t="s">
        <v>60</v>
      </c>
      <c r="C40" s="238">
        <f t="shared" ref="C40:R40" si="13">C38*C41*C16</f>
        <v>166391.47008000003</v>
      </c>
      <c r="D40" s="238">
        <f t="shared" si="13"/>
        <v>495862.88400000002</v>
      </c>
      <c r="E40" s="238">
        <f t="shared" si="13"/>
        <v>0</v>
      </c>
      <c r="F40" s="238">
        <f t="shared" si="13"/>
        <v>0</v>
      </c>
      <c r="G40" s="239">
        <f t="shared" si="13"/>
        <v>0</v>
      </c>
      <c r="H40" s="240">
        <f>H38*H41*H16</f>
        <v>688698.45000000007</v>
      </c>
      <c r="I40" s="238">
        <f t="shared" si="13"/>
        <v>688698.45000000007</v>
      </c>
      <c r="J40" s="238">
        <f t="shared" si="13"/>
        <v>688698.45000000007</v>
      </c>
      <c r="K40" s="241">
        <f t="shared" si="13"/>
        <v>0</v>
      </c>
      <c r="L40" s="242">
        <f t="shared" si="13"/>
        <v>0</v>
      </c>
      <c r="M40" s="238">
        <f t="shared" si="13"/>
        <v>0</v>
      </c>
      <c r="N40" s="238">
        <f>N38*N41*N16</f>
        <v>0</v>
      </c>
      <c r="O40" s="238">
        <f t="shared" si="13"/>
        <v>1129465.4579999999</v>
      </c>
      <c r="P40" s="238">
        <f t="shared" si="13"/>
        <v>0</v>
      </c>
      <c r="Q40" s="238">
        <f t="shared" si="13"/>
        <v>0</v>
      </c>
      <c r="R40" s="238">
        <f t="shared" si="13"/>
        <v>0</v>
      </c>
      <c r="S40" s="199">
        <f t="shared" si="1"/>
        <v>3857815.1620800002</v>
      </c>
    </row>
    <row r="41" spans="1:19" ht="28" x14ac:dyDescent="0.15">
      <c r="A41" s="224" t="s">
        <v>204</v>
      </c>
      <c r="B41" s="224" t="s">
        <v>94</v>
      </c>
      <c r="C41" s="225">
        <v>300</v>
      </c>
      <c r="D41" s="225">
        <v>300</v>
      </c>
      <c r="E41" s="225">
        <v>300</v>
      </c>
      <c r="F41" s="225">
        <v>300</v>
      </c>
      <c r="G41" s="260">
        <v>300</v>
      </c>
      <c r="H41" s="227">
        <v>300</v>
      </c>
      <c r="I41" s="225">
        <v>300</v>
      </c>
      <c r="J41" s="225">
        <v>300</v>
      </c>
      <c r="K41" s="228">
        <v>300</v>
      </c>
      <c r="L41" s="229">
        <v>300</v>
      </c>
      <c r="M41" s="225">
        <v>300</v>
      </c>
      <c r="N41" s="225">
        <v>300</v>
      </c>
      <c r="O41" s="225">
        <v>300</v>
      </c>
      <c r="P41" s="225">
        <v>300</v>
      </c>
      <c r="Q41" s="225">
        <v>300</v>
      </c>
      <c r="R41" s="225">
        <v>300</v>
      </c>
      <c r="S41" s="199">
        <f t="shared" si="1"/>
        <v>4800</v>
      </c>
    </row>
    <row r="42" spans="1:19" ht="22.5" customHeight="1" x14ac:dyDescent="0.15">
      <c r="A42" s="191" t="s">
        <v>95</v>
      </c>
      <c r="B42" s="191" t="s">
        <v>67</v>
      </c>
      <c r="C42" s="192">
        <f t="shared" ref="C42:R42" si="14">C37*C41*C23</f>
        <v>89443.284480000017</v>
      </c>
      <c r="D42" s="192">
        <f>D37*D41*D23</f>
        <v>319659.79320000001</v>
      </c>
      <c r="E42" s="192">
        <f t="shared" si="14"/>
        <v>1331915.8050000002</v>
      </c>
      <c r="F42" s="192">
        <f t="shared" si="14"/>
        <v>355177.54800000001</v>
      </c>
      <c r="G42" s="194">
        <f t="shared" si="14"/>
        <v>443971.93500000006</v>
      </c>
      <c r="H42" s="195">
        <f t="shared" si="14"/>
        <v>443971.93500000006</v>
      </c>
      <c r="I42" s="192">
        <f t="shared" si="14"/>
        <v>443971.93500000006</v>
      </c>
      <c r="J42" s="192">
        <f t="shared" si="14"/>
        <v>443971.93500000006</v>
      </c>
      <c r="K42" s="196">
        <f t="shared" si="14"/>
        <v>443971.93500000006</v>
      </c>
      <c r="L42" s="197">
        <f t="shared" si="14"/>
        <v>1331915.8050000002</v>
      </c>
      <c r="M42" s="192">
        <f t="shared" si="14"/>
        <v>568284.07680000004</v>
      </c>
      <c r="N42" s="192">
        <f t="shared" si="14"/>
        <v>1642696.1595000003</v>
      </c>
      <c r="O42" s="192">
        <f t="shared" si="14"/>
        <v>728113.97340000013</v>
      </c>
      <c r="P42" s="192">
        <f t="shared" si="14"/>
        <v>799149.48300000012</v>
      </c>
      <c r="Q42" s="192">
        <f t="shared" si="14"/>
        <v>337418.67060000007</v>
      </c>
      <c r="R42" s="192">
        <f t="shared" si="14"/>
        <v>799149.48300000012</v>
      </c>
      <c r="S42" s="199">
        <f t="shared" si="1"/>
        <v>10522783.756980002</v>
      </c>
    </row>
    <row r="43" spans="1:19" ht="33" customHeight="1" x14ac:dyDescent="0.15">
      <c r="A43" s="191" t="s">
        <v>96</v>
      </c>
      <c r="B43" s="191" t="s">
        <v>67</v>
      </c>
      <c r="C43" s="192">
        <f t="shared" ref="C43:R43" si="15">C37*C41*C26</f>
        <v>65732.705280000024</v>
      </c>
      <c r="D43" s="192">
        <f t="shared" si="15"/>
        <v>247921.81920000003</v>
      </c>
      <c r="E43" s="192">
        <f t="shared" si="15"/>
        <v>1033007.5800000001</v>
      </c>
      <c r="F43" s="192">
        <f t="shared" si="15"/>
        <v>275468.68800000002</v>
      </c>
      <c r="G43" s="194">
        <f t="shared" si="15"/>
        <v>344335.86000000004</v>
      </c>
      <c r="H43" s="195">
        <f t="shared" si="15"/>
        <v>344335.86000000004</v>
      </c>
      <c r="I43" s="192">
        <f t="shared" si="15"/>
        <v>344335.86000000004</v>
      </c>
      <c r="J43" s="192">
        <f t="shared" si="15"/>
        <v>344335.86000000004</v>
      </c>
      <c r="K43" s="196">
        <f t="shared" si="15"/>
        <v>344335.86000000004</v>
      </c>
      <c r="L43" s="197">
        <f t="shared" si="15"/>
        <v>1033007.5800000001</v>
      </c>
      <c r="M43" s="192">
        <f t="shared" si="15"/>
        <v>440749.90080000006</v>
      </c>
      <c r="N43" s="192">
        <f t="shared" si="15"/>
        <v>1274042.6820000003</v>
      </c>
      <c r="O43" s="192">
        <f t="shared" si="15"/>
        <v>564710.81040000007</v>
      </c>
      <c r="P43" s="192">
        <f t="shared" si="15"/>
        <v>619804.54800000007</v>
      </c>
      <c r="Q43" s="192">
        <f t="shared" si="15"/>
        <v>261695.25360000005</v>
      </c>
      <c r="R43" s="192">
        <f t="shared" si="15"/>
        <v>619804.54800000007</v>
      </c>
      <c r="S43" s="199">
        <f t="shared" si="1"/>
        <v>8157625.4152800012</v>
      </c>
    </row>
    <row r="44" spans="1:19" s="236" customFormat="1" ht="23.25" customHeight="1" x14ac:dyDescent="0.15">
      <c r="A44" s="184" t="s">
        <v>97</v>
      </c>
      <c r="B44" s="191" t="s">
        <v>67</v>
      </c>
      <c r="C44" s="238">
        <f>C42+C43</f>
        <v>155175.98976000003</v>
      </c>
      <c r="D44" s="238">
        <f t="shared" ref="D44:R44" si="16">D42+D43</f>
        <v>567581.61239999998</v>
      </c>
      <c r="E44" s="238">
        <f t="shared" si="16"/>
        <v>2364923.3850000002</v>
      </c>
      <c r="F44" s="238">
        <f t="shared" si="16"/>
        <v>630646.23600000003</v>
      </c>
      <c r="G44" s="239">
        <f t="shared" si="16"/>
        <v>788307.79500000016</v>
      </c>
      <c r="H44" s="240">
        <f t="shared" si="16"/>
        <v>788307.79500000016</v>
      </c>
      <c r="I44" s="238">
        <f t="shared" si="16"/>
        <v>788307.79500000016</v>
      </c>
      <c r="J44" s="238">
        <f t="shared" si="16"/>
        <v>788307.79500000016</v>
      </c>
      <c r="K44" s="241">
        <f t="shared" si="16"/>
        <v>788307.79500000016</v>
      </c>
      <c r="L44" s="242">
        <f t="shared" si="16"/>
        <v>2364923.3850000002</v>
      </c>
      <c r="M44" s="238">
        <f t="shared" si="16"/>
        <v>1009033.9776000001</v>
      </c>
      <c r="N44" s="238">
        <f t="shared" si="16"/>
        <v>2916738.8415000006</v>
      </c>
      <c r="O44" s="238">
        <f t="shared" si="16"/>
        <v>1292824.7838000003</v>
      </c>
      <c r="P44" s="238">
        <f t="shared" si="16"/>
        <v>1418954.0310000002</v>
      </c>
      <c r="Q44" s="238">
        <f t="shared" si="16"/>
        <v>599113.92420000012</v>
      </c>
      <c r="R44" s="238">
        <f t="shared" si="16"/>
        <v>1418954.0310000002</v>
      </c>
      <c r="S44" s="199">
        <f t="shared" ref="S44:S75" si="17">SUM(C44:R44)</f>
        <v>18680409.172260001</v>
      </c>
    </row>
    <row r="45" spans="1:19" s="236" customFormat="1" ht="16" x14ac:dyDescent="0.15">
      <c r="A45" s="184" t="s">
        <v>98</v>
      </c>
      <c r="B45" s="191" t="s">
        <v>67</v>
      </c>
      <c r="C45" s="238">
        <f>C14+C21+C40+C44</f>
        <v>461751.26229850249</v>
      </c>
      <c r="D45" s="238">
        <f t="shared" ref="D45:R45" si="18">D14+D21+D40+D44</f>
        <v>1119428.6099825541</v>
      </c>
      <c r="E45" s="238">
        <f>E14+E21+E40+E44</f>
        <v>3846038.5313327117</v>
      </c>
      <c r="F45" s="238">
        <f t="shared" si="18"/>
        <v>763949.63332380867</v>
      </c>
      <c r="G45" s="239">
        <f t="shared" si="18"/>
        <v>1035076.2351504231</v>
      </c>
      <c r="H45" s="240">
        <f t="shared" si="18"/>
        <v>1570969.5112470561</v>
      </c>
      <c r="I45" s="238">
        <f t="shared" si="18"/>
        <v>1557210.4085398698</v>
      </c>
      <c r="J45" s="238">
        <f t="shared" si="18"/>
        <v>1612678.9328319286</v>
      </c>
      <c r="K45" s="241">
        <f t="shared" si="18"/>
        <v>883777.39879363775</v>
      </c>
      <c r="L45" s="242">
        <f t="shared" si="18"/>
        <v>3229104.6402676543</v>
      </c>
      <c r="M45" s="238">
        <f t="shared" si="18"/>
        <v>1122500.738436844</v>
      </c>
      <c r="N45" s="238">
        <f t="shared" si="18"/>
        <v>3272104.1215508999</v>
      </c>
      <c r="O45" s="238">
        <f t="shared" si="18"/>
        <v>3165129.6412054934</v>
      </c>
      <c r="P45" s="238">
        <f t="shared" si="18"/>
        <v>1832371.2356038417</v>
      </c>
      <c r="Q45" s="238">
        <f t="shared" si="18"/>
        <v>750422.44476066413</v>
      </c>
      <c r="R45" s="238">
        <f t="shared" si="18"/>
        <v>1688070.8094071178</v>
      </c>
      <c r="S45" s="199">
        <f t="shared" si="17"/>
        <v>27910584.15473301</v>
      </c>
    </row>
    <row r="46" spans="1:19" ht="16" x14ac:dyDescent="0.15">
      <c r="A46" s="184" t="s">
        <v>99</v>
      </c>
      <c r="B46" s="191" t="s">
        <v>100</v>
      </c>
      <c r="C46" s="230">
        <f>C45/12</f>
        <v>38479.271858208544</v>
      </c>
      <c r="D46" s="230">
        <f t="shared" ref="D46:R46" si="19">D45/12</f>
        <v>93285.717498546175</v>
      </c>
      <c r="E46" s="230">
        <f t="shared" si="19"/>
        <v>320503.21094439266</v>
      </c>
      <c r="F46" s="230">
        <f t="shared" si="19"/>
        <v>63662.46944365072</v>
      </c>
      <c r="G46" s="232">
        <f t="shared" si="19"/>
        <v>86256.352929201923</v>
      </c>
      <c r="H46" s="233">
        <f t="shared" si="19"/>
        <v>130914.12593725468</v>
      </c>
      <c r="I46" s="230">
        <f t="shared" si="19"/>
        <v>129767.53404498915</v>
      </c>
      <c r="J46" s="230">
        <f t="shared" si="19"/>
        <v>134389.91106932738</v>
      </c>
      <c r="K46" s="234">
        <f t="shared" si="19"/>
        <v>73648.116566136479</v>
      </c>
      <c r="L46" s="235">
        <f t="shared" si="19"/>
        <v>269092.05335563788</v>
      </c>
      <c r="M46" s="230">
        <f t="shared" si="19"/>
        <v>93541.728203070335</v>
      </c>
      <c r="N46" s="230">
        <f t="shared" si="19"/>
        <v>272675.34346257499</v>
      </c>
      <c r="O46" s="230">
        <f t="shared" si="19"/>
        <v>263760.80343379109</v>
      </c>
      <c r="P46" s="230">
        <f t="shared" si="19"/>
        <v>152697.6029669868</v>
      </c>
      <c r="Q46" s="230">
        <f t="shared" si="19"/>
        <v>62535.203730055342</v>
      </c>
      <c r="R46" s="230">
        <f t="shared" si="19"/>
        <v>140672.56745059314</v>
      </c>
      <c r="S46" s="199">
        <f t="shared" si="17"/>
        <v>2325882.0128944172</v>
      </c>
    </row>
    <row r="47" spans="1:19" ht="16" x14ac:dyDescent="0.15">
      <c r="A47" s="261" t="s">
        <v>101</v>
      </c>
      <c r="B47" s="262"/>
      <c r="C47" s="263"/>
      <c r="D47" s="263"/>
      <c r="E47" s="263"/>
      <c r="F47" s="263"/>
      <c r="G47" s="264"/>
      <c r="H47" s="265"/>
      <c r="I47" s="263"/>
      <c r="J47" s="263"/>
      <c r="K47" s="266"/>
      <c r="L47" s="267"/>
      <c r="M47" s="263"/>
      <c r="N47" s="263"/>
      <c r="O47" s="263"/>
      <c r="P47" s="263"/>
      <c r="Q47" s="263"/>
      <c r="R47" s="263"/>
      <c r="S47" s="199">
        <f t="shared" si="17"/>
        <v>0</v>
      </c>
    </row>
    <row r="48" spans="1:19" ht="16" x14ac:dyDescent="0.15">
      <c r="A48" s="224" t="s">
        <v>205</v>
      </c>
      <c r="B48" s="224" t="s">
        <v>7</v>
      </c>
      <c r="C48" s="268">
        <v>0</v>
      </c>
      <c r="D48" s="268">
        <v>178</v>
      </c>
      <c r="E48" s="268">
        <v>202</v>
      </c>
      <c r="F48" s="268">
        <v>12</v>
      </c>
      <c r="G48" s="269">
        <v>12</v>
      </c>
      <c r="H48" s="270">
        <v>182</v>
      </c>
      <c r="I48" s="268">
        <v>12</v>
      </c>
      <c r="J48" s="268">
        <v>90</v>
      </c>
      <c r="K48" s="271">
        <v>131</v>
      </c>
      <c r="L48" s="272">
        <v>900</v>
      </c>
      <c r="M48" s="268">
        <v>95</v>
      </c>
      <c r="N48" s="268">
        <v>996</v>
      </c>
      <c r="O48" s="268">
        <v>154</v>
      </c>
      <c r="P48" s="268">
        <v>290</v>
      </c>
      <c r="Q48" s="268">
        <v>48</v>
      </c>
      <c r="R48" s="268">
        <v>270</v>
      </c>
      <c r="S48" s="199">
        <f t="shared" si="17"/>
        <v>3572</v>
      </c>
    </row>
    <row r="49" spans="1:19" ht="16" x14ac:dyDescent="0.15">
      <c r="A49" s="224" t="s">
        <v>206</v>
      </c>
      <c r="B49" s="224" t="s">
        <v>7</v>
      </c>
      <c r="C49" s="268">
        <f>2*2*4*12+3*6*4*12</f>
        <v>1056</v>
      </c>
      <c r="D49" s="268">
        <f>1*2*4*12</f>
        <v>96</v>
      </c>
      <c r="E49" s="268">
        <f>2*4*4*12</f>
        <v>384</v>
      </c>
      <c r="F49" s="268">
        <v>0</v>
      </c>
      <c r="G49" s="269"/>
      <c r="H49" s="270">
        <f>1*2*4*12</f>
        <v>96</v>
      </c>
      <c r="I49" s="268">
        <v>0</v>
      </c>
      <c r="J49" s="268">
        <f>1*2*4*12</f>
        <v>96</v>
      </c>
      <c r="K49" s="271">
        <f>1*2*4*12</f>
        <v>96</v>
      </c>
      <c r="L49" s="272">
        <f>2*4*4*12</f>
        <v>384</v>
      </c>
      <c r="M49" s="268">
        <f>1*2*4*12</f>
        <v>96</v>
      </c>
      <c r="N49" s="268">
        <f>3*6*4*12</f>
        <v>864</v>
      </c>
      <c r="O49" s="268">
        <f>2*4*4*12</f>
        <v>384</v>
      </c>
      <c r="P49" s="268">
        <f>3*6*4*12</f>
        <v>864</v>
      </c>
      <c r="Q49" s="268">
        <f>1*2*4*12</f>
        <v>96</v>
      </c>
      <c r="R49" s="268">
        <f>2*4*4*12</f>
        <v>384</v>
      </c>
      <c r="S49" s="199">
        <f t="shared" si="17"/>
        <v>4896</v>
      </c>
    </row>
    <row r="50" spans="1:19" ht="16" x14ac:dyDescent="0.15">
      <c r="A50" s="191" t="s">
        <v>103</v>
      </c>
      <c r="B50" s="191" t="s">
        <v>55</v>
      </c>
      <c r="C50" s="192">
        <f>841.77*1.1</f>
        <v>925.947</v>
      </c>
      <c r="D50" s="192">
        <f>844*1.1</f>
        <v>928.40000000000009</v>
      </c>
      <c r="E50" s="192">
        <v>928.40000000000009</v>
      </c>
      <c r="F50" s="192">
        <v>928.40000000000009</v>
      </c>
      <c r="G50" s="194">
        <v>925.947</v>
      </c>
      <c r="H50" s="195">
        <f>844*1.1</f>
        <v>928.40000000000009</v>
      </c>
      <c r="I50" s="192">
        <f>844*1.1</f>
        <v>928.40000000000009</v>
      </c>
      <c r="J50" s="192">
        <f>844*1.1</f>
        <v>928.40000000000009</v>
      </c>
      <c r="K50" s="196">
        <f>844*1.1</f>
        <v>928.40000000000009</v>
      </c>
      <c r="L50" s="197">
        <f>844.1*0.8</f>
        <v>675.28000000000009</v>
      </c>
      <c r="M50" s="192">
        <f>844*1.1</f>
        <v>928.40000000000009</v>
      </c>
      <c r="N50" s="192">
        <f>844*1.1</f>
        <v>928.40000000000009</v>
      </c>
      <c r="O50" s="192">
        <f>844.1*0.8</f>
        <v>675.28000000000009</v>
      </c>
      <c r="P50" s="192">
        <f>844*1.1</f>
        <v>928.40000000000009</v>
      </c>
      <c r="Q50" s="192">
        <v>844.1</v>
      </c>
      <c r="R50" s="192">
        <f>844.1*0.8</f>
        <v>675.28000000000009</v>
      </c>
      <c r="S50" s="199">
        <f t="shared" si="17"/>
        <v>14005.834000000001</v>
      </c>
    </row>
    <row r="51" spans="1:19" s="274" customFormat="1" ht="16" x14ac:dyDescent="0.15">
      <c r="A51" s="184" t="s">
        <v>104</v>
      </c>
      <c r="B51" s="191" t="s">
        <v>105</v>
      </c>
      <c r="C51" s="230">
        <f>C50*C49</f>
        <v>977800.03200000001</v>
      </c>
      <c r="D51" s="230">
        <f t="shared" ref="D51:R51" si="20">D50*D49</f>
        <v>89126.400000000009</v>
      </c>
      <c r="E51" s="230">
        <f t="shared" si="20"/>
        <v>356505.60000000003</v>
      </c>
      <c r="F51" s="230">
        <f t="shared" si="20"/>
        <v>0</v>
      </c>
      <c r="G51" s="273">
        <f t="shared" si="20"/>
        <v>0</v>
      </c>
      <c r="H51" s="233">
        <f t="shared" si="20"/>
        <v>89126.400000000009</v>
      </c>
      <c r="I51" s="230">
        <f t="shared" si="20"/>
        <v>0</v>
      </c>
      <c r="J51" s="230">
        <f t="shared" si="20"/>
        <v>89126.400000000009</v>
      </c>
      <c r="K51" s="234">
        <f t="shared" si="20"/>
        <v>89126.400000000009</v>
      </c>
      <c r="L51" s="235">
        <f t="shared" si="20"/>
        <v>259307.52000000002</v>
      </c>
      <c r="M51" s="230">
        <f t="shared" si="20"/>
        <v>89126.400000000009</v>
      </c>
      <c r="N51" s="230">
        <f t="shared" si="20"/>
        <v>802137.60000000009</v>
      </c>
      <c r="O51" s="230">
        <f t="shared" si="20"/>
        <v>259307.52000000002</v>
      </c>
      <c r="P51" s="230">
        <f t="shared" si="20"/>
        <v>802137.60000000009</v>
      </c>
      <c r="Q51" s="230">
        <f t="shared" si="20"/>
        <v>81033.600000000006</v>
      </c>
      <c r="R51" s="230">
        <f t="shared" si="20"/>
        <v>259307.52000000002</v>
      </c>
      <c r="S51" s="199">
        <f t="shared" si="17"/>
        <v>4243168.9920000006</v>
      </c>
    </row>
    <row r="52" spans="1:19" s="274" customFormat="1" ht="16" x14ac:dyDescent="0.15">
      <c r="A52" s="184"/>
      <c r="B52" s="191"/>
      <c r="C52" s="231"/>
      <c r="D52" s="230"/>
      <c r="E52" s="230"/>
      <c r="F52" s="230"/>
      <c r="G52" s="232"/>
      <c r="H52" s="233"/>
      <c r="I52" s="230"/>
      <c r="J52" s="230"/>
      <c r="K52" s="234"/>
      <c r="L52" s="235"/>
      <c r="M52" s="230"/>
      <c r="N52" s="230"/>
      <c r="O52" s="230"/>
      <c r="P52" s="230"/>
      <c r="Q52" s="230"/>
      <c r="R52" s="230"/>
      <c r="S52" s="199">
        <f t="shared" si="17"/>
        <v>0</v>
      </c>
    </row>
    <row r="53" spans="1:19" s="274" customFormat="1" ht="16" x14ac:dyDescent="0.15">
      <c r="A53" s="184" t="s">
        <v>106</v>
      </c>
      <c r="B53" s="191" t="s">
        <v>100</v>
      </c>
      <c r="C53" s="231">
        <f t="shared" ref="C53:R53" si="21">0.38*C6</f>
        <v>51.414000000000001</v>
      </c>
      <c r="D53" s="230">
        <f>0.38*D6</f>
        <v>35.112000000000002</v>
      </c>
      <c r="E53" s="230">
        <f t="shared" si="21"/>
        <v>426.13200000000006</v>
      </c>
      <c r="F53" s="230">
        <f t="shared" si="21"/>
        <v>29.07</v>
      </c>
      <c r="G53" s="232">
        <f t="shared" si="21"/>
        <v>82.915999999999997</v>
      </c>
      <c r="H53" s="233">
        <f t="shared" si="21"/>
        <v>51.338000000000001</v>
      </c>
      <c r="I53" s="230">
        <f t="shared" si="21"/>
        <v>44.117999999999995</v>
      </c>
      <c r="J53" s="230">
        <f t="shared" si="21"/>
        <v>68.817999999999998</v>
      </c>
      <c r="K53" s="234">
        <f t="shared" si="21"/>
        <v>51.11</v>
      </c>
      <c r="L53" s="235">
        <f t="shared" si="21"/>
        <v>226.25199999999998</v>
      </c>
      <c r="M53" s="230">
        <f t="shared" si="21"/>
        <v>56.771999999999991</v>
      </c>
      <c r="N53" s="230">
        <f t="shared" si="21"/>
        <v>101.80199999999999</v>
      </c>
      <c r="O53" s="230">
        <f t="shared" si="21"/>
        <v>121.03</v>
      </c>
      <c r="P53" s="230">
        <f t="shared" si="21"/>
        <v>504.26</v>
      </c>
      <c r="Q53" s="230">
        <f t="shared" si="21"/>
        <v>42.217999999999996</v>
      </c>
      <c r="R53" s="230">
        <f t="shared" si="21"/>
        <v>127.03400000000001</v>
      </c>
      <c r="S53" s="199">
        <f t="shared" si="17"/>
        <v>2019.3960000000002</v>
      </c>
    </row>
    <row r="54" spans="1:19" s="274" customFormat="1" ht="28" x14ac:dyDescent="0.15">
      <c r="A54" s="191" t="s">
        <v>107</v>
      </c>
      <c r="B54" s="191" t="s">
        <v>67</v>
      </c>
      <c r="C54" s="231">
        <f>219999000*0.28</f>
        <v>61599720.000000007</v>
      </c>
      <c r="D54" s="230">
        <v>2061732</v>
      </c>
      <c r="E54" s="230">
        <v>8147074.2000000002</v>
      </c>
      <c r="F54" s="230">
        <v>2000442.36</v>
      </c>
      <c r="G54" s="232">
        <v>3161520.46</v>
      </c>
      <c r="H54" s="233">
        <v>1825055.64</v>
      </c>
      <c r="I54" s="230">
        <v>1096038.8600000001</v>
      </c>
      <c r="J54" s="230">
        <v>1955620.32</v>
      </c>
      <c r="K54" s="234">
        <v>2055286.2</v>
      </c>
      <c r="L54" s="235">
        <v>6947492.1600000001</v>
      </c>
      <c r="M54" s="230">
        <v>1619713.2</v>
      </c>
      <c r="N54" s="230">
        <v>6473271.5999999996</v>
      </c>
      <c r="O54" s="230">
        <v>1534836</v>
      </c>
      <c r="P54" s="230">
        <v>16803735.120000001</v>
      </c>
      <c r="Q54" s="230">
        <v>2091303.6</v>
      </c>
      <c r="R54" s="230">
        <v>6813780</v>
      </c>
      <c r="S54" s="199">
        <f t="shared" si="17"/>
        <v>126186621.71999998</v>
      </c>
    </row>
    <row r="55" spans="1:19" s="274" customFormat="1" ht="28" x14ac:dyDescent="0.15">
      <c r="A55" s="191" t="s">
        <v>108</v>
      </c>
      <c r="B55" s="191" t="s">
        <v>207</v>
      </c>
      <c r="C55" s="231">
        <f t="shared" ref="C55" si="22">C54/C5/12</f>
        <v>50.470061940812116</v>
      </c>
      <c r="D55" s="230">
        <f>D54/D5/12</f>
        <v>38.992124912057733</v>
      </c>
      <c r="E55" s="230">
        <f t="shared" ref="E55:R55" si="23">E54/E5/12</f>
        <v>31.888984133545009</v>
      </c>
      <c r="F55" s="230">
        <f t="shared" si="23"/>
        <v>35.264750803858526</v>
      </c>
      <c r="G55" s="232">
        <f t="shared" si="23"/>
        <v>37.723373186330662</v>
      </c>
      <c r="H55" s="233">
        <f t="shared" si="23"/>
        <v>38.836589974719743</v>
      </c>
      <c r="I55" s="230">
        <f t="shared" si="23"/>
        <v>25.842902885059747</v>
      </c>
      <c r="J55" s="230">
        <f t="shared" si="23"/>
        <v>44.545130517971849</v>
      </c>
      <c r="K55" s="234">
        <f t="shared" si="23"/>
        <v>41.600604794637</v>
      </c>
      <c r="L55" s="235">
        <f t="shared" si="23"/>
        <v>39.887403202248741</v>
      </c>
      <c r="M55" s="230">
        <f t="shared" si="23"/>
        <v>43.149547648732458</v>
      </c>
      <c r="N55" s="230">
        <f t="shared" si="23"/>
        <v>46.671566506895537</v>
      </c>
      <c r="O55" s="230">
        <f t="shared" si="23"/>
        <v>43.076586285868245</v>
      </c>
      <c r="P55" s="230">
        <f t="shared" si="23"/>
        <v>15.25154289523212</v>
      </c>
      <c r="Q55" s="230">
        <f t="shared" si="23"/>
        <v>44.460253074136432</v>
      </c>
      <c r="R55" s="230">
        <f t="shared" si="23"/>
        <v>46.377231814692003</v>
      </c>
      <c r="S55" s="199">
        <f t="shared" si="17"/>
        <v>624.03865457679774</v>
      </c>
    </row>
    <row r="56" spans="1:19" s="280" customFormat="1" ht="16" x14ac:dyDescent="0.15">
      <c r="A56" s="187" t="s">
        <v>109</v>
      </c>
      <c r="B56" s="275" t="s">
        <v>67</v>
      </c>
      <c r="C56" s="231">
        <f>C54*C10</f>
        <v>81943.192567102567</v>
      </c>
      <c r="D56" s="231">
        <f>D54*D10</f>
        <v>43234.46810248962</v>
      </c>
      <c r="E56" s="231">
        <f>E54*E10</f>
        <v>429123.68168828852</v>
      </c>
      <c r="F56" s="231">
        <f t="shared" ref="F56:R56" si="24">F54*F10</f>
        <v>32373.041237942121</v>
      </c>
      <c r="G56" s="276">
        <f t="shared" si="24"/>
        <v>98774.880351088199</v>
      </c>
      <c r="H56" s="277">
        <f t="shared" si="24"/>
        <v>62961.879667015644</v>
      </c>
      <c r="I56" s="231">
        <f t="shared" si="24"/>
        <v>36004.332299465241</v>
      </c>
      <c r="J56" s="231">
        <f t="shared" si="24"/>
        <v>96805.477641656413</v>
      </c>
      <c r="K56" s="278">
        <f t="shared" si="24"/>
        <v>67143.376138544118</v>
      </c>
      <c r="L56" s="279">
        <f t="shared" si="24"/>
        <v>284987.51839942677</v>
      </c>
      <c r="M56" s="231">
        <f t="shared" si="24"/>
        <v>77358.50902464753</v>
      </c>
      <c r="N56" s="231">
        <f t="shared" si="24"/>
        <v>150039.75200636775</v>
      </c>
      <c r="O56" s="231">
        <f t="shared" si="24"/>
        <v>164638.71278458845</v>
      </c>
      <c r="P56" s="231">
        <f t="shared" si="24"/>
        <v>242865.56906367629</v>
      </c>
      <c r="Q56" s="231">
        <f t="shared" si="24"/>
        <v>59274.409398438693</v>
      </c>
      <c r="R56" s="231">
        <f t="shared" si="24"/>
        <v>186046.9031478184</v>
      </c>
      <c r="S56" s="199">
        <f t="shared" si="17"/>
        <v>2113575.7035185564</v>
      </c>
    </row>
    <row r="57" spans="1:19" s="274" customFormat="1" ht="16" x14ac:dyDescent="0.15">
      <c r="A57" s="191" t="s">
        <v>110</v>
      </c>
      <c r="B57" s="191" t="s">
        <v>39</v>
      </c>
      <c r="C57" s="231"/>
      <c r="D57" s="230">
        <v>27.260967251435446</v>
      </c>
      <c r="E57" s="230">
        <v>147.1258765065617</v>
      </c>
      <c r="F57" s="230">
        <v>0.51785412083262816</v>
      </c>
      <c r="G57" s="232">
        <v>2.5837829324169532</v>
      </c>
      <c r="H57" s="233">
        <v>54.507801128673933</v>
      </c>
      <c r="I57" s="230">
        <v>0</v>
      </c>
      <c r="J57" s="230">
        <v>86.231023643569756</v>
      </c>
      <c r="K57" s="234">
        <v>74.719681329090861</v>
      </c>
      <c r="L57" s="235">
        <v>99.85875465042578</v>
      </c>
      <c r="M57" s="230">
        <v>55.313486141747383</v>
      </c>
      <c r="N57" s="230">
        <v>129.03387205620251</v>
      </c>
      <c r="O57" s="230">
        <v>103.08450087565674</v>
      </c>
      <c r="P57" s="230"/>
      <c r="Q57" s="230"/>
      <c r="R57" s="230"/>
      <c r="S57" s="199">
        <f t="shared" si="17"/>
        <v>780.23760063661382</v>
      </c>
    </row>
    <row r="58" spans="1:19" s="274" customFormat="1" ht="16" x14ac:dyDescent="0.15">
      <c r="A58" s="191" t="s">
        <v>111</v>
      </c>
      <c r="B58" s="191" t="s">
        <v>112</v>
      </c>
      <c r="C58" s="231">
        <v>35</v>
      </c>
      <c r="D58" s="230">
        <v>37</v>
      </c>
      <c r="E58" s="230">
        <v>37</v>
      </c>
      <c r="F58" s="230">
        <v>37</v>
      </c>
      <c r="G58" s="232">
        <v>35</v>
      </c>
      <c r="H58" s="233">
        <v>37</v>
      </c>
      <c r="I58" s="230">
        <v>37</v>
      </c>
      <c r="J58" s="230">
        <v>37</v>
      </c>
      <c r="K58" s="234">
        <v>37</v>
      </c>
      <c r="L58" s="235">
        <v>37</v>
      </c>
      <c r="M58" s="230">
        <v>37</v>
      </c>
      <c r="N58" s="230">
        <v>37</v>
      </c>
      <c r="O58" s="230">
        <v>37</v>
      </c>
      <c r="P58" s="230">
        <v>37</v>
      </c>
      <c r="Q58" s="230">
        <v>37</v>
      </c>
      <c r="R58" s="230">
        <v>37</v>
      </c>
      <c r="S58" s="199">
        <f t="shared" si="17"/>
        <v>588</v>
      </c>
    </row>
    <row r="59" spans="1:19" s="274" customFormat="1" ht="16" x14ac:dyDescent="0.15">
      <c r="A59" s="184" t="s">
        <v>208</v>
      </c>
      <c r="B59" s="191" t="s">
        <v>55</v>
      </c>
      <c r="C59" s="231"/>
      <c r="D59" s="230">
        <v>44620</v>
      </c>
      <c r="E59" s="230">
        <v>91596</v>
      </c>
      <c r="F59" s="230">
        <v>50000</v>
      </c>
      <c r="G59" s="273"/>
      <c r="H59" s="233">
        <v>37920</v>
      </c>
      <c r="I59" s="230">
        <v>0</v>
      </c>
      <c r="J59" s="230">
        <v>41808</v>
      </c>
      <c r="K59" s="234">
        <v>42873.05</v>
      </c>
      <c r="L59" s="235">
        <v>92426.12</v>
      </c>
      <c r="M59" s="230">
        <v>34190.07</v>
      </c>
      <c r="N59" s="230">
        <v>193672.4</v>
      </c>
      <c r="O59" s="230">
        <v>34954</v>
      </c>
      <c r="P59" s="230">
        <v>400684.97</v>
      </c>
      <c r="Q59" s="230">
        <v>22417.46</v>
      </c>
      <c r="R59" s="230">
        <v>140503.44</v>
      </c>
      <c r="S59" s="199">
        <f t="shared" si="17"/>
        <v>1227665.5099999998</v>
      </c>
    </row>
    <row r="60" spans="1:19" s="274" customFormat="1" ht="16" x14ac:dyDescent="0.15">
      <c r="A60" s="184" t="s">
        <v>209</v>
      </c>
      <c r="B60" s="191" t="s">
        <v>55</v>
      </c>
      <c r="C60" s="231">
        <f>C57*C58</f>
        <v>0</v>
      </c>
      <c r="D60" s="231">
        <f>D57*D58</f>
        <v>1008.6557883031115</v>
      </c>
      <c r="E60" s="231">
        <f t="shared" ref="E60:R60" si="25">E57*E58</f>
        <v>5443.6574307427827</v>
      </c>
      <c r="F60" s="231">
        <f t="shared" si="25"/>
        <v>19.160602470807241</v>
      </c>
      <c r="G60" s="276">
        <f t="shared" si="25"/>
        <v>90.432402634593359</v>
      </c>
      <c r="H60" s="277">
        <f t="shared" si="25"/>
        <v>2016.7886417609354</v>
      </c>
      <c r="I60" s="231">
        <f t="shared" si="25"/>
        <v>0</v>
      </c>
      <c r="J60" s="231">
        <f t="shared" si="25"/>
        <v>3190.5478748120809</v>
      </c>
      <c r="K60" s="278">
        <f t="shared" si="25"/>
        <v>2764.6282091763619</v>
      </c>
      <c r="L60" s="279">
        <f t="shared" si="25"/>
        <v>3694.773922065754</v>
      </c>
      <c r="M60" s="231">
        <f t="shared" si="25"/>
        <v>2046.5989872446532</v>
      </c>
      <c r="N60" s="231">
        <f t="shared" si="25"/>
        <v>4774.2532660794932</v>
      </c>
      <c r="O60" s="231">
        <f t="shared" si="25"/>
        <v>3814.1265323992993</v>
      </c>
      <c r="P60" s="231">
        <f t="shared" si="25"/>
        <v>0</v>
      </c>
      <c r="Q60" s="231">
        <f t="shared" si="25"/>
        <v>0</v>
      </c>
      <c r="R60" s="231">
        <f t="shared" si="25"/>
        <v>0</v>
      </c>
      <c r="S60" s="199">
        <f t="shared" si="17"/>
        <v>28863.62365768987</v>
      </c>
    </row>
    <row r="61" spans="1:19" s="274" customFormat="1" ht="25.5" customHeight="1" x14ac:dyDescent="0.15">
      <c r="A61" s="184" t="s">
        <v>210</v>
      </c>
      <c r="B61" s="191"/>
      <c r="C61" s="230">
        <f>5008164-C51</f>
        <v>4030363.9679999999</v>
      </c>
      <c r="D61" s="230"/>
      <c r="E61" s="230"/>
      <c r="F61" s="230"/>
      <c r="G61" s="232"/>
      <c r="H61" s="233"/>
      <c r="I61" s="230"/>
      <c r="J61" s="230"/>
      <c r="K61" s="234"/>
      <c r="L61" s="235"/>
      <c r="M61" s="230"/>
      <c r="N61" s="230"/>
      <c r="O61" s="230"/>
      <c r="P61" s="230"/>
      <c r="Q61" s="230"/>
      <c r="R61" s="230"/>
      <c r="S61" s="199">
        <f t="shared" si="17"/>
        <v>4030363.9679999999</v>
      </c>
    </row>
    <row r="62" spans="1:19" s="274" customFormat="1" ht="28" x14ac:dyDescent="0.15">
      <c r="A62" s="184" t="s">
        <v>211</v>
      </c>
      <c r="B62" s="191" t="s">
        <v>55</v>
      </c>
      <c r="C62" s="230"/>
      <c r="D62" s="230">
        <v>30000</v>
      </c>
      <c r="E62" s="230">
        <v>76000</v>
      </c>
      <c r="F62" s="230"/>
      <c r="G62" s="273"/>
      <c r="H62" s="233">
        <v>76000</v>
      </c>
      <c r="I62" s="230"/>
      <c r="J62" s="230">
        <v>30000</v>
      </c>
      <c r="K62" s="234">
        <v>30000</v>
      </c>
      <c r="L62" s="235">
        <v>76000</v>
      </c>
      <c r="M62" s="230">
        <v>76000</v>
      </c>
      <c r="N62" s="230">
        <v>76000</v>
      </c>
      <c r="O62" s="230">
        <v>76000</v>
      </c>
      <c r="P62" s="230">
        <v>196000</v>
      </c>
      <c r="Q62" s="230">
        <v>30000</v>
      </c>
      <c r="R62" s="230">
        <v>76000</v>
      </c>
      <c r="S62" s="199">
        <f t="shared" si="17"/>
        <v>848000</v>
      </c>
    </row>
    <row r="63" spans="1:19" s="274" customFormat="1" ht="28" x14ac:dyDescent="0.15">
      <c r="A63" s="184" t="s">
        <v>212</v>
      </c>
      <c r="B63" s="191"/>
      <c r="C63" s="230"/>
      <c r="D63" s="230">
        <f>D62/D5*D6</f>
        <v>629.09924426389489</v>
      </c>
      <c r="E63" s="230">
        <f>E62/E5*E6</f>
        <v>4003.0812298616265</v>
      </c>
      <c r="F63" s="230"/>
      <c r="G63" s="273"/>
      <c r="H63" s="233">
        <f>H62/H5*H6</f>
        <v>2621.8942315058348</v>
      </c>
      <c r="I63" s="230"/>
      <c r="J63" s="230">
        <f t="shared" ref="J63:R63" si="26">J62/J5*J6</f>
        <v>1485.0348503485036</v>
      </c>
      <c r="K63" s="234">
        <f t="shared" si="26"/>
        <v>980.05877923781293</v>
      </c>
      <c r="L63" s="235">
        <f t="shared" si="26"/>
        <v>3117.5352054454765</v>
      </c>
      <c r="M63" s="230">
        <f t="shared" si="26"/>
        <v>3629.8072312266227</v>
      </c>
      <c r="N63" s="230">
        <f t="shared" si="26"/>
        <v>1761.5545673201707</v>
      </c>
      <c r="O63" s="230">
        <f t="shared" si="26"/>
        <v>8152.3642732049047</v>
      </c>
      <c r="P63" s="230">
        <f t="shared" si="26"/>
        <v>2832.8018262930432</v>
      </c>
      <c r="Q63" s="230">
        <f t="shared" si="26"/>
        <v>850.29848461656195</v>
      </c>
      <c r="R63" s="230">
        <f t="shared" si="26"/>
        <v>2075.1425257689857</v>
      </c>
      <c r="S63" s="199">
        <f t="shared" si="17"/>
        <v>32138.672449093436</v>
      </c>
    </row>
    <row r="64" spans="1:19" s="274" customFormat="1" ht="16" x14ac:dyDescent="0.15">
      <c r="A64" s="184" t="s">
        <v>213</v>
      </c>
      <c r="B64" s="191"/>
      <c r="C64" s="230"/>
      <c r="D64" s="230"/>
      <c r="E64" s="230"/>
      <c r="F64" s="230"/>
      <c r="G64" s="273"/>
      <c r="H64" s="233"/>
      <c r="I64" s="230"/>
      <c r="J64" s="230"/>
      <c r="K64" s="234"/>
      <c r="L64" s="235"/>
      <c r="M64" s="230">
        <f>250622.23+500000</f>
        <v>750622.23</v>
      </c>
      <c r="N64" s="230">
        <f>417262.09+500000</f>
        <v>917262.09000000008</v>
      </c>
      <c r="O64" s="230"/>
      <c r="P64" s="230">
        <f>725547.46+500000</f>
        <v>1225547.46</v>
      </c>
      <c r="Q64" s="230"/>
      <c r="R64" s="230">
        <f>380830.42+500000</f>
        <v>880830.41999999993</v>
      </c>
      <c r="S64" s="199">
        <f t="shared" si="17"/>
        <v>3774262.2</v>
      </c>
    </row>
    <row r="65" spans="1:19" s="274" customFormat="1" ht="16" x14ac:dyDescent="0.15">
      <c r="A65" s="184" t="s">
        <v>114</v>
      </c>
      <c r="B65" s="191" t="s">
        <v>67</v>
      </c>
      <c r="C65" s="230">
        <f>C63+C62+C61+C60+C56+C53+C51+C64</f>
        <v>5090158.6065671025</v>
      </c>
      <c r="D65" s="230">
        <f t="shared" ref="D65:R65" si="27">D63+D62+D61+D60+D56+D53+D51+D64</f>
        <v>164033.73513505663</v>
      </c>
      <c r="E65" s="230">
        <f t="shared" si="27"/>
        <v>871502.152348893</v>
      </c>
      <c r="F65" s="230">
        <f t="shared" si="27"/>
        <v>32421.27184041293</v>
      </c>
      <c r="G65" s="273">
        <f t="shared" si="27"/>
        <v>98948.228753722797</v>
      </c>
      <c r="H65" s="233">
        <f t="shared" si="27"/>
        <v>232778.30054028245</v>
      </c>
      <c r="I65" s="230">
        <f t="shared" si="27"/>
        <v>36048.450299465243</v>
      </c>
      <c r="J65" s="230">
        <f t="shared" si="27"/>
        <v>220676.27836681699</v>
      </c>
      <c r="K65" s="234">
        <f t="shared" si="27"/>
        <v>190065.5731269583</v>
      </c>
      <c r="L65" s="235">
        <f t="shared" si="27"/>
        <v>627333.59952693805</v>
      </c>
      <c r="M65" s="230">
        <f t="shared" si="27"/>
        <v>998840.31724311877</v>
      </c>
      <c r="N65" s="230">
        <f t="shared" si="27"/>
        <v>1952077.0518397675</v>
      </c>
      <c r="O65" s="230">
        <f t="shared" si="27"/>
        <v>512033.75359019265</v>
      </c>
      <c r="P65" s="230">
        <f t="shared" si="27"/>
        <v>2469887.6908899695</v>
      </c>
      <c r="Q65" s="230">
        <f t="shared" si="27"/>
        <v>171200.52588305526</v>
      </c>
      <c r="R65" s="230">
        <f t="shared" si="27"/>
        <v>1404387.0196735873</v>
      </c>
      <c r="S65" s="199">
        <f t="shared" si="17"/>
        <v>15072392.55562534</v>
      </c>
    </row>
    <row r="66" spans="1:19" ht="19" thickBot="1" x14ac:dyDescent="0.2">
      <c r="A66" s="281" t="s">
        <v>115</v>
      </c>
      <c r="B66" s="262" t="s">
        <v>214</v>
      </c>
      <c r="C66" s="263">
        <f>C45+C65</f>
        <v>5551909.8688656054</v>
      </c>
      <c r="D66" s="263">
        <f t="shared" ref="D66:R66" si="28">D45+D65</f>
        <v>1283462.3451176106</v>
      </c>
      <c r="E66" s="263">
        <f t="shared" si="28"/>
        <v>4717540.6836816045</v>
      </c>
      <c r="F66" s="263">
        <f t="shared" si="28"/>
        <v>796370.90516422165</v>
      </c>
      <c r="G66" s="282">
        <f t="shared" si="28"/>
        <v>1134024.4639041459</v>
      </c>
      <c r="H66" s="283">
        <f t="shared" si="28"/>
        <v>1803747.8117873385</v>
      </c>
      <c r="I66" s="284">
        <f t="shared" si="28"/>
        <v>1593258.8588393352</v>
      </c>
      <c r="J66" s="284">
        <f t="shared" si="28"/>
        <v>1833355.2111987455</v>
      </c>
      <c r="K66" s="285">
        <f t="shared" si="28"/>
        <v>1073842.971920596</v>
      </c>
      <c r="L66" s="267">
        <f t="shared" si="28"/>
        <v>3856438.2397945924</v>
      </c>
      <c r="M66" s="263">
        <f t="shared" si="28"/>
        <v>2121341.055679963</v>
      </c>
      <c r="N66" s="263">
        <f t="shared" si="28"/>
        <v>5224181.1733906679</v>
      </c>
      <c r="O66" s="263">
        <f t="shared" si="28"/>
        <v>3677163.394795686</v>
      </c>
      <c r="P66" s="263">
        <f t="shared" si="28"/>
        <v>4302258.9264938114</v>
      </c>
      <c r="Q66" s="263">
        <f t="shared" si="28"/>
        <v>921622.97064371943</v>
      </c>
      <c r="R66" s="263">
        <f t="shared" si="28"/>
        <v>3092457.8290807051</v>
      </c>
      <c r="S66" s="286">
        <f>SUM(B66:R66)</f>
        <v>42982976.710358351</v>
      </c>
    </row>
    <row r="67" spans="1:19" x14ac:dyDescent="0.15">
      <c r="A67" s="287"/>
      <c r="B67" s="288"/>
      <c r="C67" s="289"/>
      <c r="D67" s="289"/>
      <c r="E67" s="289"/>
      <c r="F67" s="289"/>
      <c r="G67" s="290"/>
      <c r="H67" s="289"/>
      <c r="I67" s="289"/>
      <c r="J67" s="289"/>
      <c r="K67" s="289"/>
      <c r="L67" s="121"/>
    </row>
    <row r="68" spans="1:19" ht="17" thickBot="1" x14ac:dyDescent="0.25">
      <c r="A68" s="291" t="s">
        <v>215</v>
      </c>
      <c r="R68" s="296" t="s">
        <v>217</v>
      </c>
      <c r="S68" s="109">
        <f>S66*(1+5.5%)</f>
        <v>45347040.429428056</v>
      </c>
    </row>
    <row r="69" spans="1:19" ht="17" thickBot="1" x14ac:dyDescent="0.25">
      <c r="A69" s="294" t="s">
        <v>216</v>
      </c>
      <c r="B69" s="295"/>
    </row>
  </sheetData>
  <mergeCells count="15">
    <mergeCell ref="S2:S3"/>
    <mergeCell ref="A1:R1"/>
    <mergeCell ref="A2:A3"/>
    <mergeCell ref="D2:D3"/>
    <mergeCell ref="E2:E3"/>
    <mergeCell ref="F2:F3"/>
    <mergeCell ref="G2:G3"/>
    <mergeCell ref="H2:K2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  <pageSetup paperSize="9" scale="4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Финансовая модель</vt:lpstr>
      <vt:lpstr>Аренда</vt:lpstr>
      <vt:lpstr>Анализ рынка (ФОТ)</vt:lpstr>
      <vt:lpstr>Таблица по должностям</vt:lpstr>
      <vt:lpstr>Расходы на содержание 2022</vt:lpstr>
      <vt:lpstr>Расходы на содержание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2025-12-15T12:15:09Z</dcterms:modified>
</cp:coreProperties>
</file>