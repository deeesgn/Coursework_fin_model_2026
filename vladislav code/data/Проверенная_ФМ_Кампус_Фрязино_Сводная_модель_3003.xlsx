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User\Desktop\1 Заявки\17. Научно-технологический образовательный кампус мирового уровня «Долина Ростеха»\Заявка (вер.1 от 31.03.2026 )\1. Заявка\"/>
    </mc:Choice>
  </mc:AlternateContent>
  <xr:revisionPtr revIDLastSave="0" documentId="8_{D5CE4FE0-C37A-4DA0-AFFC-6FC1B360059B}" xr6:coauthVersionLast="45" xr6:coauthVersionMax="45" xr10:uidLastSave="{00000000-0000-0000-0000-000000000000}"/>
  <bookViews>
    <workbookView xWindow="-110" yWindow="-110" windowWidth="25820" windowHeight="15620" activeTab="1" xr2:uid="{00000000-000D-0000-FFFF-FFFF00000000}"/>
  </bookViews>
  <sheets>
    <sheet name="Паспорт" sheetId="6" r:id="rId1"/>
    <sheet name="ФинРез и инд-ры ВУЗ" sheetId="2" r:id="rId2"/>
    <sheet name="ФинРез Кампус" sheetId="7" r:id="rId3"/>
    <sheet name="Анализ чувствительности " sheetId="8" state="hidden" r:id="rId4"/>
    <sheet name="Диаграмма эластичности" sheetId="1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cn.Связаннаятаблица_Таблица11" localSheetId="3" hidden="1">[1]АРВ_ЭКР_СПБ_СВОД_2!#REF!</definedName>
    <definedName name="_xlcn.Связаннаятаблица_Таблица11" localSheetId="4" hidden="1">[1]АРВ_ЭКР_СПБ_СВОД_2!#REF!</definedName>
    <definedName name="_xlcn.Связаннаятаблица_Таблица11" localSheetId="0" hidden="1">[1]АРВ_ЭКР_СПБ_СВОД_2!#REF!</definedName>
    <definedName name="_xlcn.Связаннаятаблица_Таблица11" localSheetId="1" hidden="1">[1]АРВ_ЭКР_СПБ_СВОД_2!#REF!</definedName>
    <definedName name="_xlcn.Связаннаятаблица_Таблица11" localSheetId="2" hidden="1">[1]АРВ_ЭКР_СПБ_СВОД_2!#REF!</definedName>
    <definedName name="_xlcn.Связаннаятаблица_Таблица11" hidden="1">[1]АРВ_ЭКР_СПБ_СВОД_2!#REF!</definedName>
    <definedName name="_xlcn.Связаннаятаблица_Таблица111" localSheetId="3" hidden="1">[1]АРВ_ЭКР_СПБ_СВОД_2!#REF!</definedName>
    <definedName name="_xlcn.Связаннаятаблица_Таблица111" localSheetId="4" hidden="1">[1]АРВ_ЭКР_СПБ_СВОД_2!#REF!</definedName>
    <definedName name="_xlcn.Связаннаятаблица_Таблица111" localSheetId="0" hidden="1">[1]АРВ_ЭКР_СПБ_СВОД_2!#REF!</definedName>
    <definedName name="_xlcn.Связаннаятаблица_Таблица111" localSheetId="1" hidden="1">[1]АРВ_ЭКР_СПБ_СВОД_2!#REF!</definedName>
    <definedName name="_xlcn.Связаннаятаблица_Таблица111" localSheetId="2" hidden="1">[1]АРВ_ЭКР_СПБ_СВОД_2!#REF!</definedName>
    <definedName name="_xlcn.Связаннаятаблица_Таблица111" hidden="1">[1]АРВ_ЭКР_СПБ_СВОД_2!#REF!</definedName>
    <definedName name="FromArray_1" localSheetId="3">_xlfn.ANCHORARRAY([2]БДДС!$IOT$1)</definedName>
    <definedName name="FromArray_1" localSheetId="4">_xlfn.ANCHORARRAY([2]БДДС!$IOT$1)</definedName>
    <definedName name="FromArray_1" localSheetId="0">_xlfn.ANCHORARRAY(#REF!)</definedName>
    <definedName name="FromArray_1" localSheetId="2">_xlfn.ANCHORARRAY(#REF!)</definedName>
    <definedName name="FromArray_1">_xlfn.ANCHORARRAY([2]БДДС!$IOT$1)</definedName>
    <definedName name="path" localSheetId="3">#REF!</definedName>
    <definedName name="path" localSheetId="4">#REF!</definedName>
    <definedName name="Дата_платежа" localSheetId="3">DATE(YEAR(Начало_кредита),MONTH(Начало_кредита)+'Анализ чувствительности '!Номер_платежа,DAY(Начало_кредита))</definedName>
    <definedName name="Дата_платежа" localSheetId="4">DATE(YEAR(Начало_кредита),MONTH(Начало_кредита)+'Диаграмма эластичности'!Номер_платежа,DAY(Начало_кредита))</definedName>
    <definedName name="Дата_платежа" localSheetId="2">DATE(YEAR(Начало_кредита),MONTH(Начало_кредита)+[0]!Номер_платежа,DAY(Начало_кредита))</definedName>
    <definedName name="Дата_платежа">DATE(YEAR(Начало_кредита),MONTH(Начало_кредита)+Номер_платежа,DAY(Начало_кредита))</definedName>
    <definedName name="Ежемесячный_платеж" localSheetId="3">-PMT(Процентная_ставка/12,Количество_платежей,Сумма_кредита)</definedName>
    <definedName name="Ежемесячный_платеж" localSheetId="4">-PMT(Процентная_ставка/12,Количество_платежей,Сумма_кредита)</definedName>
    <definedName name="Ежемесячный_платеж" localSheetId="2">-PMT(Процентная_ставка/12,Количество_платежей,Сумма_кредита)</definedName>
    <definedName name="Ежемесячный_платеж">-PMT(Процентная_ставка/12,Количество_платежей,Сумма_кредита)</definedName>
    <definedName name="Земнал" localSheetId="3">[3]Предпосылки!$E$72</definedName>
    <definedName name="Земнал" localSheetId="4">[4]Предпосылки!$E$72</definedName>
    <definedName name="Земнал">[5]Предпосылки!$E$72</definedName>
    <definedName name="ййй" localSheetId="3" hidden="1">[1]АРВ_ЭКР_СПБ_СВОД_2!#REF!</definedName>
    <definedName name="ййй" localSheetId="4" hidden="1">[1]АРВ_ЭКР_СПБ_СВОД_2!#REF!</definedName>
    <definedName name="ййй" hidden="1">[1]АРВ_ЭКР_СПБ_СВОД_2!#REF!</definedName>
    <definedName name="КЗ_инж" localSheetId="3">[3]Предпосылки!$E$109</definedName>
    <definedName name="КЗ_инж" localSheetId="4">[4]Предпосылки!$E$109</definedName>
    <definedName name="КЗ_инж">[5]Предпосылки!$E$109</definedName>
    <definedName name="КЗ_ИТ" localSheetId="3">[3]Предпосылки!$E$108</definedName>
    <definedName name="КЗ_ИТ" localSheetId="4">[4]Предпосылки!$E$108</definedName>
    <definedName name="КЗ_ИТ">[5]Предпосылки!$E$108</definedName>
    <definedName name="КЗ_ком" localSheetId="3">[3]Предпосылки!$E$105</definedName>
    <definedName name="КЗ_ком" localSheetId="4">[4]Предпосылки!$E$105</definedName>
    <definedName name="КЗ_ком">[5]Предпосылки!$E$105</definedName>
    <definedName name="КЗ_охрана" localSheetId="3">[3]Предпосылки!$E$107</definedName>
    <definedName name="КЗ_охрана" localSheetId="4">[4]Предпосылки!$E$107</definedName>
    <definedName name="КЗ_охрана">[5]Предпосылки!$E$107</definedName>
    <definedName name="КЗ_проч_содерж" localSheetId="3">[3]Предпосылки!$E$110</definedName>
    <definedName name="КЗ_проч_содерж" localSheetId="4">[4]Предпосылки!$E$110</definedName>
    <definedName name="КЗ_проч_содерж">[5]Предпосылки!$E$110</definedName>
    <definedName name="КЗ_прочие" localSheetId="3">[3]Предпосылки!$E$111</definedName>
    <definedName name="КЗ_прочие" localSheetId="4">[4]Предпосылки!$E$111</definedName>
    <definedName name="КЗ_прочие">[5]Предпосылки!$E$111</definedName>
    <definedName name="КЗ_СВ" localSheetId="3">[3]Предпосылки!$E$103</definedName>
    <definedName name="КЗ_СВ" localSheetId="4">[4]Предпосылки!$E$103</definedName>
    <definedName name="КЗ_СВ">[5]Предпосылки!$E$103</definedName>
    <definedName name="КЗ_уборка" localSheetId="3">[3]Предпосылки!$E$106</definedName>
    <definedName name="КЗ_уборка" localSheetId="4">[4]Предпосылки!$E$106</definedName>
    <definedName name="КЗ_уборка">[5]Предпосылки!$E$106</definedName>
    <definedName name="КЗ_ФОТ" localSheetId="3">[3]Предпосылки!$E$102</definedName>
    <definedName name="КЗ_ФОТ" localSheetId="4">[4]Предпосылки!$E$102</definedName>
    <definedName name="КЗ_ФОТ">[5]Предпосылки!$E$102</definedName>
    <definedName name="Конечный_баланс" localSheetId="3">-FV(Процентная_ставка/12,'Анализ чувствительности '!Номер_платежа,-'Анализ чувствительности '!Ежемесячный_платеж,Сумма_кредита)</definedName>
    <definedName name="Конечный_баланс" localSheetId="4">-FV(Процентная_ставка/12,'Диаграмма эластичности'!Номер_платежа,-'Диаграмма эластичности'!Ежемесячный_платеж,Сумма_кредита)</definedName>
    <definedName name="Конечный_баланс" localSheetId="2">-FV(Процентная_ставка/12,[0]!Номер_платежа,-'ФинРез Кампус'!Ежемесячный_платеж,Сумма_кредита)</definedName>
    <definedName name="Конечный_баланс">-FV(Процентная_ставка/12,Номер_платежа,-Ежемесячный_платеж,Сумма_кредита)</definedName>
    <definedName name="НаправлениеДеятельности" hidden="1">'[6]Справочники общие '!$F$4:$F$7</definedName>
    <definedName name="Наценка_комаренда" localSheetId="3">[3]Предпосылки!$E$86</definedName>
    <definedName name="Наценка_комаренда" localSheetId="4">[4]Предпосылки!$E$86</definedName>
    <definedName name="Наценка_комаренда">[5]Предпосылки!$E$86</definedName>
    <definedName name="Наценка_рез" localSheetId="3">[3]Предпосылки!#REF!</definedName>
    <definedName name="Наценка_рез" localSheetId="4">[4]Предпосылки!#REF!</definedName>
    <definedName name="Начальный_баланс" localSheetId="3">-FV(Процентная_ставка/12,'Анализ чувствительности '!Номер_платежа-1,-'Анализ чувствительности '!Ежемесячный_платеж,Сумма_кредита)</definedName>
    <definedName name="Начальный_баланс" localSheetId="4">-FV(Процентная_ставка/12,'Диаграмма эластичности'!Номер_платежа-1,-'Диаграмма эластичности'!Ежемесячный_платеж,Сумма_кредита)</definedName>
    <definedName name="Начальный_баланс" localSheetId="2">-FV(Процентная_ставка/12,[0]!Номер_платежа-1,-'ФинРез Кампус'!Ежемесячный_платеж,Сумма_кредита)</definedName>
    <definedName name="Начальный_баланс">-FV(Процентная_ставка/12,Номер_платежа-1,-Ежемесячный_платеж,Сумма_кредита)</definedName>
    <definedName name="НДФЛ" localSheetId="3">[3]Предпосылки!$E$70</definedName>
    <definedName name="НДФЛ" localSheetId="4">[4]Предпосылки!$E$70</definedName>
    <definedName name="НДФЛ">[5]Предпосылки!$E$70</definedName>
    <definedName name="Номер_платежа" localSheetId="3">ROW()-'Анализ чувствительности '!Строка_заголовка</definedName>
    <definedName name="Номер_платежа" localSheetId="4">ROW()-'Диаграмма эластичности'!Строка_заголовка</definedName>
    <definedName name="Номер_платежа">ROW()-Строка_заголовка</definedName>
    <definedName name="Основной_долг" localSheetId="3">-PPMT(Процентная_ставка/12,'Анализ чувствительности '!Номер_платежа,Количество_платежей,Сумма_кредита)</definedName>
    <definedName name="Основной_долг" localSheetId="4">-PPMT(Процентная_ставка/12,'Диаграмма эластичности'!Номер_платежа,Количество_платежей,Сумма_кредита)</definedName>
    <definedName name="Основной_долг" localSheetId="2">-PPMT(Процентная_ставка/12,[0]!Номер_платежа,Количество_платежей,Сумма_кредита)</definedName>
    <definedName name="Основной_долг">-PPMT(Процентная_ставка/12,Номер_платежа,Количество_платежей,Сумма_кредита)</definedName>
    <definedName name="Проценты" localSheetId="3">-IPMT(Процентная_ставка/12,'Анализ чувствительности '!Номер_платежа,Количество_платежей,Сумма_кредита)</definedName>
    <definedName name="Проценты" localSheetId="4">-IPMT(Процентная_ставка/12,'Диаграмма эластичности'!Номер_платежа,Количество_платежей,Сумма_кредита)</definedName>
    <definedName name="Проценты" localSheetId="2">-IPMT(Процентная_ставка/12,[0]!Номер_платежа,Количество_платежей,Сумма_кредита)</definedName>
    <definedName name="Проценты">-IPMT(Процентная_ставка/12,Номер_платежа,Количество_платежей,Сумма_кредита)</definedName>
    <definedName name="Ставка_НДС" localSheetId="3">[3]Предпосылки!$E$67</definedName>
    <definedName name="Ставка_НДС" localSheetId="4">[7]Предпосылки!$E$67</definedName>
    <definedName name="Ставка_НДС">[3]Предпосылки!$E$67</definedName>
    <definedName name="Ставка_НДФЛ" localSheetId="3">#REF!</definedName>
    <definedName name="Ставка_НДФЛ" localSheetId="4">#REF!</definedName>
    <definedName name="Ставка_НП" localSheetId="3">[8]Предпосылки!$E$68</definedName>
    <definedName name="Ставка_НП" localSheetId="4">[4]Предпосылки!$E$68</definedName>
    <definedName name="Ставка_НП">[5]Предпосылки!$E$68</definedName>
    <definedName name="Ставка_СВ" localSheetId="3">[3]Предпосылки!$E$71</definedName>
    <definedName name="Ставка_СВ" localSheetId="4">[4]Предпосылки!$E$71</definedName>
    <definedName name="Ставка_СВ">[5]Предпосылки!$E$71</definedName>
    <definedName name="Строка_заголовка" localSheetId="3">ROW('[3]Заемные средства'!$15:$15)</definedName>
    <definedName name="Строка_заголовка" localSheetId="4">ROW('[4]Заемные средства'!$15:$15)</definedName>
    <definedName name="Строка_заголовка">ROW('[5]Заемные средства'!$15:$15)</definedName>
    <definedName name="уу" localSheetId="3" hidden="1">[1]АРВ_ЭКР_СПБ_СВОД_2!#REF!</definedName>
    <definedName name="уу" localSheetId="4" hidden="1">[1]АРВ_ЭКР_СПБ_СВОД_2!#REF!</definedName>
    <definedName name="уу" localSheetId="0" hidden="1">[1]АРВ_ЭКР_СПБ_СВОД_2!#REF!</definedName>
    <definedName name="уу" localSheetId="1" hidden="1">[1]АРВ_ЭКР_СПБ_СВОД_2!#REF!</definedName>
    <definedName name="уу" localSheetId="2" hidden="1">[1]АРВ_ЭКР_СПБ_СВОД_2!#REF!</definedName>
    <definedName name="уу" hidden="1">[1]АРВ_ЭКР_СПБ_СВОД_2!#REF!</definedName>
    <definedName name="цуавуа443еа34е" localSheetId="3" hidden="1">[1]АРВ_ЭКР_СПБ_СВОД_2!#REF!</definedName>
    <definedName name="цуавуа443еа34е" localSheetId="4" hidden="1">[1]АРВ_ЭКР_СПБ_СВОД_2!#REF!</definedName>
    <definedName name="цуавуа443еа34е" localSheetId="0" hidden="1">[1]АРВ_ЭКР_СПБ_СВОД_2!#REF!</definedName>
    <definedName name="цуавуа443еа34е" localSheetId="1" hidden="1">[1]АРВ_ЭКР_СПБ_СВОД_2!#REF!</definedName>
    <definedName name="цуавуа443еа34е" localSheetId="2" hidden="1">[1]АРВ_ЭКР_СПБ_СВОД_2!#REF!</definedName>
    <definedName name="цуавуа443еа34е" hidden="1">[1]АРВ_ЭКР_СПБ_СВОД_2!#REF!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B109" i="2" l="1"/>
  <c r="EA109" i="2"/>
  <c r="DZ109" i="2"/>
  <c r="DY109" i="2"/>
  <c r="DX109" i="2"/>
  <c r="DW109" i="2"/>
  <c r="DV109" i="2"/>
  <c r="DU109" i="2"/>
  <c r="DT109" i="2"/>
  <c r="DS109" i="2"/>
  <c r="DR109" i="2"/>
  <c r="DQ109" i="2"/>
  <c r="DP109" i="2"/>
  <c r="DO109" i="2"/>
  <c r="DN109" i="2"/>
  <c r="DM109" i="2"/>
  <c r="DL109" i="2"/>
  <c r="DK109" i="2"/>
  <c r="DJ109" i="2"/>
  <c r="DI109" i="2"/>
  <c r="DH109" i="2"/>
  <c r="EB101" i="2"/>
  <c r="EA101" i="2"/>
  <c r="DZ101" i="2"/>
  <c r="DY101" i="2"/>
  <c r="DX101" i="2"/>
  <c r="DW101" i="2"/>
  <c r="DV101" i="2"/>
  <c r="DU101" i="2"/>
  <c r="DT101" i="2"/>
  <c r="DS101" i="2"/>
  <c r="DR101" i="2"/>
  <c r="DQ101" i="2"/>
  <c r="DP101" i="2"/>
  <c r="DO101" i="2"/>
  <c r="DN101" i="2"/>
  <c r="DM101" i="2"/>
  <c r="DL101" i="2"/>
  <c r="DK101" i="2"/>
  <c r="DJ101" i="2"/>
  <c r="DI101" i="2"/>
  <c r="DH101" i="2"/>
  <c r="EB94" i="2"/>
  <c r="EA94" i="2"/>
  <c r="DZ94" i="2"/>
  <c r="DY94" i="2"/>
  <c r="DX94" i="2"/>
  <c r="DW94" i="2"/>
  <c r="DV94" i="2"/>
  <c r="DU94" i="2"/>
  <c r="DT94" i="2"/>
  <c r="DS94" i="2"/>
  <c r="DR94" i="2"/>
  <c r="DQ94" i="2"/>
  <c r="DP94" i="2"/>
  <c r="DO94" i="2"/>
  <c r="DN94" i="2"/>
  <c r="DM94" i="2"/>
  <c r="DL94" i="2"/>
  <c r="DK94" i="2"/>
  <c r="DJ94" i="2"/>
  <c r="DI94" i="2"/>
  <c r="DH94" i="2"/>
  <c r="EB90" i="2"/>
  <c r="EA90" i="2"/>
  <c r="DZ90" i="2"/>
  <c r="DY90" i="2"/>
  <c r="DX90" i="2"/>
  <c r="DW90" i="2"/>
  <c r="DV90" i="2"/>
  <c r="DU90" i="2"/>
  <c r="DT90" i="2"/>
  <c r="DS90" i="2"/>
  <c r="DR90" i="2"/>
  <c r="DQ90" i="2"/>
  <c r="DP90" i="2"/>
  <c r="DO90" i="2"/>
  <c r="DN90" i="2"/>
  <c r="DM90" i="2"/>
  <c r="DL90" i="2"/>
  <c r="DK90" i="2"/>
  <c r="DJ90" i="2"/>
  <c r="DI90" i="2"/>
  <c r="DH90" i="2"/>
  <c r="EB89" i="2"/>
  <c r="EA89" i="2"/>
  <c r="DZ89" i="2"/>
  <c r="DY89" i="2"/>
  <c r="DX89" i="2"/>
  <c r="DW89" i="2"/>
  <c r="DV89" i="2"/>
  <c r="DU89" i="2"/>
  <c r="DT89" i="2"/>
  <c r="DS89" i="2"/>
  <c r="DR89" i="2"/>
  <c r="DQ89" i="2"/>
  <c r="DP89" i="2"/>
  <c r="DO89" i="2"/>
  <c r="DN89" i="2"/>
  <c r="DM89" i="2"/>
  <c r="DL89" i="2"/>
  <c r="DK89" i="2"/>
  <c r="DJ89" i="2"/>
  <c r="DI89" i="2"/>
  <c r="DH89" i="2"/>
  <c r="EB81" i="2"/>
  <c r="EA81" i="2"/>
  <c r="DZ81" i="2"/>
  <c r="DY81" i="2"/>
  <c r="DX81" i="2"/>
  <c r="DW81" i="2"/>
  <c r="DV81" i="2"/>
  <c r="DU81" i="2"/>
  <c r="DT81" i="2"/>
  <c r="DS81" i="2"/>
  <c r="DR81" i="2"/>
  <c r="DQ81" i="2"/>
  <c r="DP81" i="2"/>
  <c r="DO81" i="2"/>
  <c r="DN81" i="2"/>
  <c r="DM81" i="2"/>
  <c r="DL81" i="2"/>
  <c r="DK81" i="2"/>
  <c r="DJ81" i="2"/>
  <c r="DI81" i="2"/>
  <c r="DH8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EB12" i="2"/>
  <c r="EA12" i="2"/>
  <c r="DZ12" i="2"/>
  <c r="DY12" i="2"/>
  <c r="DX12" i="2"/>
  <c r="DW12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BU110" i="2" l="1"/>
  <c r="DK110" i="2" s="1"/>
  <c r="BT110" i="2"/>
  <c r="DJ110" i="2" s="1"/>
  <c r="BS110" i="2"/>
  <c r="DI110" i="2" s="1"/>
  <c r="BR110" i="2"/>
  <c r="DH110" i="2" s="1"/>
  <c r="CL108" i="2"/>
  <c r="EB108" i="2" s="1"/>
  <c r="CK108" i="2"/>
  <c r="EA108" i="2" s="1"/>
  <c r="CJ108" i="2"/>
  <c r="DZ108" i="2" s="1"/>
  <c r="CI108" i="2"/>
  <c r="DY108" i="2" s="1"/>
  <c r="CH108" i="2"/>
  <c r="DX108" i="2" s="1"/>
  <c r="CG108" i="2"/>
  <c r="DW108" i="2" s="1"/>
  <c r="CF108" i="2"/>
  <c r="DV108" i="2" s="1"/>
  <c r="CE108" i="2"/>
  <c r="DU108" i="2" s="1"/>
  <c r="CD108" i="2"/>
  <c r="DT108" i="2" s="1"/>
  <c r="CC108" i="2"/>
  <c r="DS108" i="2" s="1"/>
  <c r="CB108" i="2"/>
  <c r="DR108" i="2" s="1"/>
  <c r="CA108" i="2"/>
  <c r="DQ108" i="2" s="1"/>
  <c r="BZ108" i="2"/>
  <c r="DP108" i="2" s="1"/>
  <c r="BY108" i="2"/>
  <c r="DO108" i="2" s="1"/>
  <c r="BX108" i="2"/>
  <c r="DN108" i="2" s="1"/>
  <c r="BW108" i="2"/>
  <c r="DM108" i="2" s="1"/>
  <c r="BV108" i="2"/>
  <c r="DL108" i="2" s="1"/>
  <c r="BU108" i="2"/>
  <c r="DK108" i="2" s="1"/>
  <c r="BT108" i="2"/>
  <c r="DJ108" i="2" s="1"/>
  <c r="BS108" i="2"/>
  <c r="DI108" i="2" s="1"/>
  <c r="BR108" i="2"/>
  <c r="DH108" i="2" s="1"/>
  <c r="Z108" i="2"/>
  <c r="BP108" i="2" s="1"/>
  <c r="Y108" i="2"/>
  <c r="BO108" i="2" s="1"/>
  <c r="X108" i="2"/>
  <c r="BN108" i="2" s="1"/>
  <c r="W108" i="2"/>
  <c r="BM108" i="2" s="1"/>
  <c r="V108" i="2"/>
  <c r="BL108" i="2" s="1"/>
  <c r="U108" i="2"/>
  <c r="BK108" i="2" s="1"/>
  <c r="T108" i="2"/>
  <c r="BJ108" i="2" s="1"/>
  <c r="S108" i="2"/>
  <c r="BI108" i="2" s="1"/>
  <c r="R108" i="2"/>
  <c r="BH108" i="2" s="1"/>
  <c r="Q108" i="2"/>
  <c r="BG108" i="2" s="1"/>
  <c r="P108" i="2"/>
  <c r="BF108" i="2" s="1"/>
  <c r="O108" i="2"/>
  <c r="BE108" i="2" s="1"/>
  <c r="N108" i="2"/>
  <c r="BD108" i="2" s="1"/>
  <c r="M108" i="2"/>
  <c r="BC108" i="2" s="1"/>
  <c r="L108" i="2"/>
  <c r="BB108" i="2" s="1"/>
  <c r="K108" i="2"/>
  <c r="BA108" i="2" s="1"/>
  <c r="J108" i="2"/>
  <c r="AZ108" i="2" s="1"/>
  <c r="I108" i="2"/>
  <c r="AY108" i="2" s="1"/>
  <c r="H108" i="2"/>
  <c r="AX108" i="2" s="1"/>
  <c r="G108" i="2"/>
  <c r="AW108" i="2" s="1"/>
  <c r="F108" i="2"/>
  <c r="AV108" i="2" s="1"/>
  <c r="BV107" i="2"/>
  <c r="DL107" i="2" s="1"/>
  <c r="BU107" i="2"/>
  <c r="DK107" i="2" s="1"/>
  <c r="BT107" i="2"/>
  <c r="DJ107" i="2" s="1"/>
  <c r="BS107" i="2"/>
  <c r="DI107" i="2" s="1"/>
  <c r="BR107" i="2"/>
  <c r="DH107" i="2" s="1"/>
  <c r="Z107" i="2"/>
  <c r="BP107" i="2" s="1"/>
  <c r="Y107" i="2"/>
  <c r="BO107" i="2" s="1"/>
  <c r="X107" i="2"/>
  <c r="BN107" i="2" s="1"/>
  <c r="W107" i="2"/>
  <c r="BM107" i="2" s="1"/>
  <c r="V107" i="2"/>
  <c r="BL107" i="2" s="1"/>
  <c r="U107" i="2"/>
  <c r="BK107" i="2" s="1"/>
  <c r="T107" i="2"/>
  <c r="BJ107" i="2" s="1"/>
  <c r="S107" i="2"/>
  <c r="BI107" i="2" s="1"/>
  <c r="R107" i="2"/>
  <c r="BH107" i="2" s="1"/>
  <c r="Q107" i="2"/>
  <c r="BG107" i="2" s="1"/>
  <c r="P107" i="2"/>
  <c r="BF107" i="2" s="1"/>
  <c r="O107" i="2"/>
  <c r="BE107" i="2" s="1"/>
  <c r="N107" i="2"/>
  <c r="BD107" i="2" s="1"/>
  <c r="M107" i="2"/>
  <c r="BC107" i="2" s="1"/>
  <c r="L107" i="2"/>
  <c r="BB107" i="2" s="1"/>
  <c r="K107" i="2"/>
  <c r="BA107" i="2" s="1"/>
  <c r="J107" i="2"/>
  <c r="AZ107" i="2" s="1"/>
  <c r="I107" i="2"/>
  <c r="AY107" i="2" s="1"/>
  <c r="H107" i="2"/>
  <c r="AX107" i="2" s="1"/>
  <c r="G107" i="2"/>
  <c r="AW107" i="2" s="1"/>
  <c r="F107" i="2"/>
  <c r="AV107" i="2" s="1"/>
  <c r="BV106" i="2"/>
  <c r="DL106" i="2" s="1"/>
  <c r="BU106" i="2"/>
  <c r="DK106" i="2" s="1"/>
  <c r="BT106" i="2"/>
  <c r="DJ106" i="2" s="1"/>
  <c r="BS106" i="2"/>
  <c r="DI106" i="2" s="1"/>
  <c r="BR106" i="2"/>
  <c r="DH106" i="2" s="1"/>
  <c r="Z106" i="2"/>
  <c r="BP106" i="2" s="1"/>
  <c r="Y106" i="2"/>
  <c r="BO106" i="2" s="1"/>
  <c r="X106" i="2"/>
  <c r="BN106" i="2" s="1"/>
  <c r="W106" i="2"/>
  <c r="BM106" i="2" s="1"/>
  <c r="V106" i="2"/>
  <c r="BL106" i="2" s="1"/>
  <c r="U106" i="2"/>
  <c r="BK106" i="2" s="1"/>
  <c r="T106" i="2"/>
  <c r="BJ106" i="2" s="1"/>
  <c r="S106" i="2"/>
  <c r="BI106" i="2" s="1"/>
  <c r="R106" i="2"/>
  <c r="BH106" i="2" s="1"/>
  <c r="Q106" i="2"/>
  <c r="BG106" i="2" s="1"/>
  <c r="P106" i="2"/>
  <c r="BF106" i="2" s="1"/>
  <c r="O106" i="2"/>
  <c r="BE106" i="2" s="1"/>
  <c r="N106" i="2"/>
  <c r="BD106" i="2" s="1"/>
  <c r="M106" i="2"/>
  <c r="BC106" i="2" s="1"/>
  <c r="L106" i="2"/>
  <c r="BB106" i="2" s="1"/>
  <c r="K106" i="2"/>
  <c r="BA106" i="2" s="1"/>
  <c r="J106" i="2"/>
  <c r="AZ106" i="2" s="1"/>
  <c r="I106" i="2"/>
  <c r="AY106" i="2" s="1"/>
  <c r="H106" i="2"/>
  <c r="AX106" i="2" s="1"/>
  <c r="G106" i="2"/>
  <c r="AW106" i="2" s="1"/>
  <c r="F106" i="2"/>
  <c r="AV106" i="2" s="1"/>
  <c r="BV105" i="2"/>
  <c r="DL105" i="2" s="1"/>
  <c r="BU105" i="2"/>
  <c r="DK105" i="2" s="1"/>
  <c r="BT105" i="2"/>
  <c r="DJ105" i="2" s="1"/>
  <c r="BS105" i="2"/>
  <c r="DI105" i="2" s="1"/>
  <c r="BR105" i="2"/>
  <c r="DH105" i="2" s="1"/>
  <c r="Z105" i="2"/>
  <c r="BP105" i="2" s="1"/>
  <c r="Y105" i="2"/>
  <c r="BO105" i="2" s="1"/>
  <c r="X105" i="2"/>
  <c r="BN105" i="2" s="1"/>
  <c r="W105" i="2"/>
  <c r="BM105" i="2" s="1"/>
  <c r="V105" i="2"/>
  <c r="BL105" i="2" s="1"/>
  <c r="U105" i="2"/>
  <c r="BK105" i="2" s="1"/>
  <c r="T105" i="2"/>
  <c r="BJ105" i="2" s="1"/>
  <c r="S105" i="2"/>
  <c r="BI105" i="2" s="1"/>
  <c r="R105" i="2"/>
  <c r="BH105" i="2" s="1"/>
  <c r="Q105" i="2"/>
  <c r="BG105" i="2" s="1"/>
  <c r="P105" i="2"/>
  <c r="BF105" i="2" s="1"/>
  <c r="O105" i="2"/>
  <c r="BE105" i="2" s="1"/>
  <c r="N105" i="2"/>
  <c r="BD105" i="2" s="1"/>
  <c r="M105" i="2"/>
  <c r="BC105" i="2" s="1"/>
  <c r="L105" i="2"/>
  <c r="BB105" i="2" s="1"/>
  <c r="K105" i="2"/>
  <c r="BA105" i="2" s="1"/>
  <c r="J105" i="2"/>
  <c r="AZ105" i="2" s="1"/>
  <c r="I105" i="2"/>
  <c r="AY105" i="2" s="1"/>
  <c r="H105" i="2"/>
  <c r="AX105" i="2" s="1"/>
  <c r="G105" i="2"/>
  <c r="AW105" i="2" s="1"/>
  <c r="F105" i="2"/>
  <c r="AV105" i="2" s="1"/>
  <c r="BV104" i="2"/>
  <c r="DL104" i="2" s="1"/>
  <c r="BU104" i="2"/>
  <c r="DK104" i="2" s="1"/>
  <c r="BT104" i="2"/>
  <c r="DJ104" i="2" s="1"/>
  <c r="BS104" i="2"/>
  <c r="DI104" i="2" s="1"/>
  <c r="BR104" i="2"/>
  <c r="DH104" i="2" s="1"/>
  <c r="Z104" i="2"/>
  <c r="BP104" i="2" s="1"/>
  <c r="Y104" i="2"/>
  <c r="BO104" i="2" s="1"/>
  <c r="X104" i="2"/>
  <c r="BN104" i="2" s="1"/>
  <c r="W104" i="2"/>
  <c r="BM104" i="2" s="1"/>
  <c r="V104" i="2"/>
  <c r="BL104" i="2" s="1"/>
  <c r="U104" i="2"/>
  <c r="BK104" i="2" s="1"/>
  <c r="T104" i="2"/>
  <c r="BJ104" i="2" s="1"/>
  <c r="S104" i="2"/>
  <c r="BI104" i="2" s="1"/>
  <c r="R104" i="2"/>
  <c r="BH104" i="2" s="1"/>
  <c r="Q104" i="2"/>
  <c r="BG104" i="2" s="1"/>
  <c r="P104" i="2"/>
  <c r="BF104" i="2" s="1"/>
  <c r="O104" i="2"/>
  <c r="BE104" i="2" s="1"/>
  <c r="N104" i="2"/>
  <c r="BD104" i="2" s="1"/>
  <c r="M104" i="2"/>
  <c r="BC104" i="2" s="1"/>
  <c r="L104" i="2"/>
  <c r="BB104" i="2" s="1"/>
  <c r="K104" i="2"/>
  <c r="BA104" i="2" s="1"/>
  <c r="J104" i="2"/>
  <c r="AZ104" i="2" s="1"/>
  <c r="I104" i="2"/>
  <c r="AY104" i="2" s="1"/>
  <c r="H104" i="2"/>
  <c r="AX104" i="2" s="1"/>
  <c r="G104" i="2"/>
  <c r="AW104" i="2" s="1"/>
  <c r="F104" i="2"/>
  <c r="AV104" i="2" s="1"/>
  <c r="BV103" i="2"/>
  <c r="DL103" i="2" s="1"/>
  <c r="BU103" i="2"/>
  <c r="DK103" i="2" s="1"/>
  <c r="BT103" i="2"/>
  <c r="DJ103" i="2" s="1"/>
  <c r="BS103" i="2"/>
  <c r="DI103" i="2" s="1"/>
  <c r="BR103" i="2"/>
  <c r="DH103" i="2" s="1"/>
  <c r="Z103" i="2"/>
  <c r="BP103" i="2" s="1"/>
  <c r="Y103" i="2"/>
  <c r="BO103" i="2" s="1"/>
  <c r="X103" i="2"/>
  <c r="BN103" i="2" s="1"/>
  <c r="W103" i="2"/>
  <c r="BM103" i="2" s="1"/>
  <c r="V103" i="2"/>
  <c r="BL103" i="2" s="1"/>
  <c r="U103" i="2"/>
  <c r="BK103" i="2" s="1"/>
  <c r="T103" i="2"/>
  <c r="BJ103" i="2" s="1"/>
  <c r="S103" i="2"/>
  <c r="BI103" i="2" s="1"/>
  <c r="R103" i="2"/>
  <c r="BH103" i="2" s="1"/>
  <c r="Q103" i="2"/>
  <c r="BG103" i="2" s="1"/>
  <c r="P103" i="2"/>
  <c r="BF103" i="2" s="1"/>
  <c r="O103" i="2"/>
  <c r="BE103" i="2" s="1"/>
  <c r="N103" i="2"/>
  <c r="BD103" i="2" s="1"/>
  <c r="M103" i="2"/>
  <c r="BC103" i="2" s="1"/>
  <c r="L103" i="2"/>
  <c r="BB103" i="2" s="1"/>
  <c r="K103" i="2"/>
  <c r="BA103" i="2" s="1"/>
  <c r="J103" i="2"/>
  <c r="AZ103" i="2" s="1"/>
  <c r="I103" i="2"/>
  <c r="AY103" i="2" s="1"/>
  <c r="H103" i="2"/>
  <c r="AX103" i="2" s="1"/>
  <c r="G103" i="2"/>
  <c r="AW103" i="2" s="1"/>
  <c r="F103" i="2"/>
  <c r="AV103" i="2" s="1"/>
  <c r="BV102" i="2"/>
  <c r="DL102" i="2" s="1"/>
  <c r="BU102" i="2"/>
  <c r="DK102" i="2" s="1"/>
  <c r="BT102" i="2"/>
  <c r="DJ102" i="2" s="1"/>
  <c r="BS102" i="2"/>
  <c r="DI102" i="2" s="1"/>
  <c r="BR102" i="2"/>
  <c r="DH102" i="2" s="1"/>
  <c r="Z102" i="2"/>
  <c r="BP102" i="2" s="1"/>
  <c r="Y102" i="2"/>
  <c r="BO102" i="2" s="1"/>
  <c r="X102" i="2"/>
  <c r="BN102" i="2" s="1"/>
  <c r="W102" i="2"/>
  <c r="BM102" i="2" s="1"/>
  <c r="V102" i="2"/>
  <c r="BL102" i="2" s="1"/>
  <c r="U102" i="2"/>
  <c r="BK102" i="2" s="1"/>
  <c r="T102" i="2"/>
  <c r="BJ102" i="2" s="1"/>
  <c r="S102" i="2"/>
  <c r="BI102" i="2" s="1"/>
  <c r="R102" i="2"/>
  <c r="BH102" i="2" s="1"/>
  <c r="Q102" i="2"/>
  <c r="BG102" i="2" s="1"/>
  <c r="P102" i="2"/>
  <c r="BF102" i="2" s="1"/>
  <c r="O102" i="2"/>
  <c r="BE102" i="2" s="1"/>
  <c r="N102" i="2"/>
  <c r="BD102" i="2" s="1"/>
  <c r="M102" i="2"/>
  <c r="BC102" i="2" s="1"/>
  <c r="L102" i="2"/>
  <c r="BB102" i="2" s="1"/>
  <c r="K102" i="2"/>
  <c r="BA102" i="2" s="1"/>
  <c r="J102" i="2"/>
  <c r="AZ102" i="2" s="1"/>
  <c r="I102" i="2"/>
  <c r="AY102" i="2" s="1"/>
  <c r="H102" i="2"/>
  <c r="AX102" i="2" s="1"/>
  <c r="G102" i="2"/>
  <c r="AW102" i="2" s="1"/>
  <c r="F102" i="2"/>
  <c r="AV102" i="2" s="1"/>
  <c r="BT100" i="2"/>
  <c r="DJ100" i="2" s="1"/>
  <c r="BS100" i="2"/>
  <c r="DI100" i="2" s="1"/>
  <c r="BR100" i="2"/>
  <c r="DH100" i="2" s="1"/>
  <c r="CL99" i="2"/>
  <c r="EB99" i="2" s="1"/>
  <c r="CK99" i="2"/>
  <c r="EA99" i="2" s="1"/>
  <c r="CJ99" i="2"/>
  <c r="DZ99" i="2" s="1"/>
  <c r="CI99" i="2"/>
  <c r="DY99" i="2" s="1"/>
  <c r="CH99" i="2"/>
  <c r="DX99" i="2" s="1"/>
  <c r="CG99" i="2"/>
  <c r="DW99" i="2" s="1"/>
  <c r="CF99" i="2"/>
  <c r="DV99" i="2" s="1"/>
  <c r="CE99" i="2"/>
  <c r="DU99" i="2" s="1"/>
  <c r="CD99" i="2"/>
  <c r="DT99" i="2" s="1"/>
  <c r="CC99" i="2"/>
  <c r="DS99" i="2" s="1"/>
  <c r="CB99" i="2"/>
  <c r="DR99" i="2" s="1"/>
  <c r="CA99" i="2"/>
  <c r="DQ99" i="2" s="1"/>
  <c r="BZ99" i="2"/>
  <c r="DP99" i="2" s="1"/>
  <c r="BY99" i="2"/>
  <c r="DO99" i="2" s="1"/>
  <c r="BX99" i="2"/>
  <c r="DN99" i="2" s="1"/>
  <c r="BW99" i="2"/>
  <c r="DM99" i="2" s="1"/>
  <c r="BV99" i="2"/>
  <c r="DL99" i="2" s="1"/>
  <c r="BU99" i="2"/>
  <c r="DK99" i="2" s="1"/>
  <c r="BT99" i="2"/>
  <c r="DJ99" i="2" s="1"/>
  <c r="BS99" i="2"/>
  <c r="DI99" i="2" s="1"/>
  <c r="BR99" i="2"/>
  <c r="DH99" i="2" s="1"/>
  <c r="Z99" i="2"/>
  <c r="BP99" i="2" s="1"/>
  <c r="Y99" i="2"/>
  <c r="BO99" i="2" s="1"/>
  <c r="X99" i="2"/>
  <c r="BN99" i="2" s="1"/>
  <c r="W99" i="2"/>
  <c r="BM99" i="2" s="1"/>
  <c r="V99" i="2"/>
  <c r="BL99" i="2" s="1"/>
  <c r="U99" i="2"/>
  <c r="BK99" i="2" s="1"/>
  <c r="T99" i="2"/>
  <c r="BJ99" i="2" s="1"/>
  <c r="S99" i="2"/>
  <c r="BI99" i="2" s="1"/>
  <c r="R99" i="2"/>
  <c r="BH99" i="2" s="1"/>
  <c r="Q99" i="2"/>
  <c r="BG99" i="2" s="1"/>
  <c r="P99" i="2"/>
  <c r="BF99" i="2" s="1"/>
  <c r="O99" i="2"/>
  <c r="BE99" i="2" s="1"/>
  <c r="N99" i="2"/>
  <c r="BD99" i="2" s="1"/>
  <c r="M99" i="2"/>
  <c r="BC99" i="2" s="1"/>
  <c r="L99" i="2"/>
  <c r="BB99" i="2" s="1"/>
  <c r="K99" i="2"/>
  <c r="BA99" i="2" s="1"/>
  <c r="J99" i="2"/>
  <c r="AZ99" i="2" s="1"/>
  <c r="I99" i="2"/>
  <c r="AY99" i="2" s="1"/>
  <c r="H99" i="2"/>
  <c r="AX99" i="2" s="1"/>
  <c r="G99" i="2"/>
  <c r="AW99" i="2" s="1"/>
  <c r="F99" i="2"/>
  <c r="AV99" i="2" s="1"/>
  <c r="CL98" i="2"/>
  <c r="EB98" i="2" s="1"/>
  <c r="CK98" i="2"/>
  <c r="EA98" i="2" s="1"/>
  <c r="CJ98" i="2"/>
  <c r="DZ98" i="2" s="1"/>
  <c r="CI98" i="2"/>
  <c r="DY98" i="2" s="1"/>
  <c r="CH98" i="2"/>
  <c r="DX98" i="2" s="1"/>
  <c r="CG98" i="2"/>
  <c r="DW98" i="2" s="1"/>
  <c r="CF98" i="2"/>
  <c r="DV98" i="2" s="1"/>
  <c r="CE98" i="2"/>
  <c r="DU98" i="2" s="1"/>
  <c r="CD98" i="2"/>
  <c r="DT98" i="2" s="1"/>
  <c r="CC98" i="2"/>
  <c r="DS98" i="2" s="1"/>
  <c r="CB98" i="2"/>
  <c r="DR98" i="2" s="1"/>
  <c r="CA98" i="2"/>
  <c r="DQ98" i="2" s="1"/>
  <c r="BZ98" i="2"/>
  <c r="DP98" i="2" s="1"/>
  <c r="BY98" i="2"/>
  <c r="DO98" i="2" s="1"/>
  <c r="BX98" i="2"/>
  <c r="DN98" i="2" s="1"/>
  <c r="BW98" i="2"/>
  <c r="DM98" i="2" s="1"/>
  <c r="BV98" i="2"/>
  <c r="DL98" i="2" s="1"/>
  <c r="BU98" i="2"/>
  <c r="DK98" i="2" s="1"/>
  <c r="BT98" i="2"/>
  <c r="DJ98" i="2" s="1"/>
  <c r="BS98" i="2"/>
  <c r="DI98" i="2" s="1"/>
  <c r="BR98" i="2"/>
  <c r="DH98" i="2" s="1"/>
  <c r="Z98" i="2"/>
  <c r="BP98" i="2" s="1"/>
  <c r="Y98" i="2"/>
  <c r="BO98" i="2" s="1"/>
  <c r="X98" i="2"/>
  <c r="BN98" i="2" s="1"/>
  <c r="W98" i="2"/>
  <c r="BM98" i="2" s="1"/>
  <c r="V98" i="2"/>
  <c r="BL98" i="2" s="1"/>
  <c r="U98" i="2"/>
  <c r="BK98" i="2" s="1"/>
  <c r="T98" i="2"/>
  <c r="BJ98" i="2" s="1"/>
  <c r="S98" i="2"/>
  <c r="BI98" i="2" s="1"/>
  <c r="R98" i="2"/>
  <c r="BH98" i="2" s="1"/>
  <c r="Q98" i="2"/>
  <c r="BG98" i="2" s="1"/>
  <c r="P98" i="2"/>
  <c r="BF98" i="2" s="1"/>
  <c r="O98" i="2"/>
  <c r="BE98" i="2" s="1"/>
  <c r="N98" i="2"/>
  <c r="BD98" i="2" s="1"/>
  <c r="M98" i="2"/>
  <c r="BC98" i="2" s="1"/>
  <c r="L98" i="2"/>
  <c r="BB98" i="2" s="1"/>
  <c r="K98" i="2"/>
  <c r="BA98" i="2" s="1"/>
  <c r="J98" i="2"/>
  <c r="AZ98" i="2" s="1"/>
  <c r="I98" i="2"/>
  <c r="AY98" i="2" s="1"/>
  <c r="H98" i="2"/>
  <c r="AX98" i="2" s="1"/>
  <c r="G98" i="2"/>
  <c r="AW98" i="2" s="1"/>
  <c r="F98" i="2"/>
  <c r="AV98" i="2" s="1"/>
  <c r="CL97" i="2"/>
  <c r="EB97" i="2" s="1"/>
  <c r="CK97" i="2"/>
  <c r="EA97" i="2" s="1"/>
  <c r="CJ97" i="2"/>
  <c r="DZ97" i="2" s="1"/>
  <c r="CI97" i="2"/>
  <c r="DY97" i="2" s="1"/>
  <c r="CH97" i="2"/>
  <c r="DX97" i="2" s="1"/>
  <c r="CG97" i="2"/>
  <c r="DW97" i="2" s="1"/>
  <c r="CF97" i="2"/>
  <c r="DV97" i="2" s="1"/>
  <c r="CE97" i="2"/>
  <c r="DU97" i="2" s="1"/>
  <c r="CD97" i="2"/>
  <c r="DT97" i="2" s="1"/>
  <c r="CC97" i="2"/>
  <c r="DS97" i="2" s="1"/>
  <c r="CB97" i="2"/>
  <c r="DR97" i="2" s="1"/>
  <c r="CA97" i="2"/>
  <c r="DQ97" i="2" s="1"/>
  <c r="BZ97" i="2"/>
  <c r="DP97" i="2" s="1"/>
  <c r="BY97" i="2"/>
  <c r="DO97" i="2" s="1"/>
  <c r="BX97" i="2"/>
  <c r="DN97" i="2" s="1"/>
  <c r="BW97" i="2"/>
  <c r="DM97" i="2" s="1"/>
  <c r="BV97" i="2"/>
  <c r="DL97" i="2" s="1"/>
  <c r="BU97" i="2"/>
  <c r="DK97" i="2" s="1"/>
  <c r="BT97" i="2"/>
  <c r="DJ97" i="2" s="1"/>
  <c r="BS97" i="2"/>
  <c r="DI97" i="2" s="1"/>
  <c r="BR97" i="2"/>
  <c r="DH97" i="2" s="1"/>
  <c r="Z97" i="2"/>
  <c r="BP97" i="2" s="1"/>
  <c r="Y97" i="2"/>
  <c r="BO97" i="2" s="1"/>
  <c r="X97" i="2"/>
  <c r="BN97" i="2" s="1"/>
  <c r="W97" i="2"/>
  <c r="BM97" i="2" s="1"/>
  <c r="V97" i="2"/>
  <c r="BL97" i="2" s="1"/>
  <c r="U97" i="2"/>
  <c r="BK97" i="2" s="1"/>
  <c r="T97" i="2"/>
  <c r="BJ97" i="2" s="1"/>
  <c r="S97" i="2"/>
  <c r="BI97" i="2" s="1"/>
  <c r="R97" i="2"/>
  <c r="BH97" i="2" s="1"/>
  <c r="Q97" i="2"/>
  <c r="BG97" i="2" s="1"/>
  <c r="P97" i="2"/>
  <c r="BF97" i="2" s="1"/>
  <c r="O97" i="2"/>
  <c r="BE97" i="2" s="1"/>
  <c r="N97" i="2"/>
  <c r="BD97" i="2" s="1"/>
  <c r="M97" i="2"/>
  <c r="BC97" i="2" s="1"/>
  <c r="L97" i="2"/>
  <c r="BB97" i="2" s="1"/>
  <c r="K97" i="2"/>
  <c r="BA97" i="2" s="1"/>
  <c r="J97" i="2"/>
  <c r="AZ97" i="2" s="1"/>
  <c r="I97" i="2"/>
  <c r="AY97" i="2" s="1"/>
  <c r="H97" i="2"/>
  <c r="AX97" i="2" s="1"/>
  <c r="G97" i="2"/>
  <c r="AW97" i="2" s="1"/>
  <c r="F97" i="2"/>
  <c r="AV97" i="2" s="1"/>
  <c r="CL96" i="2"/>
  <c r="EB96" i="2" s="1"/>
  <c r="CK96" i="2"/>
  <c r="EA96" i="2" s="1"/>
  <c r="CJ96" i="2"/>
  <c r="DZ96" i="2" s="1"/>
  <c r="CI96" i="2"/>
  <c r="DY96" i="2" s="1"/>
  <c r="CH96" i="2"/>
  <c r="DX96" i="2" s="1"/>
  <c r="CG96" i="2"/>
  <c r="DW96" i="2" s="1"/>
  <c r="CF96" i="2"/>
  <c r="DV96" i="2" s="1"/>
  <c r="CE96" i="2"/>
  <c r="DU96" i="2" s="1"/>
  <c r="CD96" i="2"/>
  <c r="DT96" i="2" s="1"/>
  <c r="CC96" i="2"/>
  <c r="DS96" i="2" s="1"/>
  <c r="CB96" i="2"/>
  <c r="DR96" i="2" s="1"/>
  <c r="CA96" i="2"/>
  <c r="DQ96" i="2" s="1"/>
  <c r="BZ96" i="2"/>
  <c r="DP96" i="2" s="1"/>
  <c r="BY96" i="2"/>
  <c r="DO96" i="2" s="1"/>
  <c r="BX96" i="2"/>
  <c r="DN96" i="2" s="1"/>
  <c r="BW96" i="2"/>
  <c r="DM96" i="2" s="1"/>
  <c r="BV96" i="2"/>
  <c r="DL96" i="2" s="1"/>
  <c r="BU96" i="2"/>
  <c r="DK96" i="2" s="1"/>
  <c r="BT96" i="2"/>
  <c r="DJ96" i="2" s="1"/>
  <c r="BS96" i="2"/>
  <c r="DI96" i="2" s="1"/>
  <c r="BR96" i="2"/>
  <c r="DH96" i="2" s="1"/>
  <c r="Z96" i="2"/>
  <c r="BP96" i="2" s="1"/>
  <c r="Y96" i="2"/>
  <c r="BO96" i="2" s="1"/>
  <c r="X96" i="2"/>
  <c r="BN96" i="2" s="1"/>
  <c r="W96" i="2"/>
  <c r="BM96" i="2" s="1"/>
  <c r="V96" i="2"/>
  <c r="BL96" i="2" s="1"/>
  <c r="U96" i="2"/>
  <c r="BK96" i="2" s="1"/>
  <c r="T96" i="2"/>
  <c r="BJ96" i="2" s="1"/>
  <c r="S96" i="2"/>
  <c r="BI96" i="2" s="1"/>
  <c r="R96" i="2"/>
  <c r="BH96" i="2" s="1"/>
  <c r="Q96" i="2"/>
  <c r="BG96" i="2" s="1"/>
  <c r="P96" i="2"/>
  <c r="BF96" i="2" s="1"/>
  <c r="O96" i="2"/>
  <c r="BE96" i="2" s="1"/>
  <c r="N96" i="2"/>
  <c r="BD96" i="2" s="1"/>
  <c r="M96" i="2"/>
  <c r="BC96" i="2" s="1"/>
  <c r="L96" i="2"/>
  <c r="BB96" i="2" s="1"/>
  <c r="K96" i="2"/>
  <c r="BA96" i="2" s="1"/>
  <c r="J96" i="2"/>
  <c r="AZ96" i="2" s="1"/>
  <c r="I96" i="2"/>
  <c r="AY96" i="2" s="1"/>
  <c r="H96" i="2"/>
  <c r="AX96" i="2" s="1"/>
  <c r="G96" i="2"/>
  <c r="AW96" i="2" s="1"/>
  <c r="F96" i="2"/>
  <c r="AV96" i="2" s="1"/>
  <c r="CL95" i="2"/>
  <c r="EB95" i="2" s="1"/>
  <c r="CK95" i="2"/>
  <c r="EA95" i="2" s="1"/>
  <c r="CJ95" i="2"/>
  <c r="DZ95" i="2" s="1"/>
  <c r="CI95" i="2"/>
  <c r="DY95" i="2" s="1"/>
  <c r="CH95" i="2"/>
  <c r="DX95" i="2" s="1"/>
  <c r="CG95" i="2"/>
  <c r="DW95" i="2" s="1"/>
  <c r="CF95" i="2"/>
  <c r="DV95" i="2" s="1"/>
  <c r="CE95" i="2"/>
  <c r="DU95" i="2" s="1"/>
  <c r="CD95" i="2"/>
  <c r="DT95" i="2" s="1"/>
  <c r="CC95" i="2"/>
  <c r="DS95" i="2" s="1"/>
  <c r="CB95" i="2"/>
  <c r="DR95" i="2" s="1"/>
  <c r="CA95" i="2"/>
  <c r="DQ95" i="2" s="1"/>
  <c r="BZ95" i="2"/>
  <c r="DP95" i="2" s="1"/>
  <c r="BY95" i="2"/>
  <c r="DO95" i="2" s="1"/>
  <c r="BX95" i="2"/>
  <c r="DN95" i="2" s="1"/>
  <c r="BW95" i="2"/>
  <c r="DM95" i="2" s="1"/>
  <c r="BV95" i="2"/>
  <c r="DL95" i="2" s="1"/>
  <c r="BU95" i="2"/>
  <c r="DK95" i="2" s="1"/>
  <c r="BT95" i="2"/>
  <c r="DJ95" i="2" s="1"/>
  <c r="BS95" i="2"/>
  <c r="DI95" i="2" s="1"/>
  <c r="BR95" i="2"/>
  <c r="DH95" i="2" s="1"/>
  <c r="Z95" i="2"/>
  <c r="BP95" i="2" s="1"/>
  <c r="Y95" i="2"/>
  <c r="BO95" i="2" s="1"/>
  <c r="X95" i="2"/>
  <c r="BN95" i="2" s="1"/>
  <c r="W95" i="2"/>
  <c r="BM95" i="2" s="1"/>
  <c r="V95" i="2"/>
  <c r="BL95" i="2" s="1"/>
  <c r="U95" i="2"/>
  <c r="BK95" i="2" s="1"/>
  <c r="T95" i="2"/>
  <c r="BJ95" i="2" s="1"/>
  <c r="S95" i="2"/>
  <c r="BI95" i="2" s="1"/>
  <c r="R95" i="2"/>
  <c r="BH95" i="2" s="1"/>
  <c r="Q95" i="2"/>
  <c r="BG95" i="2" s="1"/>
  <c r="P95" i="2"/>
  <c r="BF95" i="2" s="1"/>
  <c r="O95" i="2"/>
  <c r="BE95" i="2" s="1"/>
  <c r="N95" i="2"/>
  <c r="BD95" i="2" s="1"/>
  <c r="M95" i="2"/>
  <c r="BC95" i="2" s="1"/>
  <c r="L95" i="2"/>
  <c r="BB95" i="2" s="1"/>
  <c r="K95" i="2"/>
  <c r="BA95" i="2" s="1"/>
  <c r="J95" i="2"/>
  <c r="AZ95" i="2" s="1"/>
  <c r="I95" i="2"/>
  <c r="AY95" i="2" s="1"/>
  <c r="H95" i="2"/>
  <c r="AX95" i="2" s="1"/>
  <c r="G95" i="2"/>
  <c r="AW95" i="2" s="1"/>
  <c r="F95" i="2"/>
  <c r="AV95" i="2" s="1"/>
  <c r="CL93" i="2"/>
  <c r="EB93" i="2" s="1"/>
  <c r="CK93" i="2"/>
  <c r="EA93" i="2" s="1"/>
  <c r="CJ93" i="2"/>
  <c r="DZ93" i="2" s="1"/>
  <c r="CI93" i="2"/>
  <c r="DY93" i="2" s="1"/>
  <c r="CH93" i="2"/>
  <c r="DX93" i="2" s="1"/>
  <c r="CG93" i="2"/>
  <c r="DW93" i="2" s="1"/>
  <c r="CF93" i="2"/>
  <c r="DV93" i="2" s="1"/>
  <c r="CE93" i="2"/>
  <c r="DU93" i="2" s="1"/>
  <c r="CD93" i="2"/>
  <c r="DT93" i="2" s="1"/>
  <c r="CC93" i="2"/>
  <c r="DS93" i="2" s="1"/>
  <c r="CB93" i="2"/>
  <c r="DR93" i="2" s="1"/>
  <c r="CA93" i="2"/>
  <c r="DQ93" i="2" s="1"/>
  <c r="BZ93" i="2"/>
  <c r="DP93" i="2" s="1"/>
  <c r="BY93" i="2"/>
  <c r="DO93" i="2" s="1"/>
  <c r="BX93" i="2"/>
  <c r="DN93" i="2" s="1"/>
  <c r="BW93" i="2"/>
  <c r="DM93" i="2" s="1"/>
  <c r="BV93" i="2"/>
  <c r="DL93" i="2" s="1"/>
  <c r="BU93" i="2"/>
  <c r="DK93" i="2" s="1"/>
  <c r="BT93" i="2"/>
  <c r="DJ93" i="2" s="1"/>
  <c r="BS93" i="2"/>
  <c r="DI93" i="2" s="1"/>
  <c r="BR93" i="2"/>
  <c r="DH93" i="2" s="1"/>
  <c r="Z93" i="2"/>
  <c r="BP93" i="2" s="1"/>
  <c r="Y93" i="2"/>
  <c r="BO93" i="2" s="1"/>
  <c r="X93" i="2"/>
  <c r="BN93" i="2" s="1"/>
  <c r="W93" i="2"/>
  <c r="BM93" i="2" s="1"/>
  <c r="V93" i="2"/>
  <c r="BL93" i="2" s="1"/>
  <c r="U93" i="2"/>
  <c r="BK93" i="2" s="1"/>
  <c r="T93" i="2"/>
  <c r="BJ93" i="2" s="1"/>
  <c r="S93" i="2"/>
  <c r="BI93" i="2" s="1"/>
  <c r="R93" i="2"/>
  <c r="BH93" i="2" s="1"/>
  <c r="Q93" i="2"/>
  <c r="BG93" i="2" s="1"/>
  <c r="P93" i="2"/>
  <c r="BF93" i="2" s="1"/>
  <c r="O93" i="2"/>
  <c r="BE93" i="2" s="1"/>
  <c r="N93" i="2"/>
  <c r="BD93" i="2" s="1"/>
  <c r="M93" i="2"/>
  <c r="BC93" i="2" s="1"/>
  <c r="L93" i="2"/>
  <c r="BB93" i="2" s="1"/>
  <c r="K93" i="2"/>
  <c r="BA93" i="2" s="1"/>
  <c r="J93" i="2"/>
  <c r="AZ93" i="2" s="1"/>
  <c r="I93" i="2"/>
  <c r="AY93" i="2" s="1"/>
  <c r="H93" i="2"/>
  <c r="AX93" i="2" s="1"/>
  <c r="G93" i="2"/>
  <c r="AW93" i="2" s="1"/>
  <c r="F93" i="2"/>
  <c r="AV93" i="2" s="1"/>
  <c r="CL92" i="2"/>
  <c r="EB92" i="2" s="1"/>
  <c r="CK92" i="2"/>
  <c r="EA92" i="2" s="1"/>
  <c r="CJ92" i="2"/>
  <c r="DZ92" i="2" s="1"/>
  <c r="CI92" i="2"/>
  <c r="DY92" i="2" s="1"/>
  <c r="CH92" i="2"/>
  <c r="DX92" i="2" s="1"/>
  <c r="CG92" i="2"/>
  <c r="DW92" i="2" s="1"/>
  <c r="CF92" i="2"/>
  <c r="DV92" i="2" s="1"/>
  <c r="CE92" i="2"/>
  <c r="DU92" i="2" s="1"/>
  <c r="CD92" i="2"/>
  <c r="DT92" i="2" s="1"/>
  <c r="CC92" i="2"/>
  <c r="DS92" i="2" s="1"/>
  <c r="CB92" i="2"/>
  <c r="DR92" i="2" s="1"/>
  <c r="CA92" i="2"/>
  <c r="DQ92" i="2" s="1"/>
  <c r="BZ92" i="2"/>
  <c r="DP92" i="2" s="1"/>
  <c r="BY92" i="2"/>
  <c r="DO92" i="2" s="1"/>
  <c r="BX92" i="2"/>
  <c r="DN92" i="2" s="1"/>
  <c r="BW92" i="2"/>
  <c r="DM92" i="2" s="1"/>
  <c r="BV92" i="2"/>
  <c r="DL92" i="2" s="1"/>
  <c r="BU92" i="2"/>
  <c r="DK92" i="2" s="1"/>
  <c r="BT92" i="2"/>
  <c r="DJ92" i="2" s="1"/>
  <c r="BS92" i="2"/>
  <c r="DI92" i="2" s="1"/>
  <c r="BR92" i="2"/>
  <c r="DH92" i="2" s="1"/>
  <c r="Z92" i="2"/>
  <c r="BP92" i="2" s="1"/>
  <c r="Y92" i="2"/>
  <c r="BO92" i="2" s="1"/>
  <c r="X92" i="2"/>
  <c r="BN92" i="2" s="1"/>
  <c r="W92" i="2"/>
  <c r="BM92" i="2" s="1"/>
  <c r="V92" i="2"/>
  <c r="BL92" i="2" s="1"/>
  <c r="U92" i="2"/>
  <c r="BK92" i="2" s="1"/>
  <c r="T92" i="2"/>
  <c r="BJ92" i="2" s="1"/>
  <c r="S92" i="2"/>
  <c r="BI92" i="2" s="1"/>
  <c r="R92" i="2"/>
  <c r="BH92" i="2" s="1"/>
  <c r="Q92" i="2"/>
  <c r="BG92" i="2" s="1"/>
  <c r="P92" i="2"/>
  <c r="BF92" i="2" s="1"/>
  <c r="O92" i="2"/>
  <c r="BE92" i="2" s="1"/>
  <c r="N92" i="2"/>
  <c r="BD92" i="2" s="1"/>
  <c r="M92" i="2"/>
  <c r="BC92" i="2" s="1"/>
  <c r="L92" i="2"/>
  <c r="BB92" i="2" s="1"/>
  <c r="K92" i="2"/>
  <c r="BA92" i="2" s="1"/>
  <c r="J92" i="2"/>
  <c r="AZ92" i="2" s="1"/>
  <c r="I92" i="2"/>
  <c r="AY92" i="2" s="1"/>
  <c r="H92" i="2"/>
  <c r="AX92" i="2" s="1"/>
  <c r="G92" i="2"/>
  <c r="AW92" i="2" s="1"/>
  <c r="F92" i="2"/>
  <c r="AV92" i="2" s="1"/>
  <c r="CL91" i="2"/>
  <c r="EB91" i="2" s="1"/>
  <c r="CK91" i="2"/>
  <c r="EA91" i="2" s="1"/>
  <c r="CJ91" i="2"/>
  <c r="DZ91" i="2" s="1"/>
  <c r="CI91" i="2"/>
  <c r="DY91" i="2" s="1"/>
  <c r="CH91" i="2"/>
  <c r="DX91" i="2" s="1"/>
  <c r="CG91" i="2"/>
  <c r="DW91" i="2" s="1"/>
  <c r="CF91" i="2"/>
  <c r="DV91" i="2" s="1"/>
  <c r="CE91" i="2"/>
  <c r="DU91" i="2" s="1"/>
  <c r="CD91" i="2"/>
  <c r="DT91" i="2" s="1"/>
  <c r="CC91" i="2"/>
  <c r="DS91" i="2" s="1"/>
  <c r="CB91" i="2"/>
  <c r="DR91" i="2" s="1"/>
  <c r="CA91" i="2"/>
  <c r="DQ91" i="2" s="1"/>
  <c r="BZ91" i="2"/>
  <c r="DP91" i="2" s="1"/>
  <c r="BY91" i="2"/>
  <c r="DO91" i="2" s="1"/>
  <c r="BX91" i="2"/>
  <c r="DN91" i="2" s="1"/>
  <c r="BW91" i="2"/>
  <c r="DM91" i="2" s="1"/>
  <c r="BV91" i="2"/>
  <c r="DL91" i="2" s="1"/>
  <c r="BU91" i="2"/>
  <c r="DK91" i="2" s="1"/>
  <c r="BT91" i="2"/>
  <c r="DJ91" i="2" s="1"/>
  <c r="BS91" i="2"/>
  <c r="DI91" i="2" s="1"/>
  <c r="BR91" i="2"/>
  <c r="DH91" i="2" s="1"/>
  <c r="Z91" i="2"/>
  <c r="BP91" i="2" s="1"/>
  <c r="Y91" i="2"/>
  <c r="BO91" i="2" s="1"/>
  <c r="X91" i="2"/>
  <c r="BN91" i="2" s="1"/>
  <c r="W91" i="2"/>
  <c r="BM91" i="2" s="1"/>
  <c r="V91" i="2"/>
  <c r="BL91" i="2" s="1"/>
  <c r="U91" i="2"/>
  <c r="BK91" i="2" s="1"/>
  <c r="T91" i="2"/>
  <c r="BJ91" i="2" s="1"/>
  <c r="S91" i="2"/>
  <c r="BI91" i="2" s="1"/>
  <c r="R91" i="2"/>
  <c r="BH91" i="2" s="1"/>
  <c r="Q91" i="2"/>
  <c r="BG91" i="2" s="1"/>
  <c r="P91" i="2"/>
  <c r="BF91" i="2" s="1"/>
  <c r="O91" i="2"/>
  <c r="BE91" i="2" s="1"/>
  <c r="N91" i="2"/>
  <c r="BD91" i="2" s="1"/>
  <c r="M91" i="2"/>
  <c r="BC91" i="2" s="1"/>
  <c r="L91" i="2"/>
  <c r="BB91" i="2" s="1"/>
  <c r="K91" i="2"/>
  <c r="BA91" i="2" s="1"/>
  <c r="J91" i="2"/>
  <c r="AZ91" i="2" s="1"/>
  <c r="I91" i="2"/>
  <c r="AY91" i="2" s="1"/>
  <c r="H91" i="2"/>
  <c r="AX91" i="2" s="1"/>
  <c r="G91" i="2"/>
  <c r="AW91" i="2" s="1"/>
  <c r="F91" i="2"/>
  <c r="AV91" i="2" s="1"/>
  <c r="CL88" i="2"/>
  <c r="EB88" i="2" s="1"/>
  <c r="CK88" i="2"/>
  <c r="EA88" i="2" s="1"/>
  <c r="CJ88" i="2"/>
  <c r="DZ88" i="2" s="1"/>
  <c r="CI88" i="2"/>
  <c r="DY88" i="2" s="1"/>
  <c r="CH88" i="2"/>
  <c r="DX88" i="2" s="1"/>
  <c r="CG88" i="2"/>
  <c r="DW88" i="2" s="1"/>
  <c r="CF88" i="2"/>
  <c r="DV88" i="2" s="1"/>
  <c r="CE88" i="2"/>
  <c r="DU88" i="2" s="1"/>
  <c r="CD88" i="2"/>
  <c r="DT88" i="2" s="1"/>
  <c r="CC88" i="2"/>
  <c r="DS88" i="2" s="1"/>
  <c r="CB88" i="2"/>
  <c r="DR88" i="2" s="1"/>
  <c r="CA88" i="2"/>
  <c r="DQ88" i="2" s="1"/>
  <c r="BZ88" i="2"/>
  <c r="DP88" i="2" s="1"/>
  <c r="BY88" i="2"/>
  <c r="DO88" i="2" s="1"/>
  <c r="BX88" i="2"/>
  <c r="DN88" i="2" s="1"/>
  <c r="BW88" i="2"/>
  <c r="DM88" i="2" s="1"/>
  <c r="BV88" i="2"/>
  <c r="DL88" i="2" s="1"/>
  <c r="BU88" i="2"/>
  <c r="DK88" i="2" s="1"/>
  <c r="BT88" i="2"/>
  <c r="DJ88" i="2" s="1"/>
  <c r="BS88" i="2"/>
  <c r="DI88" i="2" s="1"/>
  <c r="BR88" i="2"/>
  <c r="DH88" i="2" s="1"/>
  <c r="Z88" i="2"/>
  <c r="BP88" i="2" s="1"/>
  <c r="Y88" i="2"/>
  <c r="BO88" i="2" s="1"/>
  <c r="X88" i="2"/>
  <c r="BN88" i="2" s="1"/>
  <c r="W88" i="2"/>
  <c r="BM88" i="2" s="1"/>
  <c r="V88" i="2"/>
  <c r="BL88" i="2" s="1"/>
  <c r="U88" i="2"/>
  <c r="BK88" i="2" s="1"/>
  <c r="T88" i="2"/>
  <c r="BJ88" i="2" s="1"/>
  <c r="S88" i="2"/>
  <c r="BI88" i="2" s="1"/>
  <c r="R88" i="2"/>
  <c r="BH88" i="2" s="1"/>
  <c r="Q88" i="2"/>
  <c r="BG88" i="2" s="1"/>
  <c r="P88" i="2"/>
  <c r="BF88" i="2" s="1"/>
  <c r="O88" i="2"/>
  <c r="BE88" i="2" s="1"/>
  <c r="N88" i="2"/>
  <c r="BD88" i="2" s="1"/>
  <c r="M88" i="2"/>
  <c r="BC88" i="2" s="1"/>
  <c r="L88" i="2"/>
  <c r="BB88" i="2" s="1"/>
  <c r="K88" i="2"/>
  <c r="BA88" i="2" s="1"/>
  <c r="J88" i="2"/>
  <c r="AZ88" i="2" s="1"/>
  <c r="I88" i="2"/>
  <c r="AY88" i="2" s="1"/>
  <c r="H88" i="2"/>
  <c r="AX88" i="2" s="1"/>
  <c r="G88" i="2"/>
  <c r="AW88" i="2" s="1"/>
  <c r="F88" i="2"/>
  <c r="AV88" i="2" s="1"/>
  <c r="CL87" i="2"/>
  <c r="EB87" i="2" s="1"/>
  <c r="CK87" i="2"/>
  <c r="EA87" i="2" s="1"/>
  <c r="CJ87" i="2"/>
  <c r="DZ87" i="2" s="1"/>
  <c r="CI87" i="2"/>
  <c r="DY87" i="2" s="1"/>
  <c r="CH87" i="2"/>
  <c r="DX87" i="2" s="1"/>
  <c r="CG87" i="2"/>
  <c r="DW87" i="2" s="1"/>
  <c r="CF87" i="2"/>
  <c r="DV87" i="2" s="1"/>
  <c r="CE87" i="2"/>
  <c r="DU87" i="2" s="1"/>
  <c r="CD87" i="2"/>
  <c r="DT87" i="2" s="1"/>
  <c r="CC87" i="2"/>
  <c r="DS87" i="2" s="1"/>
  <c r="CB87" i="2"/>
  <c r="DR87" i="2" s="1"/>
  <c r="CA87" i="2"/>
  <c r="DQ87" i="2" s="1"/>
  <c r="BZ87" i="2"/>
  <c r="DP87" i="2" s="1"/>
  <c r="BY87" i="2"/>
  <c r="DO87" i="2" s="1"/>
  <c r="BX87" i="2"/>
  <c r="DN87" i="2" s="1"/>
  <c r="BW87" i="2"/>
  <c r="DM87" i="2" s="1"/>
  <c r="BV87" i="2"/>
  <c r="DL87" i="2" s="1"/>
  <c r="BU87" i="2"/>
  <c r="DK87" i="2" s="1"/>
  <c r="BT87" i="2"/>
  <c r="DJ87" i="2" s="1"/>
  <c r="BS87" i="2"/>
  <c r="DI87" i="2" s="1"/>
  <c r="BR87" i="2"/>
  <c r="DH87" i="2" s="1"/>
  <c r="Z87" i="2"/>
  <c r="BP87" i="2" s="1"/>
  <c r="Y87" i="2"/>
  <c r="BO87" i="2" s="1"/>
  <c r="X87" i="2"/>
  <c r="BN87" i="2" s="1"/>
  <c r="W87" i="2"/>
  <c r="BM87" i="2" s="1"/>
  <c r="V87" i="2"/>
  <c r="BL87" i="2" s="1"/>
  <c r="U87" i="2"/>
  <c r="BK87" i="2" s="1"/>
  <c r="T87" i="2"/>
  <c r="BJ87" i="2" s="1"/>
  <c r="S87" i="2"/>
  <c r="BI87" i="2" s="1"/>
  <c r="R87" i="2"/>
  <c r="BH87" i="2" s="1"/>
  <c r="Q87" i="2"/>
  <c r="BG87" i="2" s="1"/>
  <c r="P87" i="2"/>
  <c r="BF87" i="2" s="1"/>
  <c r="O87" i="2"/>
  <c r="BE87" i="2" s="1"/>
  <c r="N87" i="2"/>
  <c r="BD87" i="2" s="1"/>
  <c r="M87" i="2"/>
  <c r="BC87" i="2" s="1"/>
  <c r="L87" i="2"/>
  <c r="BB87" i="2" s="1"/>
  <c r="K87" i="2"/>
  <c r="BA87" i="2" s="1"/>
  <c r="J87" i="2"/>
  <c r="AZ87" i="2" s="1"/>
  <c r="I87" i="2"/>
  <c r="AY87" i="2" s="1"/>
  <c r="H87" i="2"/>
  <c r="AX87" i="2" s="1"/>
  <c r="G87" i="2"/>
  <c r="AW87" i="2" s="1"/>
  <c r="F87" i="2"/>
  <c r="AV87" i="2" s="1"/>
  <c r="CL86" i="2"/>
  <c r="EB86" i="2" s="1"/>
  <c r="CK86" i="2"/>
  <c r="EA86" i="2" s="1"/>
  <c r="CJ86" i="2"/>
  <c r="DZ86" i="2" s="1"/>
  <c r="CI86" i="2"/>
  <c r="DY86" i="2" s="1"/>
  <c r="CH86" i="2"/>
  <c r="DX86" i="2" s="1"/>
  <c r="CG86" i="2"/>
  <c r="DW86" i="2" s="1"/>
  <c r="CF86" i="2"/>
  <c r="DV86" i="2" s="1"/>
  <c r="CE86" i="2"/>
  <c r="DU86" i="2" s="1"/>
  <c r="CD86" i="2"/>
  <c r="DT86" i="2" s="1"/>
  <c r="CC86" i="2"/>
  <c r="DS86" i="2" s="1"/>
  <c r="CB86" i="2"/>
  <c r="DR86" i="2" s="1"/>
  <c r="CA86" i="2"/>
  <c r="DQ86" i="2" s="1"/>
  <c r="BZ86" i="2"/>
  <c r="DP86" i="2" s="1"/>
  <c r="BY86" i="2"/>
  <c r="DO86" i="2" s="1"/>
  <c r="BX86" i="2"/>
  <c r="DN86" i="2" s="1"/>
  <c r="BW86" i="2"/>
  <c r="DM86" i="2" s="1"/>
  <c r="BV86" i="2"/>
  <c r="DL86" i="2" s="1"/>
  <c r="BU86" i="2"/>
  <c r="DK86" i="2" s="1"/>
  <c r="BT86" i="2"/>
  <c r="DJ86" i="2" s="1"/>
  <c r="BS86" i="2"/>
  <c r="DI86" i="2" s="1"/>
  <c r="BR86" i="2"/>
  <c r="DH86" i="2" s="1"/>
  <c r="Z86" i="2"/>
  <c r="BP86" i="2" s="1"/>
  <c r="Y86" i="2"/>
  <c r="BO86" i="2" s="1"/>
  <c r="X86" i="2"/>
  <c r="BN86" i="2" s="1"/>
  <c r="W86" i="2"/>
  <c r="BM86" i="2" s="1"/>
  <c r="V86" i="2"/>
  <c r="BL86" i="2" s="1"/>
  <c r="U86" i="2"/>
  <c r="BK86" i="2" s="1"/>
  <c r="T86" i="2"/>
  <c r="BJ86" i="2" s="1"/>
  <c r="S86" i="2"/>
  <c r="BI86" i="2" s="1"/>
  <c r="R86" i="2"/>
  <c r="BH86" i="2" s="1"/>
  <c r="Q86" i="2"/>
  <c r="BG86" i="2" s="1"/>
  <c r="P86" i="2"/>
  <c r="BF86" i="2" s="1"/>
  <c r="O86" i="2"/>
  <c r="BE86" i="2" s="1"/>
  <c r="N86" i="2"/>
  <c r="BD86" i="2" s="1"/>
  <c r="M86" i="2"/>
  <c r="BC86" i="2" s="1"/>
  <c r="L86" i="2"/>
  <c r="BB86" i="2" s="1"/>
  <c r="K86" i="2"/>
  <c r="BA86" i="2" s="1"/>
  <c r="J86" i="2"/>
  <c r="AZ86" i="2" s="1"/>
  <c r="I86" i="2"/>
  <c r="AY86" i="2" s="1"/>
  <c r="H86" i="2"/>
  <c r="AX86" i="2" s="1"/>
  <c r="G86" i="2"/>
  <c r="AW86" i="2" s="1"/>
  <c r="F86" i="2"/>
  <c r="AV86" i="2" s="1"/>
  <c r="CL85" i="2"/>
  <c r="EB85" i="2" s="1"/>
  <c r="CK85" i="2"/>
  <c r="EA85" i="2" s="1"/>
  <c r="CJ85" i="2"/>
  <c r="DZ85" i="2" s="1"/>
  <c r="CI85" i="2"/>
  <c r="DY85" i="2" s="1"/>
  <c r="CH85" i="2"/>
  <c r="DX85" i="2" s="1"/>
  <c r="CG85" i="2"/>
  <c r="DW85" i="2" s="1"/>
  <c r="CF85" i="2"/>
  <c r="DV85" i="2" s="1"/>
  <c r="CE85" i="2"/>
  <c r="DU85" i="2" s="1"/>
  <c r="CD85" i="2"/>
  <c r="DT85" i="2" s="1"/>
  <c r="CC85" i="2"/>
  <c r="DS85" i="2" s="1"/>
  <c r="CB85" i="2"/>
  <c r="DR85" i="2" s="1"/>
  <c r="CA85" i="2"/>
  <c r="DQ85" i="2" s="1"/>
  <c r="BZ85" i="2"/>
  <c r="DP85" i="2" s="1"/>
  <c r="BY85" i="2"/>
  <c r="DO85" i="2" s="1"/>
  <c r="BX85" i="2"/>
  <c r="DN85" i="2" s="1"/>
  <c r="BW85" i="2"/>
  <c r="DM85" i="2" s="1"/>
  <c r="BV85" i="2"/>
  <c r="DL85" i="2" s="1"/>
  <c r="BU85" i="2"/>
  <c r="DK85" i="2" s="1"/>
  <c r="BT85" i="2"/>
  <c r="DJ85" i="2" s="1"/>
  <c r="BS85" i="2"/>
  <c r="DI85" i="2" s="1"/>
  <c r="BR85" i="2"/>
  <c r="DH85" i="2" s="1"/>
  <c r="Z85" i="2"/>
  <c r="BP85" i="2" s="1"/>
  <c r="Y85" i="2"/>
  <c r="BO85" i="2" s="1"/>
  <c r="X85" i="2"/>
  <c r="BN85" i="2" s="1"/>
  <c r="W85" i="2"/>
  <c r="BM85" i="2" s="1"/>
  <c r="V85" i="2"/>
  <c r="BL85" i="2" s="1"/>
  <c r="U85" i="2"/>
  <c r="BK85" i="2" s="1"/>
  <c r="T85" i="2"/>
  <c r="BJ85" i="2" s="1"/>
  <c r="S85" i="2"/>
  <c r="BI85" i="2" s="1"/>
  <c r="R85" i="2"/>
  <c r="BH85" i="2" s="1"/>
  <c r="Q85" i="2"/>
  <c r="BG85" i="2" s="1"/>
  <c r="P85" i="2"/>
  <c r="BF85" i="2" s="1"/>
  <c r="O85" i="2"/>
  <c r="BE85" i="2" s="1"/>
  <c r="N85" i="2"/>
  <c r="BD85" i="2" s="1"/>
  <c r="M85" i="2"/>
  <c r="BC85" i="2" s="1"/>
  <c r="L85" i="2"/>
  <c r="BB85" i="2" s="1"/>
  <c r="K85" i="2"/>
  <c r="BA85" i="2" s="1"/>
  <c r="J85" i="2"/>
  <c r="AZ85" i="2" s="1"/>
  <c r="I85" i="2"/>
  <c r="AY85" i="2" s="1"/>
  <c r="H85" i="2"/>
  <c r="AX85" i="2" s="1"/>
  <c r="G85" i="2"/>
  <c r="AW85" i="2" s="1"/>
  <c r="F85" i="2"/>
  <c r="AV85" i="2" s="1"/>
  <c r="CL84" i="2"/>
  <c r="EB84" i="2" s="1"/>
  <c r="CK84" i="2"/>
  <c r="EA84" i="2" s="1"/>
  <c r="CJ84" i="2"/>
  <c r="DZ84" i="2" s="1"/>
  <c r="CI84" i="2"/>
  <c r="DY84" i="2" s="1"/>
  <c r="CH84" i="2"/>
  <c r="DX84" i="2" s="1"/>
  <c r="CG84" i="2"/>
  <c r="DW84" i="2" s="1"/>
  <c r="CF84" i="2"/>
  <c r="DV84" i="2" s="1"/>
  <c r="CE84" i="2"/>
  <c r="DU84" i="2" s="1"/>
  <c r="CD84" i="2"/>
  <c r="DT84" i="2" s="1"/>
  <c r="CC84" i="2"/>
  <c r="DS84" i="2" s="1"/>
  <c r="CB84" i="2"/>
  <c r="DR84" i="2" s="1"/>
  <c r="CA84" i="2"/>
  <c r="DQ84" i="2" s="1"/>
  <c r="BZ84" i="2"/>
  <c r="DP84" i="2" s="1"/>
  <c r="BY84" i="2"/>
  <c r="DO84" i="2" s="1"/>
  <c r="BX84" i="2"/>
  <c r="DN84" i="2" s="1"/>
  <c r="BW84" i="2"/>
  <c r="DM84" i="2" s="1"/>
  <c r="BV84" i="2"/>
  <c r="DL84" i="2" s="1"/>
  <c r="BU84" i="2"/>
  <c r="DK84" i="2" s="1"/>
  <c r="BT84" i="2"/>
  <c r="DJ84" i="2" s="1"/>
  <c r="BS84" i="2"/>
  <c r="DI84" i="2" s="1"/>
  <c r="BR84" i="2"/>
  <c r="DH84" i="2" s="1"/>
  <c r="Z84" i="2"/>
  <c r="BP84" i="2" s="1"/>
  <c r="Y84" i="2"/>
  <c r="BO84" i="2" s="1"/>
  <c r="X84" i="2"/>
  <c r="BN84" i="2" s="1"/>
  <c r="W84" i="2"/>
  <c r="BM84" i="2" s="1"/>
  <c r="V84" i="2"/>
  <c r="BL84" i="2" s="1"/>
  <c r="U84" i="2"/>
  <c r="BK84" i="2" s="1"/>
  <c r="T84" i="2"/>
  <c r="BJ84" i="2" s="1"/>
  <c r="S84" i="2"/>
  <c r="BI84" i="2" s="1"/>
  <c r="R84" i="2"/>
  <c r="BH84" i="2" s="1"/>
  <c r="Q84" i="2"/>
  <c r="BG84" i="2" s="1"/>
  <c r="P84" i="2"/>
  <c r="BF84" i="2" s="1"/>
  <c r="O84" i="2"/>
  <c r="BE84" i="2" s="1"/>
  <c r="N84" i="2"/>
  <c r="BD84" i="2" s="1"/>
  <c r="M84" i="2"/>
  <c r="BC84" i="2" s="1"/>
  <c r="L84" i="2"/>
  <c r="BB84" i="2" s="1"/>
  <c r="K84" i="2"/>
  <c r="BA84" i="2" s="1"/>
  <c r="J84" i="2"/>
  <c r="AZ84" i="2" s="1"/>
  <c r="I84" i="2"/>
  <c r="AY84" i="2" s="1"/>
  <c r="H84" i="2"/>
  <c r="AX84" i="2" s="1"/>
  <c r="G84" i="2"/>
  <c r="AW84" i="2" s="1"/>
  <c r="F84" i="2"/>
  <c r="AV84" i="2" s="1"/>
  <c r="CL83" i="2"/>
  <c r="EB83" i="2" s="1"/>
  <c r="CK83" i="2"/>
  <c r="EA83" i="2" s="1"/>
  <c r="CJ83" i="2"/>
  <c r="DZ83" i="2" s="1"/>
  <c r="CI83" i="2"/>
  <c r="DY83" i="2" s="1"/>
  <c r="CH83" i="2"/>
  <c r="DX83" i="2" s="1"/>
  <c r="CG83" i="2"/>
  <c r="DW83" i="2" s="1"/>
  <c r="CF83" i="2"/>
  <c r="DV83" i="2" s="1"/>
  <c r="CE83" i="2"/>
  <c r="DU83" i="2" s="1"/>
  <c r="CD83" i="2"/>
  <c r="DT83" i="2" s="1"/>
  <c r="CC83" i="2"/>
  <c r="DS83" i="2" s="1"/>
  <c r="CB83" i="2"/>
  <c r="DR83" i="2" s="1"/>
  <c r="CA83" i="2"/>
  <c r="DQ83" i="2" s="1"/>
  <c r="BZ83" i="2"/>
  <c r="DP83" i="2" s="1"/>
  <c r="BY83" i="2"/>
  <c r="DO83" i="2" s="1"/>
  <c r="BX83" i="2"/>
  <c r="DN83" i="2" s="1"/>
  <c r="BW83" i="2"/>
  <c r="DM83" i="2" s="1"/>
  <c r="BV83" i="2"/>
  <c r="DL83" i="2" s="1"/>
  <c r="BU83" i="2"/>
  <c r="DK83" i="2" s="1"/>
  <c r="BT83" i="2"/>
  <c r="DJ83" i="2" s="1"/>
  <c r="BS83" i="2"/>
  <c r="DI83" i="2" s="1"/>
  <c r="BR83" i="2"/>
  <c r="DH83" i="2" s="1"/>
  <c r="Z83" i="2"/>
  <c r="BP83" i="2" s="1"/>
  <c r="Y83" i="2"/>
  <c r="BO83" i="2" s="1"/>
  <c r="X83" i="2"/>
  <c r="BN83" i="2" s="1"/>
  <c r="W83" i="2"/>
  <c r="BM83" i="2" s="1"/>
  <c r="V83" i="2"/>
  <c r="BL83" i="2" s="1"/>
  <c r="U83" i="2"/>
  <c r="BK83" i="2" s="1"/>
  <c r="T83" i="2"/>
  <c r="BJ83" i="2" s="1"/>
  <c r="S83" i="2"/>
  <c r="BI83" i="2" s="1"/>
  <c r="R83" i="2"/>
  <c r="BH83" i="2" s="1"/>
  <c r="Q83" i="2"/>
  <c r="BG83" i="2" s="1"/>
  <c r="P83" i="2"/>
  <c r="BF83" i="2" s="1"/>
  <c r="O83" i="2"/>
  <c r="BE83" i="2" s="1"/>
  <c r="N83" i="2"/>
  <c r="BD83" i="2" s="1"/>
  <c r="M83" i="2"/>
  <c r="BC83" i="2" s="1"/>
  <c r="L83" i="2"/>
  <c r="BB83" i="2" s="1"/>
  <c r="K83" i="2"/>
  <c r="BA83" i="2" s="1"/>
  <c r="J83" i="2"/>
  <c r="AZ83" i="2" s="1"/>
  <c r="I83" i="2"/>
  <c r="AY83" i="2" s="1"/>
  <c r="H83" i="2"/>
  <c r="AX83" i="2" s="1"/>
  <c r="G83" i="2"/>
  <c r="AW83" i="2" s="1"/>
  <c r="F83" i="2"/>
  <c r="AV83" i="2" s="1"/>
  <c r="CL82" i="2"/>
  <c r="EB82" i="2" s="1"/>
  <c r="CK82" i="2"/>
  <c r="EA82" i="2" s="1"/>
  <c r="CJ82" i="2"/>
  <c r="DZ82" i="2" s="1"/>
  <c r="CI82" i="2"/>
  <c r="DY82" i="2" s="1"/>
  <c r="CH82" i="2"/>
  <c r="DX82" i="2" s="1"/>
  <c r="CG82" i="2"/>
  <c r="DW82" i="2" s="1"/>
  <c r="CF82" i="2"/>
  <c r="DV82" i="2" s="1"/>
  <c r="CE82" i="2"/>
  <c r="DU82" i="2" s="1"/>
  <c r="CD82" i="2"/>
  <c r="DT82" i="2" s="1"/>
  <c r="CC82" i="2"/>
  <c r="DS82" i="2" s="1"/>
  <c r="CB82" i="2"/>
  <c r="DR82" i="2" s="1"/>
  <c r="CA82" i="2"/>
  <c r="DQ82" i="2" s="1"/>
  <c r="BZ82" i="2"/>
  <c r="DP82" i="2" s="1"/>
  <c r="BY82" i="2"/>
  <c r="DO82" i="2" s="1"/>
  <c r="BX82" i="2"/>
  <c r="DN82" i="2" s="1"/>
  <c r="BW82" i="2"/>
  <c r="DM82" i="2" s="1"/>
  <c r="BV82" i="2"/>
  <c r="DL82" i="2" s="1"/>
  <c r="BU82" i="2"/>
  <c r="DK82" i="2" s="1"/>
  <c r="BT82" i="2"/>
  <c r="DJ82" i="2" s="1"/>
  <c r="BS82" i="2"/>
  <c r="DI82" i="2" s="1"/>
  <c r="BR82" i="2"/>
  <c r="DH82" i="2" s="1"/>
  <c r="Z82" i="2"/>
  <c r="BP82" i="2" s="1"/>
  <c r="Y82" i="2"/>
  <c r="BO82" i="2" s="1"/>
  <c r="X82" i="2"/>
  <c r="BN82" i="2" s="1"/>
  <c r="W82" i="2"/>
  <c r="BM82" i="2" s="1"/>
  <c r="V82" i="2"/>
  <c r="BL82" i="2" s="1"/>
  <c r="U82" i="2"/>
  <c r="BK82" i="2" s="1"/>
  <c r="T82" i="2"/>
  <c r="BJ82" i="2" s="1"/>
  <c r="S82" i="2"/>
  <c r="BI82" i="2" s="1"/>
  <c r="R82" i="2"/>
  <c r="BH82" i="2" s="1"/>
  <c r="Q82" i="2"/>
  <c r="BG82" i="2" s="1"/>
  <c r="P82" i="2"/>
  <c r="BF82" i="2" s="1"/>
  <c r="O82" i="2"/>
  <c r="BE82" i="2" s="1"/>
  <c r="N82" i="2"/>
  <c r="BD82" i="2" s="1"/>
  <c r="M82" i="2"/>
  <c r="BC82" i="2" s="1"/>
  <c r="L82" i="2"/>
  <c r="BB82" i="2" s="1"/>
  <c r="K82" i="2"/>
  <c r="BA82" i="2" s="1"/>
  <c r="J82" i="2"/>
  <c r="AZ82" i="2" s="1"/>
  <c r="I82" i="2"/>
  <c r="AY82" i="2" s="1"/>
  <c r="H82" i="2"/>
  <c r="AX82" i="2" s="1"/>
  <c r="G82" i="2"/>
  <c r="AW82" i="2" s="1"/>
  <c r="F82" i="2"/>
  <c r="AV82" i="2" s="1"/>
  <c r="CL80" i="2"/>
  <c r="EB80" i="2" s="1"/>
  <c r="CK80" i="2"/>
  <c r="EA80" i="2" s="1"/>
  <c r="CJ80" i="2"/>
  <c r="DZ80" i="2" s="1"/>
  <c r="CI80" i="2"/>
  <c r="DY80" i="2" s="1"/>
  <c r="CH80" i="2"/>
  <c r="DX80" i="2" s="1"/>
  <c r="CG80" i="2"/>
  <c r="DW80" i="2" s="1"/>
  <c r="CF80" i="2"/>
  <c r="DV80" i="2" s="1"/>
  <c r="CE80" i="2"/>
  <c r="DU80" i="2" s="1"/>
  <c r="CD80" i="2"/>
  <c r="DT80" i="2" s="1"/>
  <c r="CC80" i="2"/>
  <c r="DS80" i="2" s="1"/>
  <c r="CB80" i="2"/>
  <c r="DR80" i="2" s="1"/>
  <c r="CA80" i="2"/>
  <c r="DQ80" i="2" s="1"/>
  <c r="BZ80" i="2"/>
  <c r="DP80" i="2" s="1"/>
  <c r="BY80" i="2"/>
  <c r="DO80" i="2" s="1"/>
  <c r="BX80" i="2"/>
  <c r="DN80" i="2" s="1"/>
  <c r="BW80" i="2"/>
  <c r="DM80" i="2" s="1"/>
  <c r="BV80" i="2"/>
  <c r="DL80" i="2" s="1"/>
  <c r="BU80" i="2"/>
  <c r="DK80" i="2" s="1"/>
  <c r="BT80" i="2"/>
  <c r="DJ80" i="2" s="1"/>
  <c r="BS80" i="2"/>
  <c r="DI80" i="2" s="1"/>
  <c r="BR80" i="2"/>
  <c r="DH80" i="2" s="1"/>
  <c r="Z80" i="2"/>
  <c r="BP80" i="2" s="1"/>
  <c r="Y80" i="2"/>
  <c r="BO80" i="2" s="1"/>
  <c r="X80" i="2"/>
  <c r="BN80" i="2" s="1"/>
  <c r="W80" i="2"/>
  <c r="BM80" i="2" s="1"/>
  <c r="V80" i="2"/>
  <c r="BL80" i="2" s="1"/>
  <c r="U80" i="2"/>
  <c r="BK80" i="2" s="1"/>
  <c r="T80" i="2"/>
  <c r="BJ80" i="2" s="1"/>
  <c r="S80" i="2"/>
  <c r="BI80" i="2" s="1"/>
  <c r="R80" i="2"/>
  <c r="BH80" i="2" s="1"/>
  <c r="Q80" i="2"/>
  <c r="BG80" i="2" s="1"/>
  <c r="P80" i="2"/>
  <c r="BF80" i="2" s="1"/>
  <c r="O80" i="2"/>
  <c r="BE80" i="2" s="1"/>
  <c r="N80" i="2"/>
  <c r="BD80" i="2" s="1"/>
  <c r="M80" i="2"/>
  <c r="BC80" i="2" s="1"/>
  <c r="L80" i="2"/>
  <c r="BB80" i="2" s="1"/>
  <c r="K80" i="2"/>
  <c r="BA80" i="2" s="1"/>
  <c r="J80" i="2"/>
  <c r="AZ80" i="2" s="1"/>
  <c r="I80" i="2"/>
  <c r="AY80" i="2" s="1"/>
  <c r="H80" i="2"/>
  <c r="AX80" i="2" s="1"/>
  <c r="G80" i="2"/>
  <c r="AW80" i="2" s="1"/>
  <c r="F80" i="2"/>
  <c r="AV80" i="2" s="1"/>
  <c r="BT79" i="2"/>
  <c r="DJ79" i="2" s="1"/>
  <c r="BS79" i="2"/>
  <c r="DI79" i="2" s="1"/>
  <c r="BR79" i="2"/>
  <c r="DH79" i="2" s="1"/>
  <c r="BT78" i="2"/>
  <c r="DJ78" i="2" s="1"/>
  <c r="BS78" i="2"/>
  <c r="DI78" i="2" s="1"/>
  <c r="BR78" i="2"/>
  <c r="DH78" i="2" s="1"/>
  <c r="BT77" i="2"/>
  <c r="DJ77" i="2" s="1"/>
  <c r="BS77" i="2"/>
  <c r="DI77" i="2" s="1"/>
  <c r="BR77" i="2"/>
  <c r="DH77" i="2" s="1"/>
  <c r="CL76" i="2"/>
  <c r="EB76" i="2" s="1"/>
  <c r="CK76" i="2"/>
  <c r="EA76" i="2" s="1"/>
  <c r="CJ76" i="2"/>
  <c r="DZ76" i="2" s="1"/>
  <c r="CI76" i="2"/>
  <c r="DY76" i="2" s="1"/>
  <c r="CH76" i="2"/>
  <c r="DX76" i="2" s="1"/>
  <c r="CG76" i="2"/>
  <c r="DW76" i="2" s="1"/>
  <c r="CF76" i="2"/>
  <c r="DV76" i="2" s="1"/>
  <c r="CE76" i="2"/>
  <c r="DU76" i="2" s="1"/>
  <c r="CD76" i="2"/>
  <c r="DT76" i="2" s="1"/>
  <c r="CC76" i="2"/>
  <c r="DS76" i="2" s="1"/>
  <c r="CB76" i="2"/>
  <c r="DR76" i="2" s="1"/>
  <c r="CA76" i="2"/>
  <c r="DQ76" i="2" s="1"/>
  <c r="BZ76" i="2"/>
  <c r="DP76" i="2" s="1"/>
  <c r="BY76" i="2"/>
  <c r="DO76" i="2" s="1"/>
  <c r="BX76" i="2"/>
  <c r="DN76" i="2" s="1"/>
  <c r="BW76" i="2"/>
  <c r="DM76" i="2" s="1"/>
  <c r="BV76" i="2"/>
  <c r="DL76" i="2" s="1"/>
  <c r="BU76" i="2"/>
  <c r="DK76" i="2" s="1"/>
  <c r="BT76" i="2"/>
  <c r="DJ76" i="2" s="1"/>
  <c r="BS76" i="2"/>
  <c r="DI76" i="2" s="1"/>
  <c r="BR76" i="2"/>
  <c r="DH76" i="2" s="1"/>
  <c r="Z76" i="2"/>
  <c r="BP76" i="2" s="1"/>
  <c r="Y76" i="2"/>
  <c r="BO76" i="2" s="1"/>
  <c r="X76" i="2"/>
  <c r="BN76" i="2" s="1"/>
  <c r="W76" i="2"/>
  <c r="BM76" i="2" s="1"/>
  <c r="V76" i="2"/>
  <c r="BL76" i="2" s="1"/>
  <c r="U76" i="2"/>
  <c r="BK76" i="2" s="1"/>
  <c r="T76" i="2"/>
  <c r="BJ76" i="2" s="1"/>
  <c r="S76" i="2"/>
  <c r="BI76" i="2" s="1"/>
  <c r="R76" i="2"/>
  <c r="BH76" i="2" s="1"/>
  <c r="Q76" i="2"/>
  <c r="BG76" i="2" s="1"/>
  <c r="P76" i="2"/>
  <c r="BF76" i="2" s="1"/>
  <c r="O76" i="2"/>
  <c r="BE76" i="2" s="1"/>
  <c r="N76" i="2"/>
  <c r="BD76" i="2" s="1"/>
  <c r="M76" i="2"/>
  <c r="BC76" i="2" s="1"/>
  <c r="L76" i="2"/>
  <c r="BB76" i="2" s="1"/>
  <c r="K76" i="2"/>
  <c r="BA76" i="2" s="1"/>
  <c r="J76" i="2"/>
  <c r="AZ76" i="2" s="1"/>
  <c r="I76" i="2"/>
  <c r="AY76" i="2" s="1"/>
  <c r="H76" i="2"/>
  <c r="AX76" i="2" s="1"/>
  <c r="G76" i="2"/>
  <c r="AW76" i="2" s="1"/>
  <c r="F76" i="2"/>
  <c r="AV76" i="2" s="1"/>
  <c r="BT75" i="2"/>
  <c r="DJ75" i="2" s="1"/>
  <c r="BS75" i="2"/>
  <c r="DI75" i="2" s="1"/>
  <c r="BR75" i="2"/>
  <c r="DH75" i="2" s="1"/>
  <c r="CL74" i="2"/>
  <c r="EB74" i="2" s="1"/>
  <c r="CK74" i="2"/>
  <c r="EA74" i="2" s="1"/>
  <c r="CJ74" i="2"/>
  <c r="DZ74" i="2" s="1"/>
  <c r="CI74" i="2"/>
  <c r="DY74" i="2" s="1"/>
  <c r="CH74" i="2"/>
  <c r="DX74" i="2" s="1"/>
  <c r="CG74" i="2"/>
  <c r="DW74" i="2" s="1"/>
  <c r="CF74" i="2"/>
  <c r="DV74" i="2" s="1"/>
  <c r="CE74" i="2"/>
  <c r="DU74" i="2" s="1"/>
  <c r="CD74" i="2"/>
  <c r="DT74" i="2" s="1"/>
  <c r="CC74" i="2"/>
  <c r="DS74" i="2" s="1"/>
  <c r="CB74" i="2"/>
  <c r="DR74" i="2" s="1"/>
  <c r="CA74" i="2"/>
  <c r="DQ74" i="2" s="1"/>
  <c r="BZ74" i="2"/>
  <c r="DP74" i="2" s="1"/>
  <c r="BY74" i="2"/>
  <c r="DO74" i="2" s="1"/>
  <c r="BX74" i="2"/>
  <c r="DN74" i="2" s="1"/>
  <c r="BW74" i="2"/>
  <c r="DM74" i="2" s="1"/>
  <c r="BV74" i="2"/>
  <c r="DL74" i="2" s="1"/>
  <c r="BU74" i="2"/>
  <c r="DK74" i="2" s="1"/>
  <c r="BT74" i="2"/>
  <c r="DJ74" i="2" s="1"/>
  <c r="BS74" i="2"/>
  <c r="DI74" i="2" s="1"/>
  <c r="BR74" i="2"/>
  <c r="DH74" i="2" s="1"/>
  <c r="Z74" i="2"/>
  <c r="BP74" i="2" s="1"/>
  <c r="Y74" i="2"/>
  <c r="BO74" i="2" s="1"/>
  <c r="X74" i="2"/>
  <c r="BN74" i="2" s="1"/>
  <c r="W74" i="2"/>
  <c r="BM74" i="2" s="1"/>
  <c r="V74" i="2"/>
  <c r="BL74" i="2" s="1"/>
  <c r="U74" i="2"/>
  <c r="BK74" i="2" s="1"/>
  <c r="T74" i="2"/>
  <c r="BJ74" i="2" s="1"/>
  <c r="S74" i="2"/>
  <c r="BI74" i="2" s="1"/>
  <c r="R74" i="2"/>
  <c r="BH74" i="2" s="1"/>
  <c r="Q74" i="2"/>
  <c r="BG74" i="2" s="1"/>
  <c r="P74" i="2"/>
  <c r="BF74" i="2" s="1"/>
  <c r="O74" i="2"/>
  <c r="BE74" i="2" s="1"/>
  <c r="N74" i="2"/>
  <c r="BD74" i="2" s="1"/>
  <c r="M74" i="2"/>
  <c r="BC74" i="2" s="1"/>
  <c r="L74" i="2"/>
  <c r="BB74" i="2" s="1"/>
  <c r="K74" i="2"/>
  <c r="BA74" i="2" s="1"/>
  <c r="J74" i="2"/>
  <c r="AZ74" i="2" s="1"/>
  <c r="I74" i="2"/>
  <c r="AY74" i="2" s="1"/>
  <c r="H74" i="2"/>
  <c r="AX74" i="2" s="1"/>
  <c r="G74" i="2"/>
  <c r="AW74" i="2" s="1"/>
  <c r="F74" i="2"/>
  <c r="AV74" i="2" s="1"/>
  <c r="BT73" i="2"/>
  <c r="DJ73" i="2" s="1"/>
  <c r="BS73" i="2"/>
  <c r="DI73" i="2" s="1"/>
  <c r="BR73" i="2"/>
  <c r="DH73" i="2" s="1"/>
  <c r="H73" i="2"/>
  <c r="AX73" i="2" s="1"/>
  <c r="G73" i="2"/>
  <c r="AW73" i="2" s="1"/>
  <c r="F73" i="2"/>
  <c r="AV73" i="2" s="1"/>
  <c r="BT72" i="2"/>
  <c r="DJ72" i="2" s="1"/>
  <c r="BS72" i="2"/>
  <c r="DI72" i="2" s="1"/>
  <c r="BR72" i="2"/>
  <c r="DH72" i="2" s="1"/>
  <c r="H72" i="2"/>
  <c r="AX72" i="2" s="1"/>
  <c r="G72" i="2"/>
  <c r="AW72" i="2" s="1"/>
  <c r="F72" i="2"/>
  <c r="AV72" i="2" s="1"/>
  <c r="BT71" i="2"/>
  <c r="DJ71" i="2" s="1"/>
  <c r="BS71" i="2"/>
  <c r="DI71" i="2" s="1"/>
  <c r="BR71" i="2"/>
  <c r="DH71" i="2" s="1"/>
  <c r="H71" i="2"/>
  <c r="AX71" i="2" s="1"/>
  <c r="G71" i="2"/>
  <c r="AW71" i="2" s="1"/>
  <c r="F71" i="2"/>
  <c r="AV71" i="2" s="1"/>
  <c r="CL70" i="2"/>
  <c r="EB70" i="2" s="1"/>
  <c r="CK70" i="2"/>
  <c r="EA70" i="2" s="1"/>
  <c r="CJ70" i="2"/>
  <c r="DZ70" i="2" s="1"/>
  <c r="CI70" i="2"/>
  <c r="DY70" i="2" s="1"/>
  <c r="CH70" i="2"/>
  <c r="DX70" i="2" s="1"/>
  <c r="CG70" i="2"/>
  <c r="DW70" i="2" s="1"/>
  <c r="CF70" i="2"/>
  <c r="DV70" i="2" s="1"/>
  <c r="CE70" i="2"/>
  <c r="DU70" i="2" s="1"/>
  <c r="CD70" i="2"/>
  <c r="DT70" i="2" s="1"/>
  <c r="CC70" i="2"/>
  <c r="DS70" i="2" s="1"/>
  <c r="CB70" i="2"/>
  <c r="DR70" i="2" s="1"/>
  <c r="CA70" i="2"/>
  <c r="DQ70" i="2" s="1"/>
  <c r="BZ70" i="2"/>
  <c r="DP70" i="2" s="1"/>
  <c r="BY70" i="2"/>
  <c r="DO70" i="2" s="1"/>
  <c r="BX70" i="2"/>
  <c r="DN70" i="2" s="1"/>
  <c r="BW70" i="2"/>
  <c r="DM70" i="2" s="1"/>
  <c r="BV70" i="2"/>
  <c r="DL70" i="2" s="1"/>
  <c r="BU70" i="2"/>
  <c r="DK70" i="2" s="1"/>
  <c r="BT70" i="2"/>
  <c r="DJ70" i="2" s="1"/>
  <c r="BS70" i="2"/>
  <c r="DI70" i="2" s="1"/>
  <c r="BR70" i="2"/>
  <c r="DH70" i="2" s="1"/>
  <c r="Z70" i="2"/>
  <c r="BP70" i="2" s="1"/>
  <c r="Y70" i="2"/>
  <c r="BO70" i="2" s="1"/>
  <c r="X70" i="2"/>
  <c r="BN70" i="2" s="1"/>
  <c r="W70" i="2"/>
  <c r="BM70" i="2" s="1"/>
  <c r="V70" i="2"/>
  <c r="BL70" i="2" s="1"/>
  <c r="U70" i="2"/>
  <c r="BK70" i="2" s="1"/>
  <c r="T70" i="2"/>
  <c r="BJ70" i="2" s="1"/>
  <c r="S70" i="2"/>
  <c r="BI70" i="2" s="1"/>
  <c r="R70" i="2"/>
  <c r="BH70" i="2" s="1"/>
  <c r="Q70" i="2"/>
  <c r="BG70" i="2" s="1"/>
  <c r="P70" i="2"/>
  <c r="BF70" i="2" s="1"/>
  <c r="O70" i="2"/>
  <c r="BE70" i="2" s="1"/>
  <c r="N70" i="2"/>
  <c r="BD70" i="2" s="1"/>
  <c r="M70" i="2"/>
  <c r="BC70" i="2" s="1"/>
  <c r="L70" i="2"/>
  <c r="BB70" i="2" s="1"/>
  <c r="K70" i="2"/>
  <c r="BA70" i="2" s="1"/>
  <c r="J70" i="2"/>
  <c r="AZ70" i="2" s="1"/>
  <c r="I70" i="2"/>
  <c r="AY70" i="2" s="1"/>
  <c r="H70" i="2"/>
  <c r="AX70" i="2" s="1"/>
  <c r="G70" i="2"/>
  <c r="AW70" i="2" s="1"/>
  <c r="F70" i="2"/>
  <c r="AV70" i="2" s="1"/>
  <c r="CL69" i="2"/>
  <c r="EB69" i="2" s="1"/>
  <c r="CK69" i="2"/>
  <c r="EA69" i="2" s="1"/>
  <c r="CJ69" i="2"/>
  <c r="DZ69" i="2" s="1"/>
  <c r="CI69" i="2"/>
  <c r="DY69" i="2" s="1"/>
  <c r="CH69" i="2"/>
  <c r="DX69" i="2" s="1"/>
  <c r="CG69" i="2"/>
  <c r="DW69" i="2" s="1"/>
  <c r="CF69" i="2"/>
  <c r="DV69" i="2" s="1"/>
  <c r="CE69" i="2"/>
  <c r="DU69" i="2" s="1"/>
  <c r="CD69" i="2"/>
  <c r="DT69" i="2" s="1"/>
  <c r="CC69" i="2"/>
  <c r="DS69" i="2" s="1"/>
  <c r="CB69" i="2"/>
  <c r="DR69" i="2" s="1"/>
  <c r="CA69" i="2"/>
  <c r="DQ69" i="2" s="1"/>
  <c r="BZ69" i="2"/>
  <c r="DP69" i="2" s="1"/>
  <c r="BY69" i="2"/>
  <c r="DO69" i="2" s="1"/>
  <c r="BX69" i="2"/>
  <c r="DN69" i="2" s="1"/>
  <c r="BW69" i="2"/>
  <c r="DM69" i="2" s="1"/>
  <c r="BV69" i="2"/>
  <c r="DL69" i="2" s="1"/>
  <c r="BU69" i="2"/>
  <c r="DK69" i="2" s="1"/>
  <c r="BT69" i="2"/>
  <c r="DJ69" i="2" s="1"/>
  <c r="BS69" i="2"/>
  <c r="DI69" i="2" s="1"/>
  <c r="BR69" i="2"/>
  <c r="DH69" i="2" s="1"/>
  <c r="Z69" i="2"/>
  <c r="BP69" i="2" s="1"/>
  <c r="Y69" i="2"/>
  <c r="BO69" i="2" s="1"/>
  <c r="X69" i="2"/>
  <c r="BN69" i="2" s="1"/>
  <c r="W69" i="2"/>
  <c r="BM69" i="2" s="1"/>
  <c r="V69" i="2"/>
  <c r="BL69" i="2" s="1"/>
  <c r="U69" i="2"/>
  <c r="BK69" i="2" s="1"/>
  <c r="T69" i="2"/>
  <c r="BJ69" i="2" s="1"/>
  <c r="S69" i="2"/>
  <c r="BI69" i="2" s="1"/>
  <c r="R69" i="2"/>
  <c r="BH69" i="2" s="1"/>
  <c r="Q69" i="2"/>
  <c r="BG69" i="2" s="1"/>
  <c r="P69" i="2"/>
  <c r="BF69" i="2" s="1"/>
  <c r="O69" i="2"/>
  <c r="BE69" i="2" s="1"/>
  <c r="N69" i="2"/>
  <c r="BD69" i="2" s="1"/>
  <c r="M69" i="2"/>
  <c r="BC69" i="2" s="1"/>
  <c r="L69" i="2"/>
  <c r="BB69" i="2" s="1"/>
  <c r="K69" i="2"/>
  <c r="BA69" i="2" s="1"/>
  <c r="J69" i="2"/>
  <c r="AZ69" i="2" s="1"/>
  <c r="I69" i="2"/>
  <c r="AY69" i="2" s="1"/>
  <c r="H69" i="2"/>
  <c r="AX69" i="2" s="1"/>
  <c r="G69" i="2"/>
  <c r="AW69" i="2" s="1"/>
  <c r="F69" i="2"/>
  <c r="AV69" i="2" s="1"/>
  <c r="BU68" i="2"/>
  <c r="DK68" i="2" s="1"/>
  <c r="BT68" i="2"/>
  <c r="DJ68" i="2" s="1"/>
  <c r="BS68" i="2"/>
  <c r="DI68" i="2" s="1"/>
  <c r="BR68" i="2"/>
  <c r="DH68" i="2" s="1"/>
  <c r="Z68" i="2"/>
  <c r="BP68" i="2" s="1"/>
  <c r="Y68" i="2"/>
  <c r="BO68" i="2" s="1"/>
  <c r="X68" i="2"/>
  <c r="BN68" i="2" s="1"/>
  <c r="W68" i="2"/>
  <c r="BM68" i="2" s="1"/>
  <c r="V68" i="2"/>
  <c r="BL68" i="2" s="1"/>
  <c r="U68" i="2"/>
  <c r="BK68" i="2" s="1"/>
  <c r="T68" i="2"/>
  <c r="BJ68" i="2" s="1"/>
  <c r="S68" i="2"/>
  <c r="BI68" i="2" s="1"/>
  <c r="R68" i="2"/>
  <c r="BH68" i="2" s="1"/>
  <c r="Q68" i="2"/>
  <c r="BG68" i="2" s="1"/>
  <c r="P68" i="2"/>
  <c r="BF68" i="2" s="1"/>
  <c r="O68" i="2"/>
  <c r="BE68" i="2" s="1"/>
  <c r="N68" i="2"/>
  <c r="BD68" i="2" s="1"/>
  <c r="M68" i="2"/>
  <c r="BC68" i="2" s="1"/>
  <c r="L68" i="2"/>
  <c r="BB68" i="2" s="1"/>
  <c r="K68" i="2"/>
  <c r="BA68" i="2" s="1"/>
  <c r="J68" i="2"/>
  <c r="AZ68" i="2" s="1"/>
  <c r="I68" i="2"/>
  <c r="AY68" i="2" s="1"/>
  <c r="H68" i="2"/>
  <c r="AX68" i="2" s="1"/>
  <c r="G68" i="2"/>
  <c r="AW68" i="2" s="1"/>
  <c r="F68" i="2"/>
  <c r="AV68" i="2" s="1"/>
  <c r="BU67" i="2"/>
  <c r="DK67" i="2" s="1"/>
  <c r="BT67" i="2"/>
  <c r="DJ67" i="2" s="1"/>
  <c r="BS67" i="2"/>
  <c r="DI67" i="2" s="1"/>
  <c r="BR67" i="2"/>
  <c r="DH67" i="2" s="1"/>
  <c r="Z67" i="2"/>
  <c r="BP67" i="2" s="1"/>
  <c r="Y67" i="2"/>
  <c r="BO67" i="2" s="1"/>
  <c r="X67" i="2"/>
  <c r="BN67" i="2" s="1"/>
  <c r="W67" i="2"/>
  <c r="BM67" i="2" s="1"/>
  <c r="V67" i="2"/>
  <c r="BL67" i="2" s="1"/>
  <c r="U67" i="2"/>
  <c r="BK67" i="2" s="1"/>
  <c r="T67" i="2"/>
  <c r="BJ67" i="2" s="1"/>
  <c r="S67" i="2"/>
  <c r="BI67" i="2" s="1"/>
  <c r="R67" i="2"/>
  <c r="BH67" i="2" s="1"/>
  <c r="Q67" i="2"/>
  <c r="BG67" i="2" s="1"/>
  <c r="P67" i="2"/>
  <c r="BF67" i="2" s="1"/>
  <c r="O67" i="2"/>
  <c r="BE67" i="2" s="1"/>
  <c r="N67" i="2"/>
  <c r="BD67" i="2" s="1"/>
  <c r="M67" i="2"/>
  <c r="BC67" i="2" s="1"/>
  <c r="L67" i="2"/>
  <c r="BB67" i="2" s="1"/>
  <c r="K67" i="2"/>
  <c r="BA67" i="2" s="1"/>
  <c r="J67" i="2"/>
  <c r="AZ67" i="2" s="1"/>
  <c r="I67" i="2"/>
  <c r="AY67" i="2" s="1"/>
  <c r="H67" i="2"/>
  <c r="AX67" i="2" s="1"/>
  <c r="G67" i="2"/>
  <c r="AW67" i="2" s="1"/>
  <c r="F67" i="2"/>
  <c r="AV67" i="2" s="1"/>
  <c r="CL66" i="2"/>
  <c r="EB66" i="2" s="1"/>
  <c r="CK66" i="2"/>
  <c r="EA66" i="2" s="1"/>
  <c r="CJ66" i="2"/>
  <c r="DZ66" i="2" s="1"/>
  <c r="CI66" i="2"/>
  <c r="DY66" i="2" s="1"/>
  <c r="CH66" i="2"/>
  <c r="DX66" i="2" s="1"/>
  <c r="CG66" i="2"/>
  <c r="DW66" i="2" s="1"/>
  <c r="CF66" i="2"/>
  <c r="DV66" i="2" s="1"/>
  <c r="CE66" i="2"/>
  <c r="DU66" i="2" s="1"/>
  <c r="CD66" i="2"/>
  <c r="DT66" i="2" s="1"/>
  <c r="CC66" i="2"/>
  <c r="DS66" i="2" s="1"/>
  <c r="CB66" i="2"/>
  <c r="DR66" i="2" s="1"/>
  <c r="CA66" i="2"/>
  <c r="DQ66" i="2" s="1"/>
  <c r="BZ66" i="2"/>
  <c r="DP66" i="2" s="1"/>
  <c r="BY66" i="2"/>
  <c r="DO66" i="2" s="1"/>
  <c r="BX66" i="2"/>
  <c r="DN66" i="2" s="1"/>
  <c r="BW66" i="2"/>
  <c r="DM66" i="2" s="1"/>
  <c r="BV66" i="2"/>
  <c r="DL66" i="2" s="1"/>
  <c r="BU66" i="2"/>
  <c r="DK66" i="2" s="1"/>
  <c r="BT66" i="2"/>
  <c r="DJ66" i="2" s="1"/>
  <c r="BS66" i="2"/>
  <c r="DI66" i="2" s="1"/>
  <c r="BR66" i="2"/>
  <c r="DH66" i="2" s="1"/>
  <c r="Z66" i="2"/>
  <c r="BP66" i="2" s="1"/>
  <c r="Y66" i="2"/>
  <c r="BO66" i="2" s="1"/>
  <c r="X66" i="2"/>
  <c r="BN66" i="2" s="1"/>
  <c r="W66" i="2"/>
  <c r="BM66" i="2" s="1"/>
  <c r="V66" i="2"/>
  <c r="BL66" i="2" s="1"/>
  <c r="U66" i="2"/>
  <c r="BK66" i="2" s="1"/>
  <c r="T66" i="2"/>
  <c r="BJ66" i="2" s="1"/>
  <c r="S66" i="2"/>
  <c r="BI66" i="2" s="1"/>
  <c r="R66" i="2"/>
  <c r="BH66" i="2" s="1"/>
  <c r="Q66" i="2"/>
  <c r="BG66" i="2" s="1"/>
  <c r="P66" i="2"/>
  <c r="BF66" i="2" s="1"/>
  <c r="O66" i="2"/>
  <c r="BE66" i="2" s="1"/>
  <c r="N66" i="2"/>
  <c r="BD66" i="2" s="1"/>
  <c r="M66" i="2"/>
  <c r="BC66" i="2" s="1"/>
  <c r="L66" i="2"/>
  <c r="BB66" i="2" s="1"/>
  <c r="K66" i="2"/>
  <c r="BA66" i="2" s="1"/>
  <c r="J66" i="2"/>
  <c r="AZ66" i="2" s="1"/>
  <c r="I66" i="2"/>
  <c r="AY66" i="2" s="1"/>
  <c r="H66" i="2"/>
  <c r="AX66" i="2" s="1"/>
  <c r="G66" i="2"/>
  <c r="AW66" i="2" s="1"/>
  <c r="F66" i="2"/>
  <c r="AV66" i="2" s="1"/>
  <c r="BU65" i="2"/>
  <c r="DK65" i="2" s="1"/>
  <c r="BT65" i="2"/>
  <c r="DJ65" i="2" s="1"/>
  <c r="BS65" i="2"/>
  <c r="DI65" i="2" s="1"/>
  <c r="BR65" i="2"/>
  <c r="DH65" i="2" s="1"/>
  <c r="Z65" i="2"/>
  <c r="BP65" i="2" s="1"/>
  <c r="Y65" i="2"/>
  <c r="BO65" i="2" s="1"/>
  <c r="X65" i="2"/>
  <c r="BN65" i="2" s="1"/>
  <c r="W65" i="2"/>
  <c r="BM65" i="2" s="1"/>
  <c r="V65" i="2"/>
  <c r="BL65" i="2" s="1"/>
  <c r="U65" i="2"/>
  <c r="BK65" i="2" s="1"/>
  <c r="T65" i="2"/>
  <c r="BJ65" i="2" s="1"/>
  <c r="S65" i="2"/>
  <c r="BI65" i="2" s="1"/>
  <c r="R65" i="2"/>
  <c r="BH65" i="2" s="1"/>
  <c r="Q65" i="2"/>
  <c r="BG65" i="2" s="1"/>
  <c r="P65" i="2"/>
  <c r="BF65" i="2" s="1"/>
  <c r="O65" i="2"/>
  <c r="BE65" i="2" s="1"/>
  <c r="N65" i="2"/>
  <c r="BD65" i="2" s="1"/>
  <c r="M65" i="2"/>
  <c r="BC65" i="2" s="1"/>
  <c r="L65" i="2"/>
  <c r="BB65" i="2" s="1"/>
  <c r="K65" i="2"/>
  <c r="BA65" i="2" s="1"/>
  <c r="J65" i="2"/>
  <c r="AZ65" i="2" s="1"/>
  <c r="I65" i="2"/>
  <c r="AY65" i="2" s="1"/>
  <c r="H65" i="2"/>
  <c r="AX65" i="2" s="1"/>
  <c r="G65" i="2"/>
  <c r="AW65" i="2" s="1"/>
  <c r="F65" i="2"/>
  <c r="AV65" i="2" s="1"/>
  <c r="CL64" i="2"/>
  <c r="EB64" i="2" s="1"/>
  <c r="CK64" i="2"/>
  <c r="EA64" i="2" s="1"/>
  <c r="CJ64" i="2"/>
  <c r="DZ64" i="2" s="1"/>
  <c r="CI64" i="2"/>
  <c r="DY64" i="2" s="1"/>
  <c r="CH64" i="2"/>
  <c r="DX64" i="2" s="1"/>
  <c r="CG64" i="2"/>
  <c r="DW64" i="2" s="1"/>
  <c r="CF64" i="2"/>
  <c r="DV64" i="2" s="1"/>
  <c r="CE64" i="2"/>
  <c r="DU64" i="2" s="1"/>
  <c r="CD64" i="2"/>
  <c r="DT64" i="2" s="1"/>
  <c r="CC64" i="2"/>
  <c r="DS64" i="2" s="1"/>
  <c r="CB64" i="2"/>
  <c r="DR64" i="2" s="1"/>
  <c r="CA64" i="2"/>
  <c r="DQ64" i="2" s="1"/>
  <c r="BZ64" i="2"/>
  <c r="DP64" i="2" s="1"/>
  <c r="BY64" i="2"/>
  <c r="DO64" i="2" s="1"/>
  <c r="BX64" i="2"/>
  <c r="DN64" i="2" s="1"/>
  <c r="BW64" i="2"/>
  <c r="DM64" i="2" s="1"/>
  <c r="BV64" i="2"/>
  <c r="DL64" i="2" s="1"/>
  <c r="BU64" i="2"/>
  <c r="DK64" i="2" s="1"/>
  <c r="BT64" i="2"/>
  <c r="DJ64" i="2" s="1"/>
  <c r="BS64" i="2"/>
  <c r="DI64" i="2" s="1"/>
  <c r="BR64" i="2"/>
  <c r="DH64" i="2" s="1"/>
  <c r="Z64" i="2"/>
  <c r="BP64" i="2" s="1"/>
  <c r="Y64" i="2"/>
  <c r="BO64" i="2" s="1"/>
  <c r="X64" i="2"/>
  <c r="BN64" i="2" s="1"/>
  <c r="W64" i="2"/>
  <c r="BM64" i="2" s="1"/>
  <c r="V64" i="2"/>
  <c r="BL64" i="2" s="1"/>
  <c r="U64" i="2"/>
  <c r="BK64" i="2" s="1"/>
  <c r="T64" i="2"/>
  <c r="BJ64" i="2" s="1"/>
  <c r="S64" i="2"/>
  <c r="BI64" i="2" s="1"/>
  <c r="R64" i="2"/>
  <c r="BH64" i="2" s="1"/>
  <c r="Q64" i="2"/>
  <c r="BG64" i="2" s="1"/>
  <c r="P64" i="2"/>
  <c r="BF64" i="2" s="1"/>
  <c r="O64" i="2"/>
  <c r="BE64" i="2" s="1"/>
  <c r="N64" i="2"/>
  <c r="BD64" i="2" s="1"/>
  <c r="M64" i="2"/>
  <c r="BC64" i="2" s="1"/>
  <c r="L64" i="2"/>
  <c r="BB64" i="2" s="1"/>
  <c r="K64" i="2"/>
  <c r="BA64" i="2" s="1"/>
  <c r="J64" i="2"/>
  <c r="AZ64" i="2" s="1"/>
  <c r="I64" i="2"/>
  <c r="AY64" i="2" s="1"/>
  <c r="H64" i="2"/>
  <c r="AX64" i="2" s="1"/>
  <c r="G64" i="2"/>
  <c r="AW64" i="2" s="1"/>
  <c r="F64" i="2"/>
  <c r="AV64" i="2" s="1"/>
  <c r="BU63" i="2"/>
  <c r="DK63" i="2" s="1"/>
  <c r="BT63" i="2"/>
  <c r="DJ63" i="2" s="1"/>
  <c r="BS63" i="2"/>
  <c r="DI63" i="2" s="1"/>
  <c r="BR63" i="2"/>
  <c r="DH63" i="2" s="1"/>
  <c r="Z63" i="2"/>
  <c r="BP63" i="2" s="1"/>
  <c r="Y63" i="2"/>
  <c r="BO63" i="2" s="1"/>
  <c r="X63" i="2"/>
  <c r="BN63" i="2" s="1"/>
  <c r="W63" i="2"/>
  <c r="BM63" i="2" s="1"/>
  <c r="V63" i="2"/>
  <c r="BL63" i="2" s="1"/>
  <c r="U63" i="2"/>
  <c r="BK63" i="2" s="1"/>
  <c r="T63" i="2"/>
  <c r="BJ63" i="2" s="1"/>
  <c r="S63" i="2"/>
  <c r="BI63" i="2" s="1"/>
  <c r="R63" i="2"/>
  <c r="BH63" i="2" s="1"/>
  <c r="Q63" i="2"/>
  <c r="BG63" i="2" s="1"/>
  <c r="P63" i="2"/>
  <c r="BF63" i="2" s="1"/>
  <c r="O63" i="2"/>
  <c r="BE63" i="2" s="1"/>
  <c r="N63" i="2"/>
  <c r="BD63" i="2" s="1"/>
  <c r="M63" i="2"/>
  <c r="BC63" i="2" s="1"/>
  <c r="L63" i="2"/>
  <c r="BB63" i="2" s="1"/>
  <c r="K63" i="2"/>
  <c r="BA63" i="2" s="1"/>
  <c r="J63" i="2"/>
  <c r="AZ63" i="2" s="1"/>
  <c r="I63" i="2"/>
  <c r="AY63" i="2" s="1"/>
  <c r="H63" i="2"/>
  <c r="AX63" i="2" s="1"/>
  <c r="G63" i="2"/>
  <c r="AW63" i="2" s="1"/>
  <c r="F63" i="2"/>
  <c r="AV63" i="2" s="1"/>
  <c r="BU62" i="2"/>
  <c r="DK62" i="2" s="1"/>
  <c r="BT62" i="2"/>
  <c r="DJ62" i="2" s="1"/>
  <c r="BS62" i="2"/>
  <c r="DI62" i="2" s="1"/>
  <c r="BR62" i="2"/>
  <c r="DH62" i="2" s="1"/>
  <c r="Z62" i="2"/>
  <c r="BP62" i="2" s="1"/>
  <c r="Y62" i="2"/>
  <c r="BO62" i="2" s="1"/>
  <c r="X62" i="2"/>
  <c r="BN62" i="2" s="1"/>
  <c r="W62" i="2"/>
  <c r="BM62" i="2" s="1"/>
  <c r="V62" i="2"/>
  <c r="BL62" i="2" s="1"/>
  <c r="U62" i="2"/>
  <c r="BK62" i="2" s="1"/>
  <c r="T62" i="2"/>
  <c r="BJ62" i="2" s="1"/>
  <c r="S62" i="2"/>
  <c r="BI62" i="2" s="1"/>
  <c r="R62" i="2"/>
  <c r="BH62" i="2" s="1"/>
  <c r="Q62" i="2"/>
  <c r="BG62" i="2" s="1"/>
  <c r="P62" i="2"/>
  <c r="BF62" i="2" s="1"/>
  <c r="O62" i="2"/>
  <c r="BE62" i="2" s="1"/>
  <c r="N62" i="2"/>
  <c r="BD62" i="2" s="1"/>
  <c r="M62" i="2"/>
  <c r="BC62" i="2" s="1"/>
  <c r="L62" i="2"/>
  <c r="BB62" i="2" s="1"/>
  <c r="K62" i="2"/>
  <c r="BA62" i="2" s="1"/>
  <c r="J62" i="2"/>
  <c r="AZ62" i="2" s="1"/>
  <c r="I62" i="2"/>
  <c r="AY62" i="2" s="1"/>
  <c r="H62" i="2"/>
  <c r="AX62" i="2" s="1"/>
  <c r="G62" i="2"/>
  <c r="AW62" i="2" s="1"/>
  <c r="F62" i="2"/>
  <c r="AV62" i="2" s="1"/>
  <c r="CL61" i="2"/>
  <c r="EB61" i="2" s="1"/>
  <c r="CK61" i="2"/>
  <c r="EA61" i="2" s="1"/>
  <c r="CJ61" i="2"/>
  <c r="DZ61" i="2" s="1"/>
  <c r="CI61" i="2"/>
  <c r="DY61" i="2" s="1"/>
  <c r="CH61" i="2"/>
  <c r="DX61" i="2" s="1"/>
  <c r="CG61" i="2"/>
  <c r="DW61" i="2" s="1"/>
  <c r="CF61" i="2"/>
  <c r="DV61" i="2" s="1"/>
  <c r="CE61" i="2"/>
  <c r="DU61" i="2" s="1"/>
  <c r="CD61" i="2"/>
  <c r="DT61" i="2" s="1"/>
  <c r="CC61" i="2"/>
  <c r="DS61" i="2" s="1"/>
  <c r="CB61" i="2"/>
  <c r="DR61" i="2" s="1"/>
  <c r="CA61" i="2"/>
  <c r="DQ61" i="2" s="1"/>
  <c r="BZ61" i="2"/>
  <c r="DP61" i="2" s="1"/>
  <c r="BY61" i="2"/>
  <c r="DO61" i="2" s="1"/>
  <c r="BX61" i="2"/>
  <c r="DN61" i="2" s="1"/>
  <c r="BW61" i="2"/>
  <c r="DM61" i="2" s="1"/>
  <c r="BV61" i="2"/>
  <c r="DL61" i="2" s="1"/>
  <c r="BU61" i="2"/>
  <c r="DK61" i="2" s="1"/>
  <c r="BT61" i="2"/>
  <c r="DJ61" i="2" s="1"/>
  <c r="BS61" i="2"/>
  <c r="DI61" i="2" s="1"/>
  <c r="BR61" i="2"/>
  <c r="DH61" i="2" s="1"/>
  <c r="Z61" i="2"/>
  <c r="BP61" i="2" s="1"/>
  <c r="Y61" i="2"/>
  <c r="BO61" i="2" s="1"/>
  <c r="X61" i="2"/>
  <c r="BN61" i="2" s="1"/>
  <c r="W61" i="2"/>
  <c r="BM61" i="2" s="1"/>
  <c r="V61" i="2"/>
  <c r="BL61" i="2" s="1"/>
  <c r="U61" i="2"/>
  <c r="BK61" i="2" s="1"/>
  <c r="T61" i="2"/>
  <c r="BJ61" i="2" s="1"/>
  <c r="S61" i="2"/>
  <c r="BI61" i="2" s="1"/>
  <c r="R61" i="2"/>
  <c r="BH61" i="2" s="1"/>
  <c r="Q61" i="2"/>
  <c r="BG61" i="2" s="1"/>
  <c r="P61" i="2"/>
  <c r="BF61" i="2" s="1"/>
  <c r="O61" i="2"/>
  <c r="BE61" i="2" s="1"/>
  <c r="N61" i="2"/>
  <c r="BD61" i="2" s="1"/>
  <c r="M61" i="2"/>
  <c r="BC61" i="2" s="1"/>
  <c r="L61" i="2"/>
  <c r="BB61" i="2" s="1"/>
  <c r="K61" i="2"/>
  <c r="BA61" i="2" s="1"/>
  <c r="J61" i="2"/>
  <c r="AZ61" i="2" s="1"/>
  <c r="I61" i="2"/>
  <c r="AY61" i="2" s="1"/>
  <c r="H61" i="2"/>
  <c r="AX61" i="2" s="1"/>
  <c r="G61" i="2"/>
  <c r="AW61" i="2" s="1"/>
  <c r="F61" i="2"/>
  <c r="AV61" i="2" s="1"/>
  <c r="CL60" i="2"/>
  <c r="EB60" i="2" s="1"/>
  <c r="CK60" i="2"/>
  <c r="EA60" i="2" s="1"/>
  <c r="CJ60" i="2"/>
  <c r="DZ60" i="2" s="1"/>
  <c r="CI60" i="2"/>
  <c r="DY60" i="2" s="1"/>
  <c r="CH60" i="2"/>
  <c r="DX60" i="2" s="1"/>
  <c r="CG60" i="2"/>
  <c r="DW60" i="2" s="1"/>
  <c r="CF60" i="2"/>
  <c r="DV60" i="2" s="1"/>
  <c r="CE60" i="2"/>
  <c r="DU60" i="2" s="1"/>
  <c r="CD60" i="2"/>
  <c r="DT60" i="2" s="1"/>
  <c r="CC60" i="2"/>
  <c r="DS60" i="2" s="1"/>
  <c r="CB60" i="2"/>
  <c r="DR60" i="2" s="1"/>
  <c r="CA60" i="2"/>
  <c r="DQ60" i="2" s="1"/>
  <c r="BZ60" i="2"/>
  <c r="DP60" i="2" s="1"/>
  <c r="BY60" i="2"/>
  <c r="DO60" i="2" s="1"/>
  <c r="BX60" i="2"/>
  <c r="DN60" i="2" s="1"/>
  <c r="BW60" i="2"/>
  <c r="DM60" i="2" s="1"/>
  <c r="BV60" i="2"/>
  <c r="DL60" i="2" s="1"/>
  <c r="BU60" i="2"/>
  <c r="DK60" i="2" s="1"/>
  <c r="BT60" i="2"/>
  <c r="DJ60" i="2" s="1"/>
  <c r="BS60" i="2"/>
  <c r="DI60" i="2" s="1"/>
  <c r="BR60" i="2"/>
  <c r="DH60" i="2" s="1"/>
  <c r="Z60" i="2"/>
  <c r="BP60" i="2" s="1"/>
  <c r="Y60" i="2"/>
  <c r="BO60" i="2" s="1"/>
  <c r="X60" i="2"/>
  <c r="BN60" i="2" s="1"/>
  <c r="W60" i="2"/>
  <c r="BM60" i="2" s="1"/>
  <c r="V60" i="2"/>
  <c r="BL60" i="2" s="1"/>
  <c r="U60" i="2"/>
  <c r="BK60" i="2" s="1"/>
  <c r="T60" i="2"/>
  <c r="BJ60" i="2" s="1"/>
  <c r="S60" i="2"/>
  <c r="BI60" i="2" s="1"/>
  <c r="R60" i="2"/>
  <c r="BH60" i="2" s="1"/>
  <c r="Q60" i="2"/>
  <c r="BG60" i="2" s="1"/>
  <c r="P60" i="2"/>
  <c r="BF60" i="2" s="1"/>
  <c r="O60" i="2"/>
  <c r="BE60" i="2" s="1"/>
  <c r="N60" i="2"/>
  <c r="BD60" i="2" s="1"/>
  <c r="M60" i="2"/>
  <c r="BC60" i="2" s="1"/>
  <c r="L60" i="2"/>
  <c r="BB60" i="2" s="1"/>
  <c r="K60" i="2"/>
  <c r="BA60" i="2" s="1"/>
  <c r="J60" i="2"/>
  <c r="AZ60" i="2" s="1"/>
  <c r="I60" i="2"/>
  <c r="AY60" i="2" s="1"/>
  <c r="H60" i="2"/>
  <c r="AX60" i="2" s="1"/>
  <c r="G60" i="2"/>
  <c r="AW60" i="2" s="1"/>
  <c r="F60" i="2"/>
  <c r="AV60" i="2" s="1"/>
  <c r="BU59" i="2"/>
  <c r="DK59" i="2" s="1"/>
  <c r="BT59" i="2"/>
  <c r="DJ59" i="2" s="1"/>
  <c r="BS59" i="2"/>
  <c r="DI59" i="2" s="1"/>
  <c r="BR59" i="2"/>
  <c r="DH59" i="2" s="1"/>
  <c r="Z59" i="2"/>
  <c r="BP59" i="2" s="1"/>
  <c r="Y59" i="2"/>
  <c r="BO59" i="2" s="1"/>
  <c r="X59" i="2"/>
  <c r="BN59" i="2" s="1"/>
  <c r="W59" i="2"/>
  <c r="BM59" i="2" s="1"/>
  <c r="V59" i="2"/>
  <c r="BL59" i="2" s="1"/>
  <c r="U59" i="2"/>
  <c r="BK59" i="2" s="1"/>
  <c r="T59" i="2"/>
  <c r="BJ59" i="2" s="1"/>
  <c r="S59" i="2"/>
  <c r="BI59" i="2" s="1"/>
  <c r="R59" i="2"/>
  <c r="BH59" i="2" s="1"/>
  <c r="Q59" i="2"/>
  <c r="BG59" i="2" s="1"/>
  <c r="P59" i="2"/>
  <c r="BF59" i="2" s="1"/>
  <c r="O59" i="2"/>
  <c r="BE59" i="2" s="1"/>
  <c r="N59" i="2"/>
  <c r="BD59" i="2" s="1"/>
  <c r="M59" i="2"/>
  <c r="BC59" i="2" s="1"/>
  <c r="L59" i="2"/>
  <c r="BB59" i="2" s="1"/>
  <c r="K59" i="2"/>
  <c r="BA59" i="2" s="1"/>
  <c r="J59" i="2"/>
  <c r="AZ59" i="2" s="1"/>
  <c r="I59" i="2"/>
  <c r="AY59" i="2" s="1"/>
  <c r="H59" i="2"/>
  <c r="AX59" i="2" s="1"/>
  <c r="G59" i="2"/>
  <c r="AW59" i="2" s="1"/>
  <c r="F59" i="2"/>
  <c r="AV59" i="2" s="1"/>
  <c r="BU57" i="2"/>
  <c r="DK57" i="2" s="1"/>
  <c r="BT57" i="2"/>
  <c r="DJ57" i="2" s="1"/>
  <c r="BS57" i="2"/>
  <c r="DI57" i="2" s="1"/>
  <c r="BR57" i="2"/>
  <c r="DH57" i="2" s="1"/>
  <c r="Z57" i="2"/>
  <c r="BP57" i="2" s="1"/>
  <c r="Y57" i="2"/>
  <c r="BO57" i="2" s="1"/>
  <c r="X57" i="2"/>
  <c r="BN57" i="2" s="1"/>
  <c r="W57" i="2"/>
  <c r="BM57" i="2" s="1"/>
  <c r="V57" i="2"/>
  <c r="BL57" i="2" s="1"/>
  <c r="U57" i="2"/>
  <c r="BK57" i="2" s="1"/>
  <c r="T57" i="2"/>
  <c r="BJ57" i="2" s="1"/>
  <c r="S57" i="2"/>
  <c r="BI57" i="2" s="1"/>
  <c r="R57" i="2"/>
  <c r="BH57" i="2" s="1"/>
  <c r="Q57" i="2"/>
  <c r="BG57" i="2" s="1"/>
  <c r="P57" i="2"/>
  <c r="BF57" i="2" s="1"/>
  <c r="O57" i="2"/>
  <c r="BE57" i="2" s="1"/>
  <c r="N57" i="2"/>
  <c r="BD57" i="2" s="1"/>
  <c r="M57" i="2"/>
  <c r="BC57" i="2" s="1"/>
  <c r="L57" i="2"/>
  <c r="BB57" i="2" s="1"/>
  <c r="K57" i="2"/>
  <c r="BA57" i="2" s="1"/>
  <c r="J57" i="2"/>
  <c r="AZ57" i="2" s="1"/>
  <c r="I57" i="2"/>
  <c r="AY57" i="2" s="1"/>
  <c r="H57" i="2"/>
  <c r="AX57" i="2" s="1"/>
  <c r="G57" i="2"/>
  <c r="AW57" i="2" s="1"/>
  <c r="F57" i="2"/>
  <c r="AV57" i="2" s="1"/>
  <c r="BT56" i="2"/>
  <c r="DJ56" i="2" s="1"/>
  <c r="BS56" i="2"/>
  <c r="DI56" i="2" s="1"/>
  <c r="BR56" i="2"/>
  <c r="DH56" i="2" s="1"/>
  <c r="H56" i="2"/>
  <c r="AX56" i="2" s="1"/>
  <c r="G56" i="2"/>
  <c r="AW56" i="2" s="1"/>
  <c r="F56" i="2"/>
  <c r="AV56" i="2" s="1"/>
  <c r="BT55" i="2"/>
  <c r="DJ55" i="2" s="1"/>
  <c r="BS55" i="2"/>
  <c r="DI55" i="2" s="1"/>
  <c r="BR55" i="2"/>
  <c r="DH55" i="2" s="1"/>
  <c r="H55" i="2"/>
  <c r="AX55" i="2" s="1"/>
  <c r="G55" i="2"/>
  <c r="AW55" i="2" s="1"/>
  <c r="F55" i="2"/>
  <c r="AV55" i="2" s="1"/>
  <c r="CL54" i="2"/>
  <c r="EB54" i="2" s="1"/>
  <c r="CK54" i="2"/>
  <c r="EA54" i="2" s="1"/>
  <c r="CJ54" i="2"/>
  <c r="DZ54" i="2" s="1"/>
  <c r="CI54" i="2"/>
  <c r="DY54" i="2" s="1"/>
  <c r="CH54" i="2"/>
  <c r="DX54" i="2" s="1"/>
  <c r="CG54" i="2"/>
  <c r="DW54" i="2" s="1"/>
  <c r="CF54" i="2"/>
  <c r="DV54" i="2" s="1"/>
  <c r="CE54" i="2"/>
  <c r="DU54" i="2" s="1"/>
  <c r="CD54" i="2"/>
  <c r="DT54" i="2" s="1"/>
  <c r="CC54" i="2"/>
  <c r="DS54" i="2" s="1"/>
  <c r="CB54" i="2"/>
  <c r="DR54" i="2" s="1"/>
  <c r="CA54" i="2"/>
  <c r="DQ54" i="2" s="1"/>
  <c r="BZ54" i="2"/>
  <c r="DP54" i="2" s="1"/>
  <c r="BY54" i="2"/>
  <c r="DO54" i="2" s="1"/>
  <c r="BX54" i="2"/>
  <c r="DN54" i="2" s="1"/>
  <c r="BW54" i="2"/>
  <c r="DM54" i="2" s="1"/>
  <c r="BV54" i="2"/>
  <c r="DL54" i="2" s="1"/>
  <c r="BU54" i="2"/>
  <c r="DK54" i="2" s="1"/>
  <c r="BT54" i="2"/>
  <c r="DJ54" i="2" s="1"/>
  <c r="BS54" i="2"/>
  <c r="DI54" i="2" s="1"/>
  <c r="BR54" i="2"/>
  <c r="DH54" i="2" s="1"/>
  <c r="Z54" i="2"/>
  <c r="BP54" i="2" s="1"/>
  <c r="Y54" i="2"/>
  <c r="BO54" i="2" s="1"/>
  <c r="X54" i="2"/>
  <c r="BN54" i="2" s="1"/>
  <c r="W54" i="2"/>
  <c r="BM54" i="2" s="1"/>
  <c r="V54" i="2"/>
  <c r="BL54" i="2" s="1"/>
  <c r="U54" i="2"/>
  <c r="BK54" i="2" s="1"/>
  <c r="T54" i="2"/>
  <c r="BJ54" i="2" s="1"/>
  <c r="S54" i="2"/>
  <c r="BI54" i="2" s="1"/>
  <c r="R54" i="2"/>
  <c r="BH54" i="2" s="1"/>
  <c r="Q54" i="2"/>
  <c r="BG54" i="2" s="1"/>
  <c r="P54" i="2"/>
  <c r="BF54" i="2" s="1"/>
  <c r="O54" i="2"/>
  <c r="BE54" i="2" s="1"/>
  <c r="N54" i="2"/>
  <c r="BD54" i="2" s="1"/>
  <c r="M54" i="2"/>
  <c r="BC54" i="2" s="1"/>
  <c r="L54" i="2"/>
  <c r="BB54" i="2" s="1"/>
  <c r="K54" i="2"/>
  <c r="BA54" i="2" s="1"/>
  <c r="J54" i="2"/>
  <c r="AZ54" i="2" s="1"/>
  <c r="I54" i="2"/>
  <c r="AY54" i="2" s="1"/>
  <c r="H54" i="2"/>
  <c r="AX54" i="2" s="1"/>
  <c r="G54" i="2"/>
  <c r="AW54" i="2" s="1"/>
  <c r="F54" i="2"/>
  <c r="AV54" i="2" s="1"/>
  <c r="BU53" i="2"/>
  <c r="DK53" i="2" s="1"/>
  <c r="BT53" i="2"/>
  <c r="DJ53" i="2" s="1"/>
  <c r="BS53" i="2"/>
  <c r="DI53" i="2" s="1"/>
  <c r="BR53" i="2"/>
  <c r="DH53" i="2" s="1"/>
  <c r="Z53" i="2"/>
  <c r="BP53" i="2" s="1"/>
  <c r="Y53" i="2"/>
  <c r="BO53" i="2" s="1"/>
  <c r="X53" i="2"/>
  <c r="BN53" i="2" s="1"/>
  <c r="W53" i="2"/>
  <c r="BM53" i="2" s="1"/>
  <c r="V53" i="2"/>
  <c r="BL53" i="2" s="1"/>
  <c r="U53" i="2"/>
  <c r="BK53" i="2" s="1"/>
  <c r="T53" i="2"/>
  <c r="BJ53" i="2" s="1"/>
  <c r="S53" i="2"/>
  <c r="BI53" i="2" s="1"/>
  <c r="R53" i="2"/>
  <c r="BH53" i="2" s="1"/>
  <c r="Q53" i="2"/>
  <c r="BG53" i="2" s="1"/>
  <c r="P53" i="2"/>
  <c r="BF53" i="2" s="1"/>
  <c r="O53" i="2"/>
  <c r="BE53" i="2" s="1"/>
  <c r="N53" i="2"/>
  <c r="BD53" i="2" s="1"/>
  <c r="M53" i="2"/>
  <c r="BC53" i="2" s="1"/>
  <c r="L53" i="2"/>
  <c r="BB53" i="2" s="1"/>
  <c r="K53" i="2"/>
  <c r="BA53" i="2" s="1"/>
  <c r="J53" i="2"/>
  <c r="AZ53" i="2" s="1"/>
  <c r="I53" i="2"/>
  <c r="AY53" i="2" s="1"/>
  <c r="H53" i="2"/>
  <c r="AX53" i="2" s="1"/>
  <c r="G53" i="2"/>
  <c r="AW53" i="2" s="1"/>
  <c r="F53" i="2"/>
  <c r="AV53" i="2" s="1"/>
  <c r="BT52" i="2"/>
  <c r="DJ52" i="2" s="1"/>
  <c r="BS52" i="2"/>
  <c r="DI52" i="2" s="1"/>
  <c r="BR52" i="2"/>
  <c r="DH52" i="2" s="1"/>
  <c r="H52" i="2"/>
  <c r="AX52" i="2" s="1"/>
  <c r="G52" i="2"/>
  <c r="AW52" i="2" s="1"/>
  <c r="F52" i="2"/>
  <c r="AV52" i="2" s="1"/>
  <c r="BT51" i="2"/>
  <c r="DJ51" i="2" s="1"/>
  <c r="BS51" i="2"/>
  <c r="DI51" i="2" s="1"/>
  <c r="BR51" i="2"/>
  <c r="DH51" i="2" s="1"/>
  <c r="BT49" i="2"/>
  <c r="DJ49" i="2" s="1"/>
  <c r="BS49" i="2"/>
  <c r="DI49" i="2" s="1"/>
  <c r="BR49" i="2"/>
  <c r="DH49" i="2" s="1"/>
  <c r="H49" i="2"/>
  <c r="AX49" i="2" s="1"/>
  <c r="G49" i="2"/>
  <c r="AW49" i="2" s="1"/>
  <c r="F49" i="2"/>
  <c r="AV49" i="2" s="1"/>
  <c r="CL48" i="2"/>
  <c r="EB48" i="2" s="1"/>
  <c r="CK48" i="2"/>
  <c r="EA48" i="2" s="1"/>
  <c r="CJ48" i="2"/>
  <c r="DZ48" i="2" s="1"/>
  <c r="CI48" i="2"/>
  <c r="DY48" i="2" s="1"/>
  <c r="CH48" i="2"/>
  <c r="DX48" i="2" s="1"/>
  <c r="CG48" i="2"/>
  <c r="DW48" i="2" s="1"/>
  <c r="CF48" i="2"/>
  <c r="DV48" i="2" s="1"/>
  <c r="CE48" i="2"/>
  <c r="DU48" i="2" s="1"/>
  <c r="CD48" i="2"/>
  <c r="DT48" i="2" s="1"/>
  <c r="CC48" i="2"/>
  <c r="DS48" i="2" s="1"/>
  <c r="CB48" i="2"/>
  <c r="DR48" i="2" s="1"/>
  <c r="CA48" i="2"/>
  <c r="DQ48" i="2" s="1"/>
  <c r="BZ48" i="2"/>
  <c r="DP48" i="2" s="1"/>
  <c r="BY48" i="2"/>
  <c r="DO48" i="2" s="1"/>
  <c r="BX48" i="2"/>
  <c r="DN48" i="2" s="1"/>
  <c r="BW48" i="2"/>
  <c r="DM48" i="2" s="1"/>
  <c r="BV48" i="2"/>
  <c r="DL48" i="2" s="1"/>
  <c r="BU48" i="2"/>
  <c r="DK48" i="2" s="1"/>
  <c r="BT48" i="2"/>
  <c r="DJ48" i="2" s="1"/>
  <c r="BS48" i="2"/>
  <c r="DI48" i="2" s="1"/>
  <c r="BR48" i="2"/>
  <c r="DH48" i="2" s="1"/>
  <c r="Z48" i="2"/>
  <c r="BP48" i="2" s="1"/>
  <c r="Y48" i="2"/>
  <c r="BO48" i="2" s="1"/>
  <c r="X48" i="2"/>
  <c r="BN48" i="2" s="1"/>
  <c r="W48" i="2"/>
  <c r="BM48" i="2" s="1"/>
  <c r="V48" i="2"/>
  <c r="BL48" i="2" s="1"/>
  <c r="U48" i="2"/>
  <c r="BK48" i="2" s="1"/>
  <c r="T48" i="2"/>
  <c r="BJ48" i="2" s="1"/>
  <c r="S48" i="2"/>
  <c r="BI48" i="2" s="1"/>
  <c r="R48" i="2"/>
  <c r="BH48" i="2" s="1"/>
  <c r="Q48" i="2"/>
  <c r="BG48" i="2" s="1"/>
  <c r="P48" i="2"/>
  <c r="BF48" i="2" s="1"/>
  <c r="O48" i="2"/>
  <c r="BE48" i="2" s="1"/>
  <c r="N48" i="2"/>
  <c r="BD48" i="2" s="1"/>
  <c r="M48" i="2"/>
  <c r="BC48" i="2" s="1"/>
  <c r="L48" i="2"/>
  <c r="BB48" i="2" s="1"/>
  <c r="K48" i="2"/>
  <c r="BA48" i="2" s="1"/>
  <c r="J48" i="2"/>
  <c r="AZ48" i="2" s="1"/>
  <c r="I48" i="2"/>
  <c r="AY48" i="2" s="1"/>
  <c r="H48" i="2"/>
  <c r="AX48" i="2" s="1"/>
  <c r="G48" i="2"/>
  <c r="AW48" i="2" s="1"/>
  <c r="F48" i="2"/>
  <c r="AV48" i="2" s="1"/>
  <c r="BT47" i="2"/>
  <c r="DJ47" i="2" s="1"/>
  <c r="BS47" i="2"/>
  <c r="DI47" i="2" s="1"/>
  <c r="BR47" i="2"/>
  <c r="DH47" i="2" s="1"/>
  <c r="H47" i="2"/>
  <c r="AX47" i="2" s="1"/>
  <c r="G47" i="2"/>
  <c r="AW47" i="2" s="1"/>
  <c r="F47" i="2"/>
  <c r="AV47" i="2" s="1"/>
  <c r="BT46" i="2"/>
  <c r="DJ46" i="2" s="1"/>
  <c r="BS46" i="2"/>
  <c r="DI46" i="2" s="1"/>
  <c r="BR46" i="2"/>
  <c r="DH46" i="2" s="1"/>
  <c r="H46" i="2"/>
  <c r="AX46" i="2" s="1"/>
  <c r="G46" i="2"/>
  <c r="AW46" i="2" s="1"/>
  <c r="F46" i="2"/>
  <c r="AV46" i="2" s="1"/>
  <c r="CL45" i="2"/>
  <c r="EB45" i="2" s="1"/>
  <c r="CK45" i="2"/>
  <c r="EA45" i="2" s="1"/>
  <c r="CJ45" i="2"/>
  <c r="DZ45" i="2" s="1"/>
  <c r="CI45" i="2"/>
  <c r="DY45" i="2" s="1"/>
  <c r="CH45" i="2"/>
  <c r="DX45" i="2" s="1"/>
  <c r="CG45" i="2"/>
  <c r="DW45" i="2" s="1"/>
  <c r="CF45" i="2"/>
  <c r="DV45" i="2" s="1"/>
  <c r="CE45" i="2"/>
  <c r="DU45" i="2" s="1"/>
  <c r="CD45" i="2"/>
  <c r="DT45" i="2" s="1"/>
  <c r="CC45" i="2"/>
  <c r="DS45" i="2" s="1"/>
  <c r="CB45" i="2"/>
  <c r="DR45" i="2" s="1"/>
  <c r="CA45" i="2"/>
  <c r="DQ45" i="2" s="1"/>
  <c r="BZ45" i="2"/>
  <c r="DP45" i="2" s="1"/>
  <c r="BY45" i="2"/>
  <c r="DO45" i="2" s="1"/>
  <c r="BX45" i="2"/>
  <c r="DN45" i="2" s="1"/>
  <c r="BW45" i="2"/>
  <c r="DM45" i="2" s="1"/>
  <c r="BV45" i="2"/>
  <c r="DL45" i="2" s="1"/>
  <c r="BU45" i="2"/>
  <c r="DK45" i="2" s="1"/>
  <c r="BT45" i="2"/>
  <c r="DJ45" i="2" s="1"/>
  <c r="BS45" i="2"/>
  <c r="DI45" i="2" s="1"/>
  <c r="BR45" i="2"/>
  <c r="DH45" i="2" s="1"/>
  <c r="Z45" i="2"/>
  <c r="BP45" i="2" s="1"/>
  <c r="Y45" i="2"/>
  <c r="BO45" i="2" s="1"/>
  <c r="X45" i="2"/>
  <c r="BN45" i="2" s="1"/>
  <c r="W45" i="2"/>
  <c r="BM45" i="2" s="1"/>
  <c r="V45" i="2"/>
  <c r="BL45" i="2" s="1"/>
  <c r="U45" i="2"/>
  <c r="BK45" i="2" s="1"/>
  <c r="T45" i="2"/>
  <c r="BJ45" i="2" s="1"/>
  <c r="S45" i="2"/>
  <c r="BI45" i="2" s="1"/>
  <c r="R45" i="2"/>
  <c r="BH45" i="2" s="1"/>
  <c r="Q45" i="2"/>
  <c r="BG45" i="2" s="1"/>
  <c r="P45" i="2"/>
  <c r="BF45" i="2" s="1"/>
  <c r="O45" i="2"/>
  <c r="BE45" i="2" s="1"/>
  <c r="N45" i="2"/>
  <c r="BD45" i="2" s="1"/>
  <c r="M45" i="2"/>
  <c r="BC45" i="2" s="1"/>
  <c r="L45" i="2"/>
  <c r="BB45" i="2" s="1"/>
  <c r="K45" i="2"/>
  <c r="BA45" i="2" s="1"/>
  <c r="J45" i="2"/>
  <c r="AZ45" i="2" s="1"/>
  <c r="I45" i="2"/>
  <c r="AY45" i="2" s="1"/>
  <c r="H45" i="2"/>
  <c r="AX45" i="2" s="1"/>
  <c r="G45" i="2"/>
  <c r="AW45" i="2" s="1"/>
  <c r="F45" i="2"/>
  <c r="AV45" i="2" s="1"/>
  <c r="CL44" i="2"/>
  <c r="EB44" i="2" s="1"/>
  <c r="CK44" i="2"/>
  <c r="EA44" i="2" s="1"/>
  <c r="CJ44" i="2"/>
  <c r="DZ44" i="2" s="1"/>
  <c r="CI44" i="2"/>
  <c r="DY44" i="2" s="1"/>
  <c r="CH44" i="2"/>
  <c r="DX44" i="2" s="1"/>
  <c r="CG44" i="2"/>
  <c r="DW44" i="2" s="1"/>
  <c r="CF44" i="2"/>
  <c r="DV44" i="2" s="1"/>
  <c r="CE44" i="2"/>
  <c r="DU44" i="2" s="1"/>
  <c r="CD44" i="2"/>
  <c r="DT44" i="2" s="1"/>
  <c r="CC44" i="2"/>
  <c r="DS44" i="2" s="1"/>
  <c r="CB44" i="2"/>
  <c r="DR44" i="2" s="1"/>
  <c r="CA44" i="2"/>
  <c r="DQ44" i="2" s="1"/>
  <c r="BZ44" i="2"/>
  <c r="DP44" i="2" s="1"/>
  <c r="BY44" i="2"/>
  <c r="DO44" i="2" s="1"/>
  <c r="BX44" i="2"/>
  <c r="DN44" i="2" s="1"/>
  <c r="BW44" i="2"/>
  <c r="DM44" i="2" s="1"/>
  <c r="BV44" i="2"/>
  <c r="DL44" i="2" s="1"/>
  <c r="BU44" i="2"/>
  <c r="DK44" i="2" s="1"/>
  <c r="BT44" i="2"/>
  <c r="DJ44" i="2" s="1"/>
  <c r="BS44" i="2"/>
  <c r="DI44" i="2" s="1"/>
  <c r="BR44" i="2"/>
  <c r="DH44" i="2" s="1"/>
  <c r="Z44" i="2"/>
  <c r="BP44" i="2" s="1"/>
  <c r="Y44" i="2"/>
  <c r="BO44" i="2" s="1"/>
  <c r="X44" i="2"/>
  <c r="BN44" i="2" s="1"/>
  <c r="W44" i="2"/>
  <c r="BM44" i="2" s="1"/>
  <c r="V44" i="2"/>
  <c r="BL44" i="2" s="1"/>
  <c r="U44" i="2"/>
  <c r="BK44" i="2" s="1"/>
  <c r="T44" i="2"/>
  <c r="BJ44" i="2" s="1"/>
  <c r="S44" i="2"/>
  <c r="BI44" i="2" s="1"/>
  <c r="R44" i="2"/>
  <c r="BH44" i="2" s="1"/>
  <c r="Q44" i="2"/>
  <c r="BG44" i="2" s="1"/>
  <c r="P44" i="2"/>
  <c r="BF44" i="2" s="1"/>
  <c r="O44" i="2"/>
  <c r="BE44" i="2" s="1"/>
  <c r="N44" i="2"/>
  <c r="BD44" i="2" s="1"/>
  <c r="M44" i="2"/>
  <c r="BC44" i="2" s="1"/>
  <c r="L44" i="2"/>
  <c r="BB44" i="2" s="1"/>
  <c r="K44" i="2"/>
  <c r="BA44" i="2" s="1"/>
  <c r="J44" i="2"/>
  <c r="AZ44" i="2" s="1"/>
  <c r="I44" i="2"/>
  <c r="AY44" i="2" s="1"/>
  <c r="H44" i="2"/>
  <c r="AX44" i="2" s="1"/>
  <c r="G44" i="2"/>
  <c r="AW44" i="2" s="1"/>
  <c r="F44" i="2"/>
  <c r="AV44" i="2" s="1"/>
  <c r="BT41" i="2"/>
  <c r="DJ41" i="2" s="1"/>
  <c r="BS41" i="2"/>
  <c r="DI41" i="2" s="1"/>
  <c r="BR41" i="2"/>
  <c r="DH41" i="2" s="1"/>
  <c r="CL40" i="2"/>
  <c r="EB40" i="2" s="1"/>
  <c r="CK40" i="2"/>
  <c r="EA40" i="2" s="1"/>
  <c r="CJ40" i="2"/>
  <c r="DZ40" i="2" s="1"/>
  <c r="CI40" i="2"/>
  <c r="DY40" i="2" s="1"/>
  <c r="CH40" i="2"/>
  <c r="DX40" i="2" s="1"/>
  <c r="CG40" i="2"/>
  <c r="DW40" i="2" s="1"/>
  <c r="CF40" i="2"/>
  <c r="DV40" i="2" s="1"/>
  <c r="CE40" i="2"/>
  <c r="DU40" i="2" s="1"/>
  <c r="CD40" i="2"/>
  <c r="DT40" i="2" s="1"/>
  <c r="CC40" i="2"/>
  <c r="DS40" i="2" s="1"/>
  <c r="CB40" i="2"/>
  <c r="DR40" i="2" s="1"/>
  <c r="CA40" i="2"/>
  <c r="DQ40" i="2" s="1"/>
  <c r="BZ40" i="2"/>
  <c r="DP40" i="2" s="1"/>
  <c r="BY40" i="2"/>
  <c r="DO40" i="2" s="1"/>
  <c r="BX40" i="2"/>
  <c r="DN40" i="2" s="1"/>
  <c r="BW40" i="2"/>
  <c r="DM40" i="2" s="1"/>
  <c r="BV40" i="2"/>
  <c r="DL40" i="2" s="1"/>
  <c r="BU40" i="2"/>
  <c r="DK40" i="2" s="1"/>
  <c r="BT40" i="2"/>
  <c r="DJ40" i="2" s="1"/>
  <c r="BS40" i="2"/>
  <c r="DI40" i="2" s="1"/>
  <c r="BR40" i="2"/>
  <c r="DH40" i="2" s="1"/>
  <c r="Z40" i="2"/>
  <c r="BP40" i="2" s="1"/>
  <c r="Y40" i="2"/>
  <c r="BO40" i="2" s="1"/>
  <c r="X40" i="2"/>
  <c r="BN40" i="2" s="1"/>
  <c r="W40" i="2"/>
  <c r="BM40" i="2" s="1"/>
  <c r="V40" i="2"/>
  <c r="BL40" i="2" s="1"/>
  <c r="U40" i="2"/>
  <c r="BK40" i="2" s="1"/>
  <c r="T40" i="2"/>
  <c r="BJ40" i="2" s="1"/>
  <c r="S40" i="2"/>
  <c r="BI40" i="2" s="1"/>
  <c r="R40" i="2"/>
  <c r="BH40" i="2" s="1"/>
  <c r="Q40" i="2"/>
  <c r="BG40" i="2" s="1"/>
  <c r="P40" i="2"/>
  <c r="BF40" i="2" s="1"/>
  <c r="O40" i="2"/>
  <c r="BE40" i="2" s="1"/>
  <c r="N40" i="2"/>
  <c r="BD40" i="2" s="1"/>
  <c r="M40" i="2"/>
  <c r="BC40" i="2" s="1"/>
  <c r="L40" i="2"/>
  <c r="BB40" i="2" s="1"/>
  <c r="K40" i="2"/>
  <c r="BA40" i="2" s="1"/>
  <c r="J40" i="2"/>
  <c r="AZ40" i="2" s="1"/>
  <c r="I40" i="2"/>
  <c r="AY40" i="2" s="1"/>
  <c r="H40" i="2"/>
  <c r="AX40" i="2" s="1"/>
  <c r="G40" i="2"/>
  <c r="AW40" i="2" s="1"/>
  <c r="F40" i="2"/>
  <c r="AV40" i="2" s="1"/>
  <c r="CL39" i="2"/>
  <c r="EB39" i="2" s="1"/>
  <c r="CK39" i="2"/>
  <c r="EA39" i="2" s="1"/>
  <c r="CJ39" i="2"/>
  <c r="DZ39" i="2" s="1"/>
  <c r="CI39" i="2"/>
  <c r="DY39" i="2" s="1"/>
  <c r="CH39" i="2"/>
  <c r="DX39" i="2" s="1"/>
  <c r="CG39" i="2"/>
  <c r="DW39" i="2" s="1"/>
  <c r="CF39" i="2"/>
  <c r="DV39" i="2" s="1"/>
  <c r="CE39" i="2"/>
  <c r="DU39" i="2" s="1"/>
  <c r="CD39" i="2"/>
  <c r="DT39" i="2" s="1"/>
  <c r="CC39" i="2"/>
  <c r="DS39" i="2" s="1"/>
  <c r="CB39" i="2"/>
  <c r="DR39" i="2" s="1"/>
  <c r="CA39" i="2"/>
  <c r="DQ39" i="2" s="1"/>
  <c r="BZ39" i="2"/>
  <c r="DP39" i="2" s="1"/>
  <c r="BY39" i="2"/>
  <c r="DO39" i="2" s="1"/>
  <c r="BX39" i="2"/>
  <c r="DN39" i="2" s="1"/>
  <c r="BW39" i="2"/>
  <c r="DM39" i="2" s="1"/>
  <c r="BV39" i="2"/>
  <c r="DL39" i="2" s="1"/>
  <c r="BU39" i="2"/>
  <c r="DK39" i="2" s="1"/>
  <c r="BT39" i="2"/>
  <c r="DJ39" i="2" s="1"/>
  <c r="BS39" i="2"/>
  <c r="DI39" i="2" s="1"/>
  <c r="BR39" i="2"/>
  <c r="DH39" i="2" s="1"/>
  <c r="Z39" i="2"/>
  <c r="BP39" i="2" s="1"/>
  <c r="Y39" i="2"/>
  <c r="BO39" i="2" s="1"/>
  <c r="X39" i="2"/>
  <c r="BN39" i="2" s="1"/>
  <c r="W39" i="2"/>
  <c r="BM39" i="2" s="1"/>
  <c r="V39" i="2"/>
  <c r="BL39" i="2" s="1"/>
  <c r="U39" i="2"/>
  <c r="BK39" i="2" s="1"/>
  <c r="T39" i="2"/>
  <c r="BJ39" i="2" s="1"/>
  <c r="S39" i="2"/>
  <c r="BI39" i="2" s="1"/>
  <c r="R39" i="2"/>
  <c r="BH39" i="2" s="1"/>
  <c r="Q39" i="2"/>
  <c r="BG39" i="2" s="1"/>
  <c r="P39" i="2"/>
  <c r="BF39" i="2" s="1"/>
  <c r="O39" i="2"/>
  <c r="BE39" i="2" s="1"/>
  <c r="N39" i="2"/>
  <c r="BD39" i="2" s="1"/>
  <c r="M39" i="2"/>
  <c r="BC39" i="2" s="1"/>
  <c r="L39" i="2"/>
  <c r="BB39" i="2" s="1"/>
  <c r="K39" i="2"/>
  <c r="BA39" i="2" s="1"/>
  <c r="J39" i="2"/>
  <c r="AZ39" i="2" s="1"/>
  <c r="I39" i="2"/>
  <c r="AY39" i="2" s="1"/>
  <c r="H39" i="2"/>
  <c r="AX39" i="2" s="1"/>
  <c r="G39" i="2"/>
  <c r="AW39" i="2" s="1"/>
  <c r="F39" i="2"/>
  <c r="AV39" i="2" s="1"/>
  <c r="BU36" i="2"/>
  <c r="DK36" i="2" s="1"/>
  <c r="BT36" i="2"/>
  <c r="DJ36" i="2" s="1"/>
  <c r="BS36" i="2"/>
  <c r="DI36" i="2" s="1"/>
  <c r="BR36" i="2"/>
  <c r="DH36" i="2" s="1"/>
  <c r="Z36" i="2"/>
  <c r="BP36" i="2" s="1"/>
  <c r="Y36" i="2"/>
  <c r="BO36" i="2" s="1"/>
  <c r="X36" i="2"/>
  <c r="BN36" i="2" s="1"/>
  <c r="W36" i="2"/>
  <c r="BM36" i="2" s="1"/>
  <c r="V36" i="2"/>
  <c r="BL36" i="2" s="1"/>
  <c r="U36" i="2"/>
  <c r="BK36" i="2" s="1"/>
  <c r="T36" i="2"/>
  <c r="BJ36" i="2" s="1"/>
  <c r="S36" i="2"/>
  <c r="BI36" i="2" s="1"/>
  <c r="R36" i="2"/>
  <c r="BH36" i="2" s="1"/>
  <c r="Q36" i="2"/>
  <c r="BG36" i="2" s="1"/>
  <c r="P36" i="2"/>
  <c r="BF36" i="2" s="1"/>
  <c r="O36" i="2"/>
  <c r="BE36" i="2" s="1"/>
  <c r="N36" i="2"/>
  <c r="BD36" i="2" s="1"/>
  <c r="M36" i="2"/>
  <c r="BC36" i="2" s="1"/>
  <c r="L36" i="2"/>
  <c r="BB36" i="2" s="1"/>
  <c r="K36" i="2"/>
  <c r="BA36" i="2" s="1"/>
  <c r="J36" i="2"/>
  <c r="AZ36" i="2" s="1"/>
  <c r="I36" i="2"/>
  <c r="AY36" i="2" s="1"/>
  <c r="H36" i="2"/>
  <c r="AX36" i="2" s="1"/>
  <c r="G36" i="2"/>
  <c r="AW36" i="2" s="1"/>
  <c r="F36" i="2"/>
  <c r="AV36" i="2" s="1"/>
  <c r="BT35" i="2"/>
  <c r="DJ35" i="2" s="1"/>
  <c r="BS35" i="2"/>
  <c r="DI35" i="2" s="1"/>
  <c r="BR35" i="2"/>
  <c r="DH35" i="2" s="1"/>
  <c r="Z35" i="2"/>
  <c r="BP35" i="2" s="1"/>
  <c r="Y35" i="2"/>
  <c r="BO35" i="2" s="1"/>
  <c r="X35" i="2"/>
  <c r="BN35" i="2" s="1"/>
  <c r="W35" i="2"/>
  <c r="BM35" i="2" s="1"/>
  <c r="V35" i="2"/>
  <c r="BL35" i="2" s="1"/>
  <c r="U35" i="2"/>
  <c r="BK35" i="2" s="1"/>
  <c r="T35" i="2"/>
  <c r="BJ35" i="2" s="1"/>
  <c r="S35" i="2"/>
  <c r="BI35" i="2" s="1"/>
  <c r="R35" i="2"/>
  <c r="BH35" i="2" s="1"/>
  <c r="Q35" i="2"/>
  <c r="BG35" i="2" s="1"/>
  <c r="P35" i="2"/>
  <c r="BF35" i="2" s="1"/>
  <c r="O35" i="2"/>
  <c r="BE35" i="2" s="1"/>
  <c r="N35" i="2"/>
  <c r="BD35" i="2" s="1"/>
  <c r="M35" i="2"/>
  <c r="BC35" i="2" s="1"/>
  <c r="L35" i="2"/>
  <c r="BB35" i="2" s="1"/>
  <c r="K35" i="2"/>
  <c r="BA35" i="2" s="1"/>
  <c r="J35" i="2"/>
  <c r="AZ35" i="2" s="1"/>
  <c r="I35" i="2"/>
  <c r="AY35" i="2" s="1"/>
  <c r="H35" i="2"/>
  <c r="AX35" i="2" s="1"/>
  <c r="G35" i="2"/>
  <c r="AW35" i="2" s="1"/>
  <c r="F35" i="2"/>
  <c r="AV35" i="2" s="1"/>
  <c r="BU34" i="2"/>
  <c r="DK34" i="2" s="1"/>
  <c r="BT34" i="2"/>
  <c r="DJ34" i="2" s="1"/>
  <c r="BS34" i="2"/>
  <c r="DI34" i="2" s="1"/>
  <c r="BR34" i="2"/>
  <c r="DH34" i="2" s="1"/>
  <c r="Z34" i="2"/>
  <c r="BP34" i="2" s="1"/>
  <c r="Y34" i="2"/>
  <c r="BO34" i="2" s="1"/>
  <c r="X34" i="2"/>
  <c r="BN34" i="2" s="1"/>
  <c r="W34" i="2"/>
  <c r="BM34" i="2" s="1"/>
  <c r="V34" i="2"/>
  <c r="BL34" i="2" s="1"/>
  <c r="U34" i="2"/>
  <c r="BK34" i="2" s="1"/>
  <c r="T34" i="2"/>
  <c r="BJ34" i="2" s="1"/>
  <c r="S34" i="2"/>
  <c r="BI34" i="2" s="1"/>
  <c r="R34" i="2"/>
  <c r="BH34" i="2" s="1"/>
  <c r="Q34" i="2"/>
  <c r="BG34" i="2" s="1"/>
  <c r="P34" i="2"/>
  <c r="BF34" i="2" s="1"/>
  <c r="O34" i="2"/>
  <c r="BE34" i="2" s="1"/>
  <c r="N34" i="2"/>
  <c r="BD34" i="2" s="1"/>
  <c r="M34" i="2"/>
  <c r="BC34" i="2" s="1"/>
  <c r="L34" i="2"/>
  <c r="BB34" i="2" s="1"/>
  <c r="K34" i="2"/>
  <c r="BA34" i="2" s="1"/>
  <c r="J34" i="2"/>
  <c r="AZ34" i="2" s="1"/>
  <c r="I34" i="2"/>
  <c r="AY34" i="2" s="1"/>
  <c r="H34" i="2"/>
  <c r="AX34" i="2" s="1"/>
  <c r="G34" i="2"/>
  <c r="AW34" i="2" s="1"/>
  <c r="F34" i="2"/>
  <c r="AV34" i="2" s="1"/>
  <c r="CL32" i="2"/>
  <c r="EB32" i="2" s="1"/>
  <c r="CK32" i="2"/>
  <c r="EA32" i="2" s="1"/>
  <c r="CJ32" i="2"/>
  <c r="DZ32" i="2" s="1"/>
  <c r="CI32" i="2"/>
  <c r="DY32" i="2" s="1"/>
  <c r="CH32" i="2"/>
  <c r="DX32" i="2" s="1"/>
  <c r="CG32" i="2"/>
  <c r="DW32" i="2" s="1"/>
  <c r="BV32" i="2"/>
  <c r="DL32" i="2" s="1"/>
  <c r="BU32" i="2"/>
  <c r="DK32" i="2" s="1"/>
  <c r="BT32" i="2"/>
  <c r="DJ32" i="2" s="1"/>
  <c r="BS32" i="2"/>
  <c r="DI32" i="2" s="1"/>
  <c r="BR32" i="2"/>
  <c r="DH32" i="2" s="1"/>
  <c r="Z32" i="2"/>
  <c r="BP32" i="2" s="1"/>
  <c r="Y32" i="2"/>
  <c r="BO32" i="2" s="1"/>
  <c r="X32" i="2"/>
  <c r="BN32" i="2" s="1"/>
  <c r="W32" i="2"/>
  <c r="BM32" i="2" s="1"/>
  <c r="V32" i="2"/>
  <c r="BL32" i="2" s="1"/>
  <c r="U32" i="2"/>
  <c r="BK32" i="2" s="1"/>
  <c r="T32" i="2"/>
  <c r="BJ32" i="2" s="1"/>
  <c r="S32" i="2"/>
  <c r="BI32" i="2" s="1"/>
  <c r="R32" i="2"/>
  <c r="BH32" i="2" s="1"/>
  <c r="Q32" i="2"/>
  <c r="BG32" i="2" s="1"/>
  <c r="P32" i="2"/>
  <c r="BF32" i="2" s="1"/>
  <c r="O32" i="2"/>
  <c r="BE32" i="2" s="1"/>
  <c r="N32" i="2"/>
  <c r="BD32" i="2" s="1"/>
  <c r="M32" i="2"/>
  <c r="BC32" i="2" s="1"/>
  <c r="L32" i="2"/>
  <c r="BB32" i="2" s="1"/>
  <c r="K32" i="2"/>
  <c r="BA32" i="2" s="1"/>
  <c r="J32" i="2"/>
  <c r="AZ32" i="2" s="1"/>
  <c r="I32" i="2"/>
  <c r="AY32" i="2" s="1"/>
  <c r="H32" i="2"/>
  <c r="AX32" i="2" s="1"/>
  <c r="G32" i="2"/>
  <c r="AW32" i="2" s="1"/>
  <c r="F32" i="2"/>
  <c r="AV32" i="2" s="1"/>
  <c r="BU31" i="2"/>
  <c r="DK31" i="2" s="1"/>
  <c r="BT31" i="2"/>
  <c r="DJ31" i="2" s="1"/>
  <c r="BS31" i="2"/>
  <c r="DI31" i="2" s="1"/>
  <c r="BR31" i="2"/>
  <c r="DH31" i="2" s="1"/>
  <c r="Z31" i="2"/>
  <c r="BP31" i="2" s="1"/>
  <c r="Y31" i="2"/>
  <c r="BO31" i="2" s="1"/>
  <c r="X31" i="2"/>
  <c r="BN31" i="2" s="1"/>
  <c r="W31" i="2"/>
  <c r="BM31" i="2" s="1"/>
  <c r="V31" i="2"/>
  <c r="BL31" i="2" s="1"/>
  <c r="U31" i="2"/>
  <c r="BK31" i="2" s="1"/>
  <c r="T31" i="2"/>
  <c r="BJ31" i="2" s="1"/>
  <c r="S31" i="2"/>
  <c r="BI31" i="2" s="1"/>
  <c r="R31" i="2"/>
  <c r="BH31" i="2" s="1"/>
  <c r="Q31" i="2"/>
  <c r="BG31" i="2" s="1"/>
  <c r="P31" i="2"/>
  <c r="BF31" i="2" s="1"/>
  <c r="O31" i="2"/>
  <c r="BE31" i="2" s="1"/>
  <c r="N31" i="2"/>
  <c r="BD31" i="2" s="1"/>
  <c r="M31" i="2"/>
  <c r="BC31" i="2" s="1"/>
  <c r="L31" i="2"/>
  <c r="BB31" i="2" s="1"/>
  <c r="K31" i="2"/>
  <c r="BA31" i="2" s="1"/>
  <c r="J31" i="2"/>
  <c r="AZ31" i="2" s="1"/>
  <c r="I31" i="2"/>
  <c r="AY31" i="2" s="1"/>
  <c r="H31" i="2"/>
  <c r="AX31" i="2" s="1"/>
  <c r="G31" i="2"/>
  <c r="AW31" i="2" s="1"/>
  <c r="F31" i="2"/>
  <c r="AV31" i="2" s="1"/>
  <c r="CL30" i="2"/>
  <c r="EB30" i="2" s="1"/>
  <c r="CK30" i="2"/>
  <c r="EA30" i="2" s="1"/>
  <c r="CJ30" i="2"/>
  <c r="DZ30" i="2" s="1"/>
  <c r="CI30" i="2"/>
  <c r="DY30" i="2" s="1"/>
  <c r="CH30" i="2"/>
  <c r="DX30" i="2" s="1"/>
  <c r="CG30" i="2"/>
  <c r="DW30" i="2" s="1"/>
  <c r="CF30" i="2"/>
  <c r="DV30" i="2" s="1"/>
  <c r="CE30" i="2"/>
  <c r="DU30" i="2" s="1"/>
  <c r="CD30" i="2"/>
  <c r="DT30" i="2" s="1"/>
  <c r="CC30" i="2"/>
  <c r="DS30" i="2" s="1"/>
  <c r="CB30" i="2"/>
  <c r="DR30" i="2" s="1"/>
  <c r="CA30" i="2"/>
  <c r="DQ30" i="2" s="1"/>
  <c r="BZ30" i="2"/>
  <c r="DP30" i="2" s="1"/>
  <c r="BY30" i="2"/>
  <c r="DO30" i="2" s="1"/>
  <c r="BX30" i="2"/>
  <c r="DN30" i="2" s="1"/>
  <c r="BW30" i="2"/>
  <c r="DM30" i="2" s="1"/>
  <c r="BV30" i="2"/>
  <c r="DL30" i="2" s="1"/>
  <c r="BU30" i="2"/>
  <c r="DK30" i="2" s="1"/>
  <c r="BT30" i="2"/>
  <c r="DJ30" i="2" s="1"/>
  <c r="BS30" i="2"/>
  <c r="DI30" i="2" s="1"/>
  <c r="BR30" i="2"/>
  <c r="DH30" i="2" s="1"/>
  <c r="Z30" i="2"/>
  <c r="BP30" i="2" s="1"/>
  <c r="Y30" i="2"/>
  <c r="BO30" i="2" s="1"/>
  <c r="X30" i="2"/>
  <c r="BN30" i="2" s="1"/>
  <c r="W30" i="2"/>
  <c r="BM30" i="2" s="1"/>
  <c r="V30" i="2"/>
  <c r="BL30" i="2" s="1"/>
  <c r="U30" i="2"/>
  <c r="BK30" i="2" s="1"/>
  <c r="T30" i="2"/>
  <c r="BJ30" i="2" s="1"/>
  <c r="S30" i="2"/>
  <c r="BI30" i="2" s="1"/>
  <c r="R30" i="2"/>
  <c r="BH30" i="2" s="1"/>
  <c r="Q30" i="2"/>
  <c r="BG30" i="2" s="1"/>
  <c r="P30" i="2"/>
  <c r="BF30" i="2" s="1"/>
  <c r="O30" i="2"/>
  <c r="BE30" i="2" s="1"/>
  <c r="N30" i="2"/>
  <c r="BD30" i="2" s="1"/>
  <c r="M30" i="2"/>
  <c r="BC30" i="2" s="1"/>
  <c r="L30" i="2"/>
  <c r="BB30" i="2" s="1"/>
  <c r="K30" i="2"/>
  <c r="BA30" i="2" s="1"/>
  <c r="J30" i="2"/>
  <c r="AZ30" i="2" s="1"/>
  <c r="I30" i="2"/>
  <c r="AY30" i="2" s="1"/>
  <c r="H30" i="2"/>
  <c r="AX30" i="2" s="1"/>
  <c r="G30" i="2"/>
  <c r="AW30" i="2" s="1"/>
  <c r="F30" i="2"/>
  <c r="AV30" i="2" s="1"/>
  <c r="CL29" i="2"/>
  <c r="EB29" i="2" s="1"/>
  <c r="CK29" i="2"/>
  <c r="EA29" i="2" s="1"/>
  <c r="CJ29" i="2"/>
  <c r="DZ29" i="2" s="1"/>
  <c r="CI29" i="2"/>
  <c r="DY29" i="2" s="1"/>
  <c r="CH29" i="2"/>
  <c r="DX29" i="2" s="1"/>
  <c r="CG29" i="2"/>
  <c r="DW29" i="2" s="1"/>
  <c r="CF29" i="2"/>
  <c r="DV29" i="2" s="1"/>
  <c r="CE29" i="2"/>
  <c r="DU29" i="2" s="1"/>
  <c r="CD29" i="2"/>
  <c r="DT29" i="2" s="1"/>
  <c r="CC29" i="2"/>
  <c r="DS29" i="2" s="1"/>
  <c r="CB29" i="2"/>
  <c r="DR29" i="2" s="1"/>
  <c r="CA29" i="2"/>
  <c r="DQ29" i="2" s="1"/>
  <c r="BZ29" i="2"/>
  <c r="DP29" i="2" s="1"/>
  <c r="BY29" i="2"/>
  <c r="DO29" i="2" s="1"/>
  <c r="BX29" i="2"/>
  <c r="DN29" i="2" s="1"/>
  <c r="BW29" i="2"/>
  <c r="DM29" i="2" s="1"/>
  <c r="BV29" i="2"/>
  <c r="DL29" i="2" s="1"/>
  <c r="BU29" i="2"/>
  <c r="DK29" i="2" s="1"/>
  <c r="BT29" i="2"/>
  <c r="DJ29" i="2" s="1"/>
  <c r="BS29" i="2"/>
  <c r="DI29" i="2" s="1"/>
  <c r="BR29" i="2"/>
  <c r="DH29" i="2" s="1"/>
  <c r="Z29" i="2"/>
  <c r="BP29" i="2" s="1"/>
  <c r="Y29" i="2"/>
  <c r="BO29" i="2" s="1"/>
  <c r="X29" i="2"/>
  <c r="BN29" i="2" s="1"/>
  <c r="W29" i="2"/>
  <c r="BM29" i="2" s="1"/>
  <c r="V29" i="2"/>
  <c r="BL29" i="2" s="1"/>
  <c r="U29" i="2"/>
  <c r="BK29" i="2" s="1"/>
  <c r="T29" i="2"/>
  <c r="BJ29" i="2" s="1"/>
  <c r="S29" i="2"/>
  <c r="BI29" i="2" s="1"/>
  <c r="R29" i="2"/>
  <c r="BH29" i="2" s="1"/>
  <c r="Q29" i="2"/>
  <c r="BG29" i="2" s="1"/>
  <c r="P29" i="2"/>
  <c r="BF29" i="2" s="1"/>
  <c r="O29" i="2"/>
  <c r="BE29" i="2" s="1"/>
  <c r="N29" i="2"/>
  <c r="BD29" i="2" s="1"/>
  <c r="M29" i="2"/>
  <c r="BC29" i="2" s="1"/>
  <c r="L29" i="2"/>
  <c r="BB29" i="2" s="1"/>
  <c r="K29" i="2"/>
  <c r="BA29" i="2" s="1"/>
  <c r="J29" i="2"/>
  <c r="AZ29" i="2" s="1"/>
  <c r="I29" i="2"/>
  <c r="AY29" i="2" s="1"/>
  <c r="H29" i="2"/>
  <c r="AX29" i="2" s="1"/>
  <c r="G29" i="2"/>
  <c r="AW29" i="2" s="1"/>
  <c r="F29" i="2"/>
  <c r="AV29" i="2" s="1"/>
  <c r="BU28" i="2"/>
  <c r="DK28" i="2" s="1"/>
  <c r="BT28" i="2"/>
  <c r="DJ28" i="2" s="1"/>
  <c r="BS28" i="2"/>
  <c r="DI28" i="2" s="1"/>
  <c r="BR28" i="2"/>
  <c r="DH28" i="2" s="1"/>
  <c r="Z28" i="2"/>
  <c r="BP28" i="2" s="1"/>
  <c r="Y28" i="2"/>
  <c r="BO28" i="2" s="1"/>
  <c r="X28" i="2"/>
  <c r="BN28" i="2" s="1"/>
  <c r="W28" i="2"/>
  <c r="BM28" i="2" s="1"/>
  <c r="V28" i="2"/>
  <c r="BL28" i="2" s="1"/>
  <c r="U28" i="2"/>
  <c r="BK28" i="2" s="1"/>
  <c r="T28" i="2"/>
  <c r="BJ28" i="2" s="1"/>
  <c r="S28" i="2"/>
  <c r="BI28" i="2" s="1"/>
  <c r="R28" i="2"/>
  <c r="BH28" i="2" s="1"/>
  <c r="Q28" i="2"/>
  <c r="BG28" i="2" s="1"/>
  <c r="P28" i="2"/>
  <c r="BF28" i="2" s="1"/>
  <c r="O28" i="2"/>
  <c r="BE28" i="2" s="1"/>
  <c r="N28" i="2"/>
  <c r="BD28" i="2" s="1"/>
  <c r="M28" i="2"/>
  <c r="BC28" i="2" s="1"/>
  <c r="L28" i="2"/>
  <c r="BB28" i="2" s="1"/>
  <c r="K28" i="2"/>
  <c r="BA28" i="2" s="1"/>
  <c r="J28" i="2"/>
  <c r="AZ28" i="2" s="1"/>
  <c r="I28" i="2"/>
  <c r="AY28" i="2" s="1"/>
  <c r="H28" i="2"/>
  <c r="AX28" i="2" s="1"/>
  <c r="G28" i="2"/>
  <c r="AW28" i="2" s="1"/>
  <c r="F28" i="2"/>
  <c r="AV28" i="2" s="1"/>
  <c r="CL27" i="2"/>
  <c r="EB27" i="2" s="1"/>
  <c r="CK27" i="2"/>
  <c r="EA27" i="2" s="1"/>
  <c r="CJ27" i="2"/>
  <c r="DZ27" i="2" s="1"/>
  <c r="CI27" i="2"/>
  <c r="DY27" i="2" s="1"/>
  <c r="CH27" i="2"/>
  <c r="DX27" i="2" s="1"/>
  <c r="CG27" i="2"/>
  <c r="DW27" i="2" s="1"/>
  <c r="CF27" i="2"/>
  <c r="DV27" i="2" s="1"/>
  <c r="CE27" i="2"/>
  <c r="DU27" i="2" s="1"/>
  <c r="BU27" i="2"/>
  <c r="DK27" i="2" s="1"/>
  <c r="BT27" i="2"/>
  <c r="DJ27" i="2" s="1"/>
  <c r="BS27" i="2"/>
  <c r="DI27" i="2" s="1"/>
  <c r="BR27" i="2"/>
  <c r="DH27" i="2" s="1"/>
  <c r="Z27" i="2"/>
  <c r="BP27" i="2" s="1"/>
  <c r="Y27" i="2"/>
  <c r="BO27" i="2" s="1"/>
  <c r="X27" i="2"/>
  <c r="BN27" i="2" s="1"/>
  <c r="W27" i="2"/>
  <c r="BM27" i="2" s="1"/>
  <c r="V27" i="2"/>
  <c r="BL27" i="2" s="1"/>
  <c r="U27" i="2"/>
  <c r="BK27" i="2" s="1"/>
  <c r="T27" i="2"/>
  <c r="BJ27" i="2" s="1"/>
  <c r="S27" i="2"/>
  <c r="BI27" i="2" s="1"/>
  <c r="R27" i="2"/>
  <c r="BH27" i="2" s="1"/>
  <c r="Q27" i="2"/>
  <c r="BG27" i="2" s="1"/>
  <c r="P27" i="2"/>
  <c r="BF27" i="2" s="1"/>
  <c r="O27" i="2"/>
  <c r="BE27" i="2" s="1"/>
  <c r="N27" i="2"/>
  <c r="BD27" i="2" s="1"/>
  <c r="M27" i="2"/>
  <c r="BC27" i="2" s="1"/>
  <c r="L27" i="2"/>
  <c r="BB27" i="2" s="1"/>
  <c r="K27" i="2"/>
  <c r="BA27" i="2" s="1"/>
  <c r="J27" i="2"/>
  <c r="AZ27" i="2" s="1"/>
  <c r="I27" i="2"/>
  <c r="AY27" i="2" s="1"/>
  <c r="H27" i="2"/>
  <c r="AX27" i="2" s="1"/>
  <c r="G27" i="2"/>
  <c r="AW27" i="2" s="1"/>
  <c r="F27" i="2"/>
  <c r="AV27" i="2" s="1"/>
  <c r="CL26" i="2"/>
  <c r="EB26" i="2" s="1"/>
  <c r="CK26" i="2"/>
  <c r="EA26" i="2" s="1"/>
  <c r="CJ26" i="2"/>
  <c r="DZ26" i="2" s="1"/>
  <c r="CI26" i="2"/>
  <c r="DY26" i="2" s="1"/>
  <c r="CH26" i="2"/>
  <c r="DX26" i="2" s="1"/>
  <c r="CG26" i="2"/>
  <c r="DW26" i="2" s="1"/>
  <c r="CF26" i="2"/>
  <c r="DV26" i="2" s="1"/>
  <c r="CE26" i="2"/>
  <c r="DU26" i="2" s="1"/>
  <c r="BV26" i="2"/>
  <c r="DL26" i="2" s="1"/>
  <c r="BU26" i="2"/>
  <c r="DK26" i="2" s="1"/>
  <c r="BT26" i="2"/>
  <c r="DJ26" i="2" s="1"/>
  <c r="BS26" i="2"/>
  <c r="DI26" i="2" s="1"/>
  <c r="BR26" i="2"/>
  <c r="DH26" i="2" s="1"/>
  <c r="Z26" i="2"/>
  <c r="BP26" i="2" s="1"/>
  <c r="Y26" i="2"/>
  <c r="BO26" i="2" s="1"/>
  <c r="X26" i="2"/>
  <c r="BN26" i="2" s="1"/>
  <c r="W26" i="2"/>
  <c r="BM26" i="2" s="1"/>
  <c r="V26" i="2"/>
  <c r="BL26" i="2" s="1"/>
  <c r="U26" i="2"/>
  <c r="BK26" i="2" s="1"/>
  <c r="T26" i="2"/>
  <c r="BJ26" i="2" s="1"/>
  <c r="S26" i="2"/>
  <c r="BI26" i="2" s="1"/>
  <c r="R26" i="2"/>
  <c r="BH26" i="2" s="1"/>
  <c r="Q26" i="2"/>
  <c r="BG26" i="2" s="1"/>
  <c r="P26" i="2"/>
  <c r="BF26" i="2" s="1"/>
  <c r="O26" i="2"/>
  <c r="BE26" i="2" s="1"/>
  <c r="N26" i="2"/>
  <c r="BD26" i="2" s="1"/>
  <c r="M26" i="2"/>
  <c r="BC26" i="2" s="1"/>
  <c r="L26" i="2"/>
  <c r="BB26" i="2" s="1"/>
  <c r="K26" i="2"/>
  <c r="BA26" i="2" s="1"/>
  <c r="J26" i="2"/>
  <c r="AZ26" i="2" s="1"/>
  <c r="I26" i="2"/>
  <c r="AY26" i="2" s="1"/>
  <c r="H26" i="2"/>
  <c r="AX26" i="2" s="1"/>
  <c r="G26" i="2"/>
  <c r="AW26" i="2" s="1"/>
  <c r="F26" i="2"/>
  <c r="AV26" i="2" s="1"/>
  <c r="CL25" i="2"/>
  <c r="EB25" i="2" s="1"/>
  <c r="CK25" i="2"/>
  <c r="EA25" i="2" s="1"/>
  <c r="CJ25" i="2"/>
  <c r="DZ25" i="2" s="1"/>
  <c r="CI25" i="2"/>
  <c r="DY25" i="2" s="1"/>
  <c r="CH25" i="2"/>
  <c r="DX25" i="2" s="1"/>
  <c r="CG25" i="2"/>
  <c r="DW25" i="2" s="1"/>
  <c r="CF25" i="2"/>
  <c r="DV25" i="2" s="1"/>
  <c r="CE25" i="2"/>
  <c r="DU25" i="2" s="1"/>
  <c r="BV25" i="2"/>
  <c r="DL25" i="2" s="1"/>
  <c r="BU25" i="2"/>
  <c r="DK25" i="2" s="1"/>
  <c r="BT25" i="2"/>
  <c r="DJ25" i="2" s="1"/>
  <c r="BS25" i="2"/>
  <c r="DI25" i="2" s="1"/>
  <c r="BR25" i="2"/>
  <c r="DH25" i="2" s="1"/>
  <c r="Z25" i="2"/>
  <c r="BP25" i="2" s="1"/>
  <c r="Y25" i="2"/>
  <c r="BO25" i="2" s="1"/>
  <c r="X25" i="2"/>
  <c r="BN25" i="2" s="1"/>
  <c r="W25" i="2"/>
  <c r="BM25" i="2" s="1"/>
  <c r="V25" i="2"/>
  <c r="BL25" i="2" s="1"/>
  <c r="U25" i="2"/>
  <c r="BK25" i="2" s="1"/>
  <c r="T25" i="2"/>
  <c r="BJ25" i="2" s="1"/>
  <c r="S25" i="2"/>
  <c r="BI25" i="2" s="1"/>
  <c r="R25" i="2"/>
  <c r="BH25" i="2" s="1"/>
  <c r="Q25" i="2"/>
  <c r="BG25" i="2" s="1"/>
  <c r="P25" i="2"/>
  <c r="BF25" i="2" s="1"/>
  <c r="O25" i="2"/>
  <c r="BE25" i="2" s="1"/>
  <c r="N25" i="2"/>
  <c r="BD25" i="2" s="1"/>
  <c r="M25" i="2"/>
  <c r="BC25" i="2" s="1"/>
  <c r="L25" i="2"/>
  <c r="BB25" i="2" s="1"/>
  <c r="K25" i="2"/>
  <c r="BA25" i="2" s="1"/>
  <c r="J25" i="2"/>
  <c r="AZ25" i="2" s="1"/>
  <c r="I25" i="2"/>
  <c r="AY25" i="2" s="1"/>
  <c r="H25" i="2"/>
  <c r="AX25" i="2" s="1"/>
  <c r="G25" i="2"/>
  <c r="AW25" i="2" s="1"/>
  <c r="F25" i="2"/>
  <c r="AV25" i="2" s="1"/>
  <c r="CL24" i="2"/>
  <c r="EB24" i="2" s="1"/>
  <c r="CK24" i="2"/>
  <c r="EA24" i="2" s="1"/>
  <c r="CJ24" i="2"/>
  <c r="DZ24" i="2" s="1"/>
  <c r="CI24" i="2"/>
  <c r="DY24" i="2" s="1"/>
  <c r="CH24" i="2"/>
  <c r="DX24" i="2" s="1"/>
  <c r="CG24" i="2"/>
  <c r="DW24" i="2" s="1"/>
  <c r="CF24" i="2"/>
  <c r="DV24" i="2" s="1"/>
  <c r="BU24" i="2"/>
  <c r="DK24" i="2" s="1"/>
  <c r="BT24" i="2"/>
  <c r="DJ24" i="2" s="1"/>
  <c r="BS24" i="2"/>
  <c r="DI24" i="2" s="1"/>
  <c r="BR24" i="2"/>
  <c r="DH24" i="2" s="1"/>
  <c r="Z24" i="2"/>
  <c r="BP24" i="2" s="1"/>
  <c r="Y24" i="2"/>
  <c r="BO24" i="2" s="1"/>
  <c r="X24" i="2"/>
  <c r="BN24" i="2" s="1"/>
  <c r="W24" i="2"/>
  <c r="BM24" i="2" s="1"/>
  <c r="V24" i="2"/>
  <c r="BL24" i="2" s="1"/>
  <c r="U24" i="2"/>
  <c r="BK24" i="2" s="1"/>
  <c r="T24" i="2"/>
  <c r="BJ24" i="2" s="1"/>
  <c r="S24" i="2"/>
  <c r="BI24" i="2" s="1"/>
  <c r="R24" i="2"/>
  <c r="BH24" i="2" s="1"/>
  <c r="Q24" i="2"/>
  <c r="BG24" i="2" s="1"/>
  <c r="P24" i="2"/>
  <c r="BF24" i="2" s="1"/>
  <c r="O24" i="2"/>
  <c r="BE24" i="2" s="1"/>
  <c r="N24" i="2"/>
  <c r="BD24" i="2" s="1"/>
  <c r="M24" i="2"/>
  <c r="BC24" i="2" s="1"/>
  <c r="L24" i="2"/>
  <c r="BB24" i="2" s="1"/>
  <c r="K24" i="2"/>
  <c r="BA24" i="2" s="1"/>
  <c r="J24" i="2"/>
  <c r="AZ24" i="2" s="1"/>
  <c r="I24" i="2"/>
  <c r="AY24" i="2" s="1"/>
  <c r="H24" i="2"/>
  <c r="AX24" i="2" s="1"/>
  <c r="G24" i="2"/>
  <c r="AW24" i="2" s="1"/>
  <c r="F24" i="2"/>
  <c r="AV24" i="2" s="1"/>
  <c r="CL22" i="2"/>
  <c r="EB22" i="2" s="1"/>
  <c r="CK22" i="2"/>
  <c r="EA22" i="2" s="1"/>
  <c r="CJ22" i="2"/>
  <c r="DZ22" i="2" s="1"/>
  <c r="CI22" i="2"/>
  <c r="DY22" i="2" s="1"/>
  <c r="CH22" i="2"/>
  <c r="DX22" i="2" s="1"/>
  <c r="CG22" i="2"/>
  <c r="DW22" i="2" s="1"/>
  <c r="CF22" i="2"/>
  <c r="DV22" i="2" s="1"/>
  <c r="CE22" i="2"/>
  <c r="DU22" i="2" s="1"/>
  <c r="CD22" i="2"/>
  <c r="DT22" i="2" s="1"/>
  <c r="CC22" i="2"/>
  <c r="DS22" i="2" s="1"/>
  <c r="CB22" i="2"/>
  <c r="DR22" i="2" s="1"/>
  <c r="CA22" i="2"/>
  <c r="DQ22" i="2" s="1"/>
  <c r="BZ22" i="2"/>
  <c r="DP22" i="2" s="1"/>
  <c r="BY22" i="2"/>
  <c r="DO22" i="2" s="1"/>
  <c r="BX22" i="2"/>
  <c r="DN22" i="2" s="1"/>
  <c r="BW22" i="2"/>
  <c r="DM22" i="2" s="1"/>
  <c r="BV22" i="2"/>
  <c r="DL22" i="2" s="1"/>
  <c r="BU22" i="2"/>
  <c r="DK22" i="2" s="1"/>
  <c r="BT22" i="2"/>
  <c r="DJ22" i="2" s="1"/>
  <c r="BS22" i="2"/>
  <c r="DI22" i="2" s="1"/>
  <c r="BR22" i="2"/>
  <c r="DH22" i="2" s="1"/>
  <c r="Z22" i="2"/>
  <c r="BP22" i="2" s="1"/>
  <c r="Y22" i="2"/>
  <c r="BO22" i="2" s="1"/>
  <c r="X22" i="2"/>
  <c r="BN22" i="2" s="1"/>
  <c r="W22" i="2"/>
  <c r="BM22" i="2" s="1"/>
  <c r="V22" i="2"/>
  <c r="BL22" i="2" s="1"/>
  <c r="U22" i="2"/>
  <c r="BK22" i="2" s="1"/>
  <c r="T22" i="2"/>
  <c r="BJ22" i="2" s="1"/>
  <c r="S22" i="2"/>
  <c r="BI22" i="2" s="1"/>
  <c r="R22" i="2"/>
  <c r="BH22" i="2" s="1"/>
  <c r="Q22" i="2"/>
  <c r="BG22" i="2" s="1"/>
  <c r="P22" i="2"/>
  <c r="BF22" i="2" s="1"/>
  <c r="O22" i="2"/>
  <c r="BE22" i="2" s="1"/>
  <c r="N22" i="2"/>
  <c r="BD22" i="2" s="1"/>
  <c r="M22" i="2"/>
  <c r="BC22" i="2" s="1"/>
  <c r="L22" i="2"/>
  <c r="BB22" i="2" s="1"/>
  <c r="K22" i="2"/>
  <c r="BA22" i="2" s="1"/>
  <c r="J22" i="2"/>
  <c r="AZ22" i="2" s="1"/>
  <c r="I22" i="2"/>
  <c r="AY22" i="2" s="1"/>
  <c r="H22" i="2"/>
  <c r="AX22" i="2" s="1"/>
  <c r="G22" i="2"/>
  <c r="AW22" i="2" s="1"/>
  <c r="F22" i="2"/>
  <c r="AV22" i="2" s="1"/>
  <c r="CL20" i="2"/>
  <c r="EB20" i="2" s="1"/>
  <c r="CK20" i="2"/>
  <c r="EA20" i="2" s="1"/>
  <c r="CJ20" i="2"/>
  <c r="DZ20" i="2" s="1"/>
  <c r="CI20" i="2"/>
  <c r="DY20" i="2" s="1"/>
  <c r="CH20" i="2"/>
  <c r="DX20" i="2" s="1"/>
  <c r="CG20" i="2"/>
  <c r="DW20" i="2" s="1"/>
  <c r="CF20" i="2"/>
  <c r="DV20" i="2" s="1"/>
  <c r="CE20" i="2"/>
  <c r="DU20" i="2" s="1"/>
  <c r="CD20" i="2"/>
  <c r="DT20" i="2" s="1"/>
  <c r="CC20" i="2"/>
  <c r="DS20" i="2" s="1"/>
  <c r="CB20" i="2"/>
  <c r="DR20" i="2" s="1"/>
  <c r="CA20" i="2"/>
  <c r="DQ20" i="2" s="1"/>
  <c r="BZ20" i="2"/>
  <c r="DP20" i="2" s="1"/>
  <c r="BY20" i="2"/>
  <c r="DO20" i="2" s="1"/>
  <c r="BX20" i="2"/>
  <c r="DN20" i="2" s="1"/>
  <c r="BW20" i="2"/>
  <c r="DM20" i="2" s="1"/>
  <c r="BV20" i="2"/>
  <c r="DL20" i="2" s="1"/>
  <c r="BU20" i="2"/>
  <c r="DK20" i="2" s="1"/>
  <c r="BT20" i="2"/>
  <c r="DJ20" i="2" s="1"/>
  <c r="BS20" i="2"/>
  <c r="DI20" i="2" s="1"/>
  <c r="BR20" i="2"/>
  <c r="DH20" i="2" s="1"/>
  <c r="Z20" i="2"/>
  <c r="BP20" i="2" s="1"/>
  <c r="Y20" i="2"/>
  <c r="BO20" i="2" s="1"/>
  <c r="X20" i="2"/>
  <c r="BN20" i="2" s="1"/>
  <c r="W20" i="2"/>
  <c r="BM20" i="2" s="1"/>
  <c r="V20" i="2"/>
  <c r="BL20" i="2" s="1"/>
  <c r="U20" i="2"/>
  <c r="BK20" i="2" s="1"/>
  <c r="T20" i="2"/>
  <c r="BJ20" i="2" s="1"/>
  <c r="S20" i="2"/>
  <c r="BI20" i="2" s="1"/>
  <c r="R20" i="2"/>
  <c r="BH20" i="2" s="1"/>
  <c r="Q20" i="2"/>
  <c r="BG20" i="2" s="1"/>
  <c r="P20" i="2"/>
  <c r="BF20" i="2" s="1"/>
  <c r="O20" i="2"/>
  <c r="BE20" i="2" s="1"/>
  <c r="N20" i="2"/>
  <c r="BD20" i="2" s="1"/>
  <c r="M20" i="2"/>
  <c r="BC20" i="2" s="1"/>
  <c r="L20" i="2"/>
  <c r="BB20" i="2" s="1"/>
  <c r="K20" i="2"/>
  <c r="BA20" i="2" s="1"/>
  <c r="J20" i="2"/>
  <c r="AZ20" i="2" s="1"/>
  <c r="I20" i="2"/>
  <c r="AY20" i="2" s="1"/>
  <c r="H20" i="2"/>
  <c r="AX20" i="2" s="1"/>
  <c r="G20" i="2"/>
  <c r="AW20" i="2" s="1"/>
  <c r="F20" i="2"/>
  <c r="AV20" i="2" s="1"/>
  <c r="CL19" i="2"/>
  <c r="EB19" i="2" s="1"/>
  <c r="CK19" i="2"/>
  <c r="EA19" i="2" s="1"/>
  <c r="CJ19" i="2"/>
  <c r="DZ19" i="2" s="1"/>
  <c r="CI19" i="2"/>
  <c r="DY19" i="2" s="1"/>
  <c r="CH19" i="2"/>
  <c r="DX19" i="2" s="1"/>
  <c r="CG19" i="2"/>
  <c r="DW19" i="2" s="1"/>
  <c r="CF19" i="2"/>
  <c r="DV19" i="2" s="1"/>
  <c r="CE19" i="2"/>
  <c r="DU19" i="2" s="1"/>
  <c r="CD19" i="2"/>
  <c r="DT19" i="2" s="1"/>
  <c r="CC19" i="2"/>
  <c r="DS19" i="2" s="1"/>
  <c r="CB19" i="2"/>
  <c r="DR19" i="2" s="1"/>
  <c r="CA19" i="2"/>
  <c r="DQ19" i="2" s="1"/>
  <c r="BZ19" i="2"/>
  <c r="DP19" i="2" s="1"/>
  <c r="BY19" i="2"/>
  <c r="DO19" i="2" s="1"/>
  <c r="BX19" i="2"/>
  <c r="DN19" i="2" s="1"/>
  <c r="BW19" i="2"/>
  <c r="DM19" i="2" s="1"/>
  <c r="BV19" i="2"/>
  <c r="DL19" i="2" s="1"/>
  <c r="BU19" i="2"/>
  <c r="DK19" i="2" s="1"/>
  <c r="BT19" i="2"/>
  <c r="DJ19" i="2" s="1"/>
  <c r="BS19" i="2"/>
  <c r="DI19" i="2" s="1"/>
  <c r="BR19" i="2"/>
  <c r="DH19" i="2" s="1"/>
  <c r="Z19" i="2"/>
  <c r="BP19" i="2" s="1"/>
  <c r="Y19" i="2"/>
  <c r="BO19" i="2" s="1"/>
  <c r="X19" i="2"/>
  <c r="BN19" i="2" s="1"/>
  <c r="W19" i="2"/>
  <c r="BM19" i="2" s="1"/>
  <c r="V19" i="2"/>
  <c r="BL19" i="2" s="1"/>
  <c r="U19" i="2"/>
  <c r="BK19" i="2" s="1"/>
  <c r="T19" i="2"/>
  <c r="BJ19" i="2" s="1"/>
  <c r="S19" i="2"/>
  <c r="BI19" i="2" s="1"/>
  <c r="R19" i="2"/>
  <c r="BH19" i="2" s="1"/>
  <c r="Q19" i="2"/>
  <c r="BG19" i="2" s="1"/>
  <c r="P19" i="2"/>
  <c r="BF19" i="2" s="1"/>
  <c r="O19" i="2"/>
  <c r="BE19" i="2" s="1"/>
  <c r="N19" i="2"/>
  <c r="BD19" i="2" s="1"/>
  <c r="M19" i="2"/>
  <c r="BC19" i="2" s="1"/>
  <c r="L19" i="2"/>
  <c r="BB19" i="2" s="1"/>
  <c r="K19" i="2"/>
  <c r="BA19" i="2" s="1"/>
  <c r="J19" i="2"/>
  <c r="AZ19" i="2" s="1"/>
  <c r="I19" i="2"/>
  <c r="AY19" i="2" s="1"/>
  <c r="H19" i="2"/>
  <c r="AX19" i="2" s="1"/>
  <c r="G19" i="2"/>
  <c r="AW19" i="2" s="1"/>
  <c r="F19" i="2"/>
  <c r="AV19" i="2" s="1"/>
  <c r="CL17" i="2"/>
  <c r="EB17" i="2" s="1"/>
  <c r="CK17" i="2"/>
  <c r="EA17" i="2" s="1"/>
  <c r="CJ17" i="2"/>
  <c r="DZ17" i="2" s="1"/>
  <c r="CI17" i="2"/>
  <c r="DY17" i="2" s="1"/>
  <c r="CH17" i="2"/>
  <c r="DX17" i="2" s="1"/>
  <c r="CG17" i="2"/>
  <c r="DW17" i="2" s="1"/>
  <c r="CF17" i="2"/>
  <c r="DV17" i="2" s="1"/>
  <c r="CE17" i="2"/>
  <c r="DU17" i="2" s="1"/>
  <c r="CD17" i="2"/>
  <c r="DT17" i="2" s="1"/>
  <c r="CC17" i="2"/>
  <c r="DS17" i="2" s="1"/>
  <c r="CB17" i="2"/>
  <c r="DR17" i="2" s="1"/>
  <c r="CA17" i="2"/>
  <c r="DQ17" i="2" s="1"/>
  <c r="BZ17" i="2"/>
  <c r="DP17" i="2" s="1"/>
  <c r="BY17" i="2"/>
  <c r="DO17" i="2" s="1"/>
  <c r="BX17" i="2"/>
  <c r="DN17" i="2" s="1"/>
  <c r="BW17" i="2"/>
  <c r="DM17" i="2" s="1"/>
  <c r="BV17" i="2"/>
  <c r="DL17" i="2" s="1"/>
  <c r="BU17" i="2"/>
  <c r="DK17" i="2" s="1"/>
  <c r="BT17" i="2"/>
  <c r="DJ17" i="2" s="1"/>
  <c r="BS17" i="2"/>
  <c r="DI17" i="2" s="1"/>
  <c r="BR17" i="2"/>
  <c r="DH17" i="2" s="1"/>
  <c r="Z17" i="2"/>
  <c r="BP17" i="2" s="1"/>
  <c r="Y17" i="2"/>
  <c r="BO17" i="2" s="1"/>
  <c r="X17" i="2"/>
  <c r="BN17" i="2" s="1"/>
  <c r="W17" i="2"/>
  <c r="BM17" i="2" s="1"/>
  <c r="V17" i="2"/>
  <c r="BL17" i="2" s="1"/>
  <c r="U17" i="2"/>
  <c r="BK17" i="2" s="1"/>
  <c r="T17" i="2"/>
  <c r="BJ17" i="2" s="1"/>
  <c r="S17" i="2"/>
  <c r="BI17" i="2" s="1"/>
  <c r="R17" i="2"/>
  <c r="BH17" i="2" s="1"/>
  <c r="Q17" i="2"/>
  <c r="BG17" i="2" s="1"/>
  <c r="P17" i="2"/>
  <c r="BF17" i="2" s="1"/>
  <c r="O17" i="2"/>
  <c r="BE17" i="2" s="1"/>
  <c r="N17" i="2"/>
  <c r="BD17" i="2" s="1"/>
  <c r="M17" i="2"/>
  <c r="BC17" i="2" s="1"/>
  <c r="L17" i="2"/>
  <c r="BB17" i="2" s="1"/>
  <c r="K17" i="2"/>
  <c r="BA17" i="2" s="1"/>
  <c r="J17" i="2"/>
  <c r="AZ17" i="2" s="1"/>
  <c r="I17" i="2"/>
  <c r="AY17" i="2" s="1"/>
  <c r="H17" i="2"/>
  <c r="AX17" i="2" s="1"/>
  <c r="G17" i="2"/>
  <c r="AW17" i="2" s="1"/>
  <c r="F17" i="2"/>
  <c r="AV17" i="2" s="1"/>
  <c r="BT15" i="2"/>
  <c r="DJ15" i="2" s="1"/>
  <c r="BS15" i="2"/>
  <c r="DI15" i="2" s="1"/>
  <c r="BR15" i="2"/>
  <c r="DH15" i="2" s="1"/>
  <c r="H15" i="2"/>
  <c r="AX15" i="2" s="1"/>
  <c r="G15" i="2"/>
  <c r="AW15" i="2" s="1"/>
  <c r="F15" i="2"/>
  <c r="AV15" i="2" s="1"/>
  <c r="CL14" i="2"/>
  <c r="EB14" i="2" s="1"/>
  <c r="CK14" i="2"/>
  <c r="EA14" i="2" s="1"/>
  <c r="CJ14" i="2"/>
  <c r="DZ14" i="2" s="1"/>
  <c r="CI14" i="2"/>
  <c r="DY14" i="2" s="1"/>
  <c r="CH14" i="2"/>
  <c r="DX14" i="2" s="1"/>
  <c r="CG14" i="2"/>
  <c r="DW14" i="2" s="1"/>
  <c r="CF14" i="2"/>
  <c r="DV14" i="2" s="1"/>
  <c r="CE14" i="2"/>
  <c r="DU14" i="2" s="1"/>
  <c r="CD14" i="2"/>
  <c r="DT14" i="2" s="1"/>
  <c r="CC14" i="2"/>
  <c r="DS14" i="2" s="1"/>
  <c r="CB14" i="2"/>
  <c r="DR14" i="2" s="1"/>
  <c r="CA14" i="2"/>
  <c r="DQ14" i="2" s="1"/>
  <c r="BZ14" i="2"/>
  <c r="DP14" i="2" s="1"/>
  <c r="BY14" i="2"/>
  <c r="DO14" i="2" s="1"/>
  <c r="BX14" i="2"/>
  <c r="DN14" i="2" s="1"/>
  <c r="BW14" i="2"/>
  <c r="DM14" i="2" s="1"/>
  <c r="BV14" i="2"/>
  <c r="DL14" i="2" s="1"/>
  <c r="BU14" i="2"/>
  <c r="DK14" i="2" s="1"/>
  <c r="BT14" i="2"/>
  <c r="DJ14" i="2" s="1"/>
  <c r="BS14" i="2"/>
  <c r="DI14" i="2" s="1"/>
  <c r="BR14" i="2"/>
  <c r="DH14" i="2" s="1"/>
  <c r="Z14" i="2"/>
  <c r="BP14" i="2" s="1"/>
  <c r="Y14" i="2"/>
  <c r="BO14" i="2" s="1"/>
  <c r="X14" i="2"/>
  <c r="BN14" i="2" s="1"/>
  <c r="W14" i="2"/>
  <c r="BM14" i="2" s="1"/>
  <c r="V14" i="2"/>
  <c r="BL14" i="2" s="1"/>
  <c r="U14" i="2"/>
  <c r="BK14" i="2" s="1"/>
  <c r="T14" i="2"/>
  <c r="BJ14" i="2" s="1"/>
  <c r="S14" i="2"/>
  <c r="BI14" i="2" s="1"/>
  <c r="R14" i="2"/>
  <c r="BH14" i="2" s="1"/>
  <c r="Q14" i="2"/>
  <c r="BG14" i="2" s="1"/>
  <c r="P14" i="2"/>
  <c r="BF14" i="2" s="1"/>
  <c r="O14" i="2"/>
  <c r="BE14" i="2" s="1"/>
  <c r="N14" i="2"/>
  <c r="BD14" i="2" s="1"/>
  <c r="M14" i="2"/>
  <c r="BC14" i="2" s="1"/>
  <c r="L14" i="2"/>
  <c r="BB14" i="2" s="1"/>
  <c r="K14" i="2"/>
  <c r="BA14" i="2" s="1"/>
  <c r="J14" i="2"/>
  <c r="AZ14" i="2" s="1"/>
  <c r="I14" i="2"/>
  <c r="AY14" i="2" s="1"/>
  <c r="H14" i="2"/>
  <c r="AX14" i="2" s="1"/>
  <c r="G14" i="2"/>
  <c r="AW14" i="2" s="1"/>
  <c r="F14" i="2"/>
  <c r="AV14" i="2" s="1"/>
  <c r="Z488" i="7"/>
  <c r="Y488" i="7"/>
  <c r="X488" i="7"/>
  <c r="W488" i="7"/>
  <c r="V488" i="7"/>
  <c r="U488" i="7"/>
  <c r="T488" i="7"/>
  <c r="S488" i="7"/>
  <c r="Z487" i="7"/>
  <c r="Y487" i="7"/>
  <c r="X487" i="7"/>
  <c r="W487" i="7"/>
  <c r="V487" i="7"/>
  <c r="U487" i="7"/>
  <c r="T487" i="7"/>
  <c r="S487" i="7"/>
  <c r="Z486" i="7"/>
  <c r="Y486" i="7"/>
  <c r="X486" i="7"/>
  <c r="W486" i="7"/>
  <c r="V486" i="7"/>
  <c r="U486" i="7"/>
  <c r="T486" i="7"/>
  <c r="S486" i="7"/>
  <c r="Z485" i="7"/>
  <c r="Y485" i="7"/>
  <c r="X485" i="7"/>
  <c r="W485" i="7"/>
  <c r="V485" i="7"/>
  <c r="U485" i="7"/>
  <c r="T485" i="7"/>
  <c r="S485" i="7"/>
  <c r="Z484" i="7"/>
  <c r="Y484" i="7"/>
  <c r="X484" i="7"/>
  <c r="W484" i="7"/>
  <c r="V484" i="7"/>
  <c r="U484" i="7"/>
  <c r="T484" i="7"/>
  <c r="S484" i="7"/>
  <c r="Z483" i="7"/>
  <c r="Y483" i="7"/>
  <c r="X483" i="7"/>
  <c r="W483" i="7"/>
  <c r="V483" i="7"/>
  <c r="U483" i="7"/>
  <c r="T483" i="7"/>
  <c r="S483" i="7"/>
  <c r="Z482" i="7"/>
  <c r="Y482" i="7"/>
  <c r="X482" i="7"/>
  <c r="W482" i="7"/>
  <c r="V482" i="7"/>
  <c r="U482" i="7"/>
  <c r="T482" i="7"/>
  <c r="S482" i="7"/>
  <c r="Z481" i="7"/>
  <c r="Y481" i="7"/>
  <c r="X481" i="7"/>
  <c r="W481" i="7"/>
  <c r="V481" i="7"/>
  <c r="U481" i="7"/>
  <c r="T481" i="7"/>
  <c r="S481" i="7"/>
  <c r="Z480" i="7"/>
  <c r="Y480" i="7"/>
  <c r="X480" i="7"/>
  <c r="W480" i="7"/>
  <c r="V480" i="7"/>
  <c r="U480" i="7"/>
  <c r="T480" i="7"/>
  <c r="S480" i="7"/>
  <c r="Z479" i="7"/>
  <c r="Y479" i="7"/>
  <c r="X479" i="7"/>
  <c r="W479" i="7"/>
  <c r="V479" i="7"/>
  <c r="U479" i="7"/>
  <c r="T479" i="7"/>
  <c r="S479" i="7"/>
  <c r="Z478" i="7"/>
  <c r="Y478" i="7"/>
  <c r="X478" i="7"/>
  <c r="W478" i="7"/>
  <c r="V478" i="7"/>
  <c r="U478" i="7"/>
  <c r="T478" i="7"/>
  <c r="S478" i="7"/>
  <c r="Z477" i="7"/>
  <c r="Y477" i="7"/>
  <c r="X477" i="7"/>
  <c r="W477" i="7"/>
  <c r="V477" i="7"/>
  <c r="U477" i="7"/>
  <c r="T477" i="7"/>
  <c r="S477" i="7"/>
  <c r="Z476" i="7"/>
  <c r="Y476" i="7"/>
  <c r="X476" i="7"/>
  <c r="W476" i="7"/>
  <c r="V476" i="7"/>
  <c r="U476" i="7"/>
  <c r="T476" i="7"/>
  <c r="S476" i="7"/>
  <c r="Z475" i="7"/>
  <c r="Y475" i="7"/>
  <c r="X475" i="7"/>
  <c r="W475" i="7"/>
  <c r="V475" i="7"/>
  <c r="U475" i="7"/>
  <c r="T475" i="7"/>
  <c r="S475" i="7"/>
  <c r="Z474" i="7"/>
  <c r="Y474" i="7"/>
  <c r="X474" i="7"/>
  <c r="W474" i="7"/>
  <c r="V474" i="7"/>
  <c r="U474" i="7"/>
  <c r="T474" i="7"/>
  <c r="S474" i="7"/>
  <c r="Z473" i="7"/>
  <c r="Y473" i="7"/>
  <c r="X473" i="7"/>
  <c r="W473" i="7"/>
  <c r="V473" i="7"/>
  <c r="U473" i="7"/>
  <c r="T473" i="7"/>
  <c r="S473" i="7"/>
  <c r="Z472" i="7"/>
  <c r="Y472" i="7"/>
  <c r="X472" i="7"/>
  <c r="W472" i="7"/>
  <c r="V472" i="7"/>
  <c r="U472" i="7"/>
  <c r="T472" i="7"/>
  <c r="S472" i="7"/>
  <c r="Z471" i="7"/>
  <c r="Y471" i="7"/>
  <c r="X471" i="7"/>
  <c r="W471" i="7"/>
  <c r="V471" i="7"/>
  <c r="U471" i="7"/>
  <c r="T471" i="7"/>
  <c r="S471" i="7"/>
  <c r="Z470" i="7"/>
  <c r="Y470" i="7"/>
  <c r="X470" i="7"/>
  <c r="W470" i="7"/>
  <c r="V470" i="7"/>
  <c r="U470" i="7"/>
  <c r="T470" i="7"/>
  <c r="S470" i="7"/>
  <c r="Z469" i="7"/>
  <c r="Y469" i="7"/>
  <c r="X469" i="7"/>
  <c r="W469" i="7"/>
  <c r="V469" i="7"/>
  <c r="U469" i="7"/>
  <c r="T469" i="7"/>
  <c r="S469" i="7"/>
  <c r="Z468" i="7"/>
  <c r="Y468" i="7"/>
  <c r="X468" i="7"/>
  <c r="W468" i="7"/>
  <c r="V468" i="7"/>
  <c r="U468" i="7"/>
  <c r="T468" i="7"/>
  <c r="S468" i="7"/>
  <c r="Z467" i="7"/>
  <c r="Y467" i="7"/>
  <c r="X467" i="7"/>
  <c r="W467" i="7"/>
  <c r="V467" i="7"/>
  <c r="U467" i="7"/>
  <c r="T467" i="7"/>
  <c r="S467" i="7"/>
  <c r="Z466" i="7"/>
  <c r="Y466" i="7"/>
  <c r="X466" i="7"/>
  <c r="W466" i="7"/>
  <c r="V466" i="7"/>
  <c r="U466" i="7"/>
  <c r="T466" i="7"/>
  <c r="S466" i="7"/>
  <c r="Z465" i="7"/>
  <c r="Y465" i="7"/>
  <c r="X465" i="7"/>
  <c r="W465" i="7"/>
  <c r="V465" i="7"/>
  <c r="U465" i="7"/>
  <c r="T465" i="7"/>
  <c r="S465" i="7"/>
  <c r="Z464" i="7"/>
  <c r="Y464" i="7"/>
  <c r="X464" i="7"/>
  <c r="W464" i="7"/>
  <c r="V464" i="7"/>
  <c r="U464" i="7"/>
  <c r="T464" i="7"/>
  <c r="S464" i="7"/>
  <c r="Z442" i="7"/>
  <c r="Y442" i="7"/>
  <c r="X442" i="7"/>
  <c r="W442" i="7"/>
  <c r="V442" i="7"/>
  <c r="U442" i="7"/>
  <c r="T442" i="7"/>
  <c r="S442" i="7"/>
  <c r="R442" i="7"/>
  <c r="Q442" i="7"/>
  <c r="P442" i="7"/>
  <c r="O442" i="7"/>
  <c r="N442" i="7"/>
  <c r="M442" i="7"/>
  <c r="L442" i="7"/>
  <c r="K442" i="7"/>
  <c r="J442" i="7"/>
  <c r="Z441" i="7"/>
  <c r="Y441" i="7"/>
  <c r="X441" i="7"/>
  <c r="W441" i="7"/>
  <c r="V441" i="7"/>
  <c r="U441" i="7"/>
  <c r="T441" i="7"/>
  <c r="S441" i="7"/>
  <c r="R441" i="7"/>
  <c r="Q441" i="7"/>
  <c r="P441" i="7"/>
  <c r="O441" i="7"/>
  <c r="N441" i="7"/>
  <c r="M441" i="7"/>
  <c r="L441" i="7"/>
  <c r="K441" i="7"/>
  <c r="J441" i="7"/>
  <c r="Z440" i="7"/>
  <c r="Y440" i="7"/>
  <c r="X440" i="7"/>
  <c r="W440" i="7"/>
  <c r="V440" i="7"/>
  <c r="U440" i="7"/>
  <c r="T440" i="7"/>
  <c r="S440" i="7"/>
  <c r="R440" i="7"/>
  <c r="Q440" i="7"/>
  <c r="P440" i="7"/>
  <c r="O440" i="7"/>
  <c r="N440" i="7"/>
  <c r="M440" i="7"/>
  <c r="L440" i="7"/>
  <c r="K440" i="7"/>
  <c r="J440" i="7"/>
  <c r="Z439" i="7"/>
  <c r="Y439" i="7"/>
  <c r="X439" i="7"/>
  <c r="W439" i="7"/>
  <c r="V439" i="7"/>
  <c r="U439" i="7"/>
  <c r="T439" i="7"/>
  <c r="S439" i="7"/>
  <c r="R439" i="7"/>
  <c r="Q439" i="7"/>
  <c r="P439" i="7"/>
  <c r="O439" i="7"/>
  <c r="N439" i="7"/>
  <c r="M439" i="7"/>
  <c r="L439" i="7"/>
  <c r="K439" i="7"/>
  <c r="J439" i="7"/>
  <c r="Z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J438" i="7"/>
  <c r="Z422" i="7"/>
  <c r="Y422" i="7"/>
  <c r="X422" i="7"/>
  <c r="W422" i="7"/>
  <c r="V422" i="7"/>
  <c r="U422" i="7"/>
  <c r="T422" i="7"/>
  <c r="S422" i="7"/>
  <c r="R422" i="7"/>
  <c r="Q422" i="7"/>
  <c r="P422" i="7"/>
  <c r="O422" i="7"/>
  <c r="N422" i="7"/>
  <c r="M422" i="7"/>
  <c r="L422" i="7"/>
  <c r="K422" i="7"/>
  <c r="Z420" i="7"/>
  <c r="Y420" i="7"/>
  <c r="X420" i="7"/>
  <c r="W420" i="7"/>
  <c r="V420" i="7"/>
  <c r="U420" i="7"/>
  <c r="T420" i="7"/>
  <c r="S420" i="7"/>
  <c r="R420" i="7"/>
  <c r="Q420" i="7"/>
  <c r="P420" i="7"/>
  <c r="O420" i="7"/>
  <c r="N420" i="7"/>
  <c r="M420" i="7"/>
  <c r="L420" i="7"/>
  <c r="K420" i="7"/>
  <c r="J420" i="7"/>
  <c r="Z327" i="7"/>
  <c r="Y327" i="7"/>
  <c r="X327" i="7"/>
  <c r="W327" i="7"/>
  <c r="V327" i="7"/>
  <c r="U327" i="7"/>
  <c r="T327" i="7"/>
  <c r="S327" i="7"/>
  <c r="R327" i="7"/>
  <c r="Q327" i="7"/>
  <c r="P327" i="7"/>
  <c r="O327" i="7"/>
  <c r="N327" i="7"/>
  <c r="M327" i="7"/>
  <c r="L327" i="7"/>
  <c r="K327" i="7"/>
  <c r="J327" i="7"/>
  <c r="Z326" i="7"/>
  <c r="Y326" i="7"/>
  <c r="X326" i="7"/>
  <c r="W326" i="7"/>
  <c r="V326" i="7"/>
  <c r="U326" i="7"/>
  <c r="T326" i="7"/>
  <c r="S326" i="7"/>
  <c r="R326" i="7"/>
  <c r="Q326" i="7"/>
  <c r="P326" i="7"/>
  <c r="O326" i="7"/>
  <c r="N326" i="7"/>
  <c r="M326" i="7"/>
  <c r="L326" i="7"/>
  <c r="K326" i="7"/>
  <c r="J326" i="7"/>
  <c r="Z325" i="7"/>
  <c r="Y325" i="7"/>
  <c r="X325" i="7"/>
  <c r="W325" i="7"/>
  <c r="V325" i="7"/>
  <c r="U325" i="7"/>
  <c r="T325" i="7"/>
  <c r="S325" i="7"/>
  <c r="R325" i="7"/>
  <c r="Q325" i="7"/>
  <c r="P325" i="7"/>
  <c r="O325" i="7"/>
  <c r="N325" i="7"/>
  <c r="M325" i="7"/>
  <c r="L325" i="7"/>
  <c r="K325" i="7"/>
  <c r="J325" i="7"/>
  <c r="Z324" i="7"/>
  <c r="Y324" i="7"/>
  <c r="X324" i="7"/>
  <c r="W324" i="7"/>
  <c r="V324" i="7"/>
  <c r="U324" i="7"/>
  <c r="T324" i="7"/>
  <c r="S324" i="7"/>
  <c r="R324" i="7"/>
  <c r="Q324" i="7"/>
  <c r="P324" i="7"/>
  <c r="O324" i="7"/>
  <c r="N324" i="7"/>
  <c r="M324" i="7"/>
  <c r="L324" i="7"/>
  <c r="K324" i="7"/>
  <c r="J324" i="7"/>
  <c r="Z323" i="7"/>
  <c r="Y323" i="7"/>
  <c r="X323" i="7"/>
  <c r="W323" i="7"/>
  <c r="V323" i="7"/>
  <c r="U323" i="7"/>
  <c r="T323" i="7"/>
  <c r="S323" i="7"/>
  <c r="R323" i="7"/>
  <c r="Q323" i="7"/>
  <c r="P323" i="7"/>
  <c r="O323" i="7"/>
  <c r="N323" i="7"/>
  <c r="M323" i="7"/>
  <c r="L323" i="7"/>
  <c r="K323" i="7"/>
  <c r="J323" i="7"/>
  <c r="Z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J301" i="7"/>
  <c r="Z300" i="7"/>
  <c r="Y300" i="7"/>
  <c r="X300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K300" i="7"/>
  <c r="J300" i="7"/>
  <c r="Z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J299" i="7"/>
  <c r="Z298" i="7"/>
  <c r="Y298" i="7"/>
  <c r="X298" i="7"/>
  <c r="W298" i="7"/>
  <c r="V298" i="7"/>
  <c r="U298" i="7"/>
  <c r="T298" i="7"/>
  <c r="S298" i="7"/>
  <c r="R298" i="7"/>
  <c r="Q298" i="7"/>
  <c r="P298" i="7"/>
  <c r="O298" i="7"/>
  <c r="N298" i="7"/>
  <c r="M298" i="7"/>
  <c r="L298" i="7"/>
  <c r="K298" i="7"/>
  <c r="J298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Z258" i="7"/>
  <c r="Y258" i="7"/>
  <c r="X258" i="7"/>
  <c r="W258" i="7"/>
  <c r="V258" i="7"/>
  <c r="U258" i="7"/>
  <c r="T258" i="7"/>
  <c r="S258" i="7"/>
  <c r="Z257" i="7"/>
  <c r="Y257" i="7"/>
  <c r="X257" i="7"/>
  <c r="W257" i="7"/>
  <c r="V257" i="7"/>
  <c r="U257" i="7"/>
  <c r="T257" i="7"/>
  <c r="S257" i="7"/>
  <c r="Z256" i="7"/>
  <c r="Y256" i="7"/>
  <c r="X256" i="7"/>
  <c r="W256" i="7"/>
  <c r="V256" i="7"/>
  <c r="U256" i="7"/>
  <c r="T256" i="7"/>
  <c r="S256" i="7"/>
  <c r="Z255" i="7"/>
  <c r="Y255" i="7"/>
  <c r="X255" i="7"/>
  <c r="W255" i="7"/>
  <c r="V255" i="7"/>
  <c r="U255" i="7"/>
  <c r="T255" i="7"/>
  <c r="S255" i="7"/>
  <c r="Z254" i="7"/>
  <c r="Y254" i="7"/>
  <c r="X254" i="7"/>
  <c r="W254" i="7"/>
  <c r="V254" i="7"/>
  <c r="U254" i="7"/>
  <c r="T254" i="7"/>
  <c r="S254" i="7"/>
  <c r="D28" i="7"/>
  <c r="D27" i="7"/>
  <c r="D26" i="7"/>
  <c r="D25" i="7"/>
  <c r="D24" i="7"/>
  <c r="E34" i="6"/>
  <c r="E33" i="6"/>
  <c r="E32" i="6"/>
  <c r="E31" i="6"/>
  <c r="E30" i="6"/>
  <c r="E28" i="6"/>
  <c r="E27" i="6"/>
  <c r="E26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D8" i="6"/>
  <c r="D511" i="7" l="1"/>
  <c r="D510" i="7"/>
  <c r="D579" i="7"/>
  <c r="BT43" i="2"/>
  <c r="DJ43" i="2" s="1"/>
  <c r="BS43" i="2"/>
  <c r="DI43" i="2" s="1"/>
  <c r="BR43" i="2"/>
  <c r="DH43" i="2" s="1"/>
  <c r="BS33" i="2"/>
  <c r="BR33" i="2"/>
  <c r="BT33" i="2"/>
  <c r="BU23" i="2"/>
  <c r="DK23" i="2" s="1"/>
  <c r="BR23" i="2"/>
  <c r="DH23" i="2" s="1"/>
  <c r="BT23" i="2"/>
  <c r="DJ23" i="2" s="1"/>
  <c r="BS23" i="2"/>
  <c r="DI23" i="2" s="1"/>
  <c r="AA24" i="7"/>
  <c r="D676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09" i="7"/>
  <c r="D465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23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184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58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15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51" i="7"/>
  <c r="D536" i="7" s="1"/>
  <c r="D53" i="7"/>
  <c r="D538" i="7" s="1"/>
  <c r="D54" i="7"/>
  <c r="D539" i="7" s="1"/>
  <c r="D55" i="7"/>
  <c r="D540" i="7" s="1"/>
  <c r="D56" i="7"/>
  <c r="D541" i="7" s="1"/>
  <c r="D57" i="7"/>
  <c r="D542" i="7" s="1"/>
  <c r="D58" i="7"/>
  <c r="D543" i="7" s="1"/>
  <c r="D59" i="7"/>
  <c r="D544" i="7" s="1"/>
  <c r="D60" i="7"/>
  <c r="D545" i="7" s="1"/>
  <c r="D61" i="7"/>
  <c r="D546" i="7" s="1"/>
  <c r="D62" i="7"/>
  <c r="D547" i="7" s="1"/>
  <c r="D63" i="7"/>
  <c r="D548" i="7" s="1"/>
  <c r="D64" i="7"/>
  <c r="D549" i="7" s="1"/>
  <c r="D65" i="7"/>
  <c r="D550" i="7" s="1"/>
  <c r="D66" i="7"/>
  <c r="D551" i="7" s="1"/>
  <c r="D67" i="7"/>
  <c r="D552" i="7" s="1"/>
  <c r="D68" i="7"/>
  <c r="D553" i="7" s="1"/>
  <c r="D69" i="7"/>
  <c r="D554" i="7" s="1"/>
  <c r="D70" i="7"/>
  <c r="D555" i="7" s="1"/>
  <c r="D71" i="7"/>
  <c r="D556" i="7" s="1"/>
  <c r="D72" i="7"/>
  <c r="D557" i="7" s="1"/>
  <c r="D73" i="7"/>
  <c r="D558" i="7" s="1"/>
  <c r="D74" i="7"/>
  <c r="D559" i="7" s="1"/>
  <c r="BT37" i="2" l="1"/>
  <c r="DJ37" i="2" s="1"/>
  <c r="DJ33" i="2"/>
  <c r="BR37" i="2"/>
  <c r="DH37" i="2" s="1"/>
  <c r="DH33" i="2"/>
  <c r="BS37" i="2"/>
  <c r="DI37" i="2" s="1"/>
  <c r="DI33" i="2"/>
  <c r="BR58" i="2"/>
  <c r="DH58" i="2" s="1"/>
  <c r="BS58" i="2"/>
  <c r="DI58" i="2" s="1"/>
  <c r="BR38" i="2"/>
  <c r="DH38" i="2" s="1"/>
  <c r="BT58" i="2"/>
  <c r="DJ58" i="2" s="1"/>
  <c r="BS38" i="2"/>
  <c r="DI38" i="2" s="1"/>
  <c r="BR50" i="2"/>
  <c r="DH50" i="2" s="1"/>
  <c r="BT38" i="2"/>
  <c r="DJ38" i="2" s="1"/>
  <c r="BS50" i="2"/>
  <c r="BT50" i="2"/>
  <c r="D91" i="7"/>
  <c r="D393" i="7"/>
  <c r="D605" i="7"/>
  <c r="D298" i="7"/>
  <c r="D297" i="7"/>
  <c r="D229" i="7"/>
  <c r="D254" i="7"/>
  <c r="D186" i="7"/>
  <c r="D185" i="7"/>
  <c r="D228" i="7"/>
  <c r="D159" i="7"/>
  <c r="D466" i="7"/>
  <c r="D677" i="7"/>
  <c r="D464" i="7"/>
  <c r="D675" i="7"/>
  <c r="D117" i="7"/>
  <c r="D394" i="7"/>
  <c r="D606" i="7"/>
  <c r="D52" i="7"/>
  <c r="D537" i="7" s="1"/>
  <c r="D438" i="7"/>
  <c r="D649" i="7"/>
  <c r="D50" i="7"/>
  <c r="D535" i="7" s="1"/>
  <c r="D324" i="7"/>
  <c r="D367" i="7"/>
  <c r="BQ82" i="2"/>
  <c r="EX60" i="2"/>
  <c r="BT42" i="2" l="1"/>
  <c r="DJ42" i="2" s="1"/>
  <c r="DJ50" i="2"/>
  <c r="BR42" i="2"/>
  <c r="DH42" i="2" s="1"/>
  <c r="BS42" i="2"/>
  <c r="DI42" i="2" s="1"/>
  <c r="DI50" i="2"/>
  <c r="H648" i="7"/>
  <c r="AA699" i="7"/>
  <c r="AB699" i="7" s="1"/>
  <c r="AA698" i="7"/>
  <c r="AB698" i="7" s="1"/>
  <c r="AA697" i="7"/>
  <c r="AB697" i="7" s="1"/>
  <c r="AA696" i="7"/>
  <c r="AB696" i="7" s="1"/>
  <c r="AA695" i="7"/>
  <c r="AB695" i="7" s="1"/>
  <c r="AA694" i="7"/>
  <c r="AB694" i="7" s="1"/>
  <c r="AA693" i="7"/>
  <c r="AB693" i="7" s="1"/>
  <c r="AA692" i="7"/>
  <c r="AB692" i="7" s="1"/>
  <c r="AA691" i="7"/>
  <c r="AB691" i="7" s="1"/>
  <c r="AA690" i="7"/>
  <c r="AB690" i="7" s="1"/>
  <c r="AA689" i="7"/>
  <c r="AB689" i="7" s="1"/>
  <c r="AA688" i="7"/>
  <c r="AB688" i="7" s="1"/>
  <c r="AA687" i="7"/>
  <c r="AB687" i="7" s="1"/>
  <c r="AA686" i="7"/>
  <c r="AB686" i="7" s="1"/>
  <c r="AA685" i="7"/>
  <c r="AB685" i="7" s="1"/>
  <c r="AA684" i="7"/>
  <c r="AB684" i="7" s="1"/>
  <c r="AA683" i="7"/>
  <c r="AB683" i="7" s="1"/>
  <c r="AA682" i="7"/>
  <c r="AB682" i="7" s="1"/>
  <c r="AA681" i="7"/>
  <c r="AB681" i="7" s="1"/>
  <c r="AA680" i="7"/>
  <c r="AB680" i="7" s="1"/>
  <c r="AA679" i="7"/>
  <c r="AB679" i="7" s="1"/>
  <c r="AA678" i="7"/>
  <c r="AB678" i="7" s="1"/>
  <c r="AA677" i="7"/>
  <c r="AB677" i="7" s="1"/>
  <c r="AA676" i="7"/>
  <c r="AB676" i="7" s="1"/>
  <c r="AA675" i="7"/>
  <c r="AB675" i="7" s="1"/>
  <c r="AA658" i="7"/>
  <c r="Y648" i="7"/>
  <c r="AA650" i="7"/>
  <c r="G648" i="7"/>
  <c r="I648" i="7"/>
  <c r="J648" i="7"/>
  <c r="K648" i="7"/>
  <c r="L648" i="7"/>
  <c r="M648" i="7"/>
  <c r="N648" i="7"/>
  <c r="O648" i="7"/>
  <c r="P648" i="7"/>
  <c r="Q648" i="7"/>
  <c r="R648" i="7"/>
  <c r="S648" i="7"/>
  <c r="T648" i="7"/>
  <c r="U648" i="7"/>
  <c r="V648" i="7"/>
  <c r="W648" i="7"/>
  <c r="X648" i="7"/>
  <c r="Z648" i="7"/>
  <c r="F648" i="7"/>
  <c r="AA633" i="7"/>
  <c r="AA634" i="7"/>
  <c r="AA635" i="7"/>
  <c r="AA636" i="7"/>
  <c r="AA637" i="7"/>
  <c r="AA638" i="7"/>
  <c r="AA639" i="7"/>
  <c r="AA640" i="7"/>
  <c r="AA641" i="7"/>
  <c r="AA642" i="7"/>
  <c r="AA643" i="7"/>
  <c r="AA644" i="7"/>
  <c r="AA645" i="7"/>
  <c r="AA646" i="7"/>
  <c r="AA647" i="7"/>
  <c r="AA649" i="7"/>
  <c r="AA651" i="7"/>
  <c r="AA652" i="7"/>
  <c r="AA653" i="7"/>
  <c r="AA654" i="7"/>
  <c r="AA655" i="7"/>
  <c r="AA656" i="7"/>
  <c r="AA657" i="7"/>
  <c r="AA659" i="7"/>
  <c r="AA660" i="7"/>
  <c r="AA661" i="7"/>
  <c r="AA662" i="7"/>
  <c r="AA663" i="7"/>
  <c r="AA664" i="7"/>
  <c r="AA665" i="7"/>
  <c r="AA666" i="7"/>
  <c r="AA667" i="7"/>
  <c r="AA668" i="7"/>
  <c r="AA669" i="7"/>
  <c r="AA670" i="7"/>
  <c r="AA671" i="7"/>
  <c r="AA672" i="7"/>
  <c r="AA673" i="7"/>
  <c r="AA631" i="7"/>
  <c r="AA596" i="7"/>
  <c r="AA605" i="7"/>
  <c r="AB605" i="7" s="1"/>
  <c r="AA629" i="7"/>
  <c r="AB629" i="7" s="1"/>
  <c r="AA628" i="7"/>
  <c r="AB628" i="7" s="1"/>
  <c r="AA627" i="7"/>
  <c r="AB627" i="7" s="1"/>
  <c r="AA626" i="7"/>
  <c r="AB626" i="7" s="1"/>
  <c r="AA625" i="7"/>
  <c r="AB625" i="7" s="1"/>
  <c r="AA624" i="7"/>
  <c r="AB624" i="7" s="1"/>
  <c r="AA623" i="7"/>
  <c r="AB623" i="7" s="1"/>
  <c r="AA622" i="7"/>
  <c r="AB622" i="7" s="1"/>
  <c r="AA621" i="7"/>
  <c r="AB621" i="7" s="1"/>
  <c r="AA620" i="7"/>
  <c r="AB620" i="7" s="1"/>
  <c r="AA619" i="7"/>
  <c r="AB619" i="7" s="1"/>
  <c r="AA618" i="7"/>
  <c r="AB618" i="7" s="1"/>
  <c r="AA617" i="7"/>
  <c r="AB617" i="7" s="1"/>
  <c r="AA616" i="7"/>
  <c r="AB616" i="7" s="1"/>
  <c r="AA615" i="7"/>
  <c r="AB615" i="7" s="1"/>
  <c r="AA614" i="7"/>
  <c r="AB614" i="7" s="1"/>
  <c r="AA613" i="7"/>
  <c r="AB613" i="7" s="1"/>
  <c r="AA612" i="7"/>
  <c r="AB612" i="7" s="1"/>
  <c r="AA611" i="7"/>
  <c r="AB611" i="7" s="1"/>
  <c r="AA610" i="7"/>
  <c r="AB610" i="7" s="1"/>
  <c r="AA609" i="7"/>
  <c r="AB609" i="7" s="1"/>
  <c r="AA608" i="7"/>
  <c r="AB608" i="7" s="1"/>
  <c r="AA607" i="7"/>
  <c r="AB607" i="7" s="1"/>
  <c r="AA606" i="7"/>
  <c r="AB606" i="7" s="1"/>
  <c r="AA579" i="7"/>
  <c r="AB579" i="7" s="1"/>
  <c r="AA535" i="7"/>
  <c r="AB535" i="7" s="1"/>
  <c r="AA515" i="7"/>
  <c r="F508" i="7"/>
  <c r="AA504" i="7"/>
  <c r="AA563" i="7"/>
  <c r="AA561" i="7"/>
  <c r="AB561" i="7" s="1"/>
  <c r="AA580" i="7"/>
  <c r="AA581" i="7"/>
  <c r="AA582" i="7"/>
  <c r="AA583" i="7"/>
  <c r="AA584" i="7"/>
  <c r="AA585" i="7"/>
  <c r="AA586" i="7"/>
  <c r="AA587" i="7"/>
  <c r="AA588" i="7"/>
  <c r="AA589" i="7"/>
  <c r="AA590" i="7"/>
  <c r="AA591" i="7"/>
  <c r="AA592" i="7"/>
  <c r="AA593" i="7"/>
  <c r="AA594" i="7"/>
  <c r="AA595" i="7"/>
  <c r="AA597" i="7"/>
  <c r="AA598" i="7"/>
  <c r="AA599" i="7"/>
  <c r="AA600" i="7"/>
  <c r="AA601" i="7"/>
  <c r="AA602" i="7"/>
  <c r="AA603" i="7"/>
  <c r="G578" i="7"/>
  <c r="H578" i="7"/>
  <c r="I578" i="7"/>
  <c r="J578" i="7"/>
  <c r="K578" i="7"/>
  <c r="L578" i="7"/>
  <c r="M578" i="7"/>
  <c r="N578" i="7"/>
  <c r="O578" i="7"/>
  <c r="P578" i="7"/>
  <c r="Q578" i="7"/>
  <c r="R578" i="7"/>
  <c r="S578" i="7"/>
  <c r="T578" i="7"/>
  <c r="U578" i="7"/>
  <c r="V578" i="7"/>
  <c r="W578" i="7"/>
  <c r="X578" i="7"/>
  <c r="Y578" i="7"/>
  <c r="Z578" i="7"/>
  <c r="F578" i="7"/>
  <c r="F562" i="7" s="1"/>
  <c r="F560" i="7" s="1"/>
  <c r="AA564" i="7"/>
  <c r="AA565" i="7"/>
  <c r="AA566" i="7"/>
  <c r="AA567" i="7"/>
  <c r="AA568" i="7"/>
  <c r="AA569" i="7"/>
  <c r="AA570" i="7"/>
  <c r="AA571" i="7"/>
  <c r="AA572" i="7"/>
  <c r="AA573" i="7"/>
  <c r="AA574" i="7"/>
  <c r="AA575" i="7"/>
  <c r="AA576" i="7"/>
  <c r="AA577" i="7"/>
  <c r="AB556" i="7"/>
  <c r="AB555" i="7"/>
  <c r="AB554" i="7"/>
  <c r="AB553" i="7"/>
  <c r="AB552" i="7"/>
  <c r="AB550" i="7"/>
  <c r="AB549" i="7"/>
  <c r="AB548" i="7"/>
  <c r="AB547" i="7"/>
  <c r="AB546" i="7"/>
  <c r="AB545" i="7"/>
  <c r="AA559" i="7"/>
  <c r="AB559" i="7" s="1"/>
  <c r="AA558" i="7"/>
  <c r="AB558" i="7" s="1"/>
  <c r="AA557" i="7"/>
  <c r="AB557" i="7" s="1"/>
  <c r="AA556" i="7"/>
  <c r="AA555" i="7"/>
  <c r="AA554" i="7"/>
  <c r="AA553" i="7"/>
  <c r="AA552" i="7"/>
  <c r="AA551" i="7"/>
  <c r="AB551" i="7" s="1"/>
  <c r="AA550" i="7"/>
  <c r="AA549" i="7"/>
  <c r="AA548" i="7"/>
  <c r="AA547" i="7"/>
  <c r="AA546" i="7"/>
  <c r="AA545" i="7"/>
  <c r="AA544" i="7"/>
  <c r="AB544" i="7" s="1"/>
  <c r="AA543" i="7"/>
  <c r="AB543" i="7" s="1"/>
  <c r="AA542" i="7"/>
  <c r="AB542" i="7" s="1"/>
  <c r="AA541" i="7"/>
  <c r="AB541" i="7" s="1"/>
  <c r="AA540" i="7"/>
  <c r="AB540" i="7" s="1"/>
  <c r="AA539" i="7"/>
  <c r="AB539" i="7" s="1"/>
  <c r="AA538" i="7"/>
  <c r="AB538" i="7" s="1"/>
  <c r="AA537" i="7"/>
  <c r="AB537" i="7" s="1"/>
  <c r="AA536" i="7"/>
  <c r="AB536" i="7" s="1"/>
  <c r="T508" i="7"/>
  <c r="AA510" i="7"/>
  <c r="AA511" i="7"/>
  <c r="AA512" i="7"/>
  <c r="AA513" i="7"/>
  <c r="AA514" i="7"/>
  <c r="AA516" i="7"/>
  <c r="AA517" i="7"/>
  <c r="AA518" i="7"/>
  <c r="AA519" i="7"/>
  <c r="AA520" i="7"/>
  <c r="AA521" i="7"/>
  <c r="AA522" i="7"/>
  <c r="AA523" i="7"/>
  <c r="AA524" i="7"/>
  <c r="AA525" i="7"/>
  <c r="AA526" i="7"/>
  <c r="AA527" i="7"/>
  <c r="AA528" i="7"/>
  <c r="AA529" i="7"/>
  <c r="AA530" i="7"/>
  <c r="AA531" i="7"/>
  <c r="AA532" i="7"/>
  <c r="AA533" i="7"/>
  <c r="AA509" i="7"/>
  <c r="G508" i="7"/>
  <c r="H508" i="7"/>
  <c r="I508" i="7"/>
  <c r="J508" i="7"/>
  <c r="K508" i="7"/>
  <c r="L508" i="7"/>
  <c r="M508" i="7"/>
  <c r="N508" i="7"/>
  <c r="O508" i="7"/>
  <c r="P508" i="7"/>
  <c r="Q508" i="7"/>
  <c r="R508" i="7"/>
  <c r="S508" i="7"/>
  <c r="U508" i="7"/>
  <c r="V508" i="7"/>
  <c r="W508" i="7"/>
  <c r="X508" i="7"/>
  <c r="Y508" i="7"/>
  <c r="Z508" i="7"/>
  <c r="F492" i="7"/>
  <c r="AB491" i="7"/>
  <c r="AA493" i="7"/>
  <c r="AA494" i="7"/>
  <c r="AA495" i="7"/>
  <c r="AA496" i="7"/>
  <c r="AB496" i="7" s="1"/>
  <c r="AA497" i="7"/>
  <c r="AA498" i="7"/>
  <c r="AA499" i="7"/>
  <c r="AA500" i="7"/>
  <c r="AA501" i="7"/>
  <c r="AA502" i="7"/>
  <c r="AA503" i="7"/>
  <c r="AA505" i="7"/>
  <c r="AA506" i="7"/>
  <c r="AA507" i="7"/>
  <c r="AA491" i="7"/>
  <c r="AA489" i="7"/>
  <c r="AB489" i="7" s="1"/>
  <c r="F437" i="7"/>
  <c r="F421" i="7"/>
  <c r="AA462" i="7"/>
  <c r="G437" i="7"/>
  <c r="H437" i="7"/>
  <c r="I437" i="7"/>
  <c r="AA423" i="7"/>
  <c r="AA424" i="7"/>
  <c r="AA425" i="7"/>
  <c r="AA426" i="7"/>
  <c r="AA427" i="7"/>
  <c r="AA428" i="7"/>
  <c r="AA429" i="7"/>
  <c r="AA430" i="7"/>
  <c r="AA431" i="7"/>
  <c r="AA432" i="7"/>
  <c r="AA433" i="7"/>
  <c r="AA434" i="7"/>
  <c r="AA435" i="7"/>
  <c r="AA436" i="7"/>
  <c r="AA443" i="7"/>
  <c r="AA444" i="7"/>
  <c r="AA445" i="7"/>
  <c r="AA446" i="7"/>
  <c r="AA447" i="7"/>
  <c r="AA448" i="7"/>
  <c r="AA449" i="7"/>
  <c r="AA450" i="7"/>
  <c r="AA451" i="7"/>
  <c r="AA452" i="7"/>
  <c r="AA453" i="7"/>
  <c r="AA454" i="7"/>
  <c r="AA455" i="7"/>
  <c r="AA456" i="7"/>
  <c r="AA457" i="7"/>
  <c r="AA458" i="7"/>
  <c r="AA459" i="7"/>
  <c r="AA460" i="7"/>
  <c r="AA461" i="7"/>
  <c r="AA418" i="7"/>
  <c r="AB418" i="7" s="1"/>
  <c r="AA393" i="7"/>
  <c r="AB393" i="7" s="1"/>
  <c r="AA391" i="7"/>
  <c r="AB391" i="7" s="1"/>
  <c r="AA390" i="7"/>
  <c r="AB390" i="7" s="1"/>
  <c r="AA389" i="7"/>
  <c r="AB389" i="7" s="1"/>
  <c r="AA388" i="7"/>
  <c r="AB388" i="7" s="1"/>
  <c r="AA387" i="7"/>
  <c r="AA386" i="7"/>
  <c r="AA385" i="7"/>
  <c r="AB385" i="7" s="1"/>
  <c r="AA384" i="7"/>
  <c r="AB384" i="7" s="1"/>
  <c r="AA383" i="7"/>
  <c r="AB383" i="7" s="1"/>
  <c r="AA382" i="7"/>
  <c r="AA381" i="7"/>
  <c r="AB381" i="7" s="1"/>
  <c r="AA380" i="7"/>
  <c r="AB380" i="7" s="1"/>
  <c r="AA379" i="7"/>
  <c r="AB379" i="7" s="1"/>
  <c r="AA378" i="7"/>
  <c r="AB378" i="7" s="1"/>
  <c r="AA377" i="7"/>
  <c r="AB377" i="7" s="1"/>
  <c r="AA376" i="7"/>
  <c r="AB376" i="7" s="1"/>
  <c r="AA375" i="7"/>
  <c r="AB375" i="7" s="1"/>
  <c r="AA374" i="7"/>
  <c r="AB374" i="7" s="1"/>
  <c r="AA373" i="7"/>
  <c r="AB373" i="7" s="1"/>
  <c r="AA372" i="7"/>
  <c r="AB372" i="7" s="1"/>
  <c r="AA371" i="7"/>
  <c r="AB371" i="7" s="1"/>
  <c r="AA370" i="7"/>
  <c r="AB370" i="7" s="1"/>
  <c r="AA369" i="7"/>
  <c r="AA368" i="7"/>
  <c r="AB368" i="7" s="1"/>
  <c r="AA367" i="7"/>
  <c r="AB367" i="7" s="1"/>
  <c r="AA417" i="7"/>
  <c r="AB417" i="7" s="1"/>
  <c r="AA416" i="7"/>
  <c r="AB416" i="7" s="1"/>
  <c r="AA415" i="7"/>
  <c r="AB415" i="7" s="1"/>
  <c r="AA414" i="7"/>
  <c r="AB414" i="7" s="1"/>
  <c r="AA413" i="7"/>
  <c r="AB413" i="7" s="1"/>
  <c r="AA412" i="7"/>
  <c r="AB412" i="7" s="1"/>
  <c r="AA411" i="7"/>
  <c r="AB411" i="7" s="1"/>
  <c r="AB410" i="7"/>
  <c r="AA410" i="7"/>
  <c r="AA409" i="7"/>
  <c r="AB409" i="7" s="1"/>
  <c r="AA408" i="7"/>
  <c r="AB408" i="7" s="1"/>
  <c r="AA407" i="7"/>
  <c r="AB407" i="7" s="1"/>
  <c r="AA406" i="7"/>
  <c r="AB406" i="7" s="1"/>
  <c r="AA405" i="7"/>
  <c r="AB405" i="7" s="1"/>
  <c r="AA404" i="7"/>
  <c r="AB404" i="7" s="1"/>
  <c r="AA403" i="7"/>
  <c r="AB403" i="7" s="1"/>
  <c r="AA402" i="7"/>
  <c r="AB402" i="7" s="1"/>
  <c r="AA401" i="7"/>
  <c r="AB401" i="7" s="1"/>
  <c r="AA400" i="7"/>
  <c r="AB400" i="7" s="1"/>
  <c r="AA399" i="7"/>
  <c r="AB399" i="7" s="1"/>
  <c r="AA398" i="7"/>
  <c r="AB398" i="7" s="1"/>
  <c r="AA397" i="7"/>
  <c r="AB397" i="7" s="1"/>
  <c r="AA396" i="7"/>
  <c r="AB396" i="7" s="1"/>
  <c r="AA395" i="7"/>
  <c r="AB395" i="7" s="1"/>
  <c r="AA394" i="7"/>
  <c r="AB394" i="7" s="1"/>
  <c r="R366" i="7"/>
  <c r="F366" i="7"/>
  <c r="F350" i="7" s="1"/>
  <c r="F348" i="7" s="1"/>
  <c r="Z366" i="7"/>
  <c r="Y366" i="7"/>
  <c r="X366" i="7"/>
  <c r="W366" i="7"/>
  <c r="V366" i="7"/>
  <c r="U366" i="7"/>
  <c r="T366" i="7"/>
  <c r="S366" i="7"/>
  <c r="Q366" i="7"/>
  <c r="P366" i="7"/>
  <c r="O366" i="7"/>
  <c r="N366" i="7"/>
  <c r="M366" i="7"/>
  <c r="L366" i="7"/>
  <c r="K366" i="7"/>
  <c r="J366" i="7"/>
  <c r="I366" i="7"/>
  <c r="H366" i="7"/>
  <c r="G366" i="7"/>
  <c r="AA365" i="7"/>
  <c r="AB365" i="7" s="1"/>
  <c r="AA364" i="7"/>
  <c r="AB364" i="7" s="1"/>
  <c r="AA363" i="7"/>
  <c r="AB363" i="7" s="1"/>
  <c r="AA362" i="7"/>
  <c r="AA361" i="7"/>
  <c r="AA360" i="7"/>
  <c r="AB360" i="7" s="1"/>
  <c r="AA359" i="7"/>
  <c r="AB359" i="7" s="1"/>
  <c r="AA358" i="7"/>
  <c r="AB358" i="7" s="1"/>
  <c r="AA357" i="7"/>
  <c r="AB357" i="7" s="1"/>
  <c r="AA356" i="7"/>
  <c r="AB356" i="7" s="1"/>
  <c r="AA355" i="7"/>
  <c r="AA354" i="7"/>
  <c r="AB354" i="7" s="1"/>
  <c r="AA353" i="7"/>
  <c r="AB353" i="7" s="1"/>
  <c r="AA352" i="7"/>
  <c r="AB352" i="7" s="1"/>
  <c r="AA282" i="7"/>
  <c r="AB282" i="7" s="1"/>
  <c r="AA347" i="7"/>
  <c r="AB347" i="7"/>
  <c r="AA346" i="7"/>
  <c r="AB346" i="7" s="1"/>
  <c r="AA345" i="7"/>
  <c r="AB345" i="7" s="1"/>
  <c r="AA344" i="7"/>
  <c r="AB344" i="7" s="1"/>
  <c r="AA343" i="7"/>
  <c r="AB343" i="7" s="1"/>
  <c r="AA342" i="7"/>
  <c r="AB342" i="7" s="1"/>
  <c r="AA341" i="7"/>
  <c r="AB341" i="7" s="1"/>
  <c r="AA340" i="7"/>
  <c r="AB340" i="7" s="1"/>
  <c r="AA339" i="7"/>
  <c r="AB339" i="7" s="1"/>
  <c r="AA338" i="7"/>
  <c r="AB338" i="7" s="1"/>
  <c r="AA337" i="7"/>
  <c r="AB337" i="7" s="1"/>
  <c r="AA336" i="7"/>
  <c r="AB336" i="7" s="1"/>
  <c r="AA335" i="7"/>
  <c r="AB335" i="7" s="1"/>
  <c r="AA334" i="7"/>
  <c r="AB334" i="7" s="1"/>
  <c r="AA333" i="7"/>
  <c r="AB333" i="7" s="1"/>
  <c r="AA332" i="7"/>
  <c r="AB332" i="7" s="1"/>
  <c r="AA331" i="7"/>
  <c r="AB331" i="7" s="1"/>
  <c r="AA330" i="7"/>
  <c r="AB330" i="7" s="1"/>
  <c r="AA329" i="7"/>
  <c r="AB329" i="7" s="1"/>
  <c r="AA328" i="7"/>
  <c r="AB328" i="7" s="1"/>
  <c r="H296" i="7"/>
  <c r="I296" i="7"/>
  <c r="F296" i="7"/>
  <c r="F281" i="7" s="1"/>
  <c r="G296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302" i="7"/>
  <c r="AA303" i="7"/>
  <c r="AA304" i="7"/>
  <c r="AA305" i="7"/>
  <c r="AA306" i="7"/>
  <c r="AA307" i="7"/>
  <c r="AA308" i="7"/>
  <c r="AA309" i="7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A278" i="7"/>
  <c r="AB278" i="7"/>
  <c r="AA277" i="7"/>
  <c r="AB277" i="7" s="1"/>
  <c r="AA276" i="7"/>
  <c r="AB276" i="7" s="1"/>
  <c r="AA275" i="7"/>
  <c r="AB275" i="7" s="1"/>
  <c r="AA274" i="7"/>
  <c r="AB274" i="7" s="1"/>
  <c r="AA273" i="7"/>
  <c r="AB273" i="7" s="1"/>
  <c r="AA272" i="7"/>
  <c r="AB272" i="7" s="1"/>
  <c r="AA271" i="7"/>
  <c r="AB271" i="7" s="1"/>
  <c r="AB270" i="7"/>
  <c r="AA270" i="7"/>
  <c r="AA269" i="7"/>
  <c r="AB269" i="7" s="1"/>
  <c r="AA268" i="7"/>
  <c r="AB268" i="7" s="1"/>
  <c r="AA267" i="7"/>
  <c r="AB267" i="7" s="1"/>
  <c r="AA266" i="7"/>
  <c r="AB266" i="7" s="1"/>
  <c r="AA265" i="7"/>
  <c r="AB265" i="7" s="1"/>
  <c r="AA264" i="7"/>
  <c r="AB264" i="7" s="1"/>
  <c r="AA263" i="7"/>
  <c r="AB263" i="7" s="1"/>
  <c r="AA262" i="7"/>
  <c r="AB262" i="7" s="1"/>
  <c r="AA261" i="7"/>
  <c r="AB261" i="7" s="1"/>
  <c r="AA260" i="7"/>
  <c r="AB260" i="7" s="1"/>
  <c r="AA259" i="7"/>
  <c r="AB259" i="7" s="1"/>
  <c r="G228" i="7"/>
  <c r="H228" i="7"/>
  <c r="I228" i="7"/>
  <c r="G229" i="7"/>
  <c r="H229" i="7"/>
  <c r="I229" i="7"/>
  <c r="G230" i="7"/>
  <c r="H230" i="7"/>
  <c r="I230" i="7"/>
  <c r="G231" i="7"/>
  <c r="H231" i="7"/>
  <c r="I231" i="7"/>
  <c r="G232" i="7"/>
  <c r="H232" i="7"/>
  <c r="I232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28" i="7"/>
  <c r="Z213" i="7"/>
  <c r="Z214" i="7"/>
  <c r="Z215" i="7"/>
  <c r="Z216" i="7"/>
  <c r="Z217" i="7"/>
  <c r="Z218" i="7"/>
  <c r="Z219" i="7"/>
  <c r="Z220" i="7"/>
  <c r="Z221" i="7"/>
  <c r="Z222" i="7"/>
  <c r="Z223" i="7"/>
  <c r="Z224" i="7"/>
  <c r="Z225" i="7"/>
  <c r="Z226" i="7"/>
  <c r="G212" i="7"/>
  <c r="H212" i="7"/>
  <c r="I212" i="7"/>
  <c r="J212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12" i="7"/>
  <c r="AB197" i="7"/>
  <c r="F210" i="7"/>
  <c r="AA208" i="7"/>
  <c r="AB208" i="7" s="1"/>
  <c r="AA207" i="7"/>
  <c r="AB207" i="7" s="1"/>
  <c r="AA206" i="7"/>
  <c r="AB206" i="7" s="1"/>
  <c r="AA205" i="7"/>
  <c r="AB205" i="7" s="1"/>
  <c r="AA204" i="7"/>
  <c r="AB204" i="7" s="1"/>
  <c r="AA203" i="7"/>
  <c r="AB203" i="7" s="1"/>
  <c r="AA202" i="7"/>
  <c r="AB202" i="7" s="1"/>
  <c r="AA201" i="7"/>
  <c r="AB201" i="7" s="1"/>
  <c r="AA200" i="7"/>
  <c r="AB200" i="7" s="1"/>
  <c r="AA199" i="7"/>
  <c r="AB199" i="7" s="1"/>
  <c r="AA198" i="7"/>
  <c r="AB198" i="7" s="1"/>
  <c r="AA197" i="7"/>
  <c r="AA196" i="7"/>
  <c r="AB196" i="7" s="1"/>
  <c r="AA195" i="7"/>
  <c r="AB195" i="7" s="1"/>
  <c r="AA194" i="7"/>
  <c r="AB194" i="7" s="1"/>
  <c r="AA193" i="7"/>
  <c r="AB193" i="7" s="1"/>
  <c r="AA192" i="7"/>
  <c r="AB192" i="7" s="1"/>
  <c r="AA191" i="7"/>
  <c r="AB191" i="7" s="1"/>
  <c r="AA190" i="7"/>
  <c r="AB190" i="7" s="1"/>
  <c r="AA189" i="7"/>
  <c r="AB189" i="7" s="1"/>
  <c r="AA188" i="7"/>
  <c r="AB188" i="7" s="1"/>
  <c r="AA187" i="7"/>
  <c r="AB187" i="7" s="1"/>
  <c r="AA186" i="7"/>
  <c r="AB186" i="7" s="1"/>
  <c r="AA185" i="7"/>
  <c r="AB185" i="7" s="1"/>
  <c r="AA184" i="7"/>
  <c r="AB184" i="7" s="1"/>
  <c r="AA158" i="7"/>
  <c r="AB158" i="7" s="1"/>
  <c r="AA182" i="7"/>
  <c r="AB182" i="7" s="1"/>
  <c r="AA181" i="7"/>
  <c r="AB181" i="7" s="1"/>
  <c r="AA180" i="7"/>
  <c r="AB180" i="7" s="1"/>
  <c r="AA179" i="7"/>
  <c r="AB179" i="7" s="1"/>
  <c r="AA178" i="7"/>
  <c r="AB178" i="7" s="1"/>
  <c r="AA177" i="7"/>
  <c r="AB177" i="7" s="1"/>
  <c r="AA176" i="7"/>
  <c r="AB176" i="7" s="1"/>
  <c r="AA175" i="7"/>
  <c r="AB175" i="7" s="1"/>
  <c r="AA174" i="7"/>
  <c r="AB174" i="7" s="1"/>
  <c r="AA173" i="7"/>
  <c r="AB173" i="7" s="1"/>
  <c r="AA172" i="7"/>
  <c r="AB172" i="7" s="1"/>
  <c r="AA171" i="7"/>
  <c r="AB171" i="7" s="1"/>
  <c r="AA170" i="7"/>
  <c r="AB170" i="7" s="1"/>
  <c r="AA169" i="7"/>
  <c r="AB169" i="7" s="1"/>
  <c r="AA168" i="7"/>
  <c r="AB168" i="7" s="1"/>
  <c r="AA167" i="7"/>
  <c r="AB167" i="7" s="1"/>
  <c r="AA166" i="7"/>
  <c r="AB166" i="7" s="1"/>
  <c r="AA165" i="7"/>
  <c r="AB165" i="7" s="1"/>
  <c r="AA164" i="7"/>
  <c r="AB164" i="7" s="1"/>
  <c r="AA163" i="7"/>
  <c r="AB163" i="7" s="1"/>
  <c r="AA162" i="7"/>
  <c r="AB162" i="7" s="1"/>
  <c r="AA161" i="7"/>
  <c r="AB161" i="7" s="1"/>
  <c r="AA160" i="7"/>
  <c r="AB160" i="7" s="1"/>
  <c r="AA159" i="7"/>
  <c r="AB159" i="7" s="1"/>
  <c r="H157" i="7"/>
  <c r="F157" i="7"/>
  <c r="AA117" i="7"/>
  <c r="AA91" i="7"/>
  <c r="AA578" i="7" l="1"/>
  <c r="AA508" i="7"/>
  <c r="AB508" i="7" s="1"/>
  <c r="AA215" i="7"/>
  <c r="AA225" i="7"/>
  <c r="AA214" i="7"/>
  <c r="AA213" i="7"/>
  <c r="AB213" i="7" s="1"/>
  <c r="AA224" i="7"/>
  <c r="AA366" i="7"/>
  <c r="AB366" i="7" s="1"/>
  <c r="AA226" i="7"/>
  <c r="AA648" i="7"/>
  <c r="AA221" i="7"/>
  <c r="AA220" i="7"/>
  <c r="AA218" i="7"/>
  <c r="AA219" i="7"/>
  <c r="G227" i="7"/>
  <c r="F227" i="7"/>
  <c r="F211" i="7" s="1"/>
  <c r="F209" i="7" s="1"/>
  <c r="H227" i="7"/>
  <c r="I227" i="7"/>
  <c r="AA223" i="7"/>
  <c r="AA222" i="7"/>
  <c r="AA216" i="7"/>
  <c r="AB386" i="7"/>
  <c r="AB369" i="7"/>
  <c r="AB387" i="7"/>
  <c r="AB382" i="7"/>
  <c r="AB355" i="7"/>
  <c r="AB361" i="7"/>
  <c r="AB362" i="7"/>
  <c r="AA217" i="7"/>
  <c r="G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41" i="7"/>
  <c r="AA140" i="7"/>
  <c r="AA139" i="7"/>
  <c r="AA138" i="7"/>
  <c r="AA137" i="7"/>
  <c r="AA136" i="7"/>
  <c r="AA135" i="7"/>
  <c r="AA134" i="7"/>
  <c r="AA133" i="7"/>
  <c r="AA132" i="7"/>
  <c r="AA131" i="7"/>
  <c r="AA130" i="7"/>
  <c r="AA129" i="7"/>
  <c r="AA128" i="7"/>
  <c r="AA127" i="7"/>
  <c r="AA126" i="7"/>
  <c r="AA125" i="7"/>
  <c r="AA124" i="7"/>
  <c r="AA123" i="7"/>
  <c r="AA122" i="7"/>
  <c r="AA121" i="7"/>
  <c r="AA120" i="7"/>
  <c r="AA119" i="7"/>
  <c r="AA118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I90" i="7"/>
  <c r="J90" i="7"/>
  <c r="K90" i="7"/>
  <c r="L90" i="7"/>
  <c r="M90" i="7"/>
  <c r="N90" i="7"/>
  <c r="O90" i="7"/>
  <c r="P90" i="7"/>
  <c r="Q90" i="7"/>
  <c r="R90" i="7"/>
  <c r="S90" i="7"/>
  <c r="EQ21" i="2" s="1"/>
  <c r="P55" i="8" s="1"/>
  <c r="T90" i="7"/>
  <c r="ER21" i="2" s="1"/>
  <c r="Q55" i="8" s="1"/>
  <c r="U90" i="7"/>
  <c r="ES21" i="2" s="1"/>
  <c r="R55" i="8" s="1"/>
  <c r="V90" i="7"/>
  <c r="ET21" i="2" s="1"/>
  <c r="S55" i="8" s="1"/>
  <c r="W90" i="7"/>
  <c r="EU21" i="2" s="1"/>
  <c r="T55" i="8" s="1"/>
  <c r="X90" i="7"/>
  <c r="Y90" i="7"/>
  <c r="EW21" i="2" s="1"/>
  <c r="V55" i="8" s="1"/>
  <c r="Z90" i="7"/>
  <c r="EX21" i="2" s="1"/>
  <c r="H90" i="7"/>
  <c r="F90" i="7"/>
  <c r="G9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50" i="7"/>
  <c r="AA25" i="7"/>
  <c r="AB25" i="7" s="1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B42" i="7" s="1"/>
  <c r="AA43" i="7"/>
  <c r="AB43" i="7" s="1"/>
  <c r="AA44" i="7"/>
  <c r="AB44" i="7" s="1"/>
  <c r="AA45" i="7"/>
  <c r="AB45" i="7" s="1"/>
  <c r="AA46" i="7"/>
  <c r="AB46" i="7" s="1"/>
  <c r="AA47" i="7"/>
  <c r="AB47" i="7" s="1"/>
  <c r="AA48" i="7"/>
  <c r="AB48" i="7" s="1"/>
  <c r="Z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Q12" i="8" s="1"/>
  <c r="U23" i="7"/>
  <c r="ES16" i="2" s="1"/>
  <c r="V23" i="7"/>
  <c r="W23" i="7"/>
  <c r="T12" i="8" s="1"/>
  <c r="X23" i="7"/>
  <c r="U12" i="8" s="1"/>
  <c r="Y23" i="7"/>
  <c r="F23" i="7"/>
  <c r="G23" i="7"/>
  <c r="X186" i="8"/>
  <c r="X29" i="8"/>
  <c r="X27" i="8"/>
  <c r="X21" i="8"/>
  <c r="X11" i="8"/>
  <c r="X9" i="8"/>
  <c r="P25" i="8"/>
  <c r="Q25" i="8"/>
  <c r="R25" i="8"/>
  <c r="S25" i="8"/>
  <c r="T25" i="8"/>
  <c r="U25" i="8"/>
  <c r="V25" i="8"/>
  <c r="W25" i="8"/>
  <c r="P29" i="8"/>
  <c r="Q29" i="8"/>
  <c r="R29" i="8"/>
  <c r="S29" i="8"/>
  <c r="T29" i="8"/>
  <c r="U29" i="8"/>
  <c r="V29" i="8"/>
  <c r="W29" i="8"/>
  <c r="P80" i="8"/>
  <c r="P81" i="8" s="1"/>
  <c r="Q80" i="8"/>
  <c r="Q81" i="8" s="1"/>
  <c r="R80" i="8"/>
  <c r="R81" i="8" s="1"/>
  <c r="S80" i="8"/>
  <c r="S81" i="8" s="1"/>
  <c r="T80" i="8"/>
  <c r="T81" i="8" s="1"/>
  <c r="U80" i="8"/>
  <c r="U81" i="8" s="1"/>
  <c r="V80" i="8"/>
  <c r="W80" i="8"/>
  <c r="W81" i="8" s="1"/>
  <c r="P86" i="8"/>
  <c r="Q86" i="8"/>
  <c r="R86" i="8"/>
  <c r="S86" i="8"/>
  <c r="T86" i="8"/>
  <c r="U86" i="8"/>
  <c r="U84" i="8" s="1"/>
  <c r="V86" i="8"/>
  <c r="W86" i="8"/>
  <c r="S87" i="8"/>
  <c r="T87" i="8"/>
  <c r="U87" i="8"/>
  <c r="V87" i="8"/>
  <c r="P108" i="8"/>
  <c r="P109" i="8" s="1"/>
  <c r="Q108" i="8"/>
  <c r="Q109" i="8" s="1"/>
  <c r="R108" i="8"/>
  <c r="R109" i="8" s="1"/>
  <c r="S108" i="8"/>
  <c r="S109" i="8" s="1"/>
  <c r="T108" i="8"/>
  <c r="U108" i="8"/>
  <c r="U109" i="8" s="1"/>
  <c r="V108" i="8"/>
  <c r="V109" i="8" s="1"/>
  <c r="W108" i="8"/>
  <c r="W109" i="8" s="1"/>
  <c r="P114" i="8"/>
  <c r="Q114" i="8"/>
  <c r="R114" i="8"/>
  <c r="S114" i="8"/>
  <c r="T114" i="8"/>
  <c r="U114" i="8"/>
  <c r="V114" i="8"/>
  <c r="W114" i="8"/>
  <c r="P122" i="8"/>
  <c r="P123" i="8" s="1"/>
  <c r="Q122" i="8"/>
  <c r="Q123" i="8" s="1"/>
  <c r="R122" i="8"/>
  <c r="R123" i="8" s="1"/>
  <c r="S122" i="8"/>
  <c r="S123" i="8" s="1"/>
  <c r="T122" i="8"/>
  <c r="T123" i="8" s="1"/>
  <c r="U122" i="8"/>
  <c r="V122" i="8"/>
  <c r="V123" i="8" s="1"/>
  <c r="W122" i="8"/>
  <c r="W123" i="8" s="1"/>
  <c r="U123" i="8"/>
  <c r="P128" i="8"/>
  <c r="Q128" i="8"/>
  <c r="R128" i="8"/>
  <c r="R126" i="8" s="1"/>
  <c r="S128" i="8"/>
  <c r="T128" i="8"/>
  <c r="U128" i="8"/>
  <c r="V128" i="8"/>
  <c r="W128" i="8"/>
  <c r="P129" i="8"/>
  <c r="Q129" i="8"/>
  <c r="R129" i="8"/>
  <c r="T129" i="8"/>
  <c r="U129" i="8"/>
  <c r="P136" i="8"/>
  <c r="P137" i="8" s="1"/>
  <c r="Q136" i="8"/>
  <c r="R136" i="8"/>
  <c r="R137" i="8" s="1"/>
  <c r="S136" i="8"/>
  <c r="T136" i="8"/>
  <c r="U136" i="8"/>
  <c r="V136" i="8"/>
  <c r="V137" i="8" s="1"/>
  <c r="W136" i="8"/>
  <c r="W137" i="8" s="1"/>
  <c r="P142" i="8"/>
  <c r="Q142" i="8"/>
  <c r="R142" i="8"/>
  <c r="S142" i="8"/>
  <c r="T142" i="8"/>
  <c r="U142" i="8"/>
  <c r="V142" i="8"/>
  <c r="W142" i="8"/>
  <c r="P143" i="8"/>
  <c r="Q143" i="8"/>
  <c r="R143" i="8"/>
  <c r="S143" i="8"/>
  <c r="T143" i="8"/>
  <c r="U143" i="8"/>
  <c r="V143" i="8"/>
  <c r="V141" i="8" s="1"/>
  <c r="W160" i="8"/>
  <c r="P196" i="8"/>
  <c r="Q196" i="8"/>
  <c r="R196" i="8"/>
  <c r="S196" i="8"/>
  <c r="T196" i="8"/>
  <c r="U196" i="8"/>
  <c r="V196" i="8"/>
  <c r="W196" i="8"/>
  <c r="P197" i="8"/>
  <c r="Q197" i="8"/>
  <c r="R197" i="8"/>
  <c r="S197" i="8"/>
  <c r="T197" i="8"/>
  <c r="U197" i="8"/>
  <c r="V197" i="8"/>
  <c r="W197" i="8"/>
  <c r="ET16" i="2"/>
  <c r="EU16" i="2"/>
  <c r="EV16" i="2"/>
  <c r="EW16" i="2"/>
  <c r="EX16" i="2"/>
  <c r="EQ17" i="2"/>
  <c r="ER17" i="2"/>
  <c r="ES17" i="2"/>
  <c r="ET17" i="2"/>
  <c r="EU17" i="2"/>
  <c r="EV17" i="2"/>
  <c r="EW17" i="2"/>
  <c r="EX17" i="2"/>
  <c r="EQ19" i="2"/>
  <c r="P47" i="8" s="1"/>
  <c r="ER19" i="2"/>
  <c r="ES19" i="2"/>
  <c r="R47" i="8" s="1"/>
  <c r="ET19" i="2"/>
  <c r="S47" i="8" s="1"/>
  <c r="EU19" i="2"/>
  <c r="T47" i="8" s="1"/>
  <c r="EV19" i="2"/>
  <c r="U47" i="8" s="1"/>
  <c r="EW19" i="2"/>
  <c r="V47" i="8" s="1"/>
  <c r="EX19" i="2"/>
  <c r="W47" i="8" s="1"/>
  <c r="EQ20" i="2"/>
  <c r="P54" i="8" s="1"/>
  <c r="ER20" i="2"/>
  <c r="Q54" i="8" s="1"/>
  <c r="ES20" i="2"/>
  <c r="R54" i="8" s="1"/>
  <c r="ET20" i="2"/>
  <c r="S54" i="8" s="1"/>
  <c r="EU20" i="2"/>
  <c r="T54" i="8" s="1"/>
  <c r="EV20" i="2"/>
  <c r="U54" i="8" s="1"/>
  <c r="EW20" i="2"/>
  <c r="V54" i="8" s="1"/>
  <c r="EX20" i="2"/>
  <c r="W54" i="8" s="1"/>
  <c r="EV21" i="2"/>
  <c r="U55" i="8" s="1"/>
  <c r="EQ22" i="2"/>
  <c r="ER22" i="2"/>
  <c r="ES22" i="2"/>
  <c r="ET22" i="2"/>
  <c r="EU22" i="2"/>
  <c r="EV22" i="2"/>
  <c r="EW22" i="2"/>
  <c r="EX22" i="2"/>
  <c r="ER24" i="2"/>
  <c r="ES24" i="2"/>
  <c r="ET24" i="2"/>
  <c r="EU24" i="2"/>
  <c r="EV24" i="2"/>
  <c r="EW24" i="2"/>
  <c r="EX24" i="2"/>
  <c r="EQ25" i="2"/>
  <c r="ER25" i="2"/>
  <c r="ES25" i="2"/>
  <c r="ET25" i="2"/>
  <c r="EU25" i="2"/>
  <c r="EV25" i="2"/>
  <c r="EW25" i="2"/>
  <c r="EX25" i="2"/>
  <c r="EQ26" i="2"/>
  <c r="ER26" i="2"/>
  <c r="ES26" i="2"/>
  <c r="ET26" i="2"/>
  <c r="EU26" i="2"/>
  <c r="EV26" i="2"/>
  <c r="EW26" i="2"/>
  <c r="EX26" i="2"/>
  <c r="EQ27" i="2"/>
  <c r="ER27" i="2"/>
  <c r="ES27" i="2"/>
  <c r="ET27" i="2"/>
  <c r="EU27" i="2"/>
  <c r="EV27" i="2"/>
  <c r="EW27" i="2"/>
  <c r="EX27" i="2"/>
  <c r="EQ29" i="2"/>
  <c r="ER29" i="2"/>
  <c r="ES29" i="2"/>
  <c r="ET29" i="2"/>
  <c r="EU29" i="2"/>
  <c r="EV29" i="2"/>
  <c r="EW29" i="2"/>
  <c r="EX29" i="2"/>
  <c r="EQ30" i="2"/>
  <c r="ER30" i="2"/>
  <c r="ES30" i="2"/>
  <c r="ET30" i="2"/>
  <c r="EU30" i="2"/>
  <c r="EV30" i="2"/>
  <c r="EW30" i="2"/>
  <c r="EX30" i="2"/>
  <c r="ES32" i="2"/>
  <c r="ET32" i="2"/>
  <c r="EU32" i="2"/>
  <c r="EV32" i="2"/>
  <c r="EW32" i="2"/>
  <c r="EX32" i="2"/>
  <c r="EQ40" i="2"/>
  <c r="ER40" i="2"/>
  <c r="ES40" i="2"/>
  <c r="ET40" i="2"/>
  <c r="EU40" i="2"/>
  <c r="EV40" i="2"/>
  <c r="EW40" i="2"/>
  <c r="EX40" i="2"/>
  <c r="EQ45" i="2"/>
  <c r="ER45" i="2"/>
  <c r="ES45" i="2"/>
  <c r="ET45" i="2"/>
  <c r="EU45" i="2"/>
  <c r="EV45" i="2"/>
  <c r="EW45" i="2"/>
  <c r="EX45" i="2"/>
  <c r="EQ48" i="2"/>
  <c r="ER48" i="2"/>
  <c r="ES48" i="2"/>
  <c r="ET48" i="2"/>
  <c r="EU48" i="2"/>
  <c r="EV48" i="2"/>
  <c r="EW48" i="2"/>
  <c r="EX48" i="2"/>
  <c r="EQ54" i="2"/>
  <c r="ER54" i="2"/>
  <c r="ES54" i="2"/>
  <c r="ET54" i="2"/>
  <c r="EU54" i="2"/>
  <c r="EV54" i="2"/>
  <c r="EW54" i="2"/>
  <c r="EX54" i="2"/>
  <c r="EQ60" i="2"/>
  <c r="P160" i="8" s="1"/>
  <c r="ER60" i="2"/>
  <c r="Q160" i="8" s="1"/>
  <c r="ES60" i="2"/>
  <c r="R160" i="8" s="1"/>
  <c r="ET60" i="2"/>
  <c r="S160" i="8" s="1"/>
  <c r="EU60" i="2"/>
  <c r="T160" i="8" s="1"/>
  <c r="EV60" i="2"/>
  <c r="U160" i="8" s="1"/>
  <c r="EW60" i="2"/>
  <c r="EQ61" i="2"/>
  <c r="ER61" i="2"/>
  <c r="Q161" i="8" s="1"/>
  <c r="ES61" i="2"/>
  <c r="R161" i="8" s="1"/>
  <c r="ET61" i="2"/>
  <c r="S161" i="8" s="1"/>
  <c r="EU61" i="2"/>
  <c r="T161" i="8" s="1"/>
  <c r="EV61" i="2"/>
  <c r="U161" i="8" s="1"/>
  <c r="EW61" i="2"/>
  <c r="V161" i="8" s="1"/>
  <c r="EX61" i="2"/>
  <c r="W161" i="8" s="1"/>
  <c r="EQ64" i="2"/>
  <c r="P164" i="8" s="1"/>
  <c r="ER64" i="2"/>
  <c r="Q164" i="8" s="1"/>
  <c r="ES64" i="2"/>
  <c r="R164" i="8" s="1"/>
  <c r="ET64" i="2"/>
  <c r="S164" i="8" s="1"/>
  <c r="EU64" i="2"/>
  <c r="T164" i="8" s="1"/>
  <c r="EV64" i="2"/>
  <c r="U164" i="8" s="1"/>
  <c r="EW64" i="2"/>
  <c r="V164" i="8" s="1"/>
  <c r="EX64" i="2"/>
  <c r="W164" i="8" s="1"/>
  <c r="EQ66" i="2"/>
  <c r="P166" i="8" s="1"/>
  <c r="ER66" i="2"/>
  <c r="Q166" i="8" s="1"/>
  <c r="ES66" i="2"/>
  <c r="R166" i="8" s="1"/>
  <c r="ET66" i="2"/>
  <c r="S166" i="8" s="1"/>
  <c r="EU66" i="2"/>
  <c r="T166" i="8" s="1"/>
  <c r="EV66" i="2"/>
  <c r="U166" i="8" s="1"/>
  <c r="EW66" i="2"/>
  <c r="V166" i="8" s="1"/>
  <c r="EX66" i="2"/>
  <c r="W166" i="8" s="1"/>
  <c r="EQ69" i="2"/>
  <c r="P169" i="8" s="1"/>
  <c r="ER69" i="2"/>
  <c r="Q169" i="8" s="1"/>
  <c r="ES69" i="2"/>
  <c r="R169" i="8" s="1"/>
  <c r="ET69" i="2"/>
  <c r="S169" i="8" s="1"/>
  <c r="EU69" i="2"/>
  <c r="T169" i="8" s="1"/>
  <c r="EV69" i="2"/>
  <c r="U169" i="8" s="1"/>
  <c r="EW69" i="2"/>
  <c r="V169" i="8" s="1"/>
  <c r="EX69" i="2"/>
  <c r="W169" i="8" s="1"/>
  <c r="EQ70" i="2"/>
  <c r="P170" i="8" s="1"/>
  <c r="ER70" i="2"/>
  <c r="Q170" i="8" s="1"/>
  <c r="ES70" i="2"/>
  <c r="R170" i="8" s="1"/>
  <c r="ET70" i="2"/>
  <c r="S170" i="8" s="1"/>
  <c r="EU70" i="2"/>
  <c r="T170" i="8" s="1"/>
  <c r="EV70" i="2"/>
  <c r="U170" i="8" s="1"/>
  <c r="EW70" i="2"/>
  <c r="V170" i="8" s="1"/>
  <c r="EX70" i="2"/>
  <c r="W170" i="8" s="1"/>
  <c r="EQ74" i="2"/>
  <c r="P174" i="8" s="1"/>
  <c r="ER74" i="2"/>
  <c r="Q174" i="8" s="1"/>
  <c r="ES74" i="2"/>
  <c r="R174" i="8" s="1"/>
  <c r="ET74" i="2"/>
  <c r="S174" i="8" s="1"/>
  <c r="EU74" i="2"/>
  <c r="T174" i="8" s="1"/>
  <c r="EV74" i="2"/>
  <c r="U174" i="8" s="1"/>
  <c r="EW74" i="2"/>
  <c r="V174" i="8" s="1"/>
  <c r="EX74" i="2"/>
  <c r="W174" i="8" s="1"/>
  <c r="EQ76" i="2"/>
  <c r="P176" i="8" s="1"/>
  <c r="ER76" i="2"/>
  <c r="Q176" i="8" s="1"/>
  <c r="ES76" i="2"/>
  <c r="R176" i="8" s="1"/>
  <c r="ET76" i="2"/>
  <c r="S176" i="8" s="1"/>
  <c r="EU76" i="2"/>
  <c r="T176" i="8" s="1"/>
  <c r="EV76" i="2"/>
  <c r="U176" i="8" s="1"/>
  <c r="EW76" i="2"/>
  <c r="V176" i="8" s="1"/>
  <c r="EX76" i="2"/>
  <c r="W176" i="8" s="1"/>
  <c r="EQ80" i="2"/>
  <c r="P180" i="8" s="1"/>
  <c r="ER80" i="2"/>
  <c r="Q180" i="8" s="1"/>
  <c r="ES80" i="2"/>
  <c r="R180" i="8" s="1"/>
  <c r="ET80" i="2"/>
  <c r="S180" i="8" s="1"/>
  <c r="EU80" i="2"/>
  <c r="T180" i="8" s="1"/>
  <c r="EV80" i="2"/>
  <c r="U180" i="8" s="1"/>
  <c r="EW80" i="2"/>
  <c r="V180" i="8" s="1"/>
  <c r="EX80" i="2"/>
  <c r="W180" i="8" s="1"/>
  <c r="EQ83" i="2"/>
  <c r="ER83" i="2"/>
  <c r="ES83" i="2"/>
  <c r="ET83" i="2"/>
  <c r="EU83" i="2"/>
  <c r="EV83" i="2"/>
  <c r="EW83" i="2"/>
  <c r="EX83" i="2"/>
  <c r="EQ84" i="2"/>
  <c r="ER84" i="2"/>
  <c r="ES84" i="2"/>
  <c r="ET84" i="2"/>
  <c r="EU84" i="2"/>
  <c r="EV84" i="2"/>
  <c r="EW84" i="2"/>
  <c r="EX84" i="2"/>
  <c r="EQ86" i="2"/>
  <c r="ER86" i="2"/>
  <c r="ES86" i="2"/>
  <c r="ET86" i="2"/>
  <c r="EU86" i="2"/>
  <c r="EV86" i="2"/>
  <c r="EW86" i="2"/>
  <c r="EX86" i="2"/>
  <c r="EQ88" i="2"/>
  <c r="ER88" i="2"/>
  <c r="ES88" i="2"/>
  <c r="ET88" i="2"/>
  <c r="EU88" i="2"/>
  <c r="EV88" i="2"/>
  <c r="EW88" i="2"/>
  <c r="EX88" i="2"/>
  <c r="EQ92" i="2"/>
  <c r="ER92" i="2"/>
  <c r="ES92" i="2"/>
  <c r="ET92" i="2"/>
  <c r="EU92" i="2"/>
  <c r="EV92" i="2"/>
  <c r="EW92" i="2"/>
  <c r="EX92" i="2"/>
  <c r="EQ97" i="2"/>
  <c r="ER97" i="2"/>
  <c r="ES97" i="2"/>
  <c r="ET97" i="2"/>
  <c r="EU97" i="2"/>
  <c r="EV97" i="2"/>
  <c r="EW97" i="2"/>
  <c r="EX97" i="2"/>
  <c r="EQ98" i="2"/>
  <c r="ER98" i="2"/>
  <c r="ES98" i="2"/>
  <c r="ET98" i="2"/>
  <c r="EU98" i="2"/>
  <c r="EV98" i="2"/>
  <c r="EW98" i="2"/>
  <c r="EX98" i="2"/>
  <c r="EQ99" i="2"/>
  <c r="ER99" i="2"/>
  <c r="ES99" i="2"/>
  <c r="ET99" i="2"/>
  <c r="EU99" i="2"/>
  <c r="EV99" i="2"/>
  <c r="EW99" i="2"/>
  <c r="EX99" i="2"/>
  <c r="EQ108" i="2"/>
  <c r="ER108" i="2"/>
  <c r="ES108" i="2"/>
  <c r="ET108" i="2"/>
  <c r="EU108" i="2"/>
  <c r="EV108" i="2"/>
  <c r="EW108" i="2"/>
  <c r="EX108" i="2"/>
  <c r="S12" i="8"/>
  <c r="V12" i="8"/>
  <c r="W12" i="8"/>
  <c r="S350" i="7"/>
  <c r="S348" i="7" s="1"/>
  <c r="T350" i="7"/>
  <c r="T348" i="7" s="1"/>
  <c r="U350" i="7"/>
  <c r="U348" i="7" s="1"/>
  <c r="V350" i="7"/>
  <c r="V348" i="7" s="1"/>
  <c r="W350" i="7"/>
  <c r="W348" i="7" s="1"/>
  <c r="X350" i="7"/>
  <c r="X348" i="7" s="1"/>
  <c r="Y350" i="7"/>
  <c r="Y348" i="7" s="1"/>
  <c r="Z350" i="7"/>
  <c r="Z348" i="7" s="1"/>
  <c r="S492" i="7"/>
  <c r="S490" i="7" s="1"/>
  <c r="T492" i="7"/>
  <c r="T490" i="7" s="1"/>
  <c r="U492" i="7"/>
  <c r="U490" i="7" s="1"/>
  <c r="V492" i="7"/>
  <c r="V490" i="7" s="1"/>
  <c r="W492" i="7"/>
  <c r="W490" i="7" s="1"/>
  <c r="X492" i="7"/>
  <c r="X490" i="7" s="1"/>
  <c r="Y492" i="7"/>
  <c r="Y490" i="7" s="1"/>
  <c r="Z492" i="7"/>
  <c r="Z490" i="7" s="1"/>
  <c r="S562" i="7"/>
  <c r="S560" i="7" s="1"/>
  <c r="T562" i="7"/>
  <c r="T560" i="7" s="1"/>
  <c r="U562" i="7"/>
  <c r="U560" i="7" s="1"/>
  <c r="V562" i="7"/>
  <c r="V560" i="7" s="1"/>
  <c r="W562" i="7"/>
  <c r="W560" i="7" s="1"/>
  <c r="X562" i="7"/>
  <c r="X560" i="7" s="1"/>
  <c r="V129" i="8"/>
  <c r="W129" i="8"/>
  <c r="S632" i="7"/>
  <c r="S630" i="7" s="1"/>
  <c r="T632" i="7"/>
  <c r="T630" i="7" s="1"/>
  <c r="U632" i="7"/>
  <c r="U630" i="7" s="1"/>
  <c r="V632" i="7"/>
  <c r="V630" i="7" s="1"/>
  <c r="W632" i="7"/>
  <c r="W630" i="7" s="1"/>
  <c r="X632" i="7"/>
  <c r="X630" i="7" s="1"/>
  <c r="Y632" i="7"/>
  <c r="Y630" i="7" s="1"/>
  <c r="Z632" i="7"/>
  <c r="Z630" i="7" s="1"/>
  <c r="EC76" i="2"/>
  <c r="EC108" i="2"/>
  <c r="EC99" i="2"/>
  <c r="EC98" i="2"/>
  <c r="EC97" i="2"/>
  <c r="EC92" i="2"/>
  <c r="EC88" i="2"/>
  <c r="EC86" i="2"/>
  <c r="EC84" i="2"/>
  <c r="EC83" i="2"/>
  <c r="EC80" i="2"/>
  <c r="EC74" i="2"/>
  <c r="EC70" i="2"/>
  <c r="EC69" i="2"/>
  <c r="EC66" i="2"/>
  <c r="EC64" i="2"/>
  <c r="EC61" i="2"/>
  <c r="EC60" i="2"/>
  <c r="EC54" i="2"/>
  <c r="EC48" i="2"/>
  <c r="EC45" i="2"/>
  <c r="EC40" i="2"/>
  <c r="EC30" i="2"/>
  <c r="EC29" i="2"/>
  <c r="EC22" i="2"/>
  <c r="EC21" i="2"/>
  <c r="EC20" i="2"/>
  <c r="EC19" i="2"/>
  <c r="EC17" i="2"/>
  <c r="BQ95" i="2"/>
  <c r="BQ96" i="2"/>
  <c r="BQ97" i="2"/>
  <c r="BQ98" i="2"/>
  <c r="BQ99" i="2"/>
  <c r="BQ102" i="2"/>
  <c r="BQ103" i="2"/>
  <c r="BQ104" i="2"/>
  <c r="BQ105" i="2"/>
  <c r="BQ106" i="2"/>
  <c r="BQ107" i="2"/>
  <c r="BQ108" i="2"/>
  <c r="BQ92" i="2"/>
  <c r="BQ93" i="2"/>
  <c r="BQ91" i="2"/>
  <c r="BQ83" i="2"/>
  <c r="BQ84" i="2"/>
  <c r="BQ85" i="2"/>
  <c r="BQ86" i="2"/>
  <c r="BQ87" i="2"/>
  <c r="BQ88" i="2"/>
  <c r="BQ60" i="2"/>
  <c r="BQ61" i="2"/>
  <c r="BQ62" i="2"/>
  <c r="BQ63" i="2"/>
  <c r="BQ64" i="2"/>
  <c r="BQ65" i="2"/>
  <c r="BQ66" i="2"/>
  <c r="BQ67" i="2"/>
  <c r="BQ68" i="2"/>
  <c r="BQ69" i="2"/>
  <c r="BQ70" i="2"/>
  <c r="BQ74" i="2"/>
  <c r="BQ76" i="2"/>
  <c r="BQ80" i="2"/>
  <c r="BQ59" i="2"/>
  <c r="BQ44" i="2"/>
  <c r="BQ45" i="2"/>
  <c r="BQ48" i="2"/>
  <c r="BQ53" i="2"/>
  <c r="BQ54" i="2"/>
  <c r="BQ57" i="2"/>
  <c r="BQ40" i="2"/>
  <c r="BQ39" i="2"/>
  <c r="BQ35" i="2"/>
  <c r="BQ36" i="2"/>
  <c r="BQ34" i="2"/>
  <c r="BQ25" i="2"/>
  <c r="BQ26" i="2"/>
  <c r="BQ27" i="2"/>
  <c r="BQ28" i="2"/>
  <c r="BQ29" i="2"/>
  <c r="BQ30" i="2"/>
  <c r="BQ31" i="2"/>
  <c r="BQ32" i="2"/>
  <c r="BQ24" i="2"/>
  <c r="BQ20" i="2"/>
  <c r="BQ21" i="2"/>
  <c r="BQ22" i="2"/>
  <c r="BQ19" i="2"/>
  <c r="BQ14" i="2"/>
  <c r="BQ17" i="2"/>
  <c r="CG12" i="2"/>
  <c r="CH12" i="2"/>
  <c r="CI12" i="2"/>
  <c r="CJ12" i="2"/>
  <c r="CK12" i="2"/>
  <c r="CL12" i="2"/>
  <c r="S23" i="2"/>
  <c r="BI23" i="2" s="1"/>
  <c r="T23" i="2"/>
  <c r="BJ23" i="2" s="1"/>
  <c r="U23" i="2"/>
  <c r="BK23" i="2" s="1"/>
  <c r="V23" i="2"/>
  <c r="BL23" i="2" s="1"/>
  <c r="W23" i="2"/>
  <c r="BM23" i="2" s="1"/>
  <c r="X23" i="2"/>
  <c r="BN23" i="2" s="1"/>
  <c r="Y23" i="2"/>
  <c r="BO23" i="2" s="1"/>
  <c r="Z23" i="2"/>
  <c r="BP23" i="2" s="1"/>
  <c r="S33" i="2"/>
  <c r="T33" i="2"/>
  <c r="BJ33" i="2" s="1"/>
  <c r="U33" i="2"/>
  <c r="V33" i="2"/>
  <c r="BL33" i="2" s="1"/>
  <c r="W33" i="2"/>
  <c r="BM33" i="2" s="1"/>
  <c r="X33" i="2"/>
  <c r="BN33" i="2" s="1"/>
  <c r="Y33" i="2"/>
  <c r="BO33" i="2" s="1"/>
  <c r="Z33" i="2"/>
  <c r="U37" i="2" l="1"/>
  <c r="BK37" i="2" s="1"/>
  <c r="BK33" i="2"/>
  <c r="S37" i="2"/>
  <c r="BI37" i="2" s="1"/>
  <c r="BI33" i="2"/>
  <c r="Z37" i="2"/>
  <c r="BP37" i="2" s="1"/>
  <c r="BP33" i="2"/>
  <c r="ER16" i="2"/>
  <c r="R12" i="8"/>
  <c r="R49" i="8"/>
  <c r="V49" i="8"/>
  <c r="BQ33" i="2"/>
  <c r="BQ37" i="2" s="1"/>
  <c r="Y37" i="2"/>
  <c r="BO37" i="2" s="1"/>
  <c r="X37" i="2"/>
  <c r="BN37" i="2" s="1"/>
  <c r="W49" i="8"/>
  <c r="AA23" i="7"/>
  <c r="AB23" i="7" s="1"/>
  <c r="AA157" i="7"/>
  <c r="AB157" i="7" s="1"/>
  <c r="EX18" i="2"/>
  <c r="Q47" i="8"/>
  <c r="V37" i="2"/>
  <c r="BL37" i="2" s="1"/>
  <c r="W37" i="2"/>
  <c r="BM37" i="2" s="1"/>
  <c r="S49" i="8"/>
  <c r="R84" i="8"/>
  <c r="P161" i="8"/>
  <c r="AA90" i="7"/>
  <c r="R140" i="8"/>
  <c r="V147" i="8"/>
  <c r="T37" i="2"/>
  <c r="BJ37" i="2" s="1"/>
  <c r="V160" i="8"/>
  <c r="T140" i="8"/>
  <c r="S140" i="8"/>
  <c r="S126" i="8"/>
  <c r="U141" i="8"/>
  <c r="S137" i="8"/>
  <c r="Q126" i="8"/>
  <c r="T85" i="8"/>
  <c r="T91" i="8" s="1"/>
  <c r="P49" i="8"/>
  <c r="P127" i="8"/>
  <c r="P133" i="8" s="1"/>
  <c r="W115" i="8"/>
  <c r="W113" i="8" s="1"/>
  <c r="W119" i="8" s="1"/>
  <c r="U147" i="8"/>
  <c r="U115" i="8"/>
  <c r="U113" i="8" s="1"/>
  <c r="U119" i="8" s="1"/>
  <c r="R87" i="8"/>
  <c r="R85" i="8" s="1"/>
  <c r="R91" i="8" s="1"/>
  <c r="ET18" i="2"/>
  <c r="P12" i="8"/>
  <c r="S129" i="8"/>
  <c r="R115" i="8"/>
  <c r="R113" i="8" s="1"/>
  <c r="R119" i="8" s="1"/>
  <c r="Z562" i="7"/>
  <c r="Z560" i="7" s="1"/>
  <c r="V140" i="8"/>
  <c r="Q115" i="8"/>
  <c r="Q113" i="8" s="1"/>
  <c r="Q119" i="8" s="1"/>
  <c r="EU18" i="2"/>
  <c r="T115" i="8"/>
  <c r="T113" i="8" s="1"/>
  <c r="T119" i="8" s="1"/>
  <c r="Q87" i="8"/>
  <c r="Q85" i="8" s="1"/>
  <c r="Q91" i="8" s="1"/>
  <c r="T84" i="8"/>
  <c r="Y562" i="7"/>
  <c r="Y560" i="7" s="1"/>
  <c r="U140" i="8"/>
  <c r="P115" i="8"/>
  <c r="P113" i="8" s="1"/>
  <c r="P119" i="8" s="1"/>
  <c r="U85" i="8"/>
  <c r="U91" i="8" s="1"/>
  <c r="U53" i="8"/>
  <c r="Q134" i="8"/>
  <c r="V115" i="8"/>
  <c r="V113" i="8" s="1"/>
  <c r="V119" i="8" s="1"/>
  <c r="T141" i="8"/>
  <c r="T147" i="8" s="1"/>
  <c r="S115" i="8"/>
  <c r="S113" i="8" s="1"/>
  <c r="S119" i="8" s="1"/>
  <c r="P87" i="8"/>
  <c r="P85" i="8" s="1"/>
  <c r="P91" i="8" s="1"/>
  <c r="U137" i="8"/>
  <c r="T53" i="8"/>
  <c r="ES18" i="2"/>
  <c r="EQ18" i="2"/>
  <c r="EQ16" i="2"/>
  <c r="W140" i="8"/>
  <c r="W143" i="8"/>
  <c r="T137" i="8"/>
  <c r="V112" i="8"/>
  <c r="W87" i="8"/>
  <c r="W85" i="8" s="1"/>
  <c r="W91" i="8" s="1"/>
  <c r="S85" i="8"/>
  <c r="S91" i="8" s="1"/>
  <c r="W55" i="8"/>
  <c r="W53" i="8" s="1"/>
  <c r="V84" i="8"/>
  <c r="P141" i="8"/>
  <c r="P147" i="8" s="1"/>
  <c r="V127" i="8"/>
  <c r="V133" i="8" s="1"/>
  <c r="P126" i="8"/>
  <c r="P134" i="8" s="1"/>
  <c r="T112" i="8"/>
  <c r="R141" i="8"/>
  <c r="R147" i="8" s="1"/>
  <c r="S84" i="8"/>
  <c r="W84" i="8"/>
  <c r="R127" i="8"/>
  <c r="R133" i="8" s="1"/>
  <c r="S141" i="8"/>
  <c r="S147" i="8" s="1"/>
  <c r="Q127" i="8"/>
  <c r="Q133" i="8" s="1"/>
  <c r="R53" i="8"/>
  <c r="R134" i="8"/>
  <c r="W112" i="8"/>
  <c r="P140" i="8"/>
  <c r="Q53" i="8"/>
  <c r="S134" i="8"/>
  <c r="S127" i="8"/>
  <c r="S133" i="8" s="1"/>
  <c r="S53" i="8"/>
  <c r="Q141" i="8"/>
  <c r="Q147" i="8" s="1"/>
  <c r="W127" i="8"/>
  <c r="W133" i="8" s="1"/>
  <c r="P53" i="8"/>
  <c r="P63" i="8"/>
  <c r="T49" i="8"/>
  <c r="T63" i="8"/>
  <c r="Q112" i="8"/>
  <c r="S63" i="8"/>
  <c r="U127" i="8"/>
  <c r="U133" i="8" s="1"/>
  <c r="U126" i="8"/>
  <c r="U134" i="8" s="1"/>
  <c r="P112" i="8"/>
  <c r="R63" i="8"/>
  <c r="U63" i="8"/>
  <c r="T127" i="8"/>
  <c r="T133" i="8" s="1"/>
  <c r="T126" i="8"/>
  <c r="T134" i="8" s="1"/>
  <c r="Q137" i="8"/>
  <c r="T109" i="8"/>
  <c r="V85" i="8"/>
  <c r="V91" i="8" s="1"/>
  <c r="V53" i="8"/>
  <c r="V63" i="8"/>
  <c r="P84" i="8"/>
  <c r="U49" i="8"/>
  <c r="Q140" i="8"/>
  <c r="U112" i="8"/>
  <c r="Q84" i="8"/>
  <c r="W126" i="8"/>
  <c r="W134" i="8" s="1"/>
  <c r="S112" i="8"/>
  <c r="V126" i="8"/>
  <c r="V134" i="8" s="1"/>
  <c r="R112" i="8"/>
  <c r="V81" i="8"/>
  <c r="EV18" i="2"/>
  <c r="EW18" i="2"/>
  <c r="ER18" i="2"/>
  <c r="Q63" i="8" l="1"/>
  <c r="Q49" i="8"/>
  <c r="V120" i="8"/>
  <c r="W120" i="8"/>
  <c r="T120" i="8"/>
  <c r="U120" i="8"/>
  <c r="P120" i="8"/>
  <c r="R120" i="8"/>
  <c r="W63" i="8"/>
  <c r="Q120" i="8"/>
  <c r="S120" i="8"/>
  <c r="W141" i="8"/>
  <c r="W147" i="8" s="1"/>
  <c r="AD52" i="8"/>
  <c r="AD53" i="8"/>
  <c r="AD54" i="8"/>
  <c r="AD55" i="8"/>
  <c r="AD56" i="8"/>
  <c r="AD57" i="8"/>
  <c r="AD58" i="8"/>
  <c r="AD59" i="8"/>
  <c r="AD60" i="8"/>
  <c r="AD61" i="8"/>
  <c r="AD62" i="8"/>
  <c r="AD63" i="8"/>
  <c r="AD51" i="8"/>
  <c r="AF50" i="8"/>
  <c r="E28" i="10" s="1"/>
  <c r="AG50" i="8"/>
  <c r="F28" i="10" s="1"/>
  <c r="AH50" i="8"/>
  <c r="G28" i="10" s="1"/>
  <c r="AI50" i="8"/>
  <c r="H28" i="10" s="1"/>
  <c r="AJ50" i="8"/>
  <c r="I28" i="10" s="1"/>
  <c r="AK50" i="8"/>
  <c r="J28" i="10" s="1"/>
  <c r="AL50" i="8"/>
  <c r="K28" i="10" s="1"/>
  <c r="AM50" i="8"/>
  <c r="L28" i="10" s="1"/>
  <c r="AN50" i="8"/>
  <c r="M28" i="10" s="1"/>
  <c r="AO50" i="8"/>
  <c r="N28" i="10" s="1"/>
  <c r="AP50" i="8"/>
  <c r="O28" i="10" s="1"/>
  <c r="AQ50" i="8"/>
  <c r="P28" i="10" s="1"/>
  <c r="AE50" i="8"/>
  <c r="D28" i="10" s="1"/>
  <c r="E27" i="10"/>
  <c r="F27" i="10"/>
  <c r="G27" i="10"/>
  <c r="H27" i="10"/>
  <c r="I27" i="10"/>
  <c r="J27" i="10"/>
  <c r="K27" i="10"/>
  <c r="L27" i="10"/>
  <c r="M27" i="10"/>
  <c r="N27" i="10"/>
  <c r="O27" i="10"/>
  <c r="P27" i="10"/>
  <c r="D27" i="10"/>
  <c r="E6" i="10"/>
  <c r="F6" i="10"/>
  <c r="G6" i="10"/>
  <c r="H6" i="10"/>
  <c r="I6" i="10"/>
  <c r="J6" i="10"/>
  <c r="K6" i="10"/>
  <c r="L6" i="10"/>
  <c r="M6" i="10"/>
  <c r="N6" i="10"/>
  <c r="O6" i="10"/>
  <c r="P6" i="10"/>
  <c r="D6" i="10"/>
  <c r="AF14" i="8"/>
  <c r="E7" i="10" s="1"/>
  <c r="AG14" i="8"/>
  <c r="F7" i="10" s="1"/>
  <c r="AH14" i="8"/>
  <c r="G7" i="10" s="1"/>
  <c r="AI14" i="8"/>
  <c r="H7" i="10" s="1"/>
  <c r="AJ14" i="8"/>
  <c r="I7" i="10" s="1"/>
  <c r="AK14" i="8"/>
  <c r="J7" i="10" s="1"/>
  <c r="AL14" i="8"/>
  <c r="K7" i="10" s="1"/>
  <c r="AM14" i="8"/>
  <c r="L7" i="10" s="1"/>
  <c r="AN14" i="8"/>
  <c r="M7" i="10" s="1"/>
  <c r="AO14" i="8"/>
  <c r="N7" i="10" s="1"/>
  <c r="AP14" i="8"/>
  <c r="O7" i="10" s="1"/>
  <c r="AQ14" i="8"/>
  <c r="P7" i="10" s="1"/>
  <c r="AE14" i="8"/>
  <c r="D7" i="10" s="1"/>
  <c r="AD16" i="8"/>
  <c r="AD17" i="8"/>
  <c r="AD18" i="8"/>
  <c r="AD19" i="8"/>
  <c r="AD20" i="8"/>
  <c r="AD21" i="8"/>
  <c r="AD22" i="8"/>
  <c r="AD23" i="8"/>
  <c r="AD24" i="8"/>
  <c r="AD25" i="8"/>
  <c r="AD26" i="8"/>
  <c r="AD27" i="8"/>
  <c r="AD15" i="8"/>
  <c r="R33" i="2" l="1"/>
  <c r="G33" i="2"/>
  <c r="H33" i="2"/>
  <c r="I33" i="2"/>
  <c r="J33" i="2"/>
  <c r="K33" i="2"/>
  <c r="L33" i="2"/>
  <c r="M33" i="2"/>
  <c r="N33" i="2"/>
  <c r="O33" i="2"/>
  <c r="P33" i="2"/>
  <c r="Q33" i="2"/>
  <c r="F33" i="2"/>
  <c r="Q37" i="2" l="1"/>
  <c r="BG37" i="2" s="1"/>
  <c r="BG33" i="2"/>
  <c r="I37" i="2"/>
  <c r="AY37" i="2" s="1"/>
  <c r="AY33" i="2"/>
  <c r="P37" i="2"/>
  <c r="BF37" i="2" s="1"/>
  <c r="BF33" i="2"/>
  <c r="M37" i="2"/>
  <c r="BC37" i="2" s="1"/>
  <c r="BC33" i="2"/>
  <c r="G37" i="2"/>
  <c r="AW37" i="2" s="1"/>
  <c r="AW33" i="2"/>
  <c r="O37" i="2"/>
  <c r="BE37" i="2" s="1"/>
  <c r="BE33" i="2"/>
  <c r="N37" i="2"/>
  <c r="BD37" i="2" s="1"/>
  <c r="BD33" i="2"/>
  <c r="L37" i="2"/>
  <c r="BB37" i="2" s="1"/>
  <c r="BB33" i="2"/>
  <c r="K37" i="2"/>
  <c r="BA37" i="2" s="1"/>
  <c r="BA33" i="2"/>
  <c r="J37" i="2"/>
  <c r="AZ37" i="2" s="1"/>
  <c r="AZ33" i="2"/>
  <c r="H37" i="2"/>
  <c r="AX37" i="2" s="1"/>
  <c r="AX33" i="2"/>
  <c r="F37" i="2"/>
  <c r="AV37" i="2" s="1"/>
  <c r="AV33" i="2"/>
  <c r="R37" i="2"/>
  <c r="BH37" i="2" s="1"/>
  <c r="BH33" i="2"/>
  <c r="C9" i="10"/>
  <c r="C10" i="10"/>
  <c r="C11" i="10"/>
  <c r="C12" i="10"/>
  <c r="C13" i="10"/>
  <c r="C14" i="10"/>
  <c r="C15" i="10"/>
  <c r="C16" i="10"/>
  <c r="C17" i="10"/>
  <c r="C18" i="10"/>
  <c r="C19" i="10"/>
  <c r="C20" i="10"/>
  <c r="C8" i="10"/>
  <c r="D30" i="10" l="1"/>
  <c r="E30" i="10"/>
  <c r="F30" i="10"/>
  <c r="G30" i="10"/>
  <c r="H30" i="10"/>
  <c r="I30" i="10"/>
  <c r="J30" i="10"/>
  <c r="K30" i="10"/>
  <c r="L30" i="10"/>
  <c r="M30" i="10"/>
  <c r="N30" i="10"/>
  <c r="O30" i="10"/>
  <c r="P30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D29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8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E8" i="10"/>
  <c r="F8" i="10"/>
  <c r="G8" i="10"/>
  <c r="H8" i="10"/>
  <c r="I8" i="10"/>
  <c r="J8" i="10"/>
  <c r="K8" i="10"/>
  <c r="L8" i="10"/>
  <c r="M8" i="10"/>
  <c r="N8" i="10"/>
  <c r="O8" i="10"/>
  <c r="P8" i="10"/>
  <c r="D8" i="10"/>
  <c r="EE15" i="2" l="1"/>
  <c r="EE14" i="2"/>
  <c r="AB671" i="7" l="1"/>
  <c r="AB673" i="7"/>
  <c r="AB672" i="7"/>
  <c r="AB670" i="7"/>
  <c r="AB669" i="7"/>
  <c r="AB668" i="7"/>
  <c r="AB667" i="7"/>
  <c r="AB666" i="7"/>
  <c r="AB665" i="7"/>
  <c r="AB664" i="7"/>
  <c r="AB663" i="7"/>
  <c r="AB662" i="7"/>
  <c r="AB659" i="7"/>
  <c r="AB658" i="7"/>
  <c r="AB657" i="7"/>
  <c r="AB656" i="7"/>
  <c r="AB655" i="7"/>
  <c r="AB654" i="7"/>
  <c r="AB653" i="7"/>
  <c r="AB652" i="7"/>
  <c r="AB651" i="7"/>
  <c r="AB650" i="7"/>
  <c r="AB649" i="7"/>
  <c r="AB647" i="7"/>
  <c r="AB646" i="7"/>
  <c r="AB645" i="7"/>
  <c r="AB644" i="7"/>
  <c r="AB643" i="7"/>
  <c r="AB642" i="7"/>
  <c r="AB641" i="7"/>
  <c r="AB640" i="7"/>
  <c r="AB639" i="7"/>
  <c r="AB638" i="7"/>
  <c r="AB637" i="7"/>
  <c r="AB636" i="7"/>
  <c r="AB634" i="7"/>
  <c r="AB633" i="7"/>
  <c r="AB588" i="7"/>
  <c r="AB587" i="7"/>
  <c r="AB586" i="7"/>
  <c r="AB585" i="7"/>
  <c r="AB584" i="7"/>
  <c r="AB583" i="7"/>
  <c r="AB582" i="7"/>
  <c r="AB581" i="7"/>
  <c r="AB580" i="7"/>
  <c r="AB577" i="7"/>
  <c r="AB576" i="7"/>
  <c r="AB575" i="7"/>
  <c r="AB574" i="7"/>
  <c r="AB573" i="7"/>
  <c r="AB572" i="7"/>
  <c r="AB571" i="7"/>
  <c r="AB570" i="7"/>
  <c r="AB569" i="7"/>
  <c r="AB568" i="7"/>
  <c r="AB567" i="7"/>
  <c r="AB566" i="7"/>
  <c r="AB565" i="7"/>
  <c r="AB564" i="7"/>
  <c r="AB563" i="7"/>
  <c r="AB510" i="7"/>
  <c r="AB507" i="7"/>
  <c r="AB506" i="7"/>
  <c r="AB505" i="7"/>
  <c r="AB504" i="7"/>
  <c r="AB503" i="7"/>
  <c r="AB502" i="7"/>
  <c r="AB501" i="7"/>
  <c r="AB500" i="7"/>
  <c r="AB499" i="7"/>
  <c r="AB498" i="7"/>
  <c r="AB497" i="7"/>
  <c r="AB495" i="7"/>
  <c r="AB494" i="7"/>
  <c r="AB493" i="7"/>
  <c r="AB436" i="7"/>
  <c r="AB435" i="7"/>
  <c r="AB434" i="7"/>
  <c r="AB433" i="7"/>
  <c r="AB432" i="7"/>
  <c r="AB431" i="7"/>
  <c r="AB430" i="7"/>
  <c r="AB429" i="7"/>
  <c r="AB428" i="7"/>
  <c r="AB427" i="7"/>
  <c r="AB425" i="7"/>
  <c r="AB424" i="7"/>
  <c r="AB423" i="7"/>
  <c r="AB312" i="7"/>
  <c r="AA351" i="7"/>
  <c r="AA349" i="7"/>
  <c r="AB313" i="7"/>
  <c r="AB311" i="7"/>
  <c r="AB309" i="7"/>
  <c r="AB307" i="7"/>
  <c r="AB306" i="7"/>
  <c r="AB305" i="7"/>
  <c r="AB304" i="7"/>
  <c r="AB303" i="7"/>
  <c r="AB302" i="7"/>
  <c r="AB295" i="7"/>
  <c r="AB294" i="7"/>
  <c r="AB293" i="7"/>
  <c r="AB292" i="7"/>
  <c r="AB291" i="7"/>
  <c r="AB290" i="7"/>
  <c r="AB289" i="7"/>
  <c r="AB288" i="7"/>
  <c r="AB287" i="7"/>
  <c r="AB286" i="7"/>
  <c r="AB285" i="7"/>
  <c r="AB284" i="7"/>
  <c r="AB283" i="7"/>
  <c r="AB118" i="7"/>
  <c r="AB126" i="7"/>
  <c r="AB127" i="7"/>
  <c r="AB128" i="7"/>
  <c r="AB129" i="7"/>
  <c r="AB117" i="7"/>
  <c r="AB92" i="7"/>
  <c r="AB93" i="7"/>
  <c r="AB94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91" i="7"/>
  <c r="AB27" i="7"/>
  <c r="AB67" i="7"/>
  <c r="AB66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51" i="7"/>
  <c r="AB41" i="7"/>
  <c r="AB32" i="7"/>
  <c r="AB40" i="7"/>
  <c r="AB39" i="7"/>
  <c r="AB38" i="7"/>
  <c r="AB37" i="7"/>
  <c r="AB36" i="7"/>
  <c r="AB35" i="7"/>
  <c r="AB34" i="7"/>
  <c r="AB33" i="7"/>
  <c r="AB31" i="7"/>
  <c r="AB30" i="7"/>
  <c r="AB29" i="7"/>
  <c r="AB28" i="7"/>
  <c r="AB26" i="7"/>
  <c r="AB50" i="7"/>
  <c r="AB68" i="7"/>
  <c r="AB69" i="7"/>
  <c r="AB70" i="7"/>
  <c r="AB71" i="7"/>
  <c r="AB72" i="7"/>
  <c r="AB73" i="7"/>
  <c r="AB74" i="7"/>
  <c r="AB95" i="7"/>
  <c r="AB119" i="7"/>
  <c r="AB120" i="7"/>
  <c r="AB121" i="7"/>
  <c r="AB122" i="7"/>
  <c r="AB123" i="7"/>
  <c r="AB124" i="7"/>
  <c r="AB125" i="7"/>
  <c r="AB130" i="7"/>
  <c r="AB131" i="7"/>
  <c r="AB132" i="7"/>
  <c r="AB13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308" i="7"/>
  <c r="AB310" i="7"/>
  <c r="AB426" i="7"/>
  <c r="AB635" i="7"/>
  <c r="AB660" i="7"/>
  <c r="AB661" i="7"/>
  <c r="AB674" i="7"/>
  <c r="AB349" i="7" l="1"/>
  <c r="AB351" i="7"/>
  <c r="AB517" i="7"/>
  <c r="AA236" i="7"/>
  <c r="AB521" i="7"/>
  <c r="AA240" i="7"/>
  <c r="AB522" i="7"/>
  <c r="AA241" i="7"/>
  <c r="AB512" i="7"/>
  <c r="AB525" i="7"/>
  <c r="AA244" i="7"/>
  <c r="AB523" i="7"/>
  <c r="AA242" i="7"/>
  <c r="AB513" i="7"/>
  <c r="AB524" i="7"/>
  <c r="AA243" i="7"/>
  <c r="AB518" i="7"/>
  <c r="AA237" i="7"/>
  <c r="AB519" i="7"/>
  <c r="AA238" i="7"/>
  <c r="AB514" i="7"/>
  <c r="AA233" i="7"/>
  <c r="AB520" i="7"/>
  <c r="AA239" i="7"/>
  <c r="AB511" i="7"/>
  <c r="AB515" i="7"/>
  <c r="AA234" i="7"/>
  <c r="AB516" i="7"/>
  <c r="AA235" i="7"/>
  <c r="AB509" i="7"/>
  <c r="AB24" i="7"/>
  <c r="AB631" i="7"/>
  <c r="G196" i="8"/>
  <c r="H196" i="8"/>
  <c r="I196" i="8"/>
  <c r="J196" i="8"/>
  <c r="K196" i="8"/>
  <c r="L196" i="8"/>
  <c r="M196" i="8"/>
  <c r="N196" i="8"/>
  <c r="O196" i="8"/>
  <c r="G197" i="8"/>
  <c r="H197" i="8"/>
  <c r="I197" i="8"/>
  <c r="J197" i="8"/>
  <c r="K197" i="8"/>
  <c r="L197" i="8"/>
  <c r="M197" i="8"/>
  <c r="N197" i="8"/>
  <c r="O197" i="8"/>
  <c r="F197" i="8"/>
  <c r="F196" i="8"/>
  <c r="X196" i="8" l="1"/>
  <c r="X197" i="8"/>
  <c r="AB90" i="7"/>
  <c r="F191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59" i="8" l="1"/>
  <c r="J29" i="8" l="1"/>
  <c r="I29" i="8"/>
  <c r="H29" i="8"/>
  <c r="G29" i="8"/>
  <c r="F29" i="8"/>
  <c r="F25" i="8"/>
  <c r="G25" i="8"/>
  <c r="X25" i="8" s="1"/>
  <c r="H25" i="8"/>
  <c r="I25" i="8"/>
  <c r="J25" i="8"/>
  <c r="K25" i="8"/>
  <c r="L25" i="8"/>
  <c r="M25" i="8"/>
  <c r="N25" i="8"/>
  <c r="O25" i="8"/>
  <c r="K29" i="8"/>
  <c r="L29" i="8"/>
  <c r="M29" i="8"/>
  <c r="N29" i="8"/>
  <c r="O29" i="8"/>
  <c r="F67" i="8"/>
  <c r="F68" i="8" s="1"/>
  <c r="F80" i="8"/>
  <c r="F81" i="8" s="1"/>
  <c r="G80" i="8"/>
  <c r="H80" i="8"/>
  <c r="H81" i="8" s="1"/>
  <c r="I80" i="8"/>
  <c r="I81" i="8" s="1"/>
  <c r="J80" i="8"/>
  <c r="K80" i="8"/>
  <c r="K81" i="8" s="1"/>
  <c r="L80" i="8"/>
  <c r="L81" i="8" s="1"/>
  <c r="M80" i="8"/>
  <c r="M81" i="8" s="1"/>
  <c r="N80" i="8"/>
  <c r="N81" i="8" s="1"/>
  <c r="O80" i="8"/>
  <c r="F86" i="8"/>
  <c r="G86" i="8"/>
  <c r="H86" i="8"/>
  <c r="I86" i="8"/>
  <c r="J86" i="8"/>
  <c r="K86" i="8"/>
  <c r="L86" i="8"/>
  <c r="M86" i="8"/>
  <c r="N86" i="8"/>
  <c r="O86" i="8"/>
  <c r="F94" i="8"/>
  <c r="F95" i="8" s="1"/>
  <c r="F100" i="8"/>
  <c r="G100" i="8"/>
  <c r="F108" i="8"/>
  <c r="G108" i="8"/>
  <c r="H108" i="8"/>
  <c r="H109" i="8" s="1"/>
  <c r="I108" i="8"/>
  <c r="J108" i="8"/>
  <c r="J109" i="8" s="1"/>
  <c r="K108" i="8"/>
  <c r="K109" i="8" s="1"/>
  <c r="L108" i="8"/>
  <c r="L109" i="8" s="1"/>
  <c r="M108" i="8"/>
  <c r="M109" i="8" s="1"/>
  <c r="N108" i="8"/>
  <c r="N109" i="8" s="1"/>
  <c r="O108" i="8"/>
  <c r="O109" i="8" s="1"/>
  <c r="F114" i="8"/>
  <c r="G114" i="8"/>
  <c r="H114" i="8"/>
  <c r="I114" i="8"/>
  <c r="J114" i="8"/>
  <c r="K114" i="8"/>
  <c r="L114" i="8"/>
  <c r="M114" i="8"/>
  <c r="N114" i="8"/>
  <c r="O114" i="8"/>
  <c r="F122" i="8"/>
  <c r="G122" i="8"/>
  <c r="H122" i="8"/>
  <c r="H123" i="8" s="1"/>
  <c r="I122" i="8"/>
  <c r="I123" i="8" s="1"/>
  <c r="J122" i="8"/>
  <c r="J123" i="8" s="1"/>
  <c r="K122" i="8"/>
  <c r="K123" i="8" s="1"/>
  <c r="L122" i="8"/>
  <c r="L123" i="8" s="1"/>
  <c r="M122" i="8"/>
  <c r="M123" i="8" s="1"/>
  <c r="N122" i="8"/>
  <c r="O122" i="8"/>
  <c r="X108" i="8" l="1"/>
  <c r="X114" i="8"/>
  <c r="X86" i="8"/>
  <c r="G81" i="8"/>
  <c r="X80" i="8"/>
  <c r="G123" i="8"/>
  <c r="X122" i="8"/>
  <c r="N112" i="8"/>
  <c r="F98" i="8"/>
  <c r="I112" i="8"/>
  <c r="L84" i="8"/>
  <c r="L112" i="8"/>
  <c r="N84" i="8"/>
  <c r="M84" i="8"/>
  <c r="F84" i="8"/>
  <c r="O84" i="8"/>
  <c r="M112" i="8"/>
  <c r="J112" i="8"/>
  <c r="J84" i="8"/>
  <c r="I109" i="8"/>
  <c r="O112" i="8"/>
  <c r="K84" i="8"/>
  <c r="H84" i="8"/>
  <c r="K112" i="8"/>
  <c r="G84" i="8"/>
  <c r="X84" i="8" s="1"/>
  <c r="G112" i="8"/>
  <c r="X112" i="8" s="1"/>
  <c r="G109" i="8"/>
  <c r="F123" i="8"/>
  <c r="H112" i="8"/>
  <c r="F109" i="8"/>
  <c r="N123" i="8"/>
  <c r="F112" i="8"/>
  <c r="O81" i="8"/>
  <c r="O123" i="8"/>
  <c r="I84" i="8"/>
  <c r="J81" i="8"/>
  <c r="X81" i="8" l="1"/>
  <c r="X123" i="8"/>
  <c r="X109" i="8"/>
  <c r="ED62" i="2"/>
  <c r="EE62" i="2"/>
  <c r="EF62" i="2"/>
  <c r="EG62" i="2"/>
  <c r="F162" i="8" s="1"/>
  <c r="ED63" i="2"/>
  <c r="EE63" i="2"/>
  <c r="EF63" i="2"/>
  <c r="EG63" i="2"/>
  <c r="F163" i="8" s="1"/>
  <c r="ED64" i="2"/>
  <c r="EE64" i="2"/>
  <c r="EF64" i="2"/>
  <c r="EG64" i="2"/>
  <c r="F164" i="8" s="1"/>
  <c r="EH64" i="2"/>
  <c r="EI64" i="2"/>
  <c r="H164" i="8" s="1"/>
  <c r="EJ64" i="2"/>
  <c r="I164" i="8" s="1"/>
  <c r="EK64" i="2"/>
  <c r="J164" i="8" s="1"/>
  <c r="EL64" i="2"/>
  <c r="K164" i="8" s="1"/>
  <c r="EM64" i="2"/>
  <c r="L164" i="8" s="1"/>
  <c r="EN64" i="2"/>
  <c r="M164" i="8" s="1"/>
  <c r="EO64" i="2"/>
  <c r="N164" i="8" s="1"/>
  <c r="EP64" i="2"/>
  <c r="O164" i="8" s="1"/>
  <c r="ED65" i="2"/>
  <c r="EE65" i="2"/>
  <c r="EF65" i="2"/>
  <c r="EG65" i="2"/>
  <c r="F165" i="8" s="1"/>
  <c r="ED66" i="2"/>
  <c r="EE66" i="2"/>
  <c r="EF66" i="2"/>
  <c r="EG66" i="2"/>
  <c r="F166" i="8" s="1"/>
  <c r="EH66" i="2"/>
  <c r="EI66" i="2"/>
  <c r="H166" i="8" s="1"/>
  <c r="EJ66" i="2"/>
  <c r="I166" i="8" s="1"/>
  <c r="EK66" i="2"/>
  <c r="J166" i="8" s="1"/>
  <c r="EL66" i="2"/>
  <c r="K166" i="8" s="1"/>
  <c r="EM66" i="2"/>
  <c r="L166" i="8" s="1"/>
  <c r="EN66" i="2"/>
  <c r="M166" i="8" s="1"/>
  <c r="EO66" i="2"/>
  <c r="N166" i="8" s="1"/>
  <c r="EP66" i="2"/>
  <c r="O166" i="8" s="1"/>
  <c r="ED67" i="2"/>
  <c r="EE67" i="2"/>
  <c r="EF67" i="2"/>
  <c r="EG67" i="2"/>
  <c r="F167" i="8" s="1"/>
  <c r="ED68" i="2"/>
  <c r="EE68" i="2"/>
  <c r="EF68" i="2"/>
  <c r="EG68" i="2"/>
  <c r="F168" i="8" s="1"/>
  <c r="ED69" i="2"/>
  <c r="EE69" i="2"/>
  <c r="EF69" i="2"/>
  <c r="EG69" i="2"/>
  <c r="F169" i="8" s="1"/>
  <c r="EH69" i="2"/>
  <c r="EI69" i="2"/>
  <c r="H169" i="8" s="1"/>
  <c r="EJ69" i="2"/>
  <c r="I169" i="8" s="1"/>
  <c r="EK69" i="2"/>
  <c r="J169" i="8" s="1"/>
  <c r="EL69" i="2"/>
  <c r="K169" i="8" s="1"/>
  <c r="EM69" i="2"/>
  <c r="L169" i="8" s="1"/>
  <c r="EN69" i="2"/>
  <c r="M169" i="8" s="1"/>
  <c r="EO69" i="2"/>
  <c r="N169" i="8" s="1"/>
  <c r="EP69" i="2"/>
  <c r="O169" i="8" s="1"/>
  <c r="ED70" i="2"/>
  <c r="EE70" i="2"/>
  <c r="EF70" i="2"/>
  <c r="EG70" i="2"/>
  <c r="F170" i="8" s="1"/>
  <c r="EH70" i="2"/>
  <c r="EI70" i="2"/>
  <c r="H170" i="8" s="1"/>
  <c r="EJ70" i="2"/>
  <c r="I170" i="8" s="1"/>
  <c r="EK70" i="2"/>
  <c r="J170" i="8" s="1"/>
  <c r="EL70" i="2"/>
  <c r="K170" i="8" s="1"/>
  <c r="EM70" i="2"/>
  <c r="L170" i="8" s="1"/>
  <c r="EN70" i="2"/>
  <c r="M170" i="8" s="1"/>
  <c r="EO70" i="2"/>
  <c r="N170" i="8" s="1"/>
  <c r="EP70" i="2"/>
  <c r="O170" i="8" s="1"/>
  <c r="ED71" i="2"/>
  <c r="EE71" i="2"/>
  <c r="EF71" i="2"/>
  <c r="ED72" i="2"/>
  <c r="EE72" i="2"/>
  <c r="EF72" i="2"/>
  <c r="ED73" i="2"/>
  <c r="EE73" i="2"/>
  <c r="EF73" i="2"/>
  <c r="ED74" i="2"/>
  <c r="EE74" i="2"/>
  <c r="EF74" i="2"/>
  <c r="EG74" i="2"/>
  <c r="F174" i="8" s="1"/>
  <c r="EH74" i="2"/>
  <c r="EI74" i="2"/>
  <c r="H174" i="8" s="1"/>
  <c r="EJ74" i="2"/>
  <c r="I174" i="8" s="1"/>
  <c r="EK74" i="2"/>
  <c r="J174" i="8" s="1"/>
  <c r="EL74" i="2"/>
  <c r="K174" i="8" s="1"/>
  <c r="EM74" i="2"/>
  <c r="L174" i="8" s="1"/>
  <c r="EN74" i="2"/>
  <c r="M174" i="8" s="1"/>
  <c r="EO74" i="2"/>
  <c r="N174" i="8" s="1"/>
  <c r="EP74" i="2"/>
  <c r="O174" i="8" s="1"/>
  <c r="ED76" i="2"/>
  <c r="EE76" i="2"/>
  <c r="EF76" i="2"/>
  <c r="EG76" i="2"/>
  <c r="F176" i="8" s="1"/>
  <c r="EH76" i="2"/>
  <c r="EI76" i="2"/>
  <c r="H176" i="8" s="1"/>
  <c r="EJ76" i="2"/>
  <c r="I176" i="8" s="1"/>
  <c r="EK76" i="2"/>
  <c r="J176" i="8" s="1"/>
  <c r="EL76" i="2"/>
  <c r="K176" i="8" s="1"/>
  <c r="EM76" i="2"/>
  <c r="L176" i="8" s="1"/>
  <c r="EN76" i="2"/>
  <c r="M176" i="8" s="1"/>
  <c r="EO76" i="2"/>
  <c r="N176" i="8" s="1"/>
  <c r="EP76" i="2"/>
  <c r="O176" i="8" s="1"/>
  <c r="ED80" i="2"/>
  <c r="EE80" i="2"/>
  <c r="EF80" i="2"/>
  <c r="EG80" i="2"/>
  <c r="F180" i="8" s="1"/>
  <c r="EH80" i="2"/>
  <c r="EI80" i="2"/>
  <c r="H180" i="8" s="1"/>
  <c r="EJ80" i="2"/>
  <c r="I180" i="8" s="1"/>
  <c r="EK80" i="2"/>
  <c r="J180" i="8" s="1"/>
  <c r="EL80" i="2"/>
  <c r="K180" i="8" s="1"/>
  <c r="EM80" i="2"/>
  <c r="L180" i="8" s="1"/>
  <c r="EN80" i="2"/>
  <c r="M180" i="8" s="1"/>
  <c r="EO80" i="2"/>
  <c r="N180" i="8" s="1"/>
  <c r="EP80" i="2"/>
  <c r="O180" i="8" s="1"/>
  <c r="C59" i="2"/>
  <c r="C63" i="2" s="1"/>
  <c r="C67" i="2" s="1"/>
  <c r="C71" i="2" s="1"/>
  <c r="C75" i="2" s="1"/>
  <c r="C79" i="2" s="1"/>
  <c r="C80" i="2" s="1"/>
  <c r="G174" i="8" l="1"/>
  <c r="EY74" i="2"/>
  <c r="G176" i="8"/>
  <c r="EY76" i="2"/>
  <c r="G180" i="8"/>
  <c r="EY80" i="2"/>
  <c r="G169" i="8"/>
  <c r="X169" i="8" s="1"/>
  <c r="EY69" i="2"/>
  <c r="G166" i="8"/>
  <c r="X166" i="8" s="1"/>
  <c r="EY66" i="2"/>
  <c r="G164" i="8"/>
  <c r="X164" i="8" s="1"/>
  <c r="EY64" i="2"/>
  <c r="G170" i="8"/>
  <c r="EY70" i="2"/>
  <c r="X176" i="8"/>
  <c r="X170" i="8"/>
  <c r="X180" i="8"/>
  <c r="X174" i="8"/>
  <c r="F188" i="8"/>
  <c r="O142" i="8" l="1"/>
  <c r="N142" i="8"/>
  <c r="M142" i="8"/>
  <c r="L142" i="8"/>
  <c r="K142" i="8"/>
  <c r="J142" i="8"/>
  <c r="I142" i="8"/>
  <c r="H142" i="8"/>
  <c r="G142" i="8"/>
  <c r="X142" i="8" s="1"/>
  <c r="F142" i="8"/>
  <c r="O136" i="8"/>
  <c r="O137" i="8" s="1"/>
  <c r="N136" i="8"/>
  <c r="N137" i="8" s="1"/>
  <c r="M136" i="8"/>
  <c r="M137" i="8" s="1"/>
  <c r="L136" i="8"/>
  <c r="L137" i="8" s="1"/>
  <c r="K136" i="8"/>
  <c r="K137" i="8" s="1"/>
  <c r="J136" i="8"/>
  <c r="J137" i="8" s="1"/>
  <c r="I136" i="8"/>
  <c r="H136" i="8"/>
  <c r="G136" i="8"/>
  <c r="F136" i="8"/>
  <c r="F137" i="8" s="1"/>
  <c r="O128" i="8"/>
  <c r="O126" i="8" s="1"/>
  <c r="N128" i="8"/>
  <c r="N126" i="8" s="1"/>
  <c r="M128" i="8"/>
  <c r="M126" i="8" s="1"/>
  <c r="L128" i="8"/>
  <c r="L126" i="8" s="1"/>
  <c r="K128" i="8"/>
  <c r="K126" i="8" s="1"/>
  <c r="J128" i="8"/>
  <c r="J126" i="8" s="1"/>
  <c r="I128" i="8"/>
  <c r="I126" i="8" s="1"/>
  <c r="H128" i="8"/>
  <c r="H126" i="8" s="1"/>
  <c r="G128" i="8"/>
  <c r="F128" i="8"/>
  <c r="F126" i="8" s="1"/>
  <c r="D155" i="8"/>
  <c r="D153" i="8"/>
  <c r="D152" i="8"/>
  <c r="D151" i="8"/>
  <c r="D150" i="8"/>
  <c r="G137" i="8" l="1"/>
  <c r="X136" i="8"/>
  <c r="G126" i="8"/>
  <c r="X126" i="8" s="1"/>
  <c r="X128" i="8"/>
  <c r="J140" i="8"/>
  <c r="L140" i="8"/>
  <c r="K140" i="8"/>
  <c r="O140" i="8"/>
  <c r="M140" i="8"/>
  <c r="F140" i="8"/>
  <c r="N140" i="8"/>
  <c r="G140" i="8"/>
  <c r="X140" i="8" s="1"/>
  <c r="H137" i="8"/>
  <c r="H140" i="8"/>
  <c r="I137" i="8"/>
  <c r="I140" i="8"/>
  <c r="X137" i="8" l="1"/>
  <c r="ED40" i="2" l="1"/>
  <c r="EE40" i="2"/>
  <c r="EF40" i="2"/>
  <c r="EG40" i="2"/>
  <c r="EH40" i="2"/>
  <c r="EI40" i="2"/>
  <c r="EJ40" i="2"/>
  <c r="EK40" i="2"/>
  <c r="EL40" i="2"/>
  <c r="EM40" i="2"/>
  <c r="EN40" i="2"/>
  <c r="EO40" i="2"/>
  <c r="EP40" i="2"/>
  <c r="EE39" i="2"/>
  <c r="EF39" i="2"/>
  <c r="ED39" i="2"/>
  <c r="ED19" i="2"/>
  <c r="EP20" i="2"/>
  <c r="O54" i="8" s="1"/>
  <c r="EO20" i="2"/>
  <c r="N54" i="8" s="1"/>
  <c r="EN20" i="2"/>
  <c r="M54" i="8" s="1"/>
  <c r="EM20" i="2"/>
  <c r="L54" i="8" s="1"/>
  <c r="EL20" i="2"/>
  <c r="K54" i="8" s="1"/>
  <c r="EK20" i="2"/>
  <c r="J54" i="8" s="1"/>
  <c r="EJ20" i="2"/>
  <c r="I54" i="8" s="1"/>
  <c r="EI20" i="2"/>
  <c r="H54" i="8" s="1"/>
  <c r="EH20" i="2"/>
  <c r="EG20" i="2"/>
  <c r="F54" i="8" s="1"/>
  <c r="EF20" i="2"/>
  <c r="EE20" i="2"/>
  <c r="ED20" i="2"/>
  <c r="EP19" i="2"/>
  <c r="O47" i="8" s="1"/>
  <c r="EO19" i="2"/>
  <c r="N47" i="8" s="1"/>
  <c r="EN19" i="2"/>
  <c r="M47" i="8" s="1"/>
  <c r="EM19" i="2"/>
  <c r="L47" i="8" s="1"/>
  <c r="EL19" i="2"/>
  <c r="K47" i="8" s="1"/>
  <c r="EK19" i="2"/>
  <c r="J47" i="8" s="1"/>
  <c r="EJ19" i="2"/>
  <c r="I47" i="8" s="1"/>
  <c r="EI19" i="2"/>
  <c r="H47" i="8" s="1"/>
  <c r="EH19" i="2"/>
  <c r="EG19" i="2"/>
  <c r="F47" i="8" s="1"/>
  <c r="EF19" i="2"/>
  <c r="EE19" i="2"/>
  <c r="EE17" i="2"/>
  <c r="EF17" i="2"/>
  <c r="EG17" i="2"/>
  <c r="EH17" i="2"/>
  <c r="EI17" i="2"/>
  <c r="EJ17" i="2"/>
  <c r="EK17" i="2"/>
  <c r="EL17" i="2"/>
  <c r="EM17" i="2"/>
  <c r="EN17" i="2"/>
  <c r="EO17" i="2"/>
  <c r="EP17" i="2"/>
  <c r="ED17" i="2"/>
  <c r="ED15" i="2"/>
  <c r="EF15" i="2"/>
  <c r="ED16" i="2"/>
  <c r="EF14" i="2"/>
  <c r="ED14" i="2"/>
  <c r="EY40" i="2" l="1"/>
  <c r="EY17" i="2"/>
  <c r="G47" i="8"/>
  <c r="X47" i="8" s="1"/>
  <c r="EY19" i="2"/>
  <c r="G54" i="8"/>
  <c r="X54" i="8" s="1"/>
  <c r="EY20" i="2"/>
  <c r="M49" i="8"/>
  <c r="O49" i="8"/>
  <c r="N49" i="8"/>
  <c r="I49" i="8"/>
  <c r="H49" i="8"/>
  <c r="F49" i="8"/>
  <c r="J49" i="8"/>
  <c r="K49" i="8"/>
  <c r="L49" i="8"/>
  <c r="G49" i="8" l="1"/>
  <c r="G210" i="7"/>
  <c r="EE10" i="2" s="1"/>
  <c r="H210" i="7"/>
  <c r="EF10" i="2" s="1"/>
  <c r="I210" i="7"/>
  <c r="ED10" i="2"/>
  <c r="ED11" i="2" l="1"/>
  <c r="G281" i="7"/>
  <c r="G279" i="7" s="1"/>
  <c r="H281" i="7"/>
  <c r="H279" i="7" s="1"/>
  <c r="I281" i="7" l="1"/>
  <c r="I279" i="7" s="1"/>
  <c r="AB321" i="7"/>
  <c r="AB320" i="7"/>
  <c r="AB319" i="7"/>
  <c r="AB318" i="7"/>
  <c r="AB317" i="7"/>
  <c r="AB316" i="7"/>
  <c r="AB315" i="7"/>
  <c r="AB314" i="7"/>
  <c r="F73" i="8" l="1"/>
  <c r="F279" i="7"/>
  <c r="F77" i="8" l="1"/>
  <c r="F78" i="8"/>
  <c r="EE82" i="2" l="1"/>
  <c r="EF82" i="2"/>
  <c r="EE83" i="2"/>
  <c r="EF83" i="2"/>
  <c r="EG83" i="2"/>
  <c r="EH83" i="2"/>
  <c r="EI83" i="2"/>
  <c r="EJ83" i="2"/>
  <c r="EK83" i="2"/>
  <c r="EL83" i="2"/>
  <c r="EM83" i="2"/>
  <c r="EN83" i="2"/>
  <c r="EO83" i="2"/>
  <c r="EP83" i="2"/>
  <c r="EE84" i="2"/>
  <c r="EF84" i="2"/>
  <c r="EG84" i="2"/>
  <c r="EH84" i="2"/>
  <c r="EI84" i="2"/>
  <c r="EJ84" i="2"/>
  <c r="EK84" i="2"/>
  <c r="EL84" i="2"/>
  <c r="EM84" i="2"/>
  <c r="EN84" i="2"/>
  <c r="EO84" i="2"/>
  <c r="EP84" i="2"/>
  <c r="EE85" i="2"/>
  <c r="EF85" i="2"/>
  <c r="EE86" i="2"/>
  <c r="EF86" i="2"/>
  <c r="EG86" i="2"/>
  <c r="EH86" i="2"/>
  <c r="EI86" i="2"/>
  <c r="EJ86" i="2"/>
  <c r="EK86" i="2"/>
  <c r="EL86" i="2"/>
  <c r="EM86" i="2"/>
  <c r="EN86" i="2"/>
  <c r="EO86" i="2"/>
  <c r="EP86" i="2"/>
  <c r="EE87" i="2"/>
  <c r="EF87" i="2"/>
  <c r="EE88" i="2"/>
  <c r="EF88" i="2"/>
  <c r="EG88" i="2"/>
  <c r="EH88" i="2"/>
  <c r="EI88" i="2"/>
  <c r="EJ88" i="2"/>
  <c r="EK88" i="2"/>
  <c r="EL88" i="2"/>
  <c r="EM88" i="2"/>
  <c r="EN88" i="2"/>
  <c r="EO88" i="2"/>
  <c r="EP88" i="2"/>
  <c r="EE91" i="2"/>
  <c r="EF91" i="2"/>
  <c r="EE92" i="2"/>
  <c r="EF92" i="2"/>
  <c r="EG92" i="2"/>
  <c r="EH92" i="2"/>
  <c r="EI92" i="2"/>
  <c r="EJ92" i="2"/>
  <c r="EK92" i="2"/>
  <c r="EL92" i="2"/>
  <c r="EM92" i="2"/>
  <c r="EN92" i="2"/>
  <c r="EO92" i="2"/>
  <c r="EP92" i="2"/>
  <c r="EE93" i="2"/>
  <c r="EF93" i="2"/>
  <c r="EE95" i="2"/>
  <c r="EF95" i="2"/>
  <c r="EE96" i="2"/>
  <c r="EF96" i="2"/>
  <c r="EE97" i="2"/>
  <c r="EF97" i="2"/>
  <c r="EG97" i="2"/>
  <c r="EH97" i="2"/>
  <c r="EI97" i="2"/>
  <c r="EJ97" i="2"/>
  <c r="EK97" i="2"/>
  <c r="EL97" i="2"/>
  <c r="EM97" i="2"/>
  <c r="EN97" i="2"/>
  <c r="EO97" i="2"/>
  <c r="EP97" i="2"/>
  <c r="EE98" i="2"/>
  <c r="EF98" i="2"/>
  <c r="EG98" i="2"/>
  <c r="EH98" i="2"/>
  <c r="EI98" i="2"/>
  <c r="EJ98" i="2"/>
  <c r="EK98" i="2"/>
  <c r="EL98" i="2"/>
  <c r="EM98" i="2"/>
  <c r="EN98" i="2"/>
  <c r="EO98" i="2"/>
  <c r="EP98" i="2"/>
  <c r="EE99" i="2"/>
  <c r="EF99" i="2"/>
  <c r="EG99" i="2"/>
  <c r="EH99" i="2"/>
  <c r="EI99" i="2"/>
  <c r="EJ99" i="2"/>
  <c r="EK99" i="2"/>
  <c r="EL99" i="2"/>
  <c r="EM99" i="2"/>
  <c r="EN99" i="2"/>
  <c r="EO99" i="2"/>
  <c r="EP99" i="2"/>
  <c r="EE102" i="2"/>
  <c r="EF102" i="2"/>
  <c r="EG102" i="2"/>
  <c r="EH102" i="2"/>
  <c r="EE103" i="2"/>
  <c r="EF103" i="2"/>
  <c r="EG103" i="2"/>
  <c r="EH103" i="2"/>
  <c r="EE104" i="2"/>
  <c r="EF104" i="2"/>
  <c r="EG104" i="2"/>
  <c r="EH104" i="2"/>
  <c r="EE105" i="2"/>
  <c r="EF105" i="2"/>
  <c r="EG105" i="2"/>
  <c r="EH105" i="2"/>
  <c r="EE106" i="2"/>
  <c r="EF106" i="2"/>
  <c r="EG106" i="2"/>
  <c r="EH106" i="2"/>
  <c r="EE107" i="2"/>
  <c r="EF107" i="2"/>
  <c r="EG107" i="2"/>
  <c r="EH107" i="2"/>
  <c r="EE108" i="2"/>
  <c r="EF108" i="2"/>
  <c r="EG108" i="2"/>
  <c r="EH108" i="2"/>
  <c r="EI108" i="2"/>
  <c r="EJ108" i="2"/>
  <c r="EK108" i="2"/>
  <c r="EL108" i="2"/>
  <c r="EM108" i="2"/>
  <c r="EN108" i="2"/>
  <c r="EO108" i="2"/>
  <c r="EP108" i="2"/>
  <c r="ED83" i="2"/>
  <c r="ED84" i="2"/>
  <c r="ED85" i="2"/>
  <c r="ED86" i="2"/>
  <c r="ED87" i="2"/>
  <c r="ED88" i="2"/>
  <c r="ED91" i="2"/>
  <c r="ED92" i="2"/>
  <c r="ED93" i="2"/>
  <c r="ED95" i="2"/>
  <c r="ED96" i="2"/>
  <c r="ED97" i="2"/>
  <c r="ED98" i="2"/>
  <c r="ED99" i="2"/>
  <c r="ED102" i="2"/>
  <c r="ED103" i="2"/>
  <c r="ED104" i="2"/>
  <c r="ED105" i="2"/>
  <c r="ED106" i="2"/>
  <c r="ED107" i="2"/>
  <c r="ED108" i="2"/>
  <c r="ED82" i="2"/>
  <c r="EE59" i="2"/>
  <c r="EF59" i="2"/>
  <c r="EG59" i="2"/>
  <c r="F209" i="8" s="1"/>
  <c r="F219" i="8" s="1"/>
  <c r="EE60" i="2"/>
  <c r="EF60" i="2"/>
  <c r="EG60" i="2"/>
  <c r="F160" i="8" s="1"/>
  <c r="EH60" i="2"/>
  <c r="EI60" i="2"/>
  <c r="H160" i="8" s="1"/>
  <c r="EJ60" i="2"/>
  <c r="I160" i="8" s="1"/>
  <c r="EK60" i="2"/>
  <c r="J160" i="8" s="1"/>
  <c r="EL60" i="2"/>
  <c r="K160" i="8" s="1"/>
  <c r="EM60" i="2"/>
  <c r="L160" i="8" s="1"/>
  <c r="EN60" i="2"/>
  <c r="M160" i="8" s="1"/>
  <c r="EO60" i="2"/>
  <c r="N160" i="8" s="1"/>
  <c r="EP60" i="2"/>
  <c r="O160" i="8" s="1"/>
  <c r="EE61" i="2"/>
  <c r="EF61" i="2"/>
  <c r="EG61" i="2"/>
  <c r="F161" i="8" s="1"/>
  <c r="EH61" i="2"/>
  <c r="EI61" i="2"/>
  <c r="H161" i="8" s="1"/>
  <c r="EJ61" i="2"/>
  <c r="I161" i="8" s="1"/>
  <c r="EK61" i="2"/>
  <c r="J161" i="8" s="1"/>
  <c r="EL61" i="2"/>
  <c r="K161" i="8" s="1"/>
  <c r="EM61" i="2"/>
  <c r="L161" i="8" s="1"/>
  <c r="EN61" i="2"/>
  <c r="M161" i="8" s="1"/>
  <c r="EO61" i="2"/>
  <c r="N161" i="8" s="1"/>
  <c r="EP61" i="2"/>
  <c r="O161" i="8" s="1"/>
  <c r="ED59" i="2"/>
  <c r="ED60" i="2"/>
  <c r="ED61" i="2"/>
  <c r="EE44" i="2"/>
  <c r="EF44" i="2"/>
  <c r="EE45" i="2"/>
  <c r="EF45" i="2"/>
  <c r="EG45" i="2"/>
  <c r="EH45" i="2"/>
  <c r="EI45" i="2"/>
  <c r="EJ45" i="2"/>
  <c r="EK45" i="2"/>
  <c r="EL45" i="2"/>
  <c r="EM45" i="2"/>
  <c r="EN45" i="2"/>
  <c r="EO45" i="2"/>
  <c r="EP45" i="2"/>
  <c r="EE46" i="2"/>
  <c r="EF46" i="2"/>
  <c r="EE47" i="2"/>
  <c r="EF47" i="2"/>
  <c r="EE48" i="2"/>
  <c r="EF48" i="2"/>
  <c r="EG48" i="2"/>
  <c r="EH48" i="2"/>
  <c r="EI48" i="2"/>
  <c r="EJ48" i="2"/>
  <c r="EK48" i="2"/>
  <c r="EL48" i="2"/>
  <c r="EM48" i="2"/>
  <c r="EN48" i="2"/>
  <c r="EO48" i="2"/>
  <c r="EP48" i="2"/>
  <c r="EE49" i="2"/>
  <c r="EF49" i="2"/>
  <c r="EE52" i="2"/>
  <c r="EF52" i="2"/>
  <c r="EE53" i="2"/>
  <c r="EF53" i="2"/>
  <c r="EG53" i="2"/>
  <c r="EE54" i="2"/>
  <c r="EF54" i="2"/>
  <c r="EG54" i="2"/>
  <c r="EH54" i="2"/>
  <c r="EI54" i="2"/>
  <c r="EJ54" i="2"/>
  <c r="EK54" i="2"/>
  <c r="EL54" i="2"/>
  <c r="EM54" i="2"/>
  <c r="EN54" i="2"/>
  <c r="EO54" i="2"/>
  <c r="EP54" i="2"/>
  <c r="EE55" i="2"/>
  <c r="EF55" i="2"/>
  <c r="EE56" i="2"/>
  <c r="EF56" i="2"/>
  <c r="EE57" i="2"/>
  <c r="EF57" i="2"/>
  <c r="EG57" i="2"/>
  <c r="ED44" i="2"/>
  <c r="ED45" i="2"/>
  <c r="ED46" i="2"/>
  <c r="ED47" i="2"/>
  <c r="ED48" i="2"/>
  <c r="ED49" i="2"/>
  <c r="ED52" i="2"/>
  <c r="ED53" i="2"/>
  <c r="ED54" i="2"/>
  <c r="ED55" i="2"/>
  <c r="ED56" i="2"/>
  <c r="ED57" i="2"/>
  <c r="EE34" i="2"/>
  <c r="EE23" i="2"/>
  <c r="ED23" i="2"/>
  <c r="F23" i="2"/>
  <c r="AV23" i="2" s="1"/>
  <c r="G23" i="2"/>
  <c r="AW23" i="2" s="1"/>
  <c r="H23" i="2"/>
  <c r="AX23" i="2" s="1"/>
  <c r="I23" i="2"/>
  <c r="AY23" i="2" s="1"/>
  <c r="J23" i="2"/>
  <c r="AZ23" i="2" s="1"/>
  <c r="K23" i="2"/>
  <c r="BA23" i="2" s="1"/>
  <c r="EF34" i="2"/>
  <c r="EE35" i="2"/>
  <c r="EF35" i="2"/>
  <c r="EE36" i="2"/>
  <c r="EF36" i="2"/>
  <c r="ED35" i="2"/>
  <c r="ED36" i="2"/>
  <c r="ED34" i="2"/>
  <c r="EE22" i="2"/>
  <c r="EF22" i="2"/>
  <c r="EG22" i="2"/>
  <c r="EH22" i="2"/>
  <c r="EI22" i="2"/>
  <c r="EJ22" i="2"/>
  <c r="EK22" i="2"/>
  <c r="EL22" i="2"/>
  <c r="EM22" i="2"/>
  <c r="EN22" i="2"/>
  <c r="EO22" i="2"/>
  <c r="EP22" i="2"/>
  <c r="ED22" i="2"/>
  <c r="ED21" i="2"/>
  <c r="EY98" i="2" l="1"/>
  <c r="EY88" i="2"/>
  <c r="G161" i="8"/>
  <c r="EY61" i="2"/>
  <c r="EY45" i="2"/>
  <c r="EY108" i="2"/>
  <c r="EY92" i="2"/>
  <c r="EY83" i="2"/>
  <c r="EY97" i="2"/>
  <c r="EY48" i="2"/>
  <c r="EY22" i="2"/>
  <c r="G160" i="8"/>
  <c r="EY60" i="2"/>
  <c r="EY86" i="2"/>
  <c r="EY54" i="2"/>
  <c r="EY99" i="2"/>
  <c r="EY84" i="2"/>
  <c r="X161" i="8"/>
  <c r="F201" i="8"/>
  <c r="F210" i="8"/>
  <c r="F224" i="8" s="1"/>
  <c r="ED90" i="2"/>
  <c r="EF90" i="2"/>
  <c r="EG23" i="2"/>
  <c r="EE90" i="2"/>
  <c r="EF23" i="2"/>
  <c r="F159" i="8"/>
  <c r="EE24" i="2"/>
  <c r="EF24" i="2"/>
  <c r="EG24" i="2"/>
  <c r="EE25" i="2"/>
  <c r="EF25" i="2"/>
  <c r="EG25" i="2"/>
  <c r="EH25" i="2"/>
  <c r="EE26" i="2"/>
  <c r="EF26" i="2"/>
  <c r="EG26" i="2"/>
  <c r="EH26" i="2"/>
  <c r="EE27" i="2"/>
  <c r="EF27" i="2"/>
  <c r="EG27" i="2"/>
  <c r="EE28" i="2"/>
  <c r="EF28" i="2"/>
  <c r="EG28" i="2"/>
  <c r="EE29" i="2"/>
  <c r="EF29" i="2"/>
  <c r="EG29" i="2"/>
  <c r="EH29" i="2"/>
  <c r="EI29" i="2"/>
  <c r="EJ29" i="2"/>
  <c r="EK29" i="2"/>
  <c r="EL29" i="2"/>
  <c r="EM29" i="2"/>
  <c r="EN29" i="2"/>
  <c r="EO29" i="2"/>
  <c r="EP29" i="2"/>
  <c r="EE30" i="2"/>
  <c r="EF30" i="2"/>
  <c r="EG30" i="2"/>
  <c r="EH30" i="2"/>
  <c r="EI30" i="2"/>
  <c r="EJ30" i="2"/>
  <c r="EK30" i="2"/>
  <c r="EL30" i="2"/>
  <c r="EM30" i="2"/>
  <c r="EN30" i="2"/>
  <c r="EO30" i="2"/>
  <c r="EP30" i="2"/>
  <c r="EE31" i="2"/>
  <c r="EF31" i="2"/>
  <c r="EG31" i="2"/>
  <c r="EE32" i="2"/>
  <c r="EF32" i="2"/>
  <c r="EG32" i="2"/>
  <c r="EH32" i="2"/>
  <c r="ED25" i="2"/>
  <c r="ED26" i="2"/>
  <c r="ED27" i="2"/>
  <c r="ED28" i="2"/>
  <c r="ED29" i="2"/>
  <c r="ED30" i="2"/>
  <c r="ED31" i="2"/>
  <c r="ED32" i="2"/>
  <c r="ED24" i="2"/>
  <c r="ED13" i="2"/>
  <c r="BR11" i="2"/>
  <c r="DH11" i="2" s="1"/>
  <c r="BR10" i="2"/>
  <c r="DH10" i="2" s="1"/>
  <c r="G43" i="2"/>
  <c r="H43" i="2"/>
  <c r="F43" i="2"/>
  <c r="L23" i="2"/>
  <c r="BB23" i="2" s="1"/>
  <c r="M23" i="2"/>
  <c r="BC23" i="2" s="1"/>
  <c r="N23" i="2"/>
  <c r="BD23" i="2" s="1"/>
  <c r="O23" i="2"/>
  <c r="BE23" i="2" s="1"/>
  <c r="P23" i="2"/>
  <c r="BF23" i="2" s="1"/>
  <c r="Q23" i="2"/>
  <c r="BG23" i="2" s="1"/>
  <c r="R23" i="2"/>
  <c r="BH23" i="2" s="1"/>
  <c r="H11" i="2" l="1"/>
  <c r="AX11" i="2" s="1"/>
  <c r="AX43" i="2"/>
  <c r="G11" i="2"/>
  <c r="AW11" i="2" s="1"/>
  <c r="AW43" i="2"/>
  <c r="F11" i="2"/>
  <c r="AV11" i="2" s="1"/>
  <c r="AV43" i="2"/>
  <c r="BQ23" i="2"/>
  <c r="EY29" i="2"/>
  <c r="X160" i="8"/>
  <c r="EY30" i="2"/>
  <c r="F211" i="8"/>
  <c r="EE33" i="2"/>
  <c r="EE37" i="2" s="1"/>
  <c r="EF43" i="2"/>
  <c r="EE43" i="2"/>
  <c r="EF33" i="2"/>
  <c r="EF37" i="2" s="1"/>
  <c r="ED43" i="2"/>
  <c r="ED33" i="2"/>
  <c r="ED37" i="2" s="1"/>
  <c r="EF11" i="2" l="1"/>
  <c r="AB134" i="7"/>
  <c r="G632" i="7"/>
  <c r="G630" i="7" s="1"/>
  <c r="H632" i="7"/>
  <c r="H630" i="7" s="1"/>
  <c r="G562" i="7"/>
  <c r="G560" i="7" s="1"/>
  <c r="H562" i="7"/>
  <c r="H560" i="7" s="1"/>
  <c r="O115" i="8"/>
  <c r="N115" i="8"/>
  <c r="M115" i="8"/>
  <c r="L115" i="8"/>
  <c r="K115" i="8"/>
  <c r="J115" i="8"/>
  <c r="I115" i="8"/>
  <c r="H115" i="8"/>
  <c r="G115" i="8"/>
  <c r="H492" i="7"/>
  <c r="H490" i="7" s="1"/>
  <c r="G492" i="7"/>
  <c r="G490" i="7" s="1"/>
  <c r="F490" i="7"/>
  <c r="G421" i="7"/>
  <c r="G419" i="7" s="1"/>
  <c r="H421" i="7"/>
  <c r="H419" i="7" s="1"/>
  <c r="H350" i="7"/>
  <c r="H348" i="7" s="1"/>
  <c r="G87" i="8"/>
  <c r="H87" i="8"/>
  <c r="I87" i="8"/>
  <c r="J87" i="8"/>
  <c r="K87" i="8"/>
  <c r="L87" i="8"/>
  <c r="M87" i="8"/>
  <c r="N87" i="8"/>
  <c r="O87" i="8"/>
  <c r="AB443" i="7"/>
  <c r="AB444" i="7"/>
  <c r="AB445" i="7"/>
  <c r="AB446" i="7"/>
  <c r="AB447" i="7"/>
  <c r="AB449" i="7"/>
  <c r="AB450" i="7"/>
  <c r="AB451" i="7"/>
  <c r="AB452" i="7"/>
  <c r="AB453" i="7"/>
  <c r="AB454" i="7"/>
  <c r="AB455" i="7"/>
  <c r="AB456" i="7"/>
  <c r="AB457" i="7"/>
  <c r="AB458" i="7"/>
  <c r="AB459" i="7"/>
  <c r="AB460" i="7"/>
  <c r="AB461" i="7"/>
  <c r="AB462" i="7"/>
  <c r="EF21" i="2"/>
  <c r="EG21" i="2"/>
  <c r="F55" i="8" s="1"/>
  <c r="EH21" i="2"/>
  <c r="EI21" i="2"/>
  <c r="H55" i="8" s="1"/>
  <c r="EJ21" i="2"/>
  <c r="I55" i="8" s="1"/>
  <c r="EK21" i="2"/>
  <c r="J55" i="8" s="1"/>
  <c r="EL21" i="2"/>
  <c r="K55" i="8" s="1"/>
  <c r="EM21" i="2"/>
  <c r="L55" i="8" s="1"/>
  <c r="EN21" i="2"/>
  <c r="M55" i="8" s="1"/>
  <c r="EO21" i="2"/>
  <c r="N55" i="8" s="1"/>
  <c r="EP21" i="2"/>
  <c r="EE21" i="2"/>
  <c r="EE18" i="2" s="1"/>
  <c r="AB448" i="7"/>
  <c r="EF16" i="2"/>
  <c r="F12" i="8"/>
  <c r="G12" i="8"/>
  <c r="H12" i="8"/>
  <c r="I12" i="8"/>
  <c r="J12" i="8"/>
  <c r="K12" i="8"/>
  <c r="L12" i="8"/>
  <c r="M12" i="8"/>
  <c r="N12" i="8"/>
  <c r="O12" i="8"/>
  <c r="EE16" i="2"/>
  <c r="EE13" i="2" s="1"/>
  <c r="X115" i="8" l="1"/>
  <c r="AB533" i="7"/>
  <c r="AA252" i="7"/>
  <c r="AB532" i="7"/>
  <c r="AA251" i="7"/>
  <c r="AB527" i="7"/>
  <c r="AA246" i="7"/>
  <c r="AB528" i="7"/>
  <c r="AA247" i="7"/>
  <c r="AB529" i="7"/>
  <c r="AA248" i="7"/>
  <c r="AB531" i="7"/>
  <c r="AA250" i="7"/>
  <c r="AB530" i="7"/>
  <c r="AA249" i="7"/>
  <c r="AB526" i="7"/>
  <c r="AA245" i="7"/>
  <c r="X87" i="8"/>
  <c r="X12" i="8"/>
  <c r="G55" i="8"/>
  <c r="G53" i="8" s="1"/>
  <c r="G85" i="8"/>
  <c r="J85" i="8"/>
  <c r="J91" i="8" s="1"/>
  <c r="O85" i="8"/>
  <c r="O91" i="8" s="1"/>
  <c r="K85" i="8"/>
  <c r="K91" i="8" s="1"/>
  <c r="N85" i="8"/>
  <c r="N91" i="8" s="1"/>
  <c r="I85" i="8"/>
  <c r="I91" i="8" s="1"/>
  <c r="H85" i="8"/>
  <c r="H91" i="8" s="1"/>
  <c r="M85" i="8"/>
  <c r="M91" i="8" s="1"/>
  <c r="L85" i="8"/>
  <c r="L91" i="8" s="1"/>
  <c r="AB602" i="7"/>
  <c r="AB251" i="7" s="1"/>
  <c r="AB601" i="7"/>
  <c r="AB589" i="7"/>
  <c r="AB238" i="7" s="1"/>
  <c r="AB599" i="7"/>
  <c r="AB598" i="7"/>
  <c r="AB597" i="7"/>
  <c r="AB246" i="7" s="1"/>
  <c r="AB596" i="7"/>
  <c r="AB595" i="7"/>
  <c r="AB244" i="7" s="1"/>
  <c r="AB600" i="7"/>
  <c r="AB594" i="7"/>
  <c r="AB243" i="7" s="1"/>
  <c r="AB593" i="7"/>
  <c r="AB242" i="7" s="1"/>
  <c r="AB590" i="7"/>
  <c r="AB239" i="7" s="1"/>
  <c r="AB592" i="7"/>
  <c r="AB241" i="7" s="1"/>
  <c r="AB603" i="7"/>
  <c r="AB252" i="7" s="1"/>
  <c r="AB591" i="7"/>
  <c r="AB240" i="7" s="1"/>
  <c r="AB648" i="7"/>
  <c r="AB578" i="7"/>
  <c r="AB562" i="7" s="1"/>
  <c r="AB560" i="7" s="1"/>
  <c r="F115" i="8"/>
  <c r="F120" i="8" s="1"/>
  <c r="F101" i="8"/>
  <c r="F87" i="8"/>
  <c r="AB249" i="7"/>
  <c r="AB135" i="7"/>
  <c r="AB247" i="7"/>
  <c r="AB235" i="7"/>
  <c r="O55" i="8"/>
  <c r="EP18" i="2"/>
  <c r="AB141" i="7"/>
  <c r="AB140" i="7"/>
  <c r="AB139" i="7"/>
  <c r="AB138" i="7"/>
  <c r="AB137" i="7"/>
  <c r="AB136" i="7"/>
  <c r="G211" i="7"/>
  <c r="G209" i="7" s="1"/>
  <c r="EE11" i="2"/>
  <c r="J113" i="8"/>
  <c r="J119" i="8" s="1"/>
  <c r="J120" i="8"/>
  <c r="K113" i="8"/>
  <c r="K119" i="8" s="1"/>
  <c r="K120" i="8"/>
  <c r="I211" i="7"/>
  <c r="I209" i="7" s="1"/>
  <c r="L113" i="8"/>
  <c r="L119" i="8" s="1"/>
  <c r="L120" i="8"/>
  <c r="H211" i="7"/>
  <c r="H209" i="7" s="1"/>
  <c r="M113" i="8"/>
  <c r="M119" i="8" s="1"/>
  <c r="M120" i="8"/>
  <c r="N120" i="8"/>
  <c r="N113" i="8"/>
  <c r="N119" i="8" s="1"/>
  <c r="G113" i="8"/>
  <c r="G120" i="8"/>
  <c r="X120" i="8" s="1"/>
  <c r="O113" i="8"/>
  <c r="O119" i="8" s="1"/>
  <c r="O120" i="8"/>
  <c r="H113" i="8"/>
  <c r="H119" i="8" s="1"/>
  <c r="H120" i="8"/>
  <c r="I113" i="8"/>
  <c r="I119" i="8" s="1"/>
  <c r="I120" i="8"/>
  <c r="J53" i="8"/>
  <c r="J63" i="8"/>
  <c r="I63" i="8"/>
  <c r="I53" i="8"/>
  <c r="H63" i="8"/>
  <c r="H53" i="8"/>
  <c r="F63" i="8"/>
  <c r="F53" i="8"/>
  <c r="N53" i="8"/>
  <c r="N63" i="8"/>
  <c r="M63" i="8"/>
  <c r="M53" i="8"/>
  <c r="L53" i="8"/>
  <c r="L63" i="8"/>
  <c r="K53" i="8"/>
  <c r="K63" i="8"/>
  <c r="R350" i="7"/>
  <c r="R348" i="7" s="1"/>
  <c r="F419" i="7"/>
  <c r="Q492" i="7"/>
  <c r="Q490" i="7" s="1"/>
  <c r="I562" i="7"/>
  <c r="I560" i="7" s="1"/>
  <c r="F129" i="8"/>
  <c r="J632" i="7"/>
  <c r="G143" i="8"/>
  <c r="Q350" i="7"/>
  <c r="Q348" i="7" s="1"/>
  <c r="R492" i="7"/>
  <c r="R490" i="7" s="1"/>
  <c r="I632" i="7"/>
  <c r="I630" i="7" s="1"/>
  <c r="F143" i="8"/>
  <c r="P350" i="7"/>
  <c r="P348" i="7" s="1"/>
  <c r="O350" i="7"/>
  <c r="O348" i="7" s="1"/>
  <c r="R562" i="7"/>
  <c r="R560" i="7" s="1"/>
  <c r="O129" i="8"/>
  <c r="F632" i="7"/>
  <c r="F630" i="7" s="1"/>
  <c r="N350" i="7"/>
  <c r="N348" i="7" s="1"/>
  <c r="I492" i="7"/>
  <c r="Q562" i="7"/>
  <c r="Q560" i="7" s="1"/>
  <c r="N129" i="8"/>
  <c r="R632" i="7"/>
  <c r="R630" i="7" s="1"/>
  <c r="O143" i="8"/>
  <c r="O141" i="8" s="1"/>
  <c r="O147" i="8" s="1"/>
  <c r="M350" i="7"/>
  <c r="M348" i="7" s="1"/>
  <c r="J492" i="7"/>
  <c r="P562" i="7"/>
  <c r="P560" i="7" s="1"/>
  <c r="M129" i="8"/>
  <c r="Q632" i="7"/>
  <c r="Q630" i="7" s="1"/>
  <c r="N143" i="8"/>
  <c r="N141" i="8" s="1"/>
  <c r="N147" i="8" s="1"/>
  <c r="L350" i="7"/>
  <c r="L348" i="7" s="1"/>
  <c r="K492" i="7"/>
  <c r="K490" i="7" s="1"/>
  <c r="O562" i="7"/>
  <c r="O560" i="7" s="1"/>
  <c r="L129" i="8"/>
  <c r="P632" i="7"/>
  <c r="P630" i="7" s="1"/>
  <c r="M143" i="8"/>
  <c r="M141" i="8" s="1"/>
  <c r="M147" i="8" s="1"/>
  <c r="K350" i="7"/>
  <c r="K348" i="7" s="1"/>
  <c r="L492" i="7"/>
  <c r="L490" i="7" s="1"/>
  <c r="N562" i="7"/>
  <c r="N560" i="7" s="1"/>
  <c r="K129" i="8"/>
  <c r="O632" i="7"/>
  <c r="O630" i="7" s="1"/>
  <c r="L143" i="8"/>
  <c r="L141" i="8" s="1"/>
  <c r="L147" i="8" s="1"/>
  <c r="J350" i="7"/>
  <c r="J348" i="7" s="1"/>
  <c r="M492" i="7"/>
  <c r="M490" i="7" s="1"/>
  <c r="M562" i="7"/>
  <c r="M560" i="7" s="1"/>
  <c r="J129" i="8"/>
  <c r="N632" i="7"/>
  <c r="N630" i="7" s="1"/>
  <c r="K143" i="8"/>
  <c r="K141" i="8" s="1"/>
  <c r="K147" i="8" s="1"/>
  <c r="I350" i="7"/>
  <c r="N492" i="7"/>
  <c r="N490" i="7" s="1"/>
  <c r="L562" i="7"/>
  <c r="L560" i="7" s="1"/>
  <c r="I129" i="8"/>
  <c r="M632" i="7"/>
  <c r="M630" i="7" s="1"/>
  <c r="J143" i="8"/>
  <c r="J141" i="8" s="1"/>
  <c r="J147" i="8" s="1"/>
  <c r="I421" i="7"/>
  <c r="O492" i="7"/>
  <c r="O490" i="7" s="1"/>
  <c r="K562" i="7"/>
  <c r="K560" i="7" s="1"/>
  <c r="H129" i="8"/>
  <c r="L632" i="7"/>
  <c r="L630" i="7" s="1"/>
  <c r="I143" i="8"/>
  <c r="I141" i="8" s="1"/>
  <c r="I147" i="8" s="1"/>
  <c r="P492" i="7"/>
  <c r="P490" i="7" s="1"/>
  <c r="J562" i="7"/>
  <c r="G129" i="8"/>
  <c r="K632" i="7"/>
  <c r="K630" i="7" s="1"/>
  <c r="H143" i="8"/>
  <c r="H141" i="8" s="1"/>
  <c r="H147" i="8" s="1"/>
  <c r="EM16" i="2"/>
  <c r="EL16" i="2"/>
  <c r="EK16" i="2"/>
  <c r="EJ16" i="2"/>
  <c r="EI16" i="2"/>
  <c r="EN16" i="2"/>
  <c r="EH16" i="2"/>
  <c r="EG16" i="2"/>
  <c r="EP16" i="2"/>
  <c r="EO16" i="2"/>
  <c r="AB237" i="7"/>
  <c r="AB236" i="7"/>
  <c r="AB234" i="7"/>
  <c r="AB233" i="7"/>
  <c r="G7" i="7"/>
  <c r="H7" i="7"/>
  <c r="G350" i="7"/>
  <c r="G348" i="7" s="1"/>
  <c r="I7" i="7"/>
  <c r="F7" i="7"/>
  <c r="ED12" i="2" s="1"/>
  <c r="ED9" i="2" s="1"/>
  <c r="AB248" i="7" l="1"/>
  <c r="AB245" i="7"/>
  <c r="AA562" i="7"/>
  <c r="AA560" i="7" s="1"/>
  <c r="J630" i="7"/>
  <c r="AA632" i="7"/>
  <c r="AA630" i="7" s="1"/>
  <c r="AB250" i="7"/>
  <c r="J560" i="7"/>
  <c r="J490" i="7"/>
  <c r="AA492" i="7"/>
  <c r="AA490" i="7" s="1"/>
  <c r="G91" i="8"/>
  <c r="X91" i="8" s="1"/>
  <c r="X85" i="8"/>
  <c r="G119" i="8"/>
  <c r="X119" i="8" s="1"/>
  <c r="X113" i="8"/>
  <c r="X129" i="8"/>
  <c r="G63" i="8"/>
  <c r="X55" i="8"/>
  <c r="X28" i="8"/>
  <c r="X30" i="8" s="1"/>
  <c r="X22" i="8"/>
  <c r="G141" i="8"/>
  <c r="X143" i="8"/>
  <c r="F99" i="8"/>
  <c r="F105" i="8" s="1"/>
  <c r="F113" i="8"/>
  <c r="F119" i="8" s="1"/>
  <c r="O63" i="8"/>
  <c r="F85" i="8"/>
  <c r="F91" i="8" s="1"/>
  <c r="I490" i="7"/>
  <c r="I419" i="7"/>
  <c r="I348" i="7"/>
  <c r="AA350" i="7"/>
  <c r="O53" i="8"/>
  <c r="X53" i="8" s="1"/>
  <c r="EG12" i="2"/>
  <c r="EF12" i="2"/>
  <c r="EF9" i="2" s="1"/>
  <c r="EE12" i="2"/>
  <c r="F103" i="8"/>
  <c r="F104" i="8" s="1"/>
  <c r="BR12" i="2"/>
  <c r="F57" i="8"/>
  <c r="F58" i="8" s="1"/>
  <c r="F89" i="8"/>
  <c r="F90" i="8" s="1"/>
  <c r="F92" i="8" s="1"/>
  <c r="F40" i="8"/>
  <c r="F41" i="8" s="1"/>
  <c r="O127" i="8"/>
  <c r="O133" i="8" s="1"/>
  <c r="O134" i="8"/>
  <c r="F141" i="8"/>
  <c r="F127" i="8"/>
  <c r="F134" i="8"/>
  <c r="N127" i="8"/>
  <c r="N133" i="8" s="1"/>
  <c r="N134" i="8"/>
  <c r="H127" i="8"/>
  <c r="H133" i="8" s="1"/>
  <c r="H134" i="8"/>
  <c r="M127" i="8"/>
  <c r="M133" i="8" s="1"/>
  <c r="M134" i="8"/>
  <c r="I127" i="8"/>
  <c r="I133" i="8" s="1"/>
  <c r="I134" i="8"/>
  <c r="G127" i="8"/>
  <c r="G134" i="8"/>
  <c r="X134" i="8" s="1"/>
  <c r="K127" i="8"/>
  <c r="K133" i="8" s="1"/>
  <c r="K134" i="8"/>
  <c r="L127" i="8"/>
  <c r="L133" i="8" s="1"/>
  <c r="L134" i="8"/>
  <c r="J127" i="8"/>
  <c r="J133" i="8" s="1"/>
  <c r="J134" i="8"/>
  <c r="F145" i="8"/>
  <c r="F146" i="8" s="1"/>
  <c r="C7" i="6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BR9" i="2" l="1"/>
  <c r="DH12" i="2"/>
  <c r="X63" i="8"/>
  <c r="G133" i="8"/>
  <c r="X127" i="8"/>
  <c r="G147" i="8"/>
  <c r="X147" i="8" s="1"/>
  <c r="X141" i="8"/>
  <c r="EY21" i="2"/>
  <c r="F218" i="8"/>
  <c r="AB632" i="7"/>
  <c r="AB630" i="7" s="1"/>
  <c r="AB492" i="7"/>
  <c r="AB490" i="7" s="1"/>
  <c r="BU12" i="2"/>
  <c r="DK12" i="2" s="1"/>
  <c r="AB350" i="7"/>
  <c r="AB348" i="7" s="1"/>
  <c r="AA348" i="7"/>
  <c r="EE9" i="2"/>
  <c r="BS12" i="2"/>
  <c r="DI12" i="2" s="1"/>
  <c r="BT12" i="2"/>
  <c r="DJ12" i="2" s="1"/>
  <c r="Y116" i="8"/>
  <c r="F185" i="8"/>
  <c r="F187" i="8" s="1"/>
  <c r="F106" i="8"/>
  <c r="F133" i="8"/>
  <c r="F147" i="8"/>
  <c r="F148" i="8"/>
  <c r="EF18" i="2"/>
  <c r="EH18" i="2"/>
  <c r="EJ18" i="2"/>
  <c r="EK18" i="2"/>
  <c r="EL18" i="2"/>
  <c r="EM18" i="2"/>
  <c r="EN18" i="2"/>
  <c r="EO18" i="2"/>
  <c r="EG18" i="2"/>
  <c r="EI18" i="2"/>
  <c r="ED18" i="2"/>
  <c r="X133" i="8" l="1"/>
  <c r="EF13" i="2"/>
  <c r="BS11" i="2"/>
  <c r="DI11" i="2" s="1"/>
  <c r="BT11" i="2"/>
  <c r="DJ11" i="2" s="1"/>
  <c r="BS10" i="2"/>
  <c r="DI10" i="2" s="1"/>
  <c r="BT10" i="2"/>
  <c r="DJ10" i="2" s="1"/>
  <c r="Y130" i="8" l="1"/>
  <c r="BS9" i="2"/>
  <c r="BT9" i="2"/>
  <c r="EG91" i="2" l="1"/>
  <c r="EH91" i="2" l="1"/>
  <c r="EG90" i="2"/>
  <c r="F13" i="8"/>
  <c r="F36" i="8" s="1"/>
  <c r="EI91" i="2"/>
  <c r="EJ91" i="2"/>
  <c r="I13" i="8" l="1"/>
  <c r="EJ90" i="2"/>
  <c r="EI90" i="2"/>
  <c r="H13" i="8"/>
  <c r="G13" i="8"/>
  <c r="EH90" i="2"/>
  <c r="EW91" i="2"/>
  <c r="ET91" i="2"/>
  <c r="EV91" i="2"/>
  <c r="EU91" i="2"/>
  <c r="EX91" i="2"/>
  <c r="EK91" i="2"/>
  <c r="V13" i="8" l="1"/>
  <c r="V36" i="8" s="1"/>
  <c r="EW90" i="2"/>
  <c r="EK90" i="2"/>
  <c r="J13" i="8"/>
  <c r="EX90" i="2"/>
  <c r="W13" i="8"/>
  <c r="W36" i="8" s="1"/>
  <c r="EU90" i="2"/>
  <c r="T13" i="8"/>
  <c r="U13" i="8"/>
  <c r="EV90" i="2"/>
  <c r="S13" i="8"/>
  <c r="ET90" i="2"/>
  <c r="G36" i="8"/>
  <c r="H32" i="8" s="1"/>
  <c r="G32" i="8"/>
  <c r="H36" i="8"/>
  <c r="I32" i="8" s="1"/>
  <c r="I36" i="8"/>
  <c r="EL91" i="2"/>
  <c r="EM91" i="2"/>
  <c r="S36" i="8" l="1"/>
  <c r="L13" i="8"/>
  <c r="EM90" i="2"/>
  <c r="EL90" i="2"/>
  <c r="K13" i="8"/>
  <c r="U36" i="8"/>
  <c r="T32" i="8"/>
  <c r="T36" i="8"/>
  <c r="J36" i="8"/>
  <c r="J32" i="8"/>
  <c r="W32" i="8"/>
  <c r="U32" i="8" l="1"/>
  <c r="V32" i="8"/>
  <c r="K36" i="8"/>
  <c r="L32" i="8" s="1"/>
  <c r="K32" i="8"/>
  <c r="L36" i="8"/>
  <c r="EN91" i="2" l="1"/>
  <c r="EP91" i="2"/>
  <c r="EO91" i="2"/>
  <c r="EP90" i="2" l="1"/>
  <c r="O13" i="8"/>
  <c r="N13" i="8"/>
  <c r="EO90" i="2"/>
  <c r="EN90" i="2"/>
  <c r="M13" i="8"/>
  <c r="EQ91" i="2"/>
  <c r="P13" i="8" l="1"/>
  <c r="EQ90" i="2"/>
  <c r="M36" i="8"/>
  <c r="N32" i="8" s="1"/>
  <c r="M32" i="8"/>
  <c r="N36" i="8"/>
  <c r="O32" i="8" s="1"/>
  <c r="O36" i="8"/>
  <c r="ER91" i="2"/>
  <c r="Q13" i="8" l="1"/>
  <c r="ER90" i="2"/>
  <c r="ES91" i="2"/>
  <c r="EC91" i="2"/>
  <c r="AC14" i="8"/>
  <c r="P36" i="8"/>
  <c r="P32" i="8"/>
  <c r="R13" i="8" l="1"/>
  <c r="R36" i="8" s="1"/>
  <c r="S32" i="8" s="1"/>
  <c r="ES90" i="2"/>
  <c r="EY91" i="2"/>
  <c r="Q36" i="8"/>
  <c r="Q32" i="8"/>
  <c r="R32" i="8" l="1"/>
  <c r="EG36" i="2" l="1"/>
  <c r="EQ14" i="2" l="1"/>
  <c r="P15" i="8"/>
  <c r="EQ39" i="2"/>
  <c r="ER39" i="2" l="1"/>
  <c r="ER14" i="2"/>
  <c r="Q15" i="8"/>
  <c r="P33" i="8"/>
  <c r="P17" i="8" s="1"/>
  <c r="ES14" i="2" l="1"/>
  <c r="R15" i="8"/>
  <c r="ES39" i="2"/>
  <c r="P35" i="8"/>
  <c r="P34" i="8" s="1"/>
  <c r="P23" i="8"/>
  <c r="P18" i="8"/>
  <c r="Q33" i="8"/>
  <c r="Q17" i="8" l="1"/>
  <c r="EG39" i="2"/>
  <c r="R33" i="8"/>
  <c r="R17" i="8" s="1"/>
  <c r="T15" i="8" l="1"/>
  <c r="EU14" i="2"/>
  <c r="ET14" i="2"/>
  <c r="S15" i="8"/>
  <c r="EU39" i="2"/>
  <c r="R18" i="8"/>
  <c r="R23" i="8"/>
  <c r="R35" i="8"/>
  <c r="R34" i="8" s="1"/>
  <c r="F15" i="8"/>
  <c r="EG14" i="2"/>
  <c r="ET39" i="2"/>
  <c r="Q23" i="8"/>
  <c r="Q18" i="8"/>
  <c r="Q35" i="8"/>
  <c r="Q34" i="8" s="1"/>
  <c r="EV14" i="2" l="1"/>
  <c r="U15" i="8"/>
  <c r="F33" i="8"/>
  <c r="F17" i="8" s="1"/>
  <c r="EG10" i="2"/>
  <c r="S33" i="8"/>
  <c r="S17" i="8" s="1"/>
  <c r="T33" i="8"/>
  <c r="T17" i="8" s="1"/>
  <c r="EV39" i="2"/>
  <c r="EW39" i="2" l="1"/>
  <c r="T23" i="8"/>
  <c r="T35" i="8"/>
  <c r="T34" i="8" s="1"/>
  <c r="T18" i="8"/>
  <c r="S23" i="8"/>
  <c r="S35" i="8"/>
  <c r="S34" i="8" s="1"/>
  <c r="S18" i="8"/>
  <c r="G15" i="8"/>
  <c r="EH14" i="2"/>
  <c r="F206" i="8"/>
  <c r="F18" i="8"/>
  <c r="F23" i="8"/>
  <c r="F35" i="8"/>
  <c r="F34" i="8" s="1"/>
  <c r="V15" i="8"/>
  <c r="EW14" i="2"/>
  <c r="U33" i="8"/>
  <c r="U17" i="8" s="1"/>
  <c r="U23" i="8" l="1"/>
  <c r="U35" i="8"/>
  <c r="U34" i="8" s="1"/>
  <c r="U18" i="8"/>
  <c r="V33" i="8"/>
  <c r="V17" i="8" s="1"/>
  <c r="EH39" i="2"/>
  <c r="F215" i="8"/>
  <c r="G33" i="8"/>
  <c r="EX14" i="2"/>
  <c r="W15" i="8"/>
  <c r="EX39" i="2"/>
  <c r="H15" i="8"/>
  <c r="EI14" i="2"/>
  <c r="H33" i="8" l="1"/>
  <c r="H17" i="8" s="1"/>
  <c r="W33" i="8"/>
  <c r="EJ39" i="2"/>
  <c r="G17" i="8"/>
  <c r="V35" i="8"/>
  <c r="V34" i="8" s="1"/>
  <c r="V18" i="8"/>
  <c r="V23" i="8"/>
  <c r="EI39" i="2"/>
  <c r="G35" i="8" l="1"/>
  <c r="G23" i="8"/>
  <c r="G18" i="8"/>
  <c r="W17" i="8"/>
  <c r="I15" i="8"/>
  <c r="EJ14" i="2"/>
  <c r="EK39" i="2"/>
  <c r="H35" i="8"/>
  <c r="H34" i="8" s="1"/>
  <c r="H18" i="8"/>
  <c r="H23" i="8"/>
  <c r="EL39" i="2" l="1"/>
  <c r="W35" i="8"/>
  <c r="W34" i="8" s="1"/>
  <c r="W18" i="8"/>
  <c r="W23" i="8"/>
  <c r="I33" i="8"/>
  <c r="J15" i="8"/>
  <c r="EK14" i="2"/>
  <c r="G34" i="8"/>
  <c r="J33" i="8" l="1"/>
  <c r="J17" i="8" s="1"/>
  <c r="I17" i="8"/>
  <c r="K15" i="8"/>
  <c r="EL14" i="2"/>
  <c r="EM39" i="2"/>
  <c r="K33" i="8" l="1"/>
  <c r="EN39" i="2"/>
  <c r="L15" i="8"/>
  <c r="EM14" i="2"/>
  <c r="I35" i="8"/>
  <c r="I23" i="8"/>
  <c r="I18" i="8"/>
  <c r="J35" i="8"/>
  <c r="J34" i="8" s="1"/>
  <c r="J18" i="8"/>
  <c r="J23" i="8"/>
  <c r="EO39" i="2" l="1"/>
  <c r="I34" i="8"/>
  <c r="M15" i="8"/>
  <c r="EN14" i="2"/>
  <c r="K17" i="8"/>
  <c r="L33" i="8"/>
  <c r="L17" i="8" s="1"/>
  <c r="EP39" i="2"/>
  <c r="EY39" i="2" s="1"/>
  <c r="EC39" i="2"/>
  <c r="EC14" i="2"/>
  <c r="K35" i="8" l="1"/>
  <c r="K23" i="8"/>
  <c r="K18" i="8"/>
  <c r="EP14" i="2"/>
  <c r="O15" i="8"/>
  <c r="M33" i="8"/>
  <c r="M17" i="8" s="1"/>
  <c r="N15" i="8"/>
  <c r="EO14" i="2"/>
  <c r="L35" i="8"/>
  <c r="L34" i="8" s="1"/>
  <c r="L23" i="8"/>
  <c r="L18" i="8"/>
  <c r="N33" i="8" l="1"/>
  <c r="M35" i="8"/>
  <c r="M34" i="8" s="1"/>
  <c r="M18" i="8"/>
  <c r="M23" i="8"/>
  <c r="O33" i="8"/>
  <c r="O17" i="8" s="1"/>
  <c r="EY14" i="2"/>
  <c r="K34" i="8"/>
  <c r="O35" i="8" l="1"/>
  <c r="O34" i="8" s="1"/>
  <c r="O23" i="8"/>
  <c r="O18" i="8"/>
  <c r="N17" i="8"/>
  <c r="X33" i="8"/>
  <c r="N35" i="8" l="1"/>
  <c r="N18" i="8"/>
  <c r="N23" i="8"/>
  <c r="X18" i="8"/>
  <c r="X23" i="8"/>
  <c r="X24" i="8" s="1"/>
  <c r="EG87" i="2" l="1"/>
  <c r="EG95" i="2"/>
  <c r="F50" i="8" s="1"/>
  <c r="EG96" i="2"/>
  <c r="N34" i="8"/>
  <c r="X34" i="8" s="1"/>
  <c r="X35" i="8"/>
  <c r="AD13" i="8" s="1"/>
  <c r="EG82" i="2" l="1"/>
  <c r="EG85" i="2"/>
  <c r="F60" i="8"/>
  <c r="F51" i="8"/>
  <c r="F62" i="8" s="1"/>
  <c r="F52" i="8"/>
  <c r="EG93" i="2"/>
  <c r="F61" i="8" l="1"/>
  <c r="F59" i="8" s="1"/>
  <c r="EI87" i="2"/>
  <c r="EI95" i="2"/>
  <c r="H50" i="8" s="1"/>
  <c r="EI96" i="2"/>
  <c r="F48" i="8"/>
  <c r="F64" i="8" s="1"/>
  <c r="EH87" i="2"/>
  <c r="EH96" i="2"/>
  <c r="EH95" i="2"/>
  <c r="EI82" i="2" l="1"/>
  <c r="EI85" i="2"/>
  <c r="G50" i="8"/>
  <c r="EH93" i="2"/>
  <c r="H60" i="8"/>
  <c r="H51" i="8"/>
  <c r="H62" i="8" s="1"/>
  <c r="H52" i="8"/>
  <c r="EH85" i="2"/>
  <c r="EH82" i="2"/>
  <c r="EI93" i="2"/>
  <c r="H61" i="8" l="1"/>
  <c r="H48" i="8"/>
  <c r="EJ96" i="2"/>
  <c r="EJ95" i="2"/>
  <c r="G60" i="8"/>
  <c r="G51" i="8"/>
  <c r="G62" i="8" s="1"/>
  <c r="G52" i="8"/>
  <c r="EK95" i="2"/>
  <c r="J50" i="8" s="1"/>
  <c r="EK96" i="2"/>
  <c r="EK87" i="2"/>
  <c r="EJ87" i="2"/>
  <c r="EJ93" i="2"/>
  <c r="G61" i="8" l="1"/>
  <c r="EK93" i="2"/>
  <c r="J60" i="8"/>
  <c r="J51" i="8"/>
  <c r="J62" i="8" s="1"/>
  <c r="J52" i="8"/>
  <c r="EJ82" i="2"/>
  <c r="G48" i="8"/>
  <c r="I50" i="8"/>
  <c r="EJ85" i="2"/>
  <c r="EK82" i="2"/>
  <c r="EK85" i="2"/>
  <c r="EL95" i="2"/>
  <c r="K50" i="8" s="1"/>
  <c r="EL96" i="2"/>
  <c r="J48" i="8" l="1"/>
  <c r="I60" i="8"/>
  <c r="I52" i="8"/>
  <c r="I51" i="8"/>
  <c r="I62" i="8" s="1"/>
  <c r="J61" i="8"/>
  <c r="EL85" i="2"/>
  <c r="EM87" i="2"/>
  <c r="K60" i="8"/>
  <c r="K51" i="8"/>
  <c r="K62" i="8" s="1"/>
  <c r="K52" i="8"/>
  <c r="EL87" i="2"/>
  <c r="EM85" i="2"/>
  <c r="EM82" i="2"/>
  <c r="I61" i="8" l="1"/>
  <c r="K48" i="8"/>
  <c r="K61" i="8"/>
  <c r="EL82" i="2"/>
  <c r="EL93" i="2"/>
  <c r="EM95" i="2"/>
  <c r="I48" i="8"/>
  <c r="EM96" i="2"/>
  <c r="EM93" i="2"/>
  <c r="EN95" i="2"/>
  <c r="M50" i="8" s="1"/>
  <c r="EN96" i="2"/>
  <c r="EN87" i="2"/>
  <c r="EO87" i="2"/>
  <c r="EN93" i="2" l="1"/>
  <c r="M60" i="8"/>
  <c r="M52" i="8"/>
  <c r="M51" i="8"/>
  <c r="M62" i="8" s="1"/>
  <c r="L50" i="8"/>
  <c r="EO95" i="2"/>
  <c r="N50" i="8" s="1"/>
  <c r="EO96" i="2"/>
  <c r="EQ87" i="2"/>
  <c r="EQ96" i="2"/>
  <c r="EP87" i="2"/>
  <c r="M48" i="8" l="1"/>
  <c r="L60" i="8"/>
  <c r="L51" i="8"/>
  <c r="L62" i="8" s="1"/>
  <c r="L52" i="8"/>
  <c r="EN82" i="2"/>
  <c r="M61" i="8"/>
  <c r="EN85" i="2"/>
  <c r="EO93" i="2"/>
  <c r="EP95" i="2"/>
  <c r="O50" i="8" s="1"/>
  <c r="EP96" i="2"/>
  <c r="EO82" i="2"/>
  <c r="EO85" i="2"/>
  <c r="N60" i="8"/>
  <c r="N51" i="8"/>
  <c r="N62" i="8" s="1"/>
  <c r="N52" i="8"/>
  <c r="EP85" i="2"/>
  <c r="EQ95" i="2"/>
  <c r="P50" i="8" s="1"/>
  <c r="ER96" i="2"/>
  <c r="ER87" i="2"/>
  <c r="EP82" i="2"/>
  <c r="N61" i="8" l="1"/>
  <c r="N48" i="8"/>
  <c r="EQ82" i="2"/>
  <c r="EQ85" i="2"/>
  <c r="O60" i="8"/>
  <c r="O52" i="8"/>
  <c r="O51" i="8"/>
  <c r="O62" i="8" s="1"/>
  <c r="EP93" i="2"/>
  <c r="EQ93" i="2"/>
  <c r="L48" i="8"/>
  <c r="P60" i="8"/>
  <c r="P52" i="8"/>
  <c r="P51" i="8"/>
  <c r="P62" i="8" s="1"/>
  <c r="L61" i="8"/>
  <c r="ER95" i="2"/>
  <c r="Q50" i="8" s="1"/>
  <c r="ES96" i="2"/>
  <c r="ES87" i="2"/>
  <c r="O48" i="8" l="1"/>
  <c r="P61" i="8"/>
  <c r="P48" i="8"/>
  <c r="AC50" i="8"/>
  <c r="O61" i="8"/>
  <c r="ER82" i="2"/>
  <c r="ER85" i="2"/>
  <c r="ER93" i="2"/>
  <c r="Q60" i="8"/>
  <c r="Q52" i="8"/>
  <c r="Q51" i="8"/>
  <c r="Q62" i="8" s="1"/>
  <c r="ES95" i="2"/>
  <c r="R50" i="8" s="1"/>
  <c r="ET87" i="2"/>
  <c r="ET96" i="2"/>
  <c r="Q48" i="8" l="1"/>
  <c r="Q61" i="8"/>
  <c r="ES82" i="2"/>
  <c r="ES85" i="2"/>
  <c r="R60" i="8"/>
  <c r="R52" i="8"/>
  <c r="R51" i="8"/>
  <c r="R62" i="8" s="1"/>
  <c r="ES93" i="2"/>
  <c r="ET95" i="2"/>
  <c r="S50" i="8" s="1"/>
  <c r="EU96" i="2"/>
  <c r="EU87" i="2"/>
  <c r="R61" i="8" l="1"/>
  <c r="R48" i="8"/>
  <c r="ET82" i="2"/>
  <c r="ET85" i="2"/>
  <c r="S60" i="8"/>
  <c r="S52" i="8"/>
  <c r="S51" i="8"/>
  <c r="S62" i="8" s="1"/>
  <c r="ET93" i="2"/>
  <c r="EU95" i="2"/>
  <c r="T50" i="8" s="1"/>
  <c r="EV96" i="2"/>
  <c r="EV87" i="2"/>
  <c r="S61" i="8" l="1"/>
  <c r="S48" i="8"/>
  <c r="EU93" i="2"/>
  <c r="T60" i="8"/>
  <c r="T52" i="8"/>
  <c r="T51" i="8"/>
  <c r="T62" i="8" s="1"/>
  <c r="EU82" i="2"/>
  <c r="EU85" i="2"/>
  <c r="EV95" i="2"/>
  <c r="U50" i="8" s="1"/>
  <c r="EW87" i="2"/>
  <c r="T48" i="8" l="1"/>
  <c r="T61" i="8"/>
  <c r="U60" i="8"/>
  <c r="U52" i="8"/>
  <c r="U51" i="8"/>
  <c r="U62" i="8" s="1"/>
  <c r="EX87" i="2"/>
  <c r="EY87" i="2" s="1"/>
  <c r="EC87" i="2"/>
  <c r="EV82" i="2"/>
  <c r="EV85" i="2"/>
  <c r="EW96" i="2"/>
  <c r="EV93" i="2"/>
  <c r="EW95" i="2"/>
  <c r="V50" i="8" s="1"/>
  <c r="EW85" i="2"/>
  <c r="U48" i="8" l="1"/>
  <c r="U61" i="8"/>
  <c r="V60" i="8"/>
  <c r="V52" i="8"/>
  <c r="V51" i="8"/>
  <c r="V62" i="8" s="1"/>
  <c r="V48" i="8" s="1"/>
  <c r="EW93" i="2"/>
  <c r="EX96" i="2"/>
  <c r="EY96" i="2" s="1"/>
  <c r="EC96" i="2"/>
  <c r="EX95" i="2"/>
  <c r="EC95" i="2"/>
  <c r="EX85" i="2"/>
  <c r="EY85" i="2" s="1"/>
  <c r="EC85" i="2"/>
  <c r="EW82" i="2"/>
  <c r="V61" i="8" l="1"/>
  <c r="EX82" i="2"/>
  <c r="EY82" i="2" s="1"/>
  <c r="EC82" i="2"/>
  <c r="W50" i="8"/>
  <c r="EY95" i="2"/>
  <c r="EX93" i="2"/>
  <c r="EY93" i="2" s="1"/>
  <c r="EC93" i="2"/>
  <c r="W60" i="8" l="1"/>
  <c r="W51" i="8"/>
  <c r="W62" i="8" s="1"/>
  <c r="W52" i="8"/>
  <c r="W48" i="8" l="1"/>
  <c r="X48" i="8" s="1"/>
  <c r="X62" i="8"/>
  <c r="AD49" i="8" s="1"/>
  <c r="W61" i="8"/>
  <c r="EX44" i="2" l="1"/>
  <c r="EG44" i="2" l="1"/>
  <c r="EH44" i="2" l="1"/>
  <c r="EI44" i="2" l="1"/>
  <c r="EJ44" i="2" l="1"/>
  <c r="EK44" i="2" l="1"/>
  <c r="EL44" i="2" l="1"/>
  <c r="EM44" i="2" l="1"/>
  <c r="EQ44" i="2" l="1"/>
  <c r="EN44" i="2"/>
  <c r="EO44" i="2" l="1"/>
  <c r="ER44" i="2" l="1"/>
  <c r="EP44" i="2"/>
  <c r="ES44" i="2" l="1"/>
  <c r="ET44" i="2"/>
  <c r="EU44" i="2" l="1"/>
  <c r="EV44" i="2" l="1"/>
  <c r="EW44" i="2" l="1"/>
  <c r="EY44" i="2" s="1"/>
  <c r="EC44" i="2"/>
  <c r="EG34" i="2" l="1"/>
  <c r="F190" i="8"/>
  <c r="F195" i="8" s="1"/>
  <c r="F198" i="8" s="1"/>
  <c r="T94" i="8" l="1"/>
  <c r="T95" i="8" s="1"/>
  <c r="U94" i="8" l="1"/>
  <c r="U95" i="8" s="1"/>
  <c r="V94" i="8" l="1"/>
  <c r="V95" i="8" s="1"/>
  <c r="W94" i="8" l="1"/>
  <c r="W95" i="8" s="1"/>
  <c r="G94" i="8" l="1"/>
  <c r="G98" i="8" l="1"/>
  <c r="X98" i="8" s="1"/>
  <c r="G95" i="8"/>
  <c r="H94" i="8" l="1"/>
  <c r="K212" i="7" l="1"/>
  <c r="H100" i="8"/>
  <c r="H95" i="8"/>
  <c r="H98" i="8" l="1"/>
  <c r="I94" i="8" l="1"/>
  <c r="L212" i="7"/>
  <c r="I100" i="8"/>
  <c r="I98" i="8" l="1"/>
  <c r="I95" i="8"/>
  <c r="J94" i="8" l="1"/>
  <c r="M212" i="7" l="1"/>
  <c r="J100" i="8"/>
  <c r="J95" i="8"/>
  <c r="J98" i="8" l="1"/>
  <c r="N212" i="7" l="1"/>
  <c r="K100" i="8"/>
  <c r="K94" i="8"/>
  <c r="K95" i="8" l="1"/>
  <c r="K98" i="8"/>
  <c r="L94" i="8" l="1"/>
  <c r="L95" i="8" s="1"/>
  <c r="O212" i="7" l="1"/>
  <c r="L100" i="8"/>
  <c r="L98" i="8" l="1"/>
  <c r="M94" i="8" l="1"/>
  <c r="M95" i="8" s="1"/>
  <c r="P212" i="7" l="1"/>
  <c r="M100" i="8"/>
  <c r="M98" i="8" s="1"/>
  <c r="N94" i="8" l="1"/>
  <c r="N95" i="8" s="1"/>
  <c r="Q212" i="7" l="1"/>
  <c r="N100" i="8"/>
  <c r="N98" i="8" s="1"/>
  <c r="O94" i="8" l="1"/>
  <c r="O95" i="8" s="1"/>
  <c r="R212" i="7" l="1"/>
  <c r="O100" i="8"/>
  <c r="O98" i="8" s="1"/>
  <c r="P94" i="8" l="1"/>
  <c r="P95" i="8" s="1"/>
  <c r="Q94" i="8" l="1"/>
  <c r="Q95" i="8" s="1"/>
  <c r="R94" i="8" l="1"/>
  <c r="R95" i="8" s="1"/>
  <c r="S94" i="8" l="1"/>
  <c r="AA420" i="7"/>
  <c r="AB420" i="7" s="1"/>
  <c r="S95" i="8" l="1"/>
  <c r="X95" i="8" s="1"/>
  <c r="X94" i="8"/>
  <c r="S212" i="7" l="1"/>
  <c r="P100" i="8"/>
  <c r="P98" i="8" s="1"/>
  <c r="T212" i="7" l="1"/>
  <c r="Q100" i="8"/>
  <c r="Q98" i="8" s="1"/>
  <c r="U212" i="7" l="1"/>
  <c r="R100" i="8"/>
  <c r="R98" i="8" s="1"/>
  <c r="V212" i="7" l="1"/>
  <c r="S100" i="8"/>
  <c r="S98" i="8" l="1"/>
  <c r="W212" i="7" l="1"/>
  <c r="T100" i="8"/>
  <c r="T98" i="8" l="1"/>
  <c r="X212" i="7" l="1"/>
  <c r="U100" i="8"/>
  <c r="U98" i="8" l="1"/>
  <c r="Y212" i="7" l="1"/>
  <c r="V100" i="8"/>
  <c r="V98" i="8" l="1"/>
  <c r="Z212" i="7" l="1"/>
  <c r="W100" i="8"/>
  <c r="AA422" i="7"/>
  <c r="AB422" i="7" l="1"/>
  <c r="AA212" i="7"/>
  <c r="AB212" i="7" s="1"/>
  <c r="W98" i="8"/>
  <c r="X100" i="8"/>
  <c r="Y230" i="7" l="1"/>
  <c r="Z230" i="7"/>
  <c r="W231" i="7"/>
  <c r="X232" i="7"/>
  <c r="Y231" i="7"/>
  <c r="W232" i="7"/>
  <c r="W229" i="7"/>
  <c r="X229" i="7"/>
  <c r="Y232" i="7"/>
  <c r="X231" i="7"/>
  <c r="Z229" i="7"/>
  <c r="X230" i="7"/>
  <c r="Z232" i="7"/>
  <c r="W230" i="7"/>
  <c r="Y229" i="7"/>
  <c r="Z231" i="7"/>
  <c r="W296" i="7" l="1"/>
  <c r="W281" i="7" s="1"/>
  <c r="Z296" i="7"/>
  <c r="Z281" i="7" s="1"/>
  <c r="W73" i="8" s="1"/>
  <c r="Y296" i="7"/>
  <c r="Y281" i="7" s="1"/>
  <c r="X296" i="7"/>
  <c r="X281" i="7" s="1"/>
  <c r="X279" i="7" l="1"/>
  <c r="U73" i="8"/>
  <c r="W437" i="7"/>
  <c r="W228" i="7"/>
  <c r="W227" i="7" s="1"/>
  <c r="Y279" i="7"/>
  <c r="V73" i="8"/>
  <c r="T67" i="8"/>
  <c r="T68" i="8" s="1"/>
  <c r="W210" i="7"/>
  <c r="EU10" i="2" s="1"/>
  <c r="Y437" i="7"/>
  <c r="Y228" i="7"/>
  <c r="Y227" i="7" s="1"/>
  <c r="Z210" i="7"/>
  <c r="EX10" i="2" s="1"/>
  <c r="W67" i="8"/>
  <c r="W68" i="8" s="1"/>
  <c r="W78" i="8" s="1"/>
  <c r="Z279" i="7"/>
  <c r="X210" i="7"/>
  <c r="EV10" i="2" s="1"/>
  <c r="U67" i="8"/>
  <c r="W77" i="8"/>
  <c r="W279" i="7"/>
  <c r="T73" i="8"/>
  <c r="T77" i="8" s="1"/>
  <c r="Y210" i="7"/>
  <c r="EW10" i="2" s="1"/>
  <c r="V67" i="8"/>
  <c r="V68" i="8" s="1"/>
  <c r="V78" i="8" s="1"/>
  <c r="X437" i="7"/>
  <c r="X228" i="7"/>
  <c r="X227" i="7" s="1"/>
  <c r="W7" i="7" l="1"/>
  <c r="W211" i="7"/>
  <c r="W209" i="7" s="1"/>
  <c r="V206" i="8"/>
  <c r="T101" i="8"/>
  <c r="W421" i="7"/>
  <c r="W419" i="7" s="1"/>
  <c r="U68" i="8"/>
  <c r="U77" i="8"/>
  <c r="U206" i="8"/>
  <c r="U78" i="8"/>
  <c r="W206" i="8"/>
  <c r="Z437" i="7"/>
  <c r="Z228" i="7"/>
  <c r="Z227" i="7" s="1"/>
  <c r="Y7" i="7"/>
  <c r="Y211" i="7"/>
  <c r="Y209" i="7" s="1"/>
  <c r="V101" i="8"/>
  <c r="Y421" i="7"/>
  <c r="Y419" i="7" s="1"/>
  <c r="T206" i="8"/>
  <c r="T78" i="8"/>
  <c r="X7" i="7"/>
  <c r="X211" i="7"/>
  <c r="X209" i="7" s="1"/>
  <c r="V77" i="8"/>
  <c r="U101" i="8"/>
  <c r="X421" i="7"/>
  <c r="X419" i="7" s="1"/>
  <c r="V40" i="8" l="1"/>
  <c r="V89" i="8"/>
  <c r="EW12" i="2"/>
  <c r="V145" i="8"/>
  <c r="V57" i="8"/>
  <c r="Z211" i="7"/>
  <c r="Z209" i="7" s="1"/>
  <c r="Z7" i="7"/>
  <c r="W101" i="8"/>
  <c r="Z421" i="7"/>
  <c r="Z419" i="7" s="1"/>
  <c r="W215" i="8"/>
  <c r="U215" i="8"/>
  <c r="U103" i="8"/>
  <c r="U99" i="8"/>
  <c r="U105" i="8" s="1"/>
  <c r="EV12" i="2"/>
  <c r="U57" i="8"/>
  <c r="U145" i="8"/>
  <c r="U40" i="8"/>
  <c r="U89" i="8"/>
  <c r="T215" i="8"/>
  <c r="T103" i="8"/>
  <c r="T99" i="8"/>
  <c r="T105" i="8" s="1"/>
  <c r="V215" i="8"/>
  <c r="V103" i="8"/>
  <c r="V99" i="8"/>
  <c r="V105" i="8" s="1"/>
  <c r="T57" i="8"/>
  <c r="T145" i="8"/>
  <c r="T89" i="8"/>
  <c r="EU12" i="2"/>
  <c r="T40" i="8"/>
  <c r="T208" i="8" l="1"/>
  <c r="W103" i="8"/>
  <c r="W99" i="8"/>
  <c r="W105" i="8" s="1"/>
  <c r="W40" i="8"/>
  <c r="W57" i="8"/>
  <c r="W89" i="8"/>
  <c r="W145" i="8"/>
  <c r="EX12" i="2"/>
  <c r="U208" i="8"/>
  <c r="V208" i="8"/>
  <c r="W208" i="8" l="1"/>
  <c r="V218" i="8"/>
  <c r="U218" i="8"/>
  <c r="T218" i="8"/>
  <c r="W218" i="8" l="1"/>
  <c r="T230" i="7" l="1"/>
  <c r="V230" i="7"/>
  <c r="U232" i="7"/>
  <c r="U231" i="7"/>
  <c r="V232" i="7" l="1"/>
  <c r="V228" i="7" l="1"/>
  <c r="T228" i="7"/>
  <c r="V231" i="7"/>
  <c r="U230" i="7"/>
  <c r="T231" i="7"/>
  <c r="U229" i="7"/>
  <c r="Q67" i="8" l="1"/>
  <c r="Q68" i="8" s="1"/>
  <c r="T210" i="7"/>
  <c r="ER10" i="2" s="1"/>
  <c r="R67" i="8"/>
  <c r="R68" i="8" s="1"/>
  <c r="U210" i="7"/>
  <c r="ES10" i="2" s="1"/>
  <c r="T232" i="7"/>
  <c r="T229" i="7" l="1"/>
  <c r="T227" i="7" s="1"/>
  <c r="T437" i="7"/>
  <c r="U437" i="7"/>
  <c r="U228" i="7"/>
  <c r="U227" i="7" s="1"/>
  <c r="S67" i="8"/>
  <c r="S68" i="8" s="1"/>
  <c r="V210" i="7"/>
  <c r="ET10" i="2" s="1"/>
  <c r="R206" i="8"/>
  <c r="V229" i="7"/>
  <c r="V227" i="7" s="1"/>
  <c r="V437" i="7"/>
  <c r="Q206" i="8"/>
  <c r="Q215" i="8" l="1"/>
  <c r="S101" i="8"/>
  <c r="V421" i="7"/>
  <c r="V419" i="7" s="1"/>
  <c r="V7" i="7"/>
  <c r="V211" i="7"/>
  <c r="V209" i="7" s="1"/>
  <c r="R215" i="8"/>
  <c r="S206" i="8"/>
  <c r="U7" i="7"/>
  <c r="U211" i="7"/>
  <c r="U209" i="7" s="1"/>
  <c r="R101" i="8"/>
  <c r="R99" i="8" s="1"/>
  <c r="R105" i="8" s="1"/>
  <c r="U421" i="7"/>
  <c r="U419" i="7" s="1"/>
  <c r="Q101" i="8"/>
  <c r="Q99" i="8" s="1"/>
  <c r="Q105" i="8" s="1"/>
  <c r="T421" i="7"/>
  <c r="T419" i="7" s="1"/>
  <c r="T7" i="7"/>
  <c r="T211" i="7"/>
  <c r="T209" i="7" s="1"/>
  <c r="Q103" i="8" l="1"/>
  <c r="ER12" i="2"/>
  <c r="Q89" i="8"/>
  <c r="Q57" i="8"/>
  <c r="Q40" i="8"/>
  <c r="Q145" i="8"/>
  <c r="R103" i="8"/>
  <c r="R57" i="8"/>
  <c r="R145" i="8"/>
  <c r="R89" i="8"/>
  <c r="R40" i="8"/>
  <c r="ES12" i="2"/>
  <c r="S215" i="8"/>
  <c r="ET12" i="2"/>
  <c r="S145" i="8"/>
  <c r="S89" i="8"/>
  <c r="S57" i="8"/>
  <c r="S40" i="8"/>
  <c r="S103" i="8"/>
  <c r="S99" i="8"/>
  <c r="S105" i="8" s="1"/>
  <c r="S208" i="8" l="1"/>
  <c r="R208" i="8"/>
  <c r="Q208" i="8"/>
  <c r="CF12" i="2"/>
  <c r="DV12" i="2" s="1"/>
  <c r="Q218" i="8" l="1"/>
  <c r="R218" i="8"/>
  <c r="S218" i="8"/>
  <c r="K230" i="7" l="1"/>
  <c r="R229" i="7"/>
  <c r="K232" i="7"/>
  <c r="R228" i="7" l="1"/>
  <c r="R230" i="7"/>
  <c r="P230" i="7"/>
  <c r="S230" i="7"/>
  <c r="M230" i="7"/>
  <c r="P232" i="7"/>
  <c r="R231" i="7"/>
  <c r="L230" i="7"/>
  <c r="N230" i="7"/>
  <c r="O230" i="7"/>
  <c r="AA476" i="7"/>
  <c r="AB476" i="7" s="1"/>
  <c r="AA475" i="7"/>
  <c r="AB475" i="7" s="1"/>
  <c r="AA484" i="7"/>
  <c r="AB484" i="7" s="1"/>
  <c r="AA469" i="7"/>
  <c r="AB469" i="7" s="1"/>
  <c r="AA466" i="7"/>
  <c r="AB466" i="7" s="1"/>
  <c r="AA327" i="7"/>
  <c r="AB327" i="7" s="1"/>
  <c r="K229" i="7"/>
  <c r="AA488" i="7"/>
  <c r="AB488" i="7" s="1"/>
  <c r="AA478" i="7"/>
  <c r="AB478" i="7" s="1"/>
  <c r="AA477" i="7"/>
  <c r="AB477" i="7" s="1"/>
  <c r="AA487" i="7"/>
  <c r="AB487" i="7" s="1"/>
  <c r="P231" i="7"/>
  <c r="R232" i="7"/>
  <c r="Q228" i="7" l="1"/>
  <c r="S228" i="7"/>
  <c r="O67" i="8"/>
  <c r="R210" i="7"/>
  <c r="EP10" i="2" s="1"/>
  <c r="AA468" i="7"/>
  <c r="AB468" i="7" s="1"/>
  <c r="S232" i="7"/>
  <c r="M232" i="7"/>
  <c r="R437" i="7"/>
  <c r="R227" i="7"/>
  <c r="N231" i="7"/>
  <c r="L231" i="7"/>
  <c r="O231" i="7"/>
  <c r="P229" i="7"/>
  <c r="N229" i="7"/>
  <c r="S231" i="7"/>
  <c r="AA483" i="7"/>
  <c r="AB483" i="7" s="1"/>
  <c r="AA482" i="7"/>
  <c r="AB482" i="7" s="1"/>
  <c r="AA485" i="7"/>
  <c r="AB485" i="7" s="1"/>
  <c r="M229" i="7"/>
  <c r="AA326" i="7"/>
  <c r="AB326" i="7" s="1"/>
  <c r="AA472" i="7"/>
  <c r="AB472" i="7" s="1"/>
  <c r="AA473" i="7"/>
  <c r="AB473" i="7" s="1"/>
  <c r="AA481" i="7"/>
  <c r="AB481" i="7" s="1"/>
  <c r="AA480" i="7"/>
  <c r="AB480" i="7" s="1"/>
  <c r="M231" i="7"/>
  <c r="AA474" i="7"/>
  <c r="AB474" i="7" s="1"/>
  <c r="O229" i="7"/>
  <c r="AA486" i="7"/>
  <c r="AB486" i="7" s="1"/>
  <c r="AA479" i="7"/>
  <c r="AB479" i="7" s="1"/>
  <c r="AA258" i="7"/>
  <c r="AB258" i="7" s="1"/>
  <c r="S229" i="7"/>
  <c r="N232" i="7"/>
  <c r="AA467" i="7"/>
  <c r="AB467" i="7" s="1"/>
  <c r="AA471" i="7"/>
  <c r="AB471" i="7" s="1"/>
  <c r="AA464" i="7"/>
  <c r="AB464" i="7" s="1"/>
  <c r="L67" i="8" l="1"/>
  <c r="O210" i="7"/>
  <c r="EM10" i="2" s="1"/>
  <c r="O232" i="7"/>
  <c r="M67" i="8"/>
  <c r="P210" i="7"/>
  <c r="EN10" i="2" s="1"/>
  <c r="Q231" i="7"/>
  <c r="H67" i="8"/>
  <c r="K210" i="7"/>
  <c r="EI10" i="2" s="1"/>
  <c r="O228" i="7"/>
  <c r="O227" i="7" s="1"/>
  <c r="O437" i="7"/>
  <c r="L229" i="7"/>
  <c r="R7" i="7"/>
  <c r="R211" i="7"/>
  <c r="R209" i="7" s="1"/>
  <c r="AA280" i="7"/>
  <c r="J210" i="7"/>
  <c r="EH10" i="2" s="1"/>
  <c r="G67" i="8"/>
  <c r="O101" i="8"/>
  <c r="R421" i="7"/>
  <c r="R419" i="7" s="1"/>
  <c r="I67" i="8"/>
  <c r="L210" i="7"/>
  <c r="EJ10" i="2" s="1"/>
  <c r="N67" i="8"/>
  <c r="Q210" i="7"/>
  <c r="EO10" i="2" s="1"/>
  <c r="J232" i="7"/>
  <c r="O206" i="8"/>
  <c r="S210" i="7"/>
  <c r="EQ10" i="2" s="1"/>
  <c r="P67" i="8"/>
  <c r="P68" i="8" s="1"/>
  <c r="J67" i="8"/>
  <c r="M210" i="7"/>
  <c r="EK10" i="2" s="1"/>
  <c r="O68" i="8"/>
  <c r="Q230" i="7"/>
  <c r="AA440" i="7"/>
  <c r="J230" i="7"/>
  <c r="K231" i="7"/>
  <c r="P437" i="7"/>
  <c r="P228" i="7"/>
  <c r="P227" i="7" s="1"/>
  <c r="S437" i="7"/>
  <c r="S227" i="7"/>
  <c r="L232" i="7"/>
  <c r="K67" i="8"/>
  <c r="N210" i="7"/>
  <c r="EL10" i="2" s="1"/>
  <c r="AA257" i="7"/>
  <c r="AB257" i="7" s="1"/>
  <c r="AA470" i="7"/>
  <c r="AB470" i="7" s="1"/>
  <c r="AA465" i="7"/>
  <c r="AB465" i="7" s="1"/>
  <c r="P101" i="8" l="1"/>
  <c r="S421" i="7"/>
  <c r="S419" i="7" s="1"/>
  <c r="P7" i="7"/>
  <c r="P211" i="7"/>
  <c r="P209" i="7" s="1"/>
  <c r="L101" i="8"/>
  <c r="O421" i="7"/>
  <c r="O419" i="7" s="1"/>
  <c r="M101" i="8"/>
  <c r="P421" i="7"/>
  <c r="P419" i="7" s="1"/>
  <c r="I206" i="8"/>
  <c r="O7" i="7"/>
  <c r="O211" i="7"/>
  <c r="O209" i="7" s="1"/>
  <c r="I68" i="8"/>
  <c r="H206" i="8"/>
  <c r="H68" i="8"/>
  <c r="AB440" i="7"/>
  <c r="AB230" i="7" s="1"/>
  <c r="AA230" i="7"/>
  <c r="J437" i="7"/>
  <c r="J228" i="7"/>
  <c r="AA297" i="7"/>
  <c r="AB297" i="7" s="1"/>
  <c r="Q229" i="7"/>
  <c r="N228" i="7"/>
  <c r="N227" i="7" s="1"/>
  <c r="N437" i="7"/>
  <c r="AA300" i="7"/>
  <c r="AB300" i="7" s="1"/>
  <c r="Q232" i="7"/>
  <c r="M206" i="8"/>
  <c r="K206" i="8"/>
  <c r="O99" i="8"/>
  <c r="O105" i="8" s="1"/>
  <c r="O103" i="8"/>
  <c r="M68" i="8"/>
  <c r="K68" i="8"/>
  <c r="X67" i="8"/>
  <c r="G68" i="8"/>
  <c r="J206" i="8"/>
  <c r="G206" i="8"/>
  <c r="EY10" i="2"/>
  <c r="J68" i="8"/>
  <c r="AB280" i="7"/>
  <c r="AA210" i="7"/>
  <c r="AA298" i="7"/>
  <c r="AB298" i="7" s="1"/>
  <c r="M437" i="7"/>
  <c r="M228" i="7"/>
  <c r="M227" i="7" s="1"/>
  <c r="P206" i="8"/>
  <c r="EP12" i="2"/>
  <c r="O145" i="8"/>
  <c r="O40" i="8"/>
  <c r="O89" i="8"/>
  <c r="O57" i="8"/>
  <c r="AA301" i="7"/>
  <c r="AB301" i="7" s="1"/>
  <c r="O215" i="8"/>
  <c r="L206" i="8"/>
  <c r="AA442" i="7"/>
  <c r="L68" i="8"/>
  <c r="AA439" i="7"/>
  <c r="J229" i="7"/>
  <c r="N206" i="8"/>
  <c r="L437" i="7"/>
  <c r="L228" i="7"/>
  <c r="L227" i="7" s="1"/>
  <c r="S7" i="7"/>
  <c r="S211" i="7"/>
  <c r="S209" i="7" s="1"/>
  <c r="N68" i="8"/>
  <c r="J101" i="8" l="1"/>
  <c r="M421" i="7"/>
  <c r="M419" i="7" s="1"/>
  <c r="G101" i="8"/>
  <c r="J421" i="7"/>
  <c r="AB442" i="7"/>
  <c r="AB232" i="7" s="1"/>
  <c r="AA232" i="7"/>
  <c r="AB210" i="7"/>
  <c r="K215" i="8"/>
  <c r="M215" i="8"/>
  <c r="H215" i="8"/>
  <c r="L215" i="8"/>
  <c r="G215" i="8"/>
  <c r="X206" i="8"/>
  <c r="X215" i="8" s="1"/>
  <c r="P89" i="8"/>
  <c r="EQ12" i="2"/>
  <c r="P57" i="8"/>
  <c r="P40" i="8"/>
  <c r="P145" i="8"/>
  <c r="J215" i="8"/>
  <c r="EM12" i="2"/>
  <c r="L57" i="8"/>
  <c r="L145" i="8"/>
  <c r="L40" i="8"/>
  <c r="L89" i="8"/>
  <c r="L7" i="7"/>
  <c r="L211" i="7"/>
  <c r="L209" i="7" s="1"/>
  <c r="I101" i="8"/>
  <c r="L421" i="7"/>
  <c r="L419" i="7" s="1"/>
  <c r="I215" i="8"/>
  <c r="X68" i="8"/>
  <c r="M99" i="8"/>
  <c r="M105" i="8" s="1"/>
  <c r="M103" i="8"/>
  <c r="N215" i="8"/>
  <c r="L99" i="8"/>
  <c r="L105" i="8" s="1"/>
  <c r="L103" i="8"/>
  <c r="K101" i="8"/>
  <c r="N421" i="7"/>
  <c r="N419" i="7" s="1"/>
  <c r="AA229" i="7"/>
  <c r="AB439" i="7"/>
  <c r="AB229" i="7" s="1"/>
  <c r="CD12" i="2"/>
  <c r="DT12" i="2" s="1"/>
  <c r="O208" i="8"/>
  <c r="N7" i="7"/>
  <c r="N211" i="7"/>
  <c r="N209" i="7" s="1"/>
  <c r="EN12" i="2"/>
  <c r="M40" i="8"/>
  <c r="M89" i="8"/>
  <c r="M57" i="8"/>
  <c r="M145" i="8"/>
  <c r="Q437" i="7"/>
  <c r="J231" i="7"/>
  <c r="J227" i="7" s="1"/>
  <c r="AA441" i="7"/>
  <c r="P215" i="8"/>
  <c r="Q227" i="7"/>
  <c r="P99" i="8"/>
  <c r="P105" i="8" s="1"/>
  <c r="P103" i="8"/>
  <c r="M7" i="7"/>
  <c r="M211" i="7"/>
  <c r="M209" i="7" s="1"/>
  <c r="AA324" i="7"/>
  <c r="AB324" i="7" s="1"/>
  <c r="AA323" i="7"/>
  <c r="AB323" i="7" s="1"/>
  <c r="J211" i="7" l="1"/>
  <c r="J209" i="7" s="1"/>
  <c r="J7" i="7"/>
  <c r="K99" i="8"/>
  <c r="K105" i="8" s="1"/>
  <c r="K103" i="8"/>
  <c r="EK12" i="2"/>
  <c r="J145" i="8"/>
  <c r="J89" i="8"/>
  <c r="J40" i="8"/>
  <c r="J57" i="8"/>
  <c r="CA12" i="2"/>
  <c r="DQ12" i="2" s="1"/>
  <c r="L208" i="8"/>
  <c r="Q7" i="7"/>
  <c r="Q211" i="7"/>
  <c r="Q209" i="7" s="1"/>
  <c r="CE12" i="2"/>
  <c r="DU12" i="2" s="1"/>
  <c r="P208" i="8"/>
  <c r="AB441" i="7"/>
  <c r="AB231" i="7" s="1"/>
  <c r="AA231" i="7"/>
  <c r="N101" i="8"/>
  <c r="Q421" i="7"/>
  <c r="Q419" i="7" s="1"/>
  <c r="K437" i="7"/>
  <c r="K228" i="7"/>
  <c r="K227" i="7" s="1"/>
  <c r="AA438" i="7"/>
  <c r="J419" i="7"/>
  <c r="G99" i="8"/>
  <c r="G103" i="8"/>
  <c r="CB12" i="2"/>
  <c r="DR12" i="2" s="1"/>
  <c r="M208" i="8"/>
  <c r="EL12" i="2"/>
  <c r="K57" i="8"/>
  <c r="K40" i="8"/>
  <c r="K89" i="8"/>
  <c r="K145" i="8"/>
  <c r="I99" i="8"/>
  <c r="I105" i="8" s="1"/>
  <c r="I103" i="8"/>
  <c r="O218" i="8"/>
  <c r="EJ12" i="2"/>
  <c r="I57" i="8"/>
  <c r="I40" i="8"/>
  <c r="I89" i="8"/>
  <c r="I145" i="8"/>
  <c r="J99" i="8"/>
  <c r="J105" i="8" s="1"/>
  <c r="J103" i="8"/>
  <c r="AA254" i="7"/>
  <c r="AB254" i="7" s="1"/>
  <c r="AA255" i="7"/>
  <c r="AB255" i="7" s="1"/>
  <c r="EO12" i="2" l="1"/>
  <c r="N145" i="8"/>
  <c r="N57" i="8"/>
  <c r="N40" i="8"/>
  <c r="N89" i="8"/>
  <c r="AB438" i="7"/>
  <c r="AB228" i="7" s="1"/>
  <c r="AB227" i="7" s="1"/>
  <c r="AA228" i="7"/>
  <c r="AA227" i="7" s="1"/>
  <c r="AA211" i="7" s="1"/>
  <c r="BZ12" i="2"/>
  <c r="DP12" i="2" s="1"/>
  <c r="K208" i="8"/>
  <c r="K7" i="7"/>
  <c r="K211" i="7"/>
  <c r="K209" i="7" s="1"/>
  <c r="H101" i="8"/>
  <c r="K421" i="7"/>
  <c r="AA437" i="7"/>
  <c r="AB437" i="7" s="1"/>
  <c r="N99" i="8"/>
  <c r="N105" i="8" s="1"/>
  <c r="N103" i="8"/>
  <c r="L218" i="8"/>
  <c r="M218" i="8"/>
  <c r="P218" i="8"/>
  <c r="BY12" i="2"/>
  <c r="DO12" i="2" s="1"/>
  <c r="J208" i="8"/>
  <c r="BX12" i="2"/>
  <c r="DN12" i="2" s="1"/>
  <c r="I208" i="8"/>
  <c r="X103" i="8"/>
  <c r="G105" i="8"/>
  <c r="G40" i="8"/>
  <c r="G57" i="8"/>
  <c r="EH12" i="2"/>
  <c r="G145" i="8"/>
  <c r="G89" i="8"/>
  <c r="J218" i="8" l="1"/>
  <c r="K419" i="7"/>
  <c r="AA421" i="7"/>
  <c r="H99" i="8"/>
  <c r="H103" i="8"/>
  <c r="X101" i="8"/>
  <c r="EI12" i="2"/>
  <c r="EY12" i="2" s="1"/>
  <c r="H40" i="8"/>
  <c r="H145" i="8"/>
  <c r="H89" i="8"/>
  <c r="H57" i="8"/>
  <c r="K218" i="8"/>
  <c r="X89" i="8"/>
  <c r="X145" i="8"/>
  <c r="I218" i="8"/>
  <c r="BV12" i="2"/>
  <c r="DL12" i="2" s="1"/>
  <c r="G208" i="8"/>
  <c r="AB211" i="7"/>
  <c r="AB209" i="7" s="1"/>
  <c r="AA209" i="7"/>
  <c r="AA7" i="7"/>
  <c r="AB7" i="7" s="1"/>
  <c r="X40" i="8"/>
  <c r="CC12" i="2"/>
  <c r="DS12" i="2" s="1"/>
  <c r="N208" i="8"/>
  <c r="G218" i="8" l="1"/>
  <c r="N218" i="8"/>
  <c r="H105" i="8"/>
  <c r="X105" i="8" s="1"/>
  <c r="X99" i="8"/>
  <c r="AA419" i="7"/>
  <c r="AB421" i="7"/>
  <c r="AB419" i="7" s="1"/>
  <c r="BW12" i="2"/>
  <c r="H208" i="8"/>
  <c r="EC12" i="2" l="1"/>
  <c r="DM12" i="2"/>
  <c r="H218" i="8"/>
  <c r="X208" i="8"/>
  <c r="X218" i="8" s="1"/>
  <c r="R296" i="7" l="1"/>
  <c r="R281" i="7" s="1"/>
  <c r="S296" i="7" l="1"/>
  <c r="S281" i="7" s="1"/>
  <c r="N296" i="7"/>
  <c r="N281" i="7" s="1"/>
  <c r="K296" i="7"/>
  <c r="K281" i="7" s="1"/>
  <c r="V296" i="7"/>
  <c r="V281" i="7" s="1"/>
  <c r="U296" i="7"/>
  <c r="U281" i="7" s="1"/>
  <c r="O73" i="8"/>
  <c r="R279" i="7"/>
  <c r="L296" i="7"/>
  <c r="L281" i="7" s="1"/>
  <c r="M296" i="7"/>
  <c r="M281" i="7" s="1"/>
  <c r="O296" i="7"/>
  <c r="O281" i="7" s="1"/>
  <c r="Q296" i="7"/>
  <c r="Q281" i="7" s="1"/>
  <c r="T296" i="7"/>
  <c r="T281" i="7" s="1"/>
  <c r="P296" i="7"/>
  <c r="P281" i="7" s="1"/>
  <c r="AA299" i="7"/>
  <c r="AB299" i="7" s="1"/>
  <c r="J296" i="7"/>
  <c r="T279" i="7" l="1"/>
  <c r="Q73" i="8"/>
  <c r="N73" i="8"/>
  <c r="Q279" i="7"/>
  <c r="M73" i="8"/>
  <c r="P279" i="7"/>
  <c r="L73" i="8"/>
  <c r="O279" i="7"/>
  <c r="J73" i="8"/>
  <c r="M279" i="7"/>
  <c r="I73" i="8"/>
  <c r="L279" i="7"/>
  <c r="O77" i="8"/>
  <c r="O78" i="8"/>
  <c r="U279" i="7"/>
  <c r="R73" i="8"/>
  <c r="AA296" i="7"/>
  <c r="AB296" i="7" s="1"/>
  <c r="J281" i="7"/>
  <c r="V279" i="7"/>
  <c r="S73" i="8"/>
  <c r="H73" i="8"/>
  <c r="K279" i="7"/>
  <c r="K73" i="8"/>
  <c r="N279" i="7"/>
  <c r="AA256" i="7"/>
  <c r="AB256" i="7" s="1"/>
  <c r="S279" i="7"/>
  <c r="P73" i="8"/>
  <c r="AA325" i="7"/>
  <c r="AB325" i="7" s="1"/>
  <c r="H77" i="8" l="1"/>
  <c r="H78" i="8"/>
  <c r="G73" i="8"/>
  <c r="AA281" i="7"/>
  <c r="J279" i="7"/>
  <c r="K77" i="8"/>
  <c r="K78" i="8"/>
  <c r="I77" i="8"/>
  <c r="I78" i="8"/>
  <c r="J77" i="8"/>
  <c r="J78" i="8"/>
  <c r="M77" i="8"/>
  <c r="M78" i="8"/>
  <c r="N77" i="8"/>
  <c r="N78" i="8"/>
  <c r="P77" i="8"/>
  <c r="P78" i="8"/>
  <c r="S77" i="8"/>
  <c r="S78" i="8"/>
  <c r="R77" i="8"/>
  <c r="R78" i="8"/>
  <c r="Q77" i="8"/>
  <c r="Q78" i="8"/>
  <c r="L77" i="8"/>
  <c r="L78" i="8"/>
  <c r="AA279" i="7" l="1"/>
  <c r="AB281" i="7"/>
  <c r="AB279" i="7" s="1"/>
  <c r="X73" i="8"/>
  <c r="G77" i="8"/>
  <c r="G78" i="8"/>
  <c r="X78" i="8" l="1"/>
  <c r="X77" i="8"/>
  <c r="Y74" i="8" l="1"/>
  <c r="CE104" i="2" l="1"/>
  <c r="EQ104" i="2" l="1"/>
  <c r="DU104" i="2"/>
  <c r="CF104" i="2"/>
  <c r="ER104" i="2" l="1"/>
  <c r="DV104" i="2"/>
  <c r="CG104" i="2"/>
  <c r="ES104" i="2" l="1"/>
  <c r="DW104" i="2"/>
  <c r="CH104" i="2"/>
  <c r="ET104" i="2" l="1"/>
  <c r="DX104" i="2"/>
  <c r="CI104" i="2"/>
  <c r="EU104" i="2" l="1"/>
  <c r="DY104" i="2"/>
  <c r="CJ104" i="2"/>
  <c r="EV104" i="2" l="1"/>
  <c r="DZ104" i="2"/>
  <c r="CL104" i="2"/>
  <c r="CK104" i="2"/>
  <c r="EW104" i="2" l="1"/>
  <c r="EA104" i="2"/>
  <c r="EX104" i="2"/>
  <c r="EY104" i="2" s="1"/>
  <c r="EB104" i="2"/>
  <c r="CE106" i="2" l="1"/>
  <c r="EQ106" i="2" l="1"/>
  <c r="DU106" i="2"/>
  <c r="CF106" i="2"/>
  <c r="ER106" i="2" l="1"/>
  <c r="DV106" i="2"/>
  <c r="CG106" i="2"/>
  <c r="ES106" i="2" l="1"/>
  <c r="DW106" i="2"/>
  <c r="CH106" i="2"/>
  <c r="ET106" i="2" l="1"/>
  <c r="DX106" i="2"/>
  <c r="CI106" i="2"/>
  <c r="EU106" i="2" l="1"/>
  <c r="DY106" i="2"/>
  <c r="CJ106" i="2"/>
  <c r="EV106" i="2" l="1"/>
  <c r="DZ106" i="2"/>
  <c r="CL106" i="2"/>
  <c r="CK106" i="2"/>
  <c r="EW106" i="2" l="1"/>
  <c r="EA106" i="2"/>
  <c r="EX106" i="2"/>
  <c r="EB106" i="2"/>
  <c r="EY106" i="2"/>
  <c r="CE105" i="2" l="1"/>
  <c r="EQ105" i="2" l="1"/>
  <c r="DU105" i="2"/>
  <c r="CF105" i="2"/>
  <c r="ER105" i="2" l="1"/>
  <c r="DV105" i="2"/>
  <c r="CG105" i="2"/>
  <c r="ES105" i="2" l="1"/>
  <c r="DW105" i="2"/>
  <c r="CH105" i="2"/>
  <c r="CE59" i="2"/>
  <c r="DU59" i="2" s="1"/>
  <c r="CE63" i="2"/>
  <c r="ET105" i="2" l="1"/>
  <c r="DX105" i="2"/>
  <c r="EQ63" i="2"/>
  <c r="P163" i="8" s="1"/>
  <c r="DU63" i="2"/>
  <c r="EQ59" i="2"/>
  <c r="P191" i="8"/>
  <c r="CI105" i="2"/>
  <c r="CE65" i="2"/>
  <c r="CE62" i="2"/>
  <c r="CF63" i="2"/>
  <c r="CF59" i="2"/>
  <c r="DV59" i="2" s="1"/>
  <c r="CB105" i="2"/>
  <c r="BY105" i="2"/>
  <c r="EQ65" i="2" l="1"/>
  <c r="P165" i="8" s="1"/>
  <c r="DU65" i="2"/>
  <c r="EN105" i="2"/>
  <c r="DR105" i="2"/>
  <c r="EU105" i="2"/>
  <c r="DY105" i="2"/>
  <c r="EQ62" i="2"/>
  <c r="P162" i="8" s="1"/>
  <c r="P188" i="8" s="1"/>
  <c r="DU62" i="2"/>
  <c r="EK105" i="2"/>
  <c r="DO105" i="2"/>
  <c r="ER63" i="2"/>
  <c r="Q163" i="8" s="1"/>
  <c r="DV63" i="2"/>
  <c r="ER59" i="2"/>
  <c r="Q191" i="8"/>
  <c r="P159" i="8"/>
  <c r="P209" i="8"/>
  <c r="P219" i="8" s="1"/>
  <c r="CJ105" i="2"/>
  <c r="CF62" i="2"/>
  <c r="CG59" i="2"/>
  <c r="DW59" i="2" s="1"/>
  <c r="CF65" i="2"/>
  <c r="CG63" i="2"/>
  <c r="BX104" i="2"/>
  <c r="CA104" i="2"/>
  <c r="CD104" i="2"/>
  <c r="BW106" i="2"/>
  <c r="DM106" i="2" s="1"/>
  <c r="BZ106" i="2"/>
  <c r="CC106" i="2"/>
  <c r="BY104" i="2"/>
  <c r="CB104" i="2"/>
  <c r="CC105" i="2"/>
  <c r="BW104" i="2"/>
  <c r="DM104" i="2" s="1"/>
  <c r="CB106" i="2"/>
  <c r="BZ105" i="2"/>
  <c r="BZ104" i="2"/>
  <c r="BW105" i="2"/>
  <c r="DM105" i="2" s="1"/>
  <c r="CC104" i="2"/>
  <c r="BY106" i="2"/>
  <c r="CA106" i="2"/>
  <c r="CD106" i="2"/>
  <c r="BX106" i="2"/>
  <c r="CD105" i="2"/>
  <c r="CA105" i="2"/>
  <c r="BX105" i="2"/>
  <c r="EO105" i="2" l="1"/>
  <c r="DS105" i="2"/>
  <c r="EV105" i="2"/>
  <c r="DZ105" i="2"/>
  <c r="EN104" i="2"/>
  <c r="DR104" i="2"/>
  <c r="EK104" i="2"/>
  <c r="DO104" i="2"/>
  <c r="ES63" i="2"/>
  <c r="R163" i="8" s="1"/>
  <c r="DW63" i="2"/>
  <c r="EK106" i="2"/>
  <c r="DO106" i="2"/>
  <c r="ER65" i="2"/>
  <c r="Q165" i="8" s="1"/>
  <c r="DV65" i="2"/>
  <c r="EO104" i="2"/>
  <c r="DS104" i="2"/>
  <c r="EJ105" i="2"/>
  <c r="DN105" i="2"/>
  <c r="EO106" i="2"/>
  <c r="DS106" i="2"/>
  <c r="ER62" i="2"/>
  <c r="Q162" i="8" s="1"/>
  <c r="Q188" i="8" s="1"/>
  <c r="DV62" i="2"/>
  <c r="EM105" i="2"/>
  <c r="DQ105" i="2"/>
  <c r="EJ106" i="2"/>
  <c r="DN106" i="2"/>
  <c r="EL106" i="2"/>
  <c r="DP106" i="2"/>
  <c r="EP105" i="2"/>
  <c r="DT105" i="2"/>
  <c r="EP106" i="2"/>
  <c r="DT106" i="2"/>
  <c r="EL104" i="2"/>
  <c r="DP104" i="2"/>
  <c r="EM106" i="2"/>
  <c r="DQ106" i="2"/>
  <c r="EL105" i="2"/>
  <c r="DP105" i="2"/>
  <c r="EP104" i="2"/>
  <c r="DT104" i="2"/>
  <c r="EN106" i="2"/>
  <c r="DR106" i="2"/>
  <c r="EM104" i="2"/>
  <c r="DQ104" i="2"/>
  <c r="EJ104" i="2"/>
  <c r="DN104" i="2"/>
  <c r="ES59" i="2"/>
  <c r="R191" i="8"/>
  <c r="EC106" i="2"/>
  <c r="EI106" i="2"/>
  <c r="P41" i="8"/>
  <c r="P58" i="8"/>
  <c r="P59" i="8" s="1"/>
  <c r="P64" i="8" s="1"/>
  <c r="P90" i="8"/>
  <c r="P92" i="8" s="1"/>
  <c r="P146" i="8"/>
  <c r="P104" i="8"/>
  <c r="P106" i="8" s="1"/>
  <c r="EC104" i="2"/>
  <c r="EI104" i="2"/>
  <c r="Q209" i="8"/>
  <c r="Q219" i="8" s="1"/>
  <c r="Q159" i="8"/>
  <c r="EI105" i="2"/>
  <c r="CL105" i="2"/>
  <c r="CK105" i="2"/>
  <c r="CG65" i="2"/>
  <c r="CH63" i="2"/>
  <c r="CG62" i="2"/>
  <c r="CH59" i="2"/>
  <c r="DX59" i="2" s="1"/>
  <c r="ES62" i="2" l="1"/>
  <c r="R162" i="8" s="1"/>
  <c r="R188" i="8" s="1"/>
  <c r="DW62" i="2"/>
  <c r="ET63" i="2"/>
  <c r="S163" i="8" s="1"/>
  <c r="DX63" i="2"/>
  <c r="ES65" i="2"/>
  <c r="R165" i="8" s="1"/>
  <c r="DW65" i="2"/>
  <c r="EX105" i="2"/>
  <c r="EB105" i="2"/>
  <c r="EW105" i="2"/>
  <c r="EY105" i="2" s="1"/>
  <c r="EA105" i="2"/>
  <c r="P185" i="8"/>
  <c r="P187" i="8" s="1"/>
  <c r="P148" i="8"/>
  <c r="EC105" i="2"/>
  <c r="S191" i="8"/>
  <c r="ET59" i="2"/>
  <c r="Q58" i="8"/>
  <c r="Q59" i="8" s="1"/>
  <c r="Q64" i="8" s="1"/>
  <c r="Q41" i="8"/>
  <c r="Q104" i="8"/>
  <c r="Q106" i="8" s="1"/>
  <c r="Q146" i="8"/>
  <c r="Q90" i="8"/>
  <c r="Q92" i="8" s="1"/>
  <c r="R159" i="8"/>
  <c r="R209" i="8"/>
  <c r="R219" i="8" s="1"/>
  <c r="CH62" i="2"/>
  <c r="CH65" i="2"/>
  <c r="CI63" i="2"/>
  <c r="CI59" i="2"/>
  <c r="DY59" i="2" s="1"/>
  <c r="ET65" i="2" l="1"/>
  <c r="S165" i="8" s="1"/>
  <c r="DX65" i="2"/>
  <c r="EU63" i="2"/>
  <c r="T163" i="8" s="1"/>
  <c r="DY63" i="2"/>
  <c r="ET62" i="2"/>
  <c r="S162" i="8" s="1"/>
  <c r="S188" i="8" s="1"/>
  <c r="DX62" i="2"/>
  <c r="Q185" i="8"/>
  <c r="Q187" i="8" s="1"/>
  <c r="Q148" i="8"/>
  <c r="S159" i="8"/>
  <c r="S209" i="8"/>
  <c r="S219" i="8" s="1"/>
  <c r="T191" i="8"/>
  <c r="EU59" i="2"/>
  <c r="R41" i="8"/>
  <c r="R146" i="8"/>
  <c r="R104" i="8"/>
  <c r="R106" i="8" s="1"/>
  <c r="R58" i="8"/>
  <c r="R59" i="8" s="1"/>
  <c r="R64" i="8" s="1"/>
  <c r="R90" i="8"/>
  <c r="R92" i="8" s="1"/>
  <c r="CJ63" i="2"/>
  <c r="CI62" i="2"/>
  <c r="CJ59" i="2"/>
  <c r="DZ59" i="2" s="1"/>
  <c r="CI65" i="2"/>
  <c r="BW107" i="2"/>
  <c r="DM107" i="2" s="1"/>
  <c r="EU65" i="2" l="1"/>
  <c r="T165" i="8" s="1"/>
  <c r="DY65" i="2"/>
  <c r="EU62" i="2"/>
  <c r="T162" i="8" s="1"/>
  <c r="T188" i="8" s="1"/>
  <c r="DY62" i="2"/>
  <c r="EV63" i="2"/>
  <c r="U163" i="8" s="1"/>
  <c r="DZ63" i="2"/>
  <c r="R148" i="8"/>
  <c r="R185" i="8"/>
  <c r="R187" i="8" s="1"/>
  <c r="EI107" i="2"/>
  <c r="T159" i="8"/>
  <c r="T209" i="8"/>
  <c r="T219" i="8" s="1"/>
  <c r="S90" i="8"/>
  <c r="S92" i="8" s="1"/>
  <c r="S146" i="8"/>
  <c r="S58" i="8"/>
  <c r="S59" i="8" s="1"/>
  <c r="S64" i="8" s="1"/>
  <c r="S104" i="8"/>
  <c r="S106" i="8" s="1"/>
  <c r="S41" i="8"/>
  <c r="EV59" i="2"/>
  <c r="U191" i="8"/>
  <c r="CL59" i="2"/>
  <c r="EB59" i="2" s="1"/>
  <c r="CL63" i="2"/>
  <c r="CJ62" i="2"/>
  <c r="CK59" i="2"/>
  <c r="EA59" i="2" s="1"/>
  <c r="CJ65" i="2"/>
  <c r="CK63" i="2"/>
  <c r="BX107" i="2"/>
  <c r="BW103" i="2"/>
  <c r="DM103" i="2" s="1"/>
  <c r="EX63" i="2" l="1"/>
  <c r="W163" i="8" s="1"/>
  <c r="EB63" i="2"/>
  <c r="EJ107" i="2"/>
  <c r="DN107" i="2"/>
  <c r="EV62" i="2"/>
  <c r="U162" i="8" s="1"/>
  <c r="U188" i="8" s="1"/>
  <c r="DZ62" i="2"/>
  <c r="EW63" i="2"/>
  <c r="V163" i="8" s="1"/>
  <c r="EA63" i="2"/>
  <c r="EV65" i="2"/>
  <c r="U165" i="8" s="1"/>
  <c r="DZ65" i="2"/>
  <c r="S148" i="8"/>
  <c r="S185" i="8"/>
  <c r="S187" i="8" s="1"/>
  <c r="T58" i="8"/>
  <c r="T59" i="8" s="1"/>
  <c r="T64" i="8" s="1"/>
  <c r="T90" i="8"/>
  <c r="T92" i="8" s="1"/>
  <c r="T104" i="8"/>
  <c r="T106" i="8" s="1"/>
  <c r="T41" i="8"/>
  <c r="T146" i="8"/>
  <c r="W191" i="8"/>
  <c r="EX59" i="2"/>
  <c r="EI103" i="2"/>
  <c r="V191" i="8"/>
  <c r="EW59" i="2"/>
  <c r="U159" i="8"/>
  <c r="U209" i="8"/>
  <c r="U219" i="8" s="1"/>
  <c r="CL62" i="2"/>
  <c r="CL65" i="2"/>
  <c r="CK65" i="2"/>
  <c r="CK62" i="2"/>
  <c r="BX103" i="2"/>
  <c r="BY107" i="2"/>
  <c r="BW102" i="2"/>
  <c r="DM102" i="2" s="1"/>
  <c r="EW62" i="2" l="1"/>
  <c r="V162" i="8" s="1"/>
  <c r="V188" i="8" s="1"/>
  <c r="EA62" i="2"/>
  <c r="EW65" i="2"/>
  <c r="V165" i="8" s="1"/>
  <c r="EA65" i="2"/>
  <c r="EJ103" i="2"/>
  <c r="DN103" i="2"/>
  <c r="EX65" i="2"/>
  <c r="W165" i="8" s="1"/>
  <c r="EB65" i="2"/>
  <c r="EK107" i="2"/>
  <c r="DO107" i="2"/>
  <c r="EX62" i="2"/>
  <c r="W162" i="8" s="1"/>
  <c r="W188" i="8" s="1"/>
  <c r="EB62" i="2"/>
  <c r="T185" i="8"/>
  <c r="T187" i="8" s="1"/>
  <c r="T148" i="8"/>
  <c r="W159" i="8"/>
  <c r="W209" i="8"/>
  <c r="W219" i="8" s="1"/>
  <c r="V209" i="8"/>
  <c r="V219" i="8" s="1"/>
  <c r="V159" i="8"/>
  <c r="U90" i="8"/>
  <c r="U92" i="8" s="1"/>
  <c r="U146" i="8"/>
  <c r="U104" i="8"/>
  <c r="U106" i="8" s="1"/>
  <c r="U41" i="8"/>
  <c r="U58" i="8"/>
  <c r="U59" i="8" s="1"/>
  <c r="U64" i="8" s="1"/>
  <c r="EI102" i="2"/>
  <c r="BX102" i="2"/>
  <c r="BY103" i="2"/>
  <c r="BZ107" i="2"/>
  <c r="EL107" i="2" l="1"/>
  <c r="DP107" i="2"/>
  <c r="EJ102" i="2"/>
  <c r="DN102" i="2"/>
  <c r="EK103" i="2"/>
  <c r="DO103" i="2"/>
  <c r="U185" i="8"/>
  <c r="U187" i="8" s="1"/>
  <c r="U148" i="8"/>
  <c r="V90" i="8"/>
  <c r="V92" i="8" s="1"/>
  <c r="V104" i="8"/>
  <c r="V106" i="8" s="1"/>
  <c r="V146" i="8"/>
  <c r="V58" i="8"/>
  <c r="V59" i="8" s="1"/>
  <c r="V64" i="8" s="1"/>
  <c r="V41" i="8"/>
  <c r="W146" i="8"/>
  <c r="W90" i="8"/>
  <c r="W92" i="8" s="1"/>
  <c r="W58" i="8"/>
  <c r="W59" i="8" s="1"/>
  <c r="W64" i="8" s="1"/>
  <c r="W104" i="8"/>
  <c r="W106" i="8" s="1"/>
  <c r="W41" i="8"/>
  <c r="BZ103" i="2"/>
  <c r="BY102" i="2"/>
  <c r="CA107" i="2"/>
  <c r="EL103" i="2" l="1"/>
  <c r="DP103" i="2"/>
  <c r="EM107" i="2"/>
  <c r="DQ107" i="2"/>
  <c r="EK102" i="2"/>
  <c r="DO102" i="2"/>
  <c r="V148" i="8"/>
  <c r="V185" i="8"/>
  <c r="V187" i="8" s="1"/>
  <c r="W185" i="8"/>
  <c r="W187" i="8" s="1"/>
  <c r="W148" i="8"/>
  <c r="CC107" i="2"/>
  <c r="BZ102" i="2"/>
  <c r="CA103" i="2"/>
  <c r="CB107" i="2"/>
  <c r="DR107" i="2" s="1"/>
  <c r="EM103" i="2" l="1"/>
  <c r="DQ103" i="2"/>
  <c r="EO107" i="2"/>
  <c r="DS107" i="2"/>
  <c r="EL102" i="2"/>
  <c r="DP102" i="2"/>
  <c r="EN107" i="2"/>
  <c r="CC102" i="2"/>
  <c r="CC103" i="2"/>
  <c r="CD107" i="2"/>
  <c r="CA102" i="2"/>
  <c r="CB103" i="2"/>
  <c r="EO102" i="2" l="1"/>
  <c r="DS102" i="2"/>
  <c r="EN103" i="2"/>
  <c r="DR103" i="2"/>
  <c r="EO103" i="2"/>
  <c r="DS103" i="2"/>
  <c r="EM102" i="2"/>
  <c r="DQ102" i="2"/>
  <c r="EP107" i="2"/>
  <c r="DT107" i="2"/>
  <c r="CD102" i="2"/>
  <c r="CD103" i="2"/>
  <c r="CE107" i="2"/>
  <c r="CE103" i="2"/>
  <c r="CE102" i="2"/>
  <c r="CB102" i="2"/>
  <c r="EP103" i="2" l="1"/>
  <c r="DT103" i="2"/>
  <c r="EP102" i="2"/>
  <c r="DT102" i="2"/>
  <c r="EQ103" i="2"/>
  <c r="DU103" i="2"/>
  <c r="EQ102" i="2"/>
  <c r="DU102" i="2"/>
  <c r="EQ107" i="2"/>
  <c r="DU107" i="2"/>
  <c r="EN102" i="2"/>
  <c r="DR102" i="2"/>
  <c r="CF102" i="2"/>
  <c r="CF103" i="2"/>
  <c r="CF107" i="2"/>
  <c r="ER107" i="2" l="1"/>
  <c r="DV107" i="2"/>
  <c r="ER103" i="2"/>
  <c r="DV103" i="2"/>
  <c r="ER102" i="2"/>
  <c r="DV102" i="2"/>
  <c r="CG107" i="2"/>
  <c r="CG102" i="2"/>
  <c r="CG103" i="2"/>
  <c r="ES103" i="2" l="1"/>
  <c r="DW103" i="2"/>
  <c r="ES107" i="2"/>
  <c r="DW107" i="2"/>
  <c r="ES102" i="2"/>
  <c r="DW102" i="2"/>
  <c r="CH103" i="2"/>
  <c r="CH102" i="2"/>
  <c r="CH107" i="2"/>
  <c r="ET107" i="2" l="1"/>
  <c r="DX107" i="2"/>
  <c r="ET102" i="2"/>
  <c r="DX102" i="2"/>
  <c r="ET103" i="2"/>
  <c r="DX103" i="2"/>
  <c r="CI107" i="2"/>
  <c r="CI103" i="2"/>
  <c r="CI102" i="2"/>
  <c r="EU102" i="2" l="1"/>
  <c r="DY102" i="2"/>
  <c r="EU103" i="2"/>
  <c r="DY103" i="2"/>
  <c r="EU107" i="2"/>
  <c r="DY107" i="2"/>
  <c r="CJ102" i="2"/>
  <c r="CJ103" i="2"/>
  <c r="CJ107" i="2"/>
  <c r="EV103" i="2" l="1"/>
  <c r="DZ103" i="2"/>
  <c r="EV107" i="2"/>
  <c r="DZ107" i="2"/>
  <c r="EV102" i="2"/>
  <c r="DZ102" i="2"/>
  <c r="CK107" i="2"/>
  <c r="CL107" i="2"/>
  <c r="EB107" i="2" s="1"/>
  <c r="CK103" i="2"/>
  <c r="CK102" i="2"/>
  <c r="EW103" i="2" l="1"/>
  <c r="EA103" i="2"/>
  <c r="EW107" i="2"/>
  <c r="EA107" i="2"/>
  <c r="EW102" i="2"/>
  <c r="EA102" i="2"/>
  <c r="EX107" i="2"/>
  <c r="EY107" i="2" s="1"/>
  <c r="EC107" i="2"/>
  <c r="CL103" i="2"/>
  <c r="EB103" i="2" s="1"/>
  <c r="CL102" i="2"/>
  <c r="EB102" i="2" s="1"/>
  <c r="EX102" i="2" l="1"/>
  <c r="EY102" i="2" s="1"/>
  <c r="EC102" i="2"/>
  <c r="EX103" i="2"/>
  <c r="EY103" i="2" s="1"/>
  <c r="EC103" i="2"/>
  <c r="CA59" i="2" l="1"/>
  <c r="DQ59" i="2" s="1"/>
  <c r="BX59" i="2"/>
  <c r="DN59" i="2" s="1"/>
  <c r="CD59" i="2"/>
  <c r="DT59" i="2" s="1"/>
  <c r="BV59" i="2"/>
  <c r="DL59" i="2" s="1"/>
  <c r="CB59" i="2"/>
  <c r="DR59" i="2" s="1"/>
  <c r="BZ59" i="2"/>
  <c r="DP59" i="2" s="1"/>
  <c r="BW59" i="2"/>
  <c r="DM59" i="2" s="1"/>
  <c r="CC59" i="2"/>
  <c r="DS59" i="2" s="1"/>
  <c r="EP59" i="2" l="1"/>
  <c r="EI59" i="2"/>
  <c r="EL59" i="2"/>
  <c r="EJ59" i="2"/>
  <c r="EN59" i="2"/>
  <c r="EM59" i="2"/>
  <c r="EO59" i="2"/>
  <c r="EH59" i="2"/>
  <c r="CD62" i="2"/>
  <c r="BX62" i="2"/>
  <c r="CA62" i="2"/>
  <c r="CC62" i="2"/>
  <c r="BZ62" i="2"/>
  <c r="CB62" i="2"/>
  <c r="BV62" i="2"/>
  <c r="DL62" i="2" s="1"/>
  <c r="BW62" i="2"/>
  <c r="BY59" i="2"/>
  <c r="EM62" i="2" l="1"/>
  <c r="L162" i="8" s="1"/>
  <c r="DQ62" i="2"/>
  <c r="EJ62" i="2"/>
  <c r="I162" i="8" s="1"/>
  <c r="I188" i="8" s="1"/>
  <c r="DN62" i="2"/>
  <c r="EP62" i="2"/>
  <c r="O162" i="8" s="1"/>
  <c r="O188" i="8" s="1"/>
  <c r="DT62" i="2"/>
  <c r="EC59" i="2"/>
  <c r="DO59" i="2"/>
  <c r="EI62" i="2"/>
  <c r="H162" i="8" s="1"/>
  <c r="H188" i="8" s="1"/>
  <c r="DM62" i="2"/>
  <c r="EN62" i="2"/>
  <c r="M162" i="8" s="1"/>
  <c r="M188" i="8" s="1"/>
  <c r="DR62" i="2"/>
  <c r="EL62" i="2"/>
  <c r="K162" i="8" s="1"/>
  <c r="K188" i="8" s="1"/>
  <c r="DP62" i="2"/>
  <c r="EO62" i="2"/>
  <c r="N162" i="8" s="1"/>
  <c r="DS62" i="2"/>
  <c r="G159" i="8"/>
  <c r="I159" i="8"/>
  <c r="EH62" i="2"/>
  <c r="N159" i="8"/>
  <c r="K159" i="8"/>
  <c r="N188" i="8"/>
  <c r="L188" i="8"/>
  <c r="L159" i="8"/>
  <c r="H159" i="8"/>
  <c r="EK59" i="2"/>
  <c r="M159" i="8"/>
  <c r="O159" i="8"/>
  <c r="BY62" i="2"/>
  <c r="EK62" i="2" l="1"/>
  <c r="J162" i="8" s="1"/>
  <c r="DO62" i="2"/>
  <c r="J159" i="8"/>
  <c r="EC62" i="2"/>
  <c r="EY62" i="2"/>
  <c r="G162" i="8"/>
  <c r="J188" i="8"/>
  <c r="EY59" i="2"/>
  <c r="BV63" i="2"/>
  <c r="DL63" i="2" s="1"/>
  <c r="EH63" i="2" l="1"/>
  <c r="G191" i="8"/>
  <c r="X159" i="8"/>
  <c r="G188" i="8"/>
  <c r="X188" i="8" s="1"/>
  <c r="X162" i="8"/>
  <c r="BV65" i="2"/>
  <c r="DL65" i="2" s="1"/>
  <c r="BW63" i="2"/>
  <c r="DM63" i="2" s="1"/>
  <c r="EI63" i="2" l="1"/>
  <c r="H191" i="8"/>
  <c r="EH65" i="2"/>
  <c r="G163" i="8"/>
  <c r="G209" i="8"/>
  <c r="BW65" i="2"/>
  <c r="BX63" i="2"/>
  <c r="DN63" i="2" s="1"/>
  <c r="EI65" i="2" l="1"/>
  <c r="H165" i="8" s="1"/>
  <c r="DM65" i="2"/>
  <c r="G219" i="8"/>
  <c r="EJ63" i="2"/>
  <c r="I191" i="8"/>
  <c r="G104" i="8"/>
  <c r="G41" i="8"/>
  <c r="X41" i="8" s="1"/>
  <c r="G90" i="8"/>
  <c r="G146" i="8"/>
  <c r="G58" i="8"/>
  <c r="G165" i="8"/>
  <c r="H163" i="8"/>
  <c r="H209" i="8"/>
  <c r="H219" i="8" s="1"/>
  <c r="BX65" i="2"/>
  <c r="BY63" i="2"/>
  <c r="DO63" i="2" s="1"/>
  <c r="EJ65" i="2" l="1"/>
  <c r="I165" i="8" s="1"/>
  <c r="DN65" i="2"/>
  <c r="X58" i="8"/>
  <c r="G59" i="8"/>
  <c r="G64" i="8" s="1"/>
  <c r="X64" i="8" s="1"/>
  <c r="G185" i="8"/>
  <c r="X146" i="8"/>
  <c r="G148" i="8"/>
  <c r="X148" i="8" s="1"/>
  <c r="Y144" i="8" s="1"/>
  <c r="X90" i="8"/>
  <c r="G92" i="8"/>
  <c r="X92" i="8" s="1"/>
  <c r="Y88" i="8" s="1"/>
  <c r="G106" i="8"/>
  <c r="X106" i="8" s="1"/>
  <c r="Y102" i="8" s="1"/>
  <c r="X104" i="8"/>
  <c r="Z8" i="8" s="1"/>
  <c r="H146" i="8"/>
  <c r="H41" i="8"/>
  <c r="H104" i="8"/>
  <c r="H106" i="8" s="1"/>
  <c r="H90" i="8"/>
  <c r="H92" i="8" s="1"/>
  <c r="H58" i="8"/>
  <c r="H59" i="8" s="1"/>
  <c r="H64" i="8" s="1"/>
  <c r="EK63" i="2"/>
  <c r="J191" i="8"/>
  <c r="I163" i="8"/>
  <c r="I209" i="8"/>
  <c r="I219" i="8" s="1"/>
  <c r="BY65" i="2"/>
  <c r="BV53" i="2"/>
  <c r="DL53" i="2" s="1"/>
  <c r="BZ63" i="2"/>
  <c r="DP63" i="2" s="1"/>
  <c r="EK65" i="2" l="1"/>
  <c r="J165" i="8" s="1"/>
  <c r="DO65" i="2"/>
  <c r="H148" i="8"/>
  <c r="H185" i="8"/>
  <c r="H187" i="8" s="1"/>
  <c r="EL63" i="2"/>
  <c r="K191" i="8"/>
  <c r="I104" i="8"/>
  <c r="I106" i="8" s="1"/>
  <c r="I58" i="8"/>
  <c r="I59" i="8" s="1"/>
  <c r="I64" i="8" s="1"/>
  <c r="I90" i="8"/>
  <c r="I92" i="8" s="1"/>
  <c r="I41" i="8"/>
  <c r="I146" i="8"/>
  <c r="J163" i="8"/>
  <c r="J209" i="8"/>
  <c r="X185" i="8"/>
  <c r="G187" i="8"/>
  <c r="X187" i="8" s="1"/>
  <c r="AD50" i="8"/>
  <c r="Y60" i="8"/>
  <c r="EH53" i="2"/>
  <c r="BZ65" i="2"/>
  <c r="BW53" i="2"/>
  <c r="CA63" i="2"/>
  <c r="DQ63" i="2" s="1"/>
  <c r="EL65" i="2" l="1"/>
  <c r="K165" i="8" s="1"/>
  <c r="DP65" i="2"/>
  <c r="EI53" i="2"/>
  <c r="DM53" i="2"/>
  <c r="I185" i="8"/>
  <c r="I187" i="8" s="1"/>
  <c r="I148" i="8"/>
  <c r="EM63" i="2"/>
  <c r="L191" i="8"/>
  <c r="K163" i="8"/>
  <c r="K209" i="8"/>
  <c r="K219" i="8" s="1"/>
  <c r="J219" i="8"/>
  <c r="J90" i="8"/>
  <c r="J92" i="8" s="1"/>
  <c r="J104" i="8"/>
  <c r="J106" i="8" s="1"/>
  <c r="J146" i="8"/>
  <c r="J58" i="8"/>
  <c r="J59" i="8" s="1"/>
  <c r="J64" i="8" s="1"/>
  <c r="J41" i="8"/>
  <c r="CA65" i="2"/>
  <c r="DQ65" i="2" s="1"/>
  <c r="BX53" i="2"/>
  <c r="CB63" i="2"/>
  <c r="DR63" i="2" s="1"/>
  <c r="EJ53" i="2" l="1"/>
  <c r="DN53" i="2"/>
  <c r="K58" i="8"/>
  <c r="K59" i="8" s="1"/>
  <c r="K64" i="8" s="1"/>
  <c r="K90" i="8"/>
  <c r="K92" i="8" s="1"/>
  <c r="K104" i="8"/>
  <c r="K106" i="8" s="1"/>
  <c r="K146" i="8"/>
  <c r="K41" i="8"/>
  <c r="EM65" i="2"/>
  <c r="J185" i="8"/>
  <c r="J187" i="8" s="1"/>
  <c r="J148" i="8"/>
  <c r="L163" i="8"/>
  <c r="L209" i="8"/>
  <c r="L219" i="8" s="1"/>
  <c r="EN63" i="2"/>
  <c r="M191" i="8"/>
  <c r="CB65" i="2"/>
  <c r="BY53" i="2"/>
  <c r="CC63" i="2"/>
  <c r="DS63" i="2" s="1"/>
  <c r="EK53" i="2" l="1"/>
  <c r="DO53" i="2"/>
  <c r="EN65" i="2"/>
  <c r="M165" i="8" s="1"/>
  <c r="DR65" i="2"/>
  <c r="L90" i="8"/>
  <c r="L92" i="8" s="1"/>
  <c r="L41" i="8"/>
  <c r="L104" i="8"/>
  <c r="L106" i="8" s="1"/>
  <c r="L146" i="8"/>
  <c r="L58" i="8"/>
  <c r="L59" i="8" s="1"/>
  <c r="L64" i="8" s="1"/>
  <c r="EO63" i="2"/>
  <c r="N191" i="8"/>
  <c r="L165" i="8"/>
  <c r="K185" i="8"/>
  <c r="K187" i="8" s="1"/>
  <c r="K148" i="8"/>
  <c r="M163" i="8"/>
  <c r="M209" i="8"/>
  <c r="CC65" i="2"/>
  <c r="BZ53" i="2"/>
  <c r="CD63" i="2"/>
  <c r="DT63" i="2" s="1"/>
  <c r="EO65" i="2" l="1"/>
  <c r="N165" i="8" s="1"/>
  <c r="DS65" i="2"/>
  <c r="EL53" i="2"/>
  <c r="DP53" i="2"/>
  <c r="N163" i="8"/>
  <c r="N209" i="8"/>
  <c r="N219" i="8" s="1"/>
  <c r="EP63" i="2"/>
  <c r="O191" i="8"/>
  <c r="X191" i="8" s="1"/>
  <c r="EC63" i="2"/>
  <c r="M219" i="8"/>
  <c r="L185" i="8"/>
  <c r="L187" i="8" s="1"/>
  <c r="L148" i="8"/>
  <c r="M58" i="8"/>
  <c r="M59" i="8" s="1"/>
  <c r="M64" i="8" s="1"/>
  <c r="M90" i="8"/>
  <c r="M92" i="8" s="1"/>
  <c r="M104" i="8"/>
  <c r="M106" i="8" s="1"/>
  <c r="M146" i="8"/>
  <c r="M41" i="8"/>
  <c r="CD65" i="2"/>
  <c r="DT65" i="2" s="1"/>
  <c r="CA53" i="2"/>
  <c r="EM53" i="2" l="1"/>
  <c r="DQ53" i="2"/>
  <c r="EP65" i="2"/>
  <c r="EC65" i="2"/>
  <c r="O163" i="8"/>
  <c r="O209" i="8"/>
  <c r="EY63" i="2"/>
  <c r="M148" i="8"/>
  <c r="M185" i="8"/>
  <c r="M187" i="8" s="1"/>
  <c r="N41" i="8"/>
  <c r="N90" i="8"/>
  <c r="N92" i="8" s="1"/>
  <c r="N104" i="8"/>
  <c r="N106" i="8" s="1"/>
  <c r="N146" i="8"/>
  <c r="N58" i="8"/>
  <c r="N59" i="8" s="1"/>
  <c r="N64" i="8" s="1"/>
  <c r="CB53" i="2"/>
  <c r="EN53" i="2" l="1"/>
  <c r="DR53" i="2"/>
  <c r="N148" i="8"/>
  <c r="N185" i="8"/>
  <c r="N187" i="8" s="1"/>
  <c r="O219" i="8"/>
  <c r="X209" i="8"/>
  <c r="X219" i="8" s="1"/>
  <c r="X163" i="8"/>
  <c r="O90" i="8"/>
  <c r="O92" i="8" s="1"/>
  <c r="O41" i="8"/>
  <c r="O58" i="8"/>
  <c r="O59" i="8" s="1"/>
  <c r="O64" i="8" s="1"/>
  <c r="O104" i="8"/>
  <c r="O106" i="8" s="1"/>
  <c r="O146" i="8"/>
  <c r="O165" i="8"/>
  <c r="X165" i="8" s="1"/>
  <c r="EY65" i="2"/>
  <c r="CE53" i="2"/>
  <c r="CC53" i="2"/>
  <c r="EQ53" i="2" l="1"/>
  <c r="DU53" i="2"/>
  <c r="EO53" i="2"/>
  <c r="DS53" i="2"/>
  <c r="O185" i="8"/>
  <c r="O187" i="8" s="1"/>
  <c r="O148" i="8"/>
  <c r="CF53" i="2"/>
  <c r="CD53" i="2"/>
  <c r="EP53" i="2" l="1"/>
  <c r="DT53" i="2"/>
  <c r="ER53" i="2"/>
  <c r="DV53" i="2"/>
  <c r="CG53" i="2"/>
  <c r="ES53" i="2" l="1"/>
  <c r="DW53" i="2"/>
  <c r="CH53" i="2"/>
  <c r="ET53" i="2" l="1"/>
  <c r="DX53" i="2"/>
  <c r="CI53" i="2"/>
  <c r="EU53" i="2" l="1"/>
  <c r="DY53" i="2"/>
  <c r="CJ53" i="2"/>
  <c r="EV53" i="2" l="1"/>
  <c r="DZ53" i="2"/>
  <c r="CL53" i="2"/>
  <c r="EB53" i="2" s="1"/>
  <c r="CK53" i="2"/>
  <c r="EW53" i="2" l="1"/>
  <c r="EA53" i="2"/>
  <c r="EX53" i="2"/>
  <c r="EY53" i="2" s="1"/>
  <c r="EC53" i="2"/>
  <c r="BU35" i="2" l="1"/>
  <c r="DK35" i="2" s="1"/>
  <c r="EG35" i="2" l="1"/>
  <c r="BU33" i="2"/>
  <c r="DK33" i="2" s="1"/>
  <c r="BV35" i="2"/>
  <c r="DL35" i="2" s="1"/>
  <c r="EH35" i="2" l="1"/>
  <c r="EG33" i="2"/>
  <c r="EG37" i="2" s="1"/>
  <c r="BU37" i="2"/>
  <c r="DK37" i="2" s="1"/>
  <c r="BW35" i="2"/>
  <c r="BW26" i="2"/>
  <c r="DM26" i="2" s="1"/>
  <c r="BW25" i="2"/>
  <c r="DM25" i="2" s="1"/>
  <c r="BW24" i="2"/>
  <c r="DM24" i="2" s="1"/>
  <c r="EI35" i="2" l="1"/>
  <c r="DM35" i="2"/>
  <c r="EI25" i="2"/>
  <c r="EI26" i="2"/>
  <c r="EI24" i="2"/>
  <c r="BX35" i="2"/>
  <c r="BX26" i="2"/>
  <c r="BX25" i="2"/>
  <c r="BX24" i="2"/>
  <c r="DN24" i="2" s="1"/>
  <c r="EJ25" i="2" l="1"/>
  <c r="DN25" i="2"/>
  <c r="EJ26" i="2"/>
  <c r="DN26" i="2"/>
  <c r="EJ35" i="2"/>
  <c r="DN35" i="2"/>
  <c r="EJ24" i="2"/>
  <c r="BY25" i="2"/>
  <c r="BY24" i="2"/>
  <c r="DO24" i="2" s="1"/>
  <c r="BY35" i="2"/>
  <c r="BY26" i="2"/>
  <c r="EK26" i="2" l="1"/>
  <c r="DO26" i="2"/>
  <c r="EK35" i="2"/>
  <c r="DO35" i="2"/>
  <c r="EK25" i="2"/>
  <c r="DO25" i="2"/>
  <c r="EK24" i="2"/>
  <c r="BZ25" i="2"/>
  <c r="BZ24" i="2"/>
  <c r="DP24" i="2" s="1"/>
  <c r="BZ35" i="2"/>
  <c r="BZ26" i="2"/>
  <c r="EL26" i="2" l="1"/>
  <c r="DP26" i="2"/>
  <c r="EL35" i="2"/>
  <c r="DP35" i="2"/>
  <c r="EL25" i="2"/>
  <c r="DP25" i="2"/>
  <c r="EL24" i="2"/>
  <c r="CA35" i="2"/>
  <c r="CA26" i="2"/>
  <c r="CA25" i="2"/>
  <c r="CA24" i="2"/>
  <c r="DQ24" i="2" s="1"/>
  <c r="EM25" i="2" l="1"/>
  <c r="DQ25" i="2"/>
  <c r="EM26" i="2"/>
  <c r="DQ26" i="2"/>
  <c r="EM35" i="2"/>
  <c r="DQ35" i="2"/>
  <c r="EM24" i="2"/>
  <c r="CB25" i="2"/>
  <c r="CB24" i="2"/>
  <c r="DR24" i="2" s="1"/>
  <c r="CB35" i="2"/>
  <c r="CB26" i="2"/>
  <c r="EN26" i="2" l="1"/>
  <c r="DR26" i="2"/>
  <c r="EN35" i="2"/>
  <c r="DR35" i="2"/>
  <c r="EN25" i="2"/>
  <c r="DR25" i="2"/>
  <c r="EN24" i="2"/>
  <c r="CC25" i="2"/>
  <c r="CC24" i="2"/>
  <c r="DS24" i="2" s="1"/>
  <c r="CC35" i="2"/>
  <c r="CC26" i="2"/>
  <c r="EO26" i="2" l="1"/>
  <c r="DS26" i="2"/>
  <c r="EO35" i="2"/>
  <c r="DS35" i="2"/>
  <c r="EO25" i="2"/>
  <c r="DS25" i="2"/>
  <c r="EO24" i="2"/>
  <c r="CD35" i="2"/>
  <c r="CD26" i="2"/>
  <c r="DT26" i="2" s="1"/>
  <c r="CD25" i="2"/>
  <c r="DT25" i="2" s="1"/>
  <c r="CD24" i="2"/>
  <c r="DT24" i="2" s="1"/>
  <c r="EP35" i="2" l="1"/>
  <c r="DT35" i="2"/>
  <c r="EP24" i="2"/>
  <c r="EP25" i="2"/>
  <c r="EY25" i="2" s="1"/>
  <c r="EC25" i="2"/>
  <c r="EP26" i="2"/>
  <c r="EY26" i="2" s="1"/>
  <c r="EC26" i="2"/>
  <c r="CE35" i="2"/>
  <c r="EQ35" i="2" l="1"/>
  <c r="DU35" i="2"/>
  <c r="CF35" i="2"/>
  <c r="ER35" i="2" l="1"/>
  <c r="DV35" i="2"/>
  <c r="CG35" i="2"/>
  <c r="ES35" i="2" l="1"/>
  <c r="DW35" i="2"/>
  <c r="CH35" i="2"/>
  <c r="CE57" i="2"/>
  <c r="EQ57" i="2" l="1"/>
  <c r="DU57" i="2"/>
  <c r="ET35" i="2"/>
  <c r="DX35" i="2"/>
  <c r="P210" i="8"/>
  <c r="P224" i="8" s="1"/>
  <c r="P201" i="8"/>
  <c r="CI35" i="2"/>
  <c r="CF57" i="2"/>
  <c r="EU35" i="2" l="1"/>
  <c r="DY35" i="2"/>
  <c r="ER57" i="2"/>
  <c r="DV57" i="2"/>
  <c r="Q201" i="8"/>
  <c r="Q210" i="8"/>
  <c r="Q224" i="8" s="1"/>
  <c r="CJ35" i="2"/>
  <c r="CG57" i="2"/>
  <c r="EV35" i="2" l="1"/>
  <c r="DZ35" i="2"/>
  <c r="ES57" i="2"/>
  <c r="DW57" i="2"/>
  <c r="R201" i="8"/>
  <c r="R210" i="8"/>
  <c r="R224" i="8" s="1"/>
  <c r="CK35" i="2"/>
  <c r="CI57" i="2"/>
  <c r="CH57" i="2"/>
  <c r="ET57" i="2" l="1"/>
  <c r="DX57" i="2"/>
  <c r="EU57" i="2"/>
  <c r="DY57" i="2"/>
  <c r="EW35" i="2"/>
  <c r="EA35" i="2"/>
  <c r="S201" i="8"/>
  <c r="S210" i="8"/>
  <c r="S224" i="8" s="1"/>
  <c r="T201" i="8"/>
  <c r="T210" i="8"/>
  <c r="T224" i="8" s="1"/>
  <c r="CL35" i="2" l="1"/>
  <c r="EB35" i="2" s="1"/>
  <c r="CJ57" i="2"/>
  <c r="EV57" i="2" l="1"/>
  <c r="DZ57" i="2"/>
  <c r="EX35" i="2"/>
  <c r="EY35" i="2" s="1"/>
  <c r="EC35" i="2"/>
  <c r="U201" i="8"/>
  <c r="U210" i="8"/>
  <c r="U224" i="8" s="1"/>
  <c r="CK57" i="2"/>
  <c r="EW57" i="2" l="1"/>
  <c r="V201" i="8" s="1"/>
  <c r="EA57" i="2"/>
  <c r="CL57" i="2"/>
  <c r="V210" i="8" l="1"/>
  <c r="V224" i="8" s="1"/>
  <c r="EX57" i="2"/>
  <c r="W201" i="8" s="1"/>
  <c r="EB57" i="2"/>
  <c r="W210" i="8"/>
  <c r="W224" i="8" s="1"/>
  <c r="BV36" i="2" l="1"/>
  <c r="DL36" i="2" s="1"/>
  <c r="EH36" i="2" l="1"/>
  <c r="BX36" i="2" l="1"/>
  <c r="DN36" i="2" s="1"/>
  <c r="BW36" i="2"/>
  <c r="DM36" i="2" s="1"/>
  <c r="EI36" i="2" l="1"/>
  <c r="EJ36" i="2"/>
  <c r="BY36" i="2"/>
  <c r="DO36" i="2" s="1"/>
  <c r="EK36" i="2" l="1"/>
  <c r="BZ36" i="2"/>
  <c r="DP36" i="2" s="1"/>
  <c r="CA36" i="2"/>
  <c r="DQ36" i="2" s="1"/>
  <c r="EL36" i="2" l="1"/>
  <c r="EM36" i="2"/>
  <c r="CB36" i="2" l="1"/>
  <c r="DR36" i="2" s="1"/>
  <c r="EN36" i="2" l="1"/>
  <c r="CC36" i="2"/>
  <c r="DS36" i="2" s="1"/>
  <c r="EO36" i="2" l="1"/>
  <c r="CD36" i="2"/>
  <c r="DT36" i="2" s="1"/>
  <c r="CE36" i="2"/>
  <c r="DU36" i="2" s="1"/>
  <c r="CF36" i="2"/>
  <c r="DV36" i="2" s="1"/>
  <c r="EQ36" i="2" l="1"/>
  <c r="ER36" i="2"/>
  <c r="EP36" i="2"/>
  <c r="CG36" i="2"/>
  <c r="DW36" i="2" s="1"/>
  <c r="ES36" i="2" l="1"/>
  <c r="CI36" i="2" l="1"/>
  <c r="DY36" i="2" s="1"/>
  <c r="CH36" i="2"/>
  <c r="DX36" i="2" s="1"/>
  <c r="ET36" i="2" l="1"/>
  <c r="EU36" i="2"/>
  <c r="CJ36" i="2" l="1"/>
  <c r="DZ36" i="2" s="1"/>
  <c r="EV36" i="2" l="1"/>
  <c r="CL36" i="2"/>
  <c r="EB36" i="2" s="1"/>
  <c r="F100" i="2"/>
  <c r="ED100" i="2" l="1"/>
  <c r="AV100" i="2"/>
  <c r="EX36" i="2"/>
  <c r="CK36" i="2"/>
  <c r="EA36" i="2" s="1"/>
  <c r="EW36" i="2" l="1"/>
  <c r="EC36" i="2"/>
  <c r="EY36" i="2"/>
  <c r="BV57" i="2"/>
  <c r="DL57" i="2" s="1"/>
  <c r="BW57" i="2"/>
  <c r="EI57" i="2" l="1"/>
  <c r="DM57" i="2"/>
  <c r="EH57" i="2"/>
  <c r="H210" i="8"/>
  <c r="H224" i="8" s="1"/>
  <c r="H201" i="8"/>
  <c r="G210" i="8" l="1"/>
  <c r="G201" i="8"/>
  <c r="BY57" i="2"/>
  <c r="BX57" i="2"/>
  <c r="DN57" i="2" s="1"/>
  <c r="EK57" i="2" l="1"/>
  <c r="J210" i="8" s="1"/>
  <c r="J224" i="8" s="1"/>
  <c r="DO57" i="2"/>
  <c r="EJ57" i="2"/>
  <c r="J201" i="8"/>
  <c r="G211" i="8"/>
  <c r="H211" i="8" s="1"/>
  <c r="G224" i="8"/>
  <c r="I201" i="8" l="1"/>
  <c r="I210" i="8"/>
  <c r="CA57" i="2"/>
  <c r="BZ57" i="2"/>
  <c r="DP57" i="2" s="1"/>
  <c r="EM57" i="2" l="1"/>
  <c r="DQ57" i="2"/>
  <c r="L201" i="8"/>
  <c r="L210" i="8"/>
  <c r="L224" i="8" s="1"/>
  <c r="I224" i="8"/>
  <c r="EL57" i="2"/>
  <c r="I211" i="8"/>
  <c r="J211" i="8" s="1"/>
  <c r="CB57" i="2"/>
  <c r="EN57" i="2" l="1"/>
  <c r="DR57" i="2"/>
  <c r="K210" i="8"/>
  <c r="K201" i="8"/>
  <c r="M210" i="8"/>
  <c r="M224" i="8" s="1"/>
  <c r="M201" i="8"/>
  <c r="CC57" i="2"/>
  <c r="DS57" i="2" s="1"/>
  <c r="EO57" i="2" l="1"/>
  <c r="K224" i="8"/>
  <c r="K211" i="8"/>
  <c r="L211" i="8" s="1"/>
  <c r="M211" i="8" s="1"/>
  <c r="CD57" i="2"/>
  <c r="EP57" i="2" l="1"/>
  <c r="DT57" i="2"/>
  <c r="O210" i="8"/>
  <c r="O224" i="8" s="1"/>
  <c r="O201" i="8"/>
  <c r="EC57" i="2"/>
  <c r="N210" i="8"/>
  <c r="N201" i="8"/>
  <c r="EY57" i="2"/>
  <c r="N224" i="8" l="1"/>
  <c r="X210" i="8"/>
  <c r="N211" i="8"/>
  <c r="O211" i="8" s="1"/>
  <c r="P211" i="8" s="1"/>
  <c r="Q211" i="8" s="1"/>
  <c r="R211" i="8" s="1"/>
  <c r="S211" i="8" s="1"/>
  <c r="T211" i="8" s="1"/>
  <c r="U211" i="8" s="1"/>
  <c r="V211" i="8" s="1"/>
  <c r="W211" i="8" s="1"/>
  <c r="X211" i="8" s="1"/>
  <c r="X201" i="8"/>
  <c r="X224" i="8"/>
  <c r="BU100" i="2" l="1"/>
  <c r="DK100" i="2" s="1"/>
  <c r="BV100" i="2" l="1"/>
  <c r="DL100" i="2" s="1"/>
  <c r="BU75" i="2"/>
  <c r="DK75" i="2" s="1"/>
  <c r="BU77" i="2" l="1"/>
  <c r="DK77" i="2" s="1"/>
  <c r="BW100" i="2"/>
  <c r="DM100" i="2" s="1"/>
  <c r="BU78" i="2" l="1"/>
  <c r="DK78" i="2" s="1"/>
  <c r="BV75" i="2"/>
  <c r="DL75" i="2" s="1"/>
  <c r="BX100" i="2"/>
  <c r="DN100" i="2" s="1"/>
  <c r="BW75" i="2"/>
  <c r="DM75" i="2" s="1"/>
  <c r="BW77" i="2" l="1"/>
  <c r="DM77" i="2" s="1"/>
  <c r="BX75" i="2"/>
  <c r="DN75" i="2" s="1"/>
  <c r="BV77" i="2"/>
  <c r="DL77" i="2" s="1"/>
  <c r="BY100" i="2"/>
  <c r="DO100" i="2" s="1"/>
  <c r="BW78" i="2" l="1"/>
  <c r="DM78" i="2" s="1"/>
  <c r="BV78" i="2"/>
  <c r="DL78" i="2" s="1"/>
  <c r="BX77" i="2"/>
  <c r="DN77" i="2" s="1"/>
  <c r="BZ100" i="2"/>
  <c r="DP100" i="2" s="1"/>
  <c r="BY75" i="2"/>
  <c r="DO75" i="2" s="1"/>
  <c r="BX78" i="2" l="1"/>
  <c r="DN78" i="2" s="1"/>
  <c r="BY77" i="2"/>
  <c r="DO77" i="2" s="1"/>
  <c r="CA100" i="2"/>
  <c r="DQ100" i="2" s="1"/>
  <c r="BZ75" i="2"/>
  <c r="DP75" i="2" s="1"/>
  <c r="BY78" i="2" l="1"/>
  <c r="DO78" i="2" s="1"/>
  <c r="BZ77" i="2"/>
  <c r="DP77" i="2" s="1"/>
  <c r="CB100" i="2"/>
  <c r="DR100" i="2" s="1"/>
  <c r="CA75" i="2"/>
  <c r="DQ75" i="2" s="1"/>
  <c r="BZ78" i="2" l="1"/>
  <c r="DP78" i="2" s="1"/>
  <c r="CA77" i="2"/>
  <c r="DQ77" i="2" s="1"/>
  <c r="CC100" i="2"/>
  <c r="DS100" i="2" s="1"/>
  <c r="CB75" i="2"/>
  <c r="DR75" i="2" s="1"/>
  <c r="CA78" i="2" l="1"/>
  <c r="DQ78" i="2" s="1"/>
  <c r="CE100" i="2"/>
  <c r="DU100" i="2" s="1"/>
  <c r="CB77" i="2"/>
  <c r="DR77" i="2" s="1"/>
  <c r="CD100" i="2"/>
  <c r="DT100" i="2" s="1"/>
  <c r="CC75" i="2"/>
  <c r="DS75" i="2" s="1"/>
  <c r="CB78" i="2" l="1"/>
  <c r="DR78" i="2" s="1"/>
  <c r="CF100" i="2"/>
  <c r="DV100" i="2" s="1"/>
  <c r="CC77" i="2"/>
  <c r="DS77" i="2" s="1"/>
  <c r="CD75" i="2"/>
  <c r="DT75" i="2" s="1"/>
  <c r="G100" i="2"/>
  <c r="H100" i="2"/>
  <c r="EF100" i="2" l="1"/>
  <c r="AX100" i="2"/>
  <c r="EE100" i="2"/>
  <c r="AW100" i="2"/>
  <c r="CC78" i="2"/>
  <c r="DS78" i="2" s="1"/>
  <c r="CG100" i="2"/>
  <c r="DW100" i="2" s="1"/>
  <c r="CD77" i="2"/>
  <c r="DT77" i="2" s="1"/>
  <c r="CE75" i="2" l="1"/>
  <c r="DU75" i="2" s="1"/>
  <c r="CH100" i="2"/>
  <c r="DX100" i="2" s="1"/>
  <c r="CD78" i="2"/>
  <c r="DT78" i="2" s="1"/>
  <c r="CE77" i="2" l="1"/>
  <c r="DU77" i="2" s="1"/>
  <c r="CI100" i="2"/>
  <c r="DY100" i="2" s="1"/>
  <c r="CF75" i="2"/>
  <c r="DV75" i="2" s="1"/>
  <c r="CE78" i="2" l="1"/>
  <c r="DU78" i="2" s="1"/>
  <c r="CF77" i="2"/>
  <c r="DV77" i="2" s="1"/>
  <c r="CJ100" i="2"/>
  <c r="DZ100" i="2" s="1"/>
  <c r="CL100" i="2" l="1"/>
  <c r="EB100" i="2" s="1"/>
  <c r="CK100" i="2"/>
  <c r="EA100" i="2" s="1"/>
  <c r="CF78" i="2"/>
  <c r="DV78" i="2" s="1"/>
  <c r="EC100" i="2" l="1"/>
  <c r="F79" i="2" l="1"/>
  <c r="G79" i="2"/>
  <c r="F75" i="2"/>
  <c r="AV75" i="2" s="1"/>
  <c r="G75" i="2"/>
  <c r="AW75" i="2" s="1"/>
  <c r="ED79" i="2" l="1"/>
  <c r="AV79" i="2"/>
  <c r="EE79" i="2"/>
  <c r="AW79" i="2"/>
  <c r="G58" i="2"/>
  <c r="EE75" i="2"/>
  <c r="F58" i="2"/>
  <c r="ED75" i="2"/>
  <c r="G77" i="2"/>
  <c r="F77" i="2"/>
  <c r="EE58" i="2" l="1"/>
  <c r="AW58" i="2"/>
  <c r="ED77" i="2"/>
  <c r="AV77" i="2"/>
  <c r="ED58" i="2"/>
  <c r="AV58" i="2"/>
  <c r="EE77" i="2"/>
  <c r="AW77" i="2"/>
  <c r="F78" i="2"/>
  <c r="G78" i="2"/>
  <c r="EE78" i="2" l="1"/>
  <c r="AW78" i="2"/>
  <c r="ED78" i="2"/>
  <c r="AV78" i="2"/>
  <c r="F110" i="2" l="1"/>
  <c r="I110" i="2"/>
  <c r="H110" i="2"/>
  <c r="G110" i="2"/>
  <c r="EF110" i="2" l="1"/>
  <c r="AX110" i="2"/>
  <c r="EE110" i="2"/>
  <c r="AW110" i="2"/>
  <c r="EG110" i="2"/>
  <c r="AY110" i="2"/>
  <c r="ED110" i="2"/>
  <c r="AV110" i="2"/>
  <c r="J110" i="2"/>
  <c r="AZ110" i="2" s="1"/>
  <c r="F51" i="2" l="1"/>
  <c r="AV51" i="2" s="1"/>
  <c r="ED51" i="2" l="1"/>
  <c r="F50" i="2"/>
  <c r="AV50" i="2" s="1"/>
  <c r="ED50" i="2" l="1"/>
  <c r="F42" i="2"/>
  <c r="F41" i="2"/>
  <c r="AV41" i="2" s="1"/>
  <c r="ED42" i="2" l="1"/>
  <c r="AV42" i="2"/>
  <c r="F38" i="2"/>
  <c r="AV38" i="2" s="1"/>
  <c r="ED41" i="2"/>
  <c r="I41" i="2"/>
  <c r="H41" i="2"/>
  <c r="AX41" i="2" s="1"/>
  <c r="I38" i="2" l="1"/>
  <c r="AY41" i="2"/>
  <c r="H38" i="2"/>
  <c r="AX38" i="2" s="1"/>
  <c r="EF41" i="2"/>
  <c r="F10" i="2"/>
  <c r="ED38" i="2"/>
  <c r="J41" i="2"/>
  <c r="AZ41" i="2" s="1"/>
  <c r="CG75" i="2"/>
  <c r="DW75" i="2" s="1"/>
  <c r="F9" i="2" l="1"/>
  <c r="AV10" i="2"/>
  <c r="I10" i="2"/>
  <c r="AY10" i="2" s="1"/>
  <c r="AY38" i="2"/>
  <c r="J38" i="2"/>
  <c r="H10" i="2"/>
  <c r="EF38" i="2"/>
  <c r="CG77" i="2"/>
  <c r="DW77" i="2" s="1"/>
  <c r="CH75" i="2"/>
  <c r="DX75" i="2" s="1"/>
  <c r="H9" i="2" l="1"/>
  <c r="AX10" i="2"/>
  <c r="J10" i="2"/>
  <c r="AZ10" i="2" s="1"/>
  <c r="AZ38" i="2"/>
  <c r="CH77" i="2"/>
  <c r="DX77" i="2" s="1"/>
  <c r="CG78" i="2"/>
  <c r="DW78" i="2" s="1"/>
  <c r="K110" i="2"/>
  <c r="BA110" i="2" s="1"/>
  <c r="L110" i="2"/>
  <c r="BB110" i="2" s="1"/>
  <c r="CI75" i="2" l="1"/>
  <c r="DY75" i="2" s="1"/>
  <c r="CH78" i="2"/>
  <c r="DX78" i="2" s="1"/>
  <c r="CJ75" i="2"/>
  <c r="DZ75" i="2" s="1"/>
  <c r="M110" i="2"/>
  <c r="BC110" i="2" s="1"/>
  <c r="CJ77" i="2" l="1"/>
  <c r="DZ77" i="2" s="1"/>
  <c r="CI77" i="2"/>
  <c r="DY77" i="2" s="1"/>
  <c r="CK75" i="2"/>
  <c r="EA75" i="2" s="1"/>
  <c r="N110" i="2"/>
  <c r="BD110" i="2" s="1"/>
  <c r="CJ78" i="2" l="1"/>
  <c r="DZ78" i="2" s="1"/>
  <c r="CK77" i="2"/>
  <c r="EA77" i="2" s="1"/>
  <c r="CI78" i="2"/>
  <c r="DY78" i="2" s="1"/>
  <c r="O110" i="2"/>
  <c r="BE110" i="2" s="1"/>
  <c r="CK78" i="2" l="1"/>
  <c r="EA78" i="2" s="1"/>
  <c r="CL75" i="2"/>
  <c r="EB75" i="2" s="1"/>
  <c r="P110" i="2"/>
  <c r="BF110" i="2" s="1"/>
  <c r="EC75" i="2" l="1"/>
  <c r="S110" i="2"/>
  <c r="BI110" i="2" s="1"/>
  <c r="CL77" i="2"/>
  <c r="EB77" i="2" s="1"/>
  <c r="K41" i="2"/>
  <c r="BA41" i="2" s="1"/>
  <c r="Q110" i="2"/>
  <c r="BG110" i="2" s="1"/>
  <c r="EC77" i="2" l="1"/>
  <c r="K38" i="2"/>
  <c r="CL78" i="2"/>
  <c r="EB78" i="2" s="1"/>
  <c r="T110" i="2"/>
  <c r="BJ110" i="2" s="1"/>
  <c r="L41" i="2"/>
  <c r="L38" i="2" l="1"/>
  <c r="BB41" i="2"/>
  <c r="K10" i="2"/>
  <c r="BA10" i="2" s="1"/>
  <c r="BA38" i="2"/>
  <c r="EC78" i="2"/>
  <c r="U110" i="2"/>
  <c r="BK110" i="2" s="1"/>
  <c r="R110" i="2"/>
  <c r="BH110" i="2" s="1"/>
  <c r="M41" i="2"/>
  <c r="M38" i="2" l="1"/>
  <c r="BC41" i="2"/>
  <c r="L10" i="2"/>
  <c r="BB10" i="2" s="1"/>
  <c r="BB38" i="2"/>
  <c r="N41" i="2"/>
  <c r="V110" i="2"/>
  <c r="BL110" i="2" s="1"/>
  <c r="N38" i="2" l="1"/>
  <c r="BD41" i="2"/>
  <c r="M10" i="2"/>
  <c r="BC10" i="2" s="1"/>
  <c r="BC38" i="2"/>
  <c r="W110" i="2"/>
  <c r="BM110" i="2" s="1"/>
  <c r="O41" i="2"/>
  <c r="O38" i="2" l="1"/>
  <c r="BE41" i="2"/>
  <c r="N10" i="2"/>
  <c r="BD10" i="2" s="1"/>
  <c r="BD38" i="2"/>
  <c r="X110" i="2"/>
  <c r="BN110" i="2" s="1"/>
  <c r="S41" i="2"/>
  <c r="P41" i="2"/>
  <c r="S38" i="2" l="1"/>
  <c r="BI41" i="2"/>
  <c r="P38" i="2"/>
  <c r="BF41" i="2"/>
  <c r="O10" i="2"/>
  <c r="BE10" i="2" s="1"/>
  <c r="BE38" i="2"/>
  <c r="Y110" i="2"/>
  <c r="BO110" i="2" s="1"/>
  <c r="T41" i="2"/>
  <c r="Z110" i="2"/>
  <c r="T38" i="2" l="1"/>
  <c r="BJ41" i="2"/>
  <c r="P10" i="2"/>
  <c r="BF10" i="2" s="1"/>
  <c r="BF38" i="2"/>
  <c r="BQ110" i="2"/>
  <c r="BP110" i="2"/>
  <c r="S10" i="2"/>
  <c r="BI10" i="2" s="1"/>
  <c r="BI38" i="2"/>
  <c r="U41" i="2"/>
  <c r="Q41" i="2"/>
  <c r="R41" i="2"/>
  <c r="Q38" i="2" l="1"/>
  <c r="BG41" i="2"/>
  <c r="R38" i="2"/>
  <c r="BH41" i="2"/>
  <c r="U38" i="2"/>
  <c r="BK41" i="2"/>
  <c r="T10" i="2"/>
  <c r="BJ10" i="2" s="1"/>
  <c r="BJ38" i="2"/>
  <c r="V41" i="2"/>
  <c r="V38" i="2" l="1"/>
  <c r="BL41" i="2"/>
  <c r="R10" i="2"/>
  <c r="BH10" i="2" s="1"/>
  <c r="BH38" i="2"/>
  <c r="U10" i="2"/>
  <c r="BK10" i="2" s="1"/>
  <c r="BK38" i="2"/>
  <c r="Q10" i="2"/>
  <c r="BG10" i="2" s="1"/>
  <c r="BG38" i="2"/>
  <c r="W41" i="2"/>
  <c r="W38" i="2" l="1"/>
  <c r="BM41" i="2"/>
  <c r="V10" i="2"/>
  <c r="BL10" i="2" s="1"/>
  <c r="BL38" i="2"/>
  <c r="X41" i="2"/>
  <c r="X38" i="2" l="1"/>
  <c r="BN41" i="2"/>
  <c r="W10" i="2"/>
  <c r="BM10" i="2" s="1"/>
  <c r="BM38" i="2"/>
  <c r="Y41" i="2"/>
  <c r="Y38" i="2" l="1"/>
  <c r="BO41" i="2"/>
  <c r="X10" i="2"/>
  <c r="BN10" i="2" s="1"/>
  <c r="BN38" i="2"/>
  <c r="Z41" i="2"/>
  <c r="BP41" i="2" s="1"/>
  <c r="Y10" i="2" l="1"/>
  <c r="BO10" i="2" s="1"/>
  <c r="BO38" i="2"/>
  <c r="Z38" i="2"/>
  <c r="BQ41" i="2"/>
  <c r="BQ38" i="2" s="1"/>
  <c r="Z10" i="2" l="1"/>
  <c r="BP10" i="2" s="1"/>
  <c r="BP38" i="2"/>
  <c r="BQ10" i="2"/>
  <c r="H79" i="2" l="1"/>
  <c r="H75" i="2"/>
  <c r="AX75" i="2" s="1"/>
  <c r="EF79" i="2" l="1"/>
  <c r="AX79" i="2"/>
  <c r="H58" i="2"/>
  <c r="EF75" i="2"/>
  <c r="H77" i="2"/>
  <c r="EF58" i="2" l="1"/>
  <c r="AX58" i="2"/>
  <c r="EF77" i="2"/>
  <c r="AX77" i="2"/>
  <c r="H51" i="2"/>
  <c r="AX51" i="2" s="1"/>
  <c r="H78" i="2"/>
  <c r="EF78" i="2" l="1"/>
  <c r="AX78" i="2"/>
  <c r="EF51" i="2"/>
  <c r="H50" i="2"/>
  <c r="AX50" i="2" s="1"/>
  <c r="H42" i="2" l="1"/>
  <c r="EF50" i="2"/>
  <c r="EF42" i="2" l="1"/>
  <c r="AX42" i="2"/>
  <c r="BU41" i="2" l="1"/>
  <c r="DK41" i="2" s="1"/>
  <c r="EG41" i="2" l="1"/>
  <c r="BU38" i="2"/>
  <c r="DK38" i="2" s="1"/>
  <c r="EG38" i="2" l="1"/>
  <c r="BU10" i="2"/>
  <c r="DK10" i="2" s="1"/>
  <c r="G51" i="2" l="1"/>
  <c r="AW51" i="2" s="1"/>
  <c r="EE51" i="2" l="1"/>
  <c r="G50" i="2"/>
  <c r="AW50" i="2" s="1"/>
  <c r="G42" i="2" l="1"/>
  <c r="EE50" i="2"/>
  <c r="EE42" i="2" l="1"/>
  <c r="AW42" i="2"/>
  <c r="I79" i="2"/>
  <c r="AY79" i="2" s="1"/>
  <c r="I100" i="2"/>
  <c r="EG100" i="2" l="1"/>
  <c r="AY100" i="2"/>
  <c r="J100" i="2"/>
  <c r="AZ100" i="2" s="1"/>
  <c r="G41" i="2"/>
  <c r="AW41" i="2" s="1"/>
  <c r="I75" i="2"/>
  <c r="EG75" i="2" l="1"/>
  <c r="F175" i="8" s="1"/>
  <c r="AY75" i="2"/>
  <c r="EH100" i="2"/>
  <c r="G38" i="2"/>
  <c r="AW38" i="2" s="1"/>
  <c r="EE41" i="2"/>
  <c r="BU15" i="2"/>
  <c r="DK15" i="2" s="1"/>
  <c r="I15" i="2"/>
  <c r="AY15" i="2" s="1"/>
  <c r="J79" i="2"/>
  <c r="AZ79" i="2" s="1"/>
  <c r="K100" i="2"/>
  <c r="K79" i="2"/>
  <c r="BA79" i="2" s="1"/>
  <c r="J75" i="2"/>
  <c r="AZ75" i="2" s="1"/>
  <c r="I77" i="2"/>
  <c r="I47" i="2"/>
  <c r="AY47" i="2" s="1"/>
  <c r="L100" i="2"/>
  <c r="I46" i="2"/>
  <c r="AY46" i="2" s="1"/>
  <c r="EG77" i="2" l="1"/>
  <c r="F177" i="8" s="1"/>
  <c r="AY77" i="2"/>
  <c r="EI100" i="2"/>
  <c r="BA100" i="2"/>
  <c r="EJ100" i="2"/>
  <c r="BB100" i="2"/>
  <c r="EH75" i="2"/>
  <c r="EG15" i="2"/>
  <c r="G10" i="2"/>
  <c r="EE38" i="2"/>
  <c r="J47" i="2"/>
  <c r="AZ47" i="2" s="1"/>
  <c r="I78" i="2"/>
  <c r="BU46" i="2"/>
  <c r="DK46" i="2" s="1"/>
  <c r="BU47" i="2"/>
  <c r="L79" i="2"/>
  <c r="BB79" i="2" s="1"/>
  <c r="I51" i="2"/>
  <c r="AY51" i="2" s="1"/>
  <c r="K75" i="2"/>
  <c r="J77" i="2"/>
  <c r="AZ77" i="2" s="1"/>
  <c r="M100" i="2"/>
  <c r="J46" i="2"/>
  <c r="AZ46" i="2" s="1"/>
  <c r="N100" i="2"/>
  <c r="L75" i="2"/>
  <c r="EG47" i="2" l="1"/>
  <c r="DK47" i="2"/>
  <c r="G9" i="2"/>
  <c r="AW10" i="2"/>
  <c r="EG78" i="2"/>
  <c r="F178" i="8" s="1"/>
  <c r="F184" i="8" s="1"/>
  <c r="AY78" i="2"/>
  <c r="EL100" i="2"/>
  <c r="BD100" i="2"/>
  <c r="EJ75" i="2"/>
  <c r="I175" i="8" s="1"/>
  <c r="BB75" i="2"/>
  <c r="EI75" i="2"/>
  <c r="H175" i="8" s="1"/>
  <c r="BA75" i="2"/>
  <c r="EK100" i="2"/>
  <c r="BC100" i="2"/>
  <c r="EG46" i="2"/>
  <c r="EH77" i="2"/>
  <c r="F10" i="8"/>
  <c r="EG13" i="2"/>
  <c r="EG11" i="2"/>
  <c r="G175" i="8"/>
  <c r="BV46" i="2"/>
  <c r="DL46" i="2" s="1"/>
  <c r="L15" i="2"/>
  <c r="BB15" i="2" s="1"/>
  <c r="BV15" i="2"/>
  <c r="DL15" i="2" s="1"/>
  <c r="J15" i="2"/>
  <c r="AZ15" i="2" s="1"/>
  <c r="L47" i="2"/>
  <c r="BB47" i="2" s="1"/>
  <c r="K47" i="2"/>
  <c r="BA47" i="2" s="1"/>
  <c r="I56" i="2"/>
  <c r="AY56" i="2" s="1"/>
  <c r="BV47" i="2"/>
  <c r="DL47" i="2" s="1"/>
  <c r="N79" i="2"/>
  <c r="BD79" i="2" s="1"/>
  <c r="M79" i="2"/>
  <c r="BC79" i="2" s="1"/>
  <c r="J78" i="2"/>
  <c r="AZ78" i="2" s="1"/>
  <c r="J51" i="2"/>
  <c r="AZ51" i="2" s="1"/>
  <c r="K46" i="2"/>
  <c r="BA46" i="2" s="1"/>
  <c r="N75" i="2"/>
  <c r="L46" i="2"/>
  <c r="BB46" i="2" s="1"/>
  <c r="K77" i="2"/>
  <c r="BU79" i="2"/>
  <c r="L77" i="2"/>
  <c r="M75" i="2"/>
  <c r="O100" i="2"/>
  <c r="BE100" i="2" s="1"/>
  <c r="P100" i="2"/>
  <c r="EG79" i="2" l="1"/>
  <c r="F179" i="8" s="1"/>
  <c r="DK79" i="2"/>
  <c r="EN100" i="2"/>
  <c r="BF100" i="2"/>
  <c r="EJ77" i="2"/>
  <c r="I177" i="8" s="1"/>
  <c r="BB77" i="2"/>
  <c r="EI77" i="2"/>
  <c r="H177" i="8" s="1"/>
  <c r="BA77" i="2"/>
  <c r="EL75" i="2"/>
  <c r="K175" i="8" s="1"/>
  <c r="BD75" i="2"/>
  <c r="EK75" i="2"/>
  <c r="J175" i="8" s="1"/>
  <c r="BC75" i="2"/>
  <c r="EH15" i="2"/>
  <c r="EH47" i="2"/>
  <c r="EH46" i="2"/>
  <c r="EG9" i="2"/>
  <c r="F207" i="8"/>
  <c r="F14" i="8"/>
  <c r="F37" i="8"/>
  <c r="F42" i="8" s="1"/>
  <c r="F7" i="8" s="1"/>
  <c r="F16" i="8"/>
  <c r="F19" i="8" s="1"/>
  <c r="G177" i="8"/>
  <c r="EH78" i="2"/>
  <c r="EM100" i="2"/>
  <c r="K78" i="2"/>
  <c r="BW46" i="2"/>
  <c r="DM46" i="2" s="1"/>
  <c r="BX46" i="2"/>
  <c r="DN46" i="2" s="1"/>
  <c r="BX15" i="2"/>
  <c r="M15" i="2"/>
  <c r="BC15" i="2" s="1"/>
  <c r="BW15" i="2"/>
  <c r="DM15" i="2" s="1"/>
  <c r="K15" i="2"/>
  <c r="BA15" i="2" s="1"/>
  <c r="M47" i="2"/>
  <c r="BC47" i="2" s="1"/>
  <c r="N47" i="2"/>
  <c r="BD47" i="2" s="1"/>
  <c r="BU56" i="2"/>
  <c r="BV49" i="2"/>
  <c r="DL49" i="2" s="1"/>
  <c r="BX47" i="2"/>
  <c r="BW47" i="2"/>
  <c r="BU49" i="2"/>
  <c r="DK49" i="2" s="1"/>
  <c r="P79" i="2"/>
  <c r="BF79" i="2" s="1"/>
  <c r="O79" i="2"/>
  <c r="BE79" i="2" s="1"/>
  <c r="BU51" i="2"/>
  <c r="DK51" i="2" s="1"/>
  <c r="N46" i="2"/>
  <c r="BD46" i="2" s="1"/>
  <c r="L78" i="2"/>
  <c r="I49" i="2"/>
  <c r="L51" i="2"/>
  <c r="BB51" i="2" s="1"/>
  <c r="K51" i="2"/>
  <c r="BA51" i="2" s="1"/>
  <c r="P75" i="2"/>
  <c r="M77" i="2"/>
  <c r="M46" i="2"/>
  <c r="BC46" i="2" s="1"/>
  <c r="O75" i="2"/>
  <c r="N77" i="2"/>
  <c r="EJ47" i="2" l="1"/>
  <c r="DN47" i="2"/>
  <c r="EG56" i="2"/>
  <c r="DK56" i="2"/>
  <c r="EJ15" i="2"/>
  <c r="EJ13" i="2" s="1"/>
  <c r="DN15" i="2"/>
  <c r="EI47" i="2"/>
  <c r="DM47" i="2"/>
  <c r="EJ78" i="2"/>
  <c r="I178" i="8" s="1"/>
  <c r="I184" i="8" s="1"/>
  <c r="BB78" i="2"/>
  <c r="EL77" i="2"/>
  <c r="K177" i="8" s="1"/>
  <c r="BD77" i="2"/>
  <c r="EN75" i="2"/>
  <c r="M175" i="8" s="1"/>
  <c r="BF75" i="2"/>
  <c r="EI78" i="2"/>
  <c r="H178" i="8" s="1"/>
  <c r="H184" i="8" s="1"/>
  <c r="BA78" i="2"/>
  <c r="I43" i="2"/>
  <c r="AY49" i="2"/>
  <c r="EM75" i="2"/>
  <c r="L175" i="8" s="1"/>
  <c r="BE75" i="2"/>
  <c r="EK77" i="2"/>
  <c r="J177" i="8" s="1"/>
  <c r="BC77" i="2"/>
  <c r="EG49" i="2"/>
  <c r="BU43" i="2"/>
  <c r="DK43" i="2" s="1"/>
  <c r="BV43" i="2"/>
  <c r="DL43" i="2" s="1"/>
  <c r="I10" i="8"/>
  <c r="EJ11" i="2"/>
  <c r="EH13" i="2"/>
  <c r="G10" i="8"/>
  <c r="EH11" i="2"/>
  <c r="EG51" i="2"/>
  <c r="EJ46" i="2"/>
  <c r="EI46" i="2"/>
  <c r="EI15" i="2"/>
  <c r="F21" i="8"/>
  <c r="F22" i="8" s="1"/>
  <c r="F24" i="8" s="1"/>
  <c r="F38" i="8"/>
  <c r="F43" i="8" s="1"/>
  <c r="F27" i="8"/>
  <c r="F28" i="8" s="1"/>
  <c r="F30" i="8" s="1"/>
  <c r="G178" i="8"/>
  <c r="F217" i="8"/>
  <c r="F216" i="8" s="1"/>
  <c r="F204" i="8"/>
  <c r="BV52" i="2"/>
  <c r="DL52" i="2" s="1"/>
  <c r="BX49" i="2"/>
  <c r="DN49" i="2" s="1"/>
  <c r="Q100" i="2"/>
  <c r="BG100" i="2" s="1"/>
  <c r="Q75" i="2"/>
  <c r="BY46" i="2"/>
  <c r="DO46" i="2" s="1"/>
  <c r="BZ46" i="2"/>
  <c r="DP46" i="2" s="1"/>
  <c r="BW49" i="2"/>
  <c r="BY15" i="2"/>
  <c r="BZ15" i="2"/>
  <c r="DP15" i="2" s="1"/>
  <c r="N15" i="2"/>
  <c r="BD15" i="2" s="1"/>
  <c r="O47" i="2"/>
  <c r="BE47" i="2" s="1"/>
  <c r="P47" i="2"/>
  <c r="BF47" i="2" s="1"/>
  <c r="S100" i="2"/>
  <c r="BV56" i="2"/>
  <c r="DL56" i="2" s="1"/>
  <c r="J56" i="2"/>
  <c r="AZ56" i="2" s="1"/>
  <c r="BU52" i="2"/>
  <c r="DK52" i="2" s="1"/>
  <c r="BY47" i="2"/>
  <c r="BZ47" i="2"/>
  <c r="Q79" i="2"/>
  <c r="BG79" i="2" s="1"/>
  <c r="BV51" i="2"/>
  <c r="DL51" i="2" s="1"/>
  <c r="N78" i="2"/>
  <c r="O46" i="2"/>
  <c r="BE46" i="2" s="1"/>
  <c r="P46" i="2"/>
  <c r="BF46" i="2" s="1"/>
  <c r="M51" i="2"/>
  <c r="BC51" i="2" s="1"/>
  <c r="M78" i="2"/>
  <c r="N51" i="2"/>
  <c r="BD51" i="2" s="1"/>
  <c r="O77" i="2"/>
  <c r="BE77" i="2" s="1"/>
  <c r="R79" i="2"/>
  <c r="BH79" i="2" s="1"/>
  <c r="P77" i="2"/>
  <c r="EL47" i="2" l="1"/>
  <c r="DP47" i="2"/>
  <c r="EK47" i="2"/>
  <c r="DO47" i="2"/>
  <c r="BW43" i="2"/>
  <c r="DM43" i="2" s="1"/>
  <c r="DM49" i="2"/>
  <c r="EK15" i="2"/>
  <c r="EK11" i="2" s="1"/>
  <c r="DO15" i="2"/>
  <c r="I11" i="2"/>
  <c r="AY43" i="2"/>
  <c r="EL78" i="2"/>
  <c r="K178" i="8" s="1"/>
  <c r="K184" i="8" s="1"/>
  <c r="BD78" i="2"/>
  <c r="EO75" i="2"/>
  <c r="N175" i="8" s="1"/>
  <c r="BG75" i="2"/>
  <c r="EN77" i="2"/>
  <c r="M177" i="8" s="1"/>
  <c r="BF77" i="2"/>
  <c r="EK78" i="2"/>
  <c r="J178" i="8" s="1"/>
  <c r="J184" i="8" s="1"/>
  <c r="BC78" i="2"/>
  <c r="EQ100" i="2"/>
  <c r="BI100" i="2"/>
  <c r="BW11" i="2"/>
  <c r="DM11" i="2" s="1"/>
  <c r="EK46" i="2"/>
  <c r="G207" i="8"/>
  <c r="EH9" i="2"/>
  <c r="BV11" i="2"/>
  <c r="DL11" i="2" s="1"/>
  <c r="EG43" i="2"/>
  <c r="BU11" i="2"/>
  <c r="G184" i="8"/>
  <c r="EO100" i="2"/>
  <c r="H10" i="8"/>
  <c r="EI13" i="2"/>
  <c r="EI11" i="2"/>
  <c r="EL15" i="2"/>
  <c r="BX43" i="2"/>
  <c r="DN43" i="2" s="1"/>
  <c r="EH56" i="2"/>
  <c r="I207" i="8"/>
  <c r="EJ9" i="2"/>
  <c r="G14" i="8"/>
  <c r="G16" i="8"/>
  <c r="G19" i="8" s="1"/>
  <c r="G37" i="8"/>
  <c r="F44" i="8"/>
  <c r="F45" i="8"/>
  <c r="F8" i="8"/>
  <c r="I16" i="8"/>
  <c r="I19" i="8" s="1"/>
  <c r="I37" i="8"/>
  <c r="I42" i="8" s="1"/>
  <c r="I7" i="8" s="1"/>
  <c r="I14" i="8"/>
  <c r="J10" i="8"/>
  <c r="EK13" i="2"/>
  <c r="F212" i="8"/>
  <c r="F205" i="8"/>
  <c r="F220" i="8"/>
  <c r="EL46" i="2"/>
  <c r="EM77" i="2"/>
  <c r="EH51" i="2"/>
  <c r="BX52" i="2"/>
  <c r="DN52" i="2" s="1"/>
  <c r="BW52" i="2"/>
  <c r="DM52" i="2" s="1"/>
  <c r="O78" i="2"/>
  <c r="CB46" i="2"/>
  <c r="DR46" i="2" s="1"/>
  <c r="R100" i="2"/>
  <c r="BZ49" i="2"/>
  <c r="DP49" i="2" s="1"/>
  <c r="BY49" i="2"/>
  <c r="P15" i="2"/>
  <c r="BF15" i="2" s="1"/>
  <c r="CA46" i="2"/>
  <c r="DQ46" i="2" s="1"/>
  <c r="O15" i="2"/>
  <c r="BE15" i="2" s="1"/>
  <c r="CA15" i="2"/>
  <c r="CB15" i="2"/>
  <c r="Q15" i="2"/>
  <c r="BG15" i="2" s="1"/>
  <c r="Q47" i="2"/>
  <c r="BG47" i="2" s="1"/>
  <c r="BX56" i="2"/>
  <c r="BW56" i="2"/>
  <c r="DM56" i="2" s="1"/>
  <c r="M56" i="2"/>
  <c r="BC56" i="2" s="1"/>
  <c r="L56" i="2"/>
  <c r="BB56" i="2" s="1"/>
  <c r="K56" i="2"/>
  <c r="BA56" i="2" s="1"/>
  <c r="CA47" i="2"/>
  <c r="DQ47" i="2" s="1"/>
  <c r="CB47" i="2"/>
  <c r="BX51" i="2"/>
  <c r="DN51" i="2" s="1"/>
  <c r="BW51" i="2"/>
  <c r="DM51" i="2" s="1"/>
  <c r="R75" i="2"/>
  <c r="I52" i="2"/>
  <c r="AY52" i="2" s="1"/>
  <c r="P78" i="2"/>
  <c r="O51" i="2"/>
  <c r="BE51" i="2" s="1"/>
  <c r="J49" i="2"/>
  <c r="AZ49" i="2" s="1"/>
  <c r="Q77" i="2"/>
  <c r="Q46" i="2"/>
  <c r="BG46" i="2" s="1"/>
  <c r="P51" i="2"/>
  <c r="BF51" i="2" s="1"/>
  <c r="BY43" i="2" l="1"/>
  <c r="DO43" i="2" s="1"/>
  <c r="DO49" i="2"/>
  <c r="EN15" i="2"/>
  <c r="DR15" i="2"/>
  <c r="EN47" i="2"/>
  <c r="DR47" i="2"/>
  <c r="EM15" i="2"/>
  <c r="DQ15" i="2"/>
  <c r="BU9" i="2"/>
  <c r="DK11" i="2"/>
  <c r="EJ56" i="2"/>
  <c r="DN56" i="2"/>
  <c r="EM78" i="2"/>
  <c r="L178" i="8" s="1"/>
  <c r="L184" i="8" s="1"/>
  <c r="BE78" i="2"/>
  <c r="EP75" i="2"/>
  <c r="O175" i="8" s="1"/>
  <c r="BH75" i="2"/>
  <c r="EN78" i="2"/>
  <c r="M178" i="8" s="1"/>
  <c r="M184" i="8" s="1"/>
  <c r="BF78" i="2"/>
  <c r="EP100" i="2"/>
  <c r="BH100" i="2"/>
  <c r="EO77" i="2"/>
  <c r="N177" i="8" s="1"/>
  <c r="BG77" i="2"/>
  <c r="I9" i="2"/>
  <c r="AY11" i="2"/>
  <c r="BX11" i="2"/>
  <c r="DN11" i="2" s="1"/>
  <c r="G217" i="8"/>
  <c r="G216" i="8" s="1"/>
  <c r="G204" i="8"/>
  <c r="EN13" i="2"/>
  <c r="M10" i="8"/>
  <c r="EN11" i="2"/>
  <c r="EM47" i="2"/>
  <c r="EI56" i="2"/>
  <c r="L10" i="8"/>
  <c r="EM13" i="2"/>
  <c r="EM11" i="2"/>
  <c r="G42" i="8"/>
  <c r="I21" i="8"/>
  <c r="I22" i="8" s="1"/>
  <c r="I24" i="8" s="1"/>
  <c r="I27" i="8"/>
  <c r="I28" i="8" s="1"/>
  <c r="I30" i="8" s="1"/>
  <c r="I38" i="8"/>
  <c r="I43" i="8" s="1"/>
  <c r="G21" i="8"/>
  <c r="G22" i="8" s="1"/>
  <c r="G24" i="8" s="1"/>
  <c r="G27" i="8"/>
  <c r="G28" i="8" s="1"/>
  <c r="G30" i="8" s="1"/>
  <c r="G38" i="8"/>
  <c r="H207" i="8"/>
  <c r="EI9" i="2"/>
  <c r="L177" i="8"/>
  <c r="J43" i="2"/>
  <c r="AZ43" i="2" s="1"/>
  <c r="EH49" i="2"/>
  <c r="EM46" i="2"/>
  <c r="BZ43" i="2"/>
  <c r="DP43" i="2" s="1"/>
  <c r="I217" i="8"/>
  <c r="I216" i="8" s="1"/>
  <c r="I204" i="8"/>
  <c r="H14" i="8"/>
  <c r="H16" i="8"/>
  <c r="H19" i="8" s="1"/>
  <c r="H37" i="8"/>
  <c r="H42" i="8" s="1"/>
  <c r="H7" i="8" s="1"/>
  <c r="K10" i="8"/>
  <c r="EL13" i="2"/>
  <c r="EL11" i="2"/>
  <c r="EI51" i="2"/>
  <c r="EJ51" i="2"/>
  <c r="BY11" i="2"/>
  <c r="DO11" i="2" s="1"/>
  <c r="J207" i="8"/>
  <c r="EK9" i="2"/>
  <c r="EN46" i="2"/>
  <c r="EG52" i="2"/>
  <c r="J16" i="8"/>
  <c r="J19" i="8" s="1"/>
  <c r="J14" i="8"/>
  <c r="J37" i="8"/>
  <c r="J42" i="8" s="1"/>
  <c r="J7" i="8" s="1"/>
  <c r="F200" i="8"/>
  <c r="F213" i="8"/>
  <c r="BY52" i="2"/>
  <c r="DO52" i="2" s="1"/>
  <c r="J55" i="2"/>
  <c r="AZ55" i="2" s="1"/>
  <c r="CC15" i="2"/>
  <c r="J71" i="2"/>
  <c r="AZ71" i="2" s="1"/>
  <c r="S47" i="2"/>
  <c r="BI47" i="2" s="1"/>
  <c r="S79" i="2"/>
  <c r="BI79" i="2" s="1"/>
  <c r="T75" i="2"/>
  <c r="S75" i="2"/>
  <c r="T100" i="2"/>
  <c r="BZ52" i="2"/>
  <c r="DP52" i="2" s="1"/>
  <c r="BZ56" i="2"/>
  <c r="DP56" i="2" s="1"/>
  <c r="BY56" i="2"/>
  <c r="N56" i="2"/>
  <c r="BD56" i="2" s="1"/>
  <c r="CB49" i="2"/>
  <c r="CC47" i="2"/>
  <c r="BY51" i="2"/>
  <c r="DO51" i="2" s="1"/>
  <c r="BZ51" i="2"/>
  <c r="DP51" i="2" s="1"/>
  <c r="K49" i="2"/>
  <c r="BA49" i="2" s="1"/>
  <c r="R77" i="2"/>
  <c r="Q51" i="2"/>
  <c r="BG51" i="2" s="1"/>
  <c r="Q78" i="2"/>
  <c r="R47" i="2"/>
  <c r="BH47" i="2" s="1"/>
  <c r="I71" i="2"/>
  <c r="R46" i="2"/>
  <c r="BH46" i="2" s="1"/>
  <c r="J52" i="2"/>
  <c r="AZ52" i="2" s="1"/>
  <c r="L49" i="2"/>
  <c r="BB49" i="2" s="1"/>
  <c r="BU71" i="2"/>
  <c r="DK71" i="2" s="1"/>
  <c r="EO15" i="2" l="1"/>
  <c r="DS15" i="2"/>
  <c r="CB43" i="2"/>
  <c r="DR43" i="2" s="1"/>
  <c r="DR49" i="2"/>
  <c r="EO47" i="2"/>
  <c r="DS47" i="2"/>
  <c r="EK56" i="2"/>
  <c r="DO56" i="2"/>
  <c r="EO78" i="2"/>
  <c r="BG78" i="2"/>
  <c r="ER100" i="2"/>
  <c r="BJ100" i="2"/>
  <c r="EP77" i="2"/>
  <c r="O177" i="8" s="1"/>
  <c r="BH77" i="2"/>
  <c r="ER75" i="2"/>
  <c r="Q175" i="8" s="1"/>
  <c r="BJ75" i="2"/>
  <c r="I58" i="2"/>
  <c r="AY58" i="2" s="1"/>
  <c r="AY71" i="2"/>
  <c r="EQ75" i="2"/>
  <c r="P175" i="8" s="1"/>
  <c r="BI75" i="2"/>
  <c r="K37" i="8"/>
  <c r="K42" i="8" s="1"/>
  <c r="K7" i="8" s="1"/>
  <c r="K16" i="8"/>
  <c r="K19" i="8" s="1"/>
  <c r="K14" i="8"/>
  <c r="N178" i="8"/>
  <c r="M16" i="8"/>
  <c r="M19" i="8" s="1"/>
  <c r="M14" i="8"/>
  <c r="M37" i="8"/>
  <c r="M42" i="8" s="1"/>
  <c r="M7" i="8" s="1"/>
  <c r="EG71" i="2"/>
  <c r="F171" i="8" s="1"/>
  <c r="BU58" i="2"/>
  <c r="G212" i="8"/>
  <c r="G220" i="8"/>
  <c r="J217" i="8"/>
  <c r="J216" i="8" s="1"/>
  <c r="J204" i="8"/>
  <c r="G7" i="8"/>
  <c r="CB11" i="2"/>
  <c r="DR11" i="2" s="1"/>
  <c r="J58" i="2"/>
  <c r="AZ58" i="2" s="1"/>
  <c r="F202" i="8"/>
  <c r="F222" i="8"/>
  <c r="H27" i="8"/>
  <c r="H28" i="8" s="1"/>
  <c r="H30" i="8" s="1"/>
  <c r="H21" i="8"/>
  <c r="H22" i="8" s="1"/>
  <c r="H24" i="8" s="1"/>
  <c r="H38" i="8"/>
  <c r="H43" i="8" s="1"/>
  <c r="L207" i="8"/>
  <c r="EM9" i="2"/>
  <c r="K43" i="2"/>
  <c r="BA43" i="2" s="1"/>
  <c r="EI49" i="2"/>
  <c r="EL56" i="2"/>
  <c r="CC46" i="2"/>
  <c r="DS46" i="2" s="1"/>
  <c r="G205" i="8"/>
  <c r="I220" i="8"/>
  <c r="I212" i="8"/>
  <c r="J50" i="2"/>
  <c r="AZ50" i="2" s="1"/>
  <c r="EH52" i="2"/>
  <c r="EL51" i="2"/>
  <c r="H217" i="8"/>
  <c r="H216" i="8" s="1"/>
  <c r="H204" i="8"/>
  <c r="L14" i="8"/>
  <c r="L16" i="8"/>
  <c r="L19" i="8" s="1"/>
  <c r="L37" i="8"/>
  <c r="L42" i="8" s="1"/>
  <c r="L7" i="8" s="1"/>
  <c r="EK51" i="2"/>
  <c r="BZ11" i="2"/>
  <c r="DP11" i="2" s="1"/>
  <c r="G43" i="8"/>
  <c r="X38" i="8"/>
  <c r="J11" i="2"/>
  <c r="AZ11" i="2" s="1"/>
  <c r="EH43" i="2"/>
  <c r="J27" i="8"/>
  <c r="J28" i="8" s="1"/>
  <c r="J30" i="8" s="1"/>
  <c r="J21" i="8"/>
  <c r="J22" i="8" s="1"/>
  <c r="J24" i="8" s="1"/>
  <c r="J38" i="8"/>
  <c r="J43" i="8" s="1"/>
  <c r="L43" i="2"/>
  <c r="BB43" i="2" s="1"/>
  <c r="EJ49" i="2"/>
  <c r="N10" i="8"/>
  <c r="EO13" i="2"/>
  <c r="EO11" i="2"/>
  <c r="K207" i="8"/>
  <c r="EL9" i="2"/>
  <c r="I44" i="8"/>
  <c r="I45" i="8"/>
  <c r="I8" i="8"/>
  <c r="I200" i="8" s="1"/>
  <c r="M207" i="8"/>
  <c r="EN9" i="2"/>
  <c r="J72" i="2"/>
  <c r="AZ72" i="2" s="1"/>
  <c r="CB52" i="2"/>
  <c r="DR52" i="2" s="1"/>
  <c r="CD46" i="2"/>
  <c r="DT46" i="2" s="1"/>
  <c r="S46" i="2"/>
  <c r="BI46" i="2" s="1"/>
  <c r="L71" i="2"/>
  <c r="CD15" i="2"/>
  <c r="DT15" i="2" s="1"/>
  <c r="S15" i="2"/>
  <c r="BI15" i="2" s="1"/>
  <c r="R15" i="2"/>
  <c r="BH15" i="2" s="1"/>
  <c r="U100" i="2"/>
  <c r="S77" i="2"/>
  <c r="BI77" i="2" s="1"/>
  <c r="CE46" i="2"/>
  <c r="DU46" i="2" s="1"/>
  <c r="CE47" i="2"/>
  <c r="T77" i="2"/>
  <c r="T79" i="2"/>
  <c r="BJ79" i="2" s="1"/>
  <c r="R78" i="2"/>
  <c r="CA49" i="2"/>
  <c r="DQ49" i="2" s="1"/>
  <c r="CA56" i="2"/>
  <c r="DQ56" i="2" s="1"/>
  <c r="CB56" i="2"/>
  <c r="DR56" i="2" s="1"/>
  <c r="P56" i="2"/>
  <c r="BF56" i="2" s="1"/>
  <c r="O56" i="2"/>
  <c r="BE56" i="2" s="1"/>
  <c r="CC49" i="2"/>
  <c r="DS49" i="2" s="1"/>
  <c r="CD47" i="2"/>
  <c r="CA51" i="2"/>
  <c r="DQ51" i="2" s="1"/>
  <c r="CB51" i="2"/>
  <c r="DR51" i="2" s="1"/>
  <c r="M49" i="2"/>
  <c r="BC49" i="2" s="1"/>
  <c r="I55" i="2"/>
  <c r="R51" i="2"/>
  <c r="BH51" i="2" s="1"/>
  <c r="I72" i="2"/>
  <c r="AY72" i="2" s="1"/>
  <c r="L52" i="2"/>
  <c r="BB52" i="2" s="1"/>
  <c r="K52" i="2"/>
  <c r="BA52" i="2" s="1"/>
  <c r="BU72" i="2"/>
  <c r="BU55" i="2"/>
  <c r="DK55" i="2" s="1"/>
  <c r="EG72" i="2" l="1"/>
  <c r="F172" i="8" s="1"/>
  <c r="F182" i="8" s="1"/>
  <c r="DK72" i="2"/>
  <c r="EQ47" i="2"/>
  <c r="DU47" i="2"/>
  <c r="EG58" i="2"/>
  <c r="DK58" i="2"/>
  <c r="EP47" i="2"/>
  <c r="DT47" i="2"/>
  <c r="L58" i="2"/>
  <c r="BB58" i="2" s="1"/>
  <c r="BB71" i="2"/>
  <c r="J42" i="2"/>
  <c r="AZ42" i="2" s="1"/>
  <c r="I50" i="2"/>
  <c r="AY55" i="2"/>
  <c r="ES100" i="2"/>
  <c r="BK100" i="2"/>
  <c r="H205" i="8"/>
  <c r="I205" i="8" s="1"/>
  <c r="J205" i="8" s="1"/>
  <c r="EP78" i="2"/>
  <c r="O178" i="8" s="1"/>
  <c r="O184" i="8" s="1"/>
  <c r="BH78" i="2"/>
  <c r="ER77" i="2"/>
  <c r="Q177" i="8" s="1"/>
  <c r="BJ77" i="2"/>
  <c r="N16" i="8"/>
  <c r="N19" i="8" s="1"/>
  <c r="N14" i="8"/>
  <c r="N37" i="8"/>
  <c r="N42" i="8" s="1"/>
  <c r="N7" i="8" s="1"/>
  <c r="J220" i="8"/>
  <c r="J212" i="8"/>
  <c r="M27" i="8"/>
  <c r="M28" i="8" s="1"/>
  <c r="M30" i="8" s="1"/>
  <c r="M21" i="8"/>
  <c r="M22" i="8" s="1"/>
  <c r="M24" i="8" s="1"/>
  <c r="M38" i="8"/>
  <c r="M43" i="8" s="1"/>
  <c r="EP15" i="2"/>
  <c r="EO46" i="2"/>
  <c r="CC43" i="2"/>
  <c r="DS43" i="2" s="1"/>
  <c r="N184" i="8"/>
  <c r="H212" i="8"/>
  <c r="H220" i="8"/>
  <c r="EN51" i="2"/>
  <c r="M217" i="8"/>
  <c r="M216" i="8" s="1"/>
  <c r="M204" i="8"/>
  <c r="J45" i="8"/>
  <c r="J44" i="8"/>
  <c r="J8" i="8"/>
  <c r="J200" i="8" s="1"/>
  <c r="X43" i="8"/>
  <c r="G45" i="8"/>
  <c r="X45" i="8" s="1"/>
  <c r="G44" i="8"/>
  <c r="X44" i="8" s="1"/>
  <c r="G8" i="8"/>
  <c r="EQ46" i="2"/>
  <c r="I202" i="8"/>
  <c r="I222" i="8"/>
  <c r="I221" i="8" s="1"/>
  <c r="K21" i="8"/>
  <c r="K22" i="8" s="1"/>
  <c r="K24" i="8" s="1"/>
  <c r="K27" i="8"/>
  <c r="K28" i="8" s="1"/>
  <c r="K30" i="8" s="1"/>
  <c r="K38" i="8"/>
  <c r="K43" i="8" s="1"/>
  <c r="CA43" i="2"/>
  <c r="DQ43" i="2" s="1"/>
  <c r="L21" i="8"/>
  <c r="L22" i="8" s="1"/>
  <c r="L24" i="8" s="1"/>
  <c r="L27" i="8"/>
  <c r="L28" i="8" s="1"/>
  <c r="L30" i="8" s="1"/>
  <c r="L38" i="8"/>
  <c r="L43" i="8" s="1"/>
  <c r="L11" i="2"/>
  <c r="EJ43" i="2"/>
  <c r="EM51" i="2"/>
  <c r="EI52" i="2"/>
  <c r="EG55" i="2"/>
  <c r="BU50" i="2"/>
  <c r="DK50" i="2" s="1"/>
  <c r="EP46" i="2"/>
  <c r="K11" i="2"/>
  <c r="EI43" i="2"/>
  <c r="EJ52" i="2"/>
  <c r="J9" i="2"/>
  <c r="K217" i="8"/>
  <c r="K216" i="8" s="1"/>
  <c r="K204" i="8"/>
  <c r="L217" i="8"/>
  <c r="L216" i="8" s="1"/>
  <c r="L204" i="8"/>
  <c r="M43" i="2"/>
  <c r="BC43" i="2" s="1"/>
  <c r="EK49" i="2"/>
  <c r="EN56" i="2"/>
  <c r="EQ77" i="2"/>
  <c r="N207" i="8"/>
  <c r="EO9" i="2"/>
  <c r="H44" i="8"/>
  <c r="H45" i="8"/>
  <c r="H8" i="8"/>
  <c r="H200" i="8" s="1"/>
  <c r="F223" i="8"/>
  <c r="F221" i="8"/>
  <c r="EM56" i="2"/>
  <c r="L55" i="2"/>
  <c r="CC52" i="2"/>
  <c r="DS52" i="2" s="1"/>
  <c r="J73" i="2"/>
  <c r="AZ73" i="2" s="1"/>
  <c r="CE15" i="2"/>
  <c r="N71" i="2"/>
  <c r="L72" i="2"/>
  <c r="BB72" i="2" s="1"/>
  <c r="M71" i="2"/>
  <c r="S56" i="2"/>
  <c r="BI56" i="2" s="1"/>
  <c r="U47" i="2"/>
  <c r="BK47" i="2" s="1"/>
  <c r="T47" i="2"/>
  <c r="BJ47" i="2" s="1"/>
  <c r="T46" i="2"/>
  <c r="BJ46" i="2" s="1"/>
  <c r="S51" i="2"/>
  <c r="BI51" i="2" s="1"/>
  <c r="V100" i="2"/>
  <c r="U75" i="2"/>
  <c r="U79" i="2"/>
  <c r="BK79" i="2" s="1"/>
  <c r="S78" i="2"/>
  <c r="U46" i="2"/>
  <c r="BK46" i="2" s="1"/>
  <c r="W100" i="2"/>
  <c r="T78" i="2"/>
  <c r="I73" i="2"/>
  <c r="AY73" i="2" s="1"/>
  <c r="BU73" i="2"/>
  <c r="DK73" i="2" s="1"/>
  <c r="W75" i="2"/>
  <c r="V75" i="2"/>
  <c r="CA52" i="2"/>
  <c r="DQ52" i="2" s="1"/>
  <c r="CC56" i="2"/>
  <c r="DS56" i="2" s="1"/>
  <c r="R56" i="2"/>
  <c r="BH56" i="2" s="1"/>
  <c r="Q56" i="2"/>
  <c r="BG56" i="2" s="1"/>
  <c r="CC51" i="2"/>
  <c r="DS51" i="2" s="1"/>
  <c r="M52" i="2"/>
  <c r="BC52" i="2" s="1"/>
  <c r="O49" i="2"/>
  <c r="N49" i="2"/>
  <c r="BD49" i="2" s="1"/>
  <c r="K71" i="2"/>
  <c r="BA71" i="2" s="1"/>
  <c r="EQ15" i="2" l="1"/>
  <c r="DU15" i="2"/>
  <c r="ET75" i="2"/>
  <c r="S175" i="8" s="1"/>
  <c r="BL75" i="2"/>
  <c r="ES75" i="2"/>
  <c r="R175" i="8" s="1"/>
  <c r="BK75" i="2"/>
  <c r="L50" i="2"/>
  <c r="BB55" i="2"/>
  <c r="ER78" i="2"/>
  <c r="Q178" i="8" s="1"/>
  <c r="Q184" i="8" s="1"/>
  <c r="BJ78" i="2"/>
  <c r="L9" i="2"/>
  <c r="BB11" i="2"/>
  <c r="EU75" i="2"/>
  <c r="T175" i="8" s="1"/>
  <c r="BM75" i="2"/>
  <c r="EQ78" i="2"/>
  <c r="P178" i="8" s="1"/>
  <c r="P184" i="8" s="1"/>
  <c r="BI78" i="2"/>
  <c r="M58" i="2"/>
  <c r="BC58" i="2" s="1"/>
  <c r="BC71" i="2"/>
  <c r="K9" i="2"/>
  <c r="BA11" i="2"/>
  <c r="ET100" i="2"/>
  <c r="BL100" i="2"/>
  <c r="EO56" i="2"/>
  <c r="EU100" i="2"/>
  <c r="BM100" i="2"/>
  <c r="N58" i="2"/>
  <c r="BD58" i="2" s="1"/>
  <c r="BD71" i="2"/>
  <c r="I42" i="2"/>
  <c r="AY42" i="2" s="1"/>
  <c r="AY50" i="2"/>
  <c r="O43" i="2"/>
  <c r="BE43" i="2" s="1"/>
  <c r="BE49" i="2"/>
  <c r="H202" i="8"/>
  <c r="H222" i="8"/>
  <c r="H221" i="8" s="1"/>
  <c r="L44" i="8"/>
  <c r="L45" i="8"/>
  <c r="L8" i="8"/>
  <c r="L200" i="8" s="1"/>
  <c r="M44" i="8"/>
  <c r="M45" i="8"/>
  <c r="M8" i="8"/>
  <c r="M200" i="8" s="1"/>
  <c r="CA11" i="2"/>
  <c r="DQ11" i="2" s="1"/>
  <c r="EM43" i="2"/>
  <c r="N43" i="2"/>
  <c r="BD43" i="2" s="1"/>
  <c r="EL49" i="2"/>
  <c r="EK52" i="2"/>
  <c r="EG73" i="2"/>
  <c r="F173" i="8" s="1"/>
  <c r="F183" i="8" s="1"/>
  <c r="F181" i="8" s="1"/>
  <c r="EM49" i="2"/>
  <c r="N217" i="8"/>
  <c r="N216" i="8" s="1"/>
  <c r="N204" i="8"/>
  <c r="G200" i="8"/>
  <c r="X8" i="8"/>
  <c r="G213" i="8"/>
  <c r="H213" i="8" s="1"/>
  <c r="I213" i="8" s="1"/>
  <c r="J213" i="8" s="1"/>
  <c r="N21" i="8"/>
  <c r="N22" i="8" s="1"/>
  <c r="N24" i="8" s="1"/>
  <c r="N27" i="8"/>
  <c r="N28" i="8" s="1"/>
  <c r="N30" i="8" s="1"/>
  <c r="N38" i="8"/>
  <c r="N43" i="8" s="1"/>
  <c r="M11" i="2"/>
  <c r="EK43" i="2"/>
  <c r="EO51" i="2"/>
  <c r="M212" i="8"/>
  <c r="M220" i="8"/>
  <c r="EG50" i="2"/>
  <c r="BU42" i="2"/>
  <c r="O11" i="2"/>
  <c r="P177" i="8"/>
  <c r="K212" i="8"/>
  <c r="K220" i="8"/>
  <c r="K205" i="8"/>
  <c r="L205" i="8" s="1"/>
  <c r="M205" i="8" s="1"/>
  <c r="K44" i="8"/>
  <c r="K45" i="8"/>
  <c r="K8" i="8"/>
  <c r="K200" i="8" s="1"/>
  <c r="Y42" i="8"/>
  <c r="AD14" i="8"/>
  <c r="CC11" i="2"/>
  <c r="DS11" i="2" s="1"/>
  <c r="K58" i="2"/>
  <c r="BA58" i="2" s="1"/>
  <c r="J222" i="8"/>
  <c r="J221" i="8" s="1"/>
  <c r="J202" i="8"/>
  <c r="EQ13" i="2"/>
  <c r="P10" i="8"/>
  <c r="EQ11" i="2"/>
  <c r="F225" i="8"/>
  <c r="L212" i="8"/>
  <c r="L220" i="8"/>
  <c r="O10" i="8"/>
  <c r="EP13" i="2"/>
  <c r="EP11" i="2"/>
  <c r="L73" i="2"/>
  <c r="BB73" i="2" s="1"/>
  <c r="N72" i="2"/>
  <c r="BD72" i="2" s="1"/>
  <c r="N55" i="2"/>
  <c r="BD55" i="2" s="1"/>
  <c r="CF15" i="2"/>
  <c r="DV15" i="2" s="1"/>
  <c r="CE49" i="2"/>
  <c r="DU49" i="2" s="1"/>
  <c r="M72" i="2"/>
  <c r="BC72" i="2" s="1"/>
  <c r="CG15" i="2"/>
  <c r="DW15" i="2" s="1"/>
  <c r="O71" i="2"/>
  <c r="CE56" i="2"/>
  <c r="CG47" i="2"/>
  <c r="X100" i="2"/>
  <c r="CF47" i="2"/>
  <c r="DV47" i="2" s="1"/>
  <c r="U15" i="2"/>
  <c r="BK15" i="2" s="1"/>
  <c r="T15" i="2"/>
  <c r="BJ15" i="2" s="1"/>
  <c r="CF46" i="2"/>
  <c r="DV46" i="2" s="1"/>
  <c r="T51" i="2"/>
  <c r="BJ51" i="2" s="1"/>
  <c r="CE51" i="2"/>
  <c r="DU51" i="2" s="1"/>
  <c r="W79" i="2"/>
  <c r="BM79" i="2" s="1"/>
  <c r="V77" i="2"/>
  <c r="V79" i="2"/>
  <c r="BL79" i="2" s="1"/>
  <c r="W77" i="2"/>
  <c r="CD49" i="2"/>
  <c r="DT49" i="2" s="1"/>
  <c r="CD56" i="2"/>
  <c r="CD51" i="2"/>
  <c r="DT51" i="2" s="1"/>
  <c r="P49" i="2"/>
  <c r="BF49" i="2" s="1"/>
  <c r="Q49" i="2"/>
  <c r="BG49" i="2" s="1"/>
  <c r="O52" i="2"/>
  <c r="BE52" i="2" s="1"/>
  <c r="K72" i="2"/>
  <c r="BA72" i="2" s="1"/>
  <c r="N52" i="2"/>
  <c r="BD52" i="2" s="1"/>
  <c r="K55" i="2"/>
  <c r="BA55" i="2" s="1"/>
  <c r="ES47" i="2" l="1"/>
  <c r="DW47" i="2"/>
  <c r="EQ56" i="2"/>
  <c r="DU56" i="2"/>
  <c r="EP56" i="2"/>
  <c r="DT56" i="2"/>
  <c r="EG42" i="2"/>
  <c r="DK42" i="2"/>
  <c r="ET77" i="2"/>
  <c r="S177" i="8" s="1"/>
  <c r="BL77" i="2"/>
  <c r="O9" i="2"/>
  <c r="BE11" i="2"/>
  <c r="EU77" i="2"/>
  <c r="T177" i="8" s="1"/>
  <c r="BM77" i="2"/>
  <c r="O58" i="2"/>
  <c r="BE58" i="2" s="1"/>
  <c r="BE71" i="2"/>
  <c r="M9" i="2"/>
  <c r="BC11" i="2"/>
  <c r="L42" i="2"/>
  <c r="BB42" i="2" s="1"/>
  <c r="BB50" i="2"/>
  <c r="N205" i="8"/>
  <c r="EV100" i="2"/>
  <c r="BN100" i="2"/>
  <c r="CE43" i="2"/>
  <c r="DU43" i="2" s="1"/>
  <c r="P207" i="8"/>
  <c r="EQ9" i="2"/>
  <c r="ER47" i="2"/>
  <c r="M222" i="8"/>
  <c r="M221" i="8" s="1"/>
  <c r="M202" i="8"/>
  <c r="ER15" i="2"/>
  <c r="O207" i="8"/>
  <c r="EP9" i="2"/>
  <c r="L222" i="8"/>
  <c r="L221" i="8" s="1"/>
  <c r="L202" i="8"/>
  <c r="P37" i="8"/>
  <c r="P42" i="8" s="1"/>
  <c r="P7" i="8" s="1"/>
  <c r="P16" i="8"/>
  <c r="P19" i="8" s="1"/>
  <c r="P14" i="8"/>
  <c r="N45" i="8"/>
  <c r="N44" i="8"/>
  <c r="N8" i="8"/>
  <c r="N200" i="8" s="1"/>
  <c r="U77" i="2"/>
  <c r="O14" i="8"/>
  <c r="O16" i="8"/>
  <c r="O19" i="8" s="1"/>
  <c r="O37" i="8"/>
  <c r="K213" i="8"/>
  <c r="L213" i="8" s="1"/>
  <c r="M213" i="8" s="1"/>
  <c r="N11" i="2"/>
  <c r="BD11" i="2" s="1"/>
  <c r="EL43" i="2"/>
  <c r="EM52" i="2"/>
  <c r="G202" i="8"/>
  <c r="X202" i="8" s="1"/>
  <c r="G222" i="8"/>
  <c r="G225" i="8" s="1"/>
  <c r="H225" i="8" s="1"/>
  <c r="I225" i="8" s="1"/>
  <c r="J225" i="8" s="1"/>
  <c r="K225" i="8" s="1"/>
  <c r="L225" i="8" s="1"/>
  <c r="X200" i="8"/>
  <c r="X222" i="8" s="1"/>
  <c r="K50" i="2"/>
  <c r="N50" i="2"/>
  <c r="BD50" i="2" s="1"/>
  <c r="EL52" i="2"/>
  <c r="Q43" i="2"/>
  <c r="BG43" i="2" s="1"/>
  <c r="EO49" i="2"/>
  <c r="EP51" i="2"/>
  <c r="EQ51" i="2"/>
  <c r="M55" i="2"/>
  <c r="N220" i="8"/>
  <c r="N212" i="8"/>
  <c r="ER46" i="2"/>
  <c r="K202" i="8"/>
  <c r="K222" i="8"/>
  <c r="K221" i="8" s="1"/>
  <c r="P43" i="2"/>
  <c r="BF43" i="2" s="1"/>
  <c r="EN49" i="2"/>
  <c r="CD43" i="2"/>
  <c r="DT43" i="2" s="1"/>
  <c r="ES15" i="2"/>
  <c r="U78" i="2"/>
  <c r="N73" i="2"/>
  <c r="BD73" i="2" s="1"/>
  <c r="O72" i="2"/>
  <c r="BE72" i="2" s="1"/>
  <c r="M73" i="2"/>
  <c r="BC73" i="2" s="1"/>
  <c r="CE52" i="2"/>
  <c r="DU52" i="2" s="1"/>
  <c r="CG46" i="2"/>
  <c r="DW46" i="2" s="1"/>
  <c r="CI15" i="2"/>
  <c r="DY15" i="2" s="1"/>
  <c r="CH15" i="2"/>
  <c r="DX15" i="2" s="1"/>
  <c r="X79" i="2"/>
  <c r="BN79" i="2" s="1"/>
  <c r="CF56" i="2"/>
  <c r="DV56" i="2" s="1"/>
  <c r="V47" i="2"/>
  <c r="BL47" i="2" s="1"/>
  <c r="X47" i="2"/>
  <c r="BN47" i="2" s="1"/>
  <c r="W47" i="2"/>
  <c r="BM47" i="2" s="1"/>
  <c r="V46" i="2"/>
  <c r="BL46" i="2" s="1"/>
  <c r="U56" i="2"/>
  <c r="BK56" i="2" s="1"/>
  <c r="U51" i="2"/>
  <c r="BK51" i="2" s="1"/>
  <c r="X75" i="2"/>
  <c r="Y100" i="2"/>
  <c r="Z100" i="2"/>
  <c r="BP100" i="2" s="1"/>
  <c r="S71" i="2"/>
  <c r="V78" i="2"/>
  <c r="S49" i="2"/>
  <c r="W78" i="2"/>
  <c r="CH47" i="2"/>
  <c r="W46" i="2"/>
  <c r="BM46" i="2" s="1"/>
  <c r="K73" i="2"/>
  <c r="BA73" i="2" s="1"/>
  <c r="CD52" i="2"/>
  <c r="DT52" i="2" s="1"/>
  <c r="Q55" i="2"/>
  <c r="BG55" i="2" s="1"/>
  <c r="Q71" i="2"/>
  <c r="Q52" i="2"/>
  <c r="BG52" i="2" s="1"/>
  <c r="P52" i="2"/>
  <c r="BF52" i="2" s="1"/>
  <c r="R49" i="2"/>
  <c r="P71" i="2"/>
  <c r="ET47" i="2" l="1"/>
  <c r="DX47" i="2"/>
  <c r="ET78" i="2"/>
  <c r="S178" i="8" s="1"/>
  <c r="S184" i="8" s="1"/>
  <c r="BL78" i="2"/>
  <c r="P58" i="2"/>
  <c r="BF58" i="2" s="1"/>
  <c r="BF71" i="2"/>
  <c r="S58" i="2"/>
  <c r="BI58" i="2" s="1"/>
  <c r="BI71" i="2"/>
  <c r="EU78" i="2"/>
  <c r="T178" i="8" s="1"/>
  <c r="T184" i="8" s="1"/>
  <c r="BM78" i="2"/>
  <c r="M50" i="2"/>
  <c r="BC55" i="2"/>
  <c r="ES77" i="2"/>
  <c r="R177" i="8" s="1"/>
  <c r="BK77" i="2"/>
  <c r="ES78" i="2"/>
  <c r="R178" i="8" s="1"/>
  <c r="R184" i="8" s="1"/>
  <c r="BK78" i="2"/>
  <c r="S43" i="2"/>
  <c r="BI49" i="2"/>
  <c r="N42" i="2"/>
  <c r="BD42" i="2" s="1"/>
  <c r="EW100" i="2"/>
  <c r="BO100" i="2"/>
  <c r="K42" i="2"/>
  <c r="BA42" i="2" s="1"/>
  <c r="BA50" i="2"/>
  <c r="Q58" i="2"/>
  <c r="BG58" i="2" s="1"/>
  <c r="BG71" i="2"/>
  <c r="R43" i="2"/>
  <c r="BH43" i="2" s="1"/>
  <c r="BH49" i="2"/>
  <c r="N213" i="8"/>
  <c r="EV75" i="2"/>
  <c r="U175" i="8" s="1"/>
  <c r="BN75" i="2"/>
  <c r="EN52" i="2"/>
  <c r="ES46" i="2"/>
  <c r="N202" i="8"/>
  <c r="N222" i="8"/>
  <c r="N221" i="8" s="1"/>
  <c r="Q10" i="8"/>
  <c r="ER13" i="2"/>
  <c r="ER11" i="2"/>
  <c r="N9" i="2"/>
  <c r="M225" i="8"/>
  <c r="Q11" i="2"/>
  <c r="EO43" i="2"/>
  <c r="ES13" i="2"/>
  <c r="R10" i="8"/>
  <c r="ES11" i="2"/>
  <c r="EX100" i="2"/>
  <c r="EY100" i="2" s="1"/>
  <c r="BQ100" i="2"/>
  <c r="CD11" i="2"/>
  <c r="DT11" i="2" s="1"/>
  <c r="P217" i="8"/>
  <c r="P216" i="8" s="1"/>
  <c r="P204" i="8"/>
  <c r="O55" i="2"/>
  <c r="G221" i="8"/>
  <c r="G223" i="8"/>
  <c r="H223" i="8" s="1"/>
  <c r="I223" i="8" s="1"/>
  <c r="J223" i="8" s="1"/>
  <c r="K223" i="8" s="1"/>
  <c r="L223" i="8" s="1"/>
  <c r="M223" i="8" s="1"/>
  <c r="O42" i="8"/>
  <c r="EP49" i="2"/>
  <c r="EQ43" i="2"/>
  <c r="CE11" i="2"/>
  <c r="DU11" i="2" s="1"/>
  <c r="Q50" i="2"/>
  <c r="EO52" i="2"/>
  <c r="O21" i="8"/>
  <c r="O22" i="8" s="1"/>
  <c r="O24" i="8" s="1"/>
  <c r="O27" i="8"/>
  <c r="O28" i="8" s="1"/>
  <c r="O30" i="8" s="1"/>
  <c r="O38" i="8"/>
  <c r="O43" i="8" s="1"/>
  <c r="EQ49" i="2"/>
  <c r="P21" i="8"/>
  <c r="P22" i="8" s="1"/>
  <c r="P24" i="8" s="1"/>
  <c r="P27" i="8"/>
  <c r="P28" i="8" s="1"/>
  <c r="P30" i="8" s="1"/>
  <c r="P38" i="8"/>
  <c r="P43" i="8" s="1"/>
  <c r="P11" i="2"/>
  <c r="EN43" i="2"/>
  <c r="O217" i="8"/>
  <c r="O216" i="8" s="1"/>
  <c r="O204" i="8"/>
  <c r="O73" i="2"/>
  <c r="BE73" i="2" s="1"/>
  <c r="Q72" i="2"/>
  <c r="BG72" i="2" s="1"/>
  <c r="CG49" i="2"/>
  <c r="DW49" i="2" s="1"/>
  <c r="CF49" i="2"/>
  <c r="DV49" i="2" s="1"/>
  <c r="R71" i="2"/>
  <c r="T56" i="2"/>
  <c r="X46" i="2"/>
  <c r="BN46" i="2" s="1"/>
  <c r="CI47" i="2"/>
  <c r="CJ47" i="2"/>
  <c r="W15" i="2"/>
  <c r="X15" i="2"/>
  <c r="BN15" i="2" s="1"/>
  <c r="V15" i="2"/>
  <c r="CG51" i="2"/>
  <c r="DW51" i="2" s="1"/>
  <c r="X77" i="2"/>
  <c r="CH46" i="2"/>
  <c r="DX46" i="2" s="1"/>
  <c r="CI46" i="2"/>
  <c r="DY46" i="2" s="1"/>
  <c r="S72" i="2"/>
  <c r="BI72" i="2" s="1"/>
  <c r="S55" i="2"/>
  <c r="BI55" i="2" s="1"/>
  <c r="V51" i="2"/>
  <c r="BL51" i="2" s="1"/>
  <c r="X51" i="2"/>
  <c r="BN51" i="2" s="1"/>
  <c r="W51" i="2"/>
  <c r="BM51" i="2" s="1"/>
  <c r="CF51" i="2"/>
  <c r="DV51" i="2" s="1"/>
  <c r="S52" i="2"/>
  <c r="Z75" i="2"/>
  <c r="BP75" i="2" s="1"/>
  <c r="Z79" i="2"/>
  <c r="BP79" i="2" s="1"/>
  <c r="Y79" i="2"/>
  <c r="BO79" i="2" s="1"/>
  <c r="Y75" i="2"/>
  <c r="R55" i="2"/>
  <c r="BH55" i="2" s="1"/>
  <c r="R52" i="2"/>
  <c r="BH52" i="2" s="1"/>
  <c r="P72" i="2"/>
  <c r="BF72" i="2" s="1"/>
  <c r="P55" i="2"/>
  <c r="EV47" i="2" l="1"/>
  <c r="DZ47" i="2"/>
  <c r="EU47" i="2"/>
  <c r="DY47" i="2"/>
  <c r="P9" i="2"/>
  <c r="BF11" i="2"/>
  <c r="EW75" i="2"/>
  <c r="V175" i="8" s="1"/>
  <c r="BO75" i="2"/>
  <c r="M42" i="2"/>
  <c r="BC42" i="2" s="1"/>
  <c r="BC50" i="2"/>
  <c r="ET15" i="2"/>
  <c r="ET11" i="2" s="1"/>
  <c r="BL15" i="2"/>
  <c r="EV77" i="2"/>
  <c r="U177" i="8" s="1"/>
  <c r="BN77" i="2"/>
  <c r="O50" i="2"/>
  <c r="BE55" i="2"/>
  <c r="R11" i="2"/>
  <c r="P50" i="2"/>
  <c r="BF55" i="2"/>
  <c r="Q42" i="2"/>
  <c r="BG42" i="2" s="1"/>
  <c r="BG50" i="2"/>
  <c r="S50" i="2"/>
  <c r="BI52" i="2"/>
  <c r="EU15" i="2"/>
  <c r="T10" i="8" s="1"/>
  <c r="BM15" i="2"/>
  <c r="ER56" i="2"/>
  <c r="BJ56" i="2"/>
  <c r="Q9" i="2"/>
  <c r="BG11" i="2"/>
  <c r="S11" i="2"/>
  <c r="BI43" i="2"/>
  <c r="R58" i="2"/>
  <c r="BH58" i="2" s="1"/>
  <c r="BH71" i="2"/>
  <c r="EP43" i="2"/>
  <c r="O7" i="8"/>
  <c r="EX75" i="2"/>
  <c r="BQ75" i="2"/>
  <c r="O45" i="8"/>
  <c r="O44" i="8"/>
  <c r="O8" i="8"/>
  <c r="Q37" i="8"/>
  <c r="Q14" i="8"/>
  <c r="Q16" i="8"/>
  <c r="Q19" i="8" s="1"/>
  <c r="CF43" i="2"/>
  <c r="DV43" i="2" s="1"/>
  <c r="N223" i="8"/>
  <c r="ET46" i="2"/>
  <c r="ES51" i="2"/>
  <c r="P44" i="8"/>
  <c r="P45" i="8"/>
  <c r="P8" i="8"/>
  <c r="P200" i="8" s="1"/>
  <c r="N225" i="8"/>
  <c r="EQ52" i="2"/>
  <c r="CG43" i="2"/>
  <c r="DW43" i="2" s="1"/>
  <c r="EU46" i="2"/>
  <c r="R50" i="2"/>
  <c r="ER51" i="2"/>
  <c r="EP52" i="2"/>
  <c r="R207" i="8"/>
  <c r="ES9" i="2"/>
  <c r="P220" i="8"/>
  <c r="P212" i="8"/>
  <c r="R16" i="8"/>
  <c r="R19" i="8" s="1"/>
  <c r="R37" i="8"/>
  <c r="R42" i="8" s="1"/>
  <c r="R7" i="8" s="1"/>
  <c r="R14" i="8"/>
  <c r="O220" i="8"/>
  <c r="O212" i="8"/>
  <c r="O205" i="8"/>
  <c r="P205" i="8" s="1"/>
  <c r="BQ79" i="2"/>
  <c r="Q207" i="8"/>
  <c r="ER9" i="2"/>
  <c r="CF52" i="2"/>
  <c r="DV52" i="2" s="1"/>
  <c r="CG52" i="2"/>
  <c r="DW52" i="2" s="1"/>
  <c r="Q73" i="2"/>
  <c r="BG73" i="2" s="1"/>
  <c r="S73" i="2"/>
  <c r="BI73" i="2" s="1"/>
  <c r="CJ46" i="2"/>
  <c r="DZ46" i="2" s="1"/>
  <c r="R72" i="2"/>
  <c r="BH72" i="2" s="1"/>
  <c r="T55" i="2"/>
  <c r="BJ55" i="2" s="1"/>
  <c r="U55" i="2"/>
  <c r="BK55" i="2" s="1"/>
  <c r="CJ15" i="2"/>
  <c r="CK15" i="2"/>
  <c r="EA15" i="2" s="1"/>
  <c r="U71" i="2"/>
  <c r="Z15" i="2"/>
  <c r="BP15" i="2" s="1"/>
  <c r="Y47" i="2"/>
  <c r="BO47" i="2" s="1"/>
  <c r="T71" i="2"/>
  <c r="Z47" i="2"/>
  <c r="BP47" i="2" s="1"/>
  <c r="Z46" i="2"/>
  <c r="BP46" i="2" s="1"/>
  <c r="Y46" i="2"/>
  <c r="BO46" i="2" s="1"/>
  <c r="X78" i="2"/>
  <c r="CI49" i="2"/>
  <c r="Z51" i="2"/>
  <c r="BP51" i="2" s="1"/>
  <c r="CL47" i="2"/>
  <c r="EB47" i="2" s="1"/>
  <c r="Z77" i="2"/>
  <c r="BP77" i="2" s="1"/>
  <c r="Y77" i="2"/>
  <c r="CH51" i="2"/>
  <c r="DX51" i="2" s="1"/>
  <c r="P73" i="2"/>
  <c r="BF73" i="2" s="1"/>
  <c r="S10" i="8" l="1"/>
  <c r="CI43" i="2"/>
  <c r="DY43" i="2" s="1"/>
  <c r="DY49" i="2"/>
  <c r="ET13" i="2"/>
  <c r="EU11" i="2"/>
  <c r="EU13" i="2"/>
  <c r="EV15" i="2"/>
  <c r="U10" i="8" s="1"/>
  <c r="DZ15" i="2"/>
  <c r="EV78" i="2"/>
  <c r="U178" i="8" s="1"/>
  <c r="U184" i="8" s="1"/>
  <c r="BN78" i="2"/>
  <c r="R42" i="2"/>
  <c r="BH42" i="2" s="1"/>
  <c r="BH50" i="2"/>
  <c r="T58" i="2"/>
  <c r="BJ58" i="2" s="1"/>
  <c r="BJ71" i="2"/>
  <c r="O42" i="2"/>
  <c r="BE42" i="2" s="1"/>
  <c r="BE50" i="2"/>
  <c r="S42" i="2"/>
  <c r="BI42" i="2" s="1"/>
  <c r="BI50" i="2"/>
  <c r="EW77" i="2"/>
  <c r="V177" i="8" s="1"/>
  <c r="BO77" i="2"/>
  <c r="U58" i="2"/>
  <c r="BK58" i="2" s="1"/>
  <c r="BK71" i="2"/>
  <c r="S9" i="2"/>
  <c r="BI11" i="2"/>
  <c r="P42" i="2"/>
  <c r="BF42" i="2" s="1"/>
  <c r="BF50" i="2"/>
  <c r="R9" i="2"/>
  <c r="BH11" i="2"/>
  <c r="CI11" i="2"/>
  <c r="DY11" i="2" s="1"/>
  <c r="BQ46" i="2"/>
  <c r="Q217" i="8"/>
  <c r="Q216" i="8" s="1"/>
  <c r="Q204" i="8"/>
  <c r="CG11" i="2"/>
  <c r="DW11" i="2" s="1"/>
  <c r="BQ47" i="2"/>
  <c r="EV13" i="2"/>
  <c r="CF11" i="2"/>
  <c r="DV11" i="2" s="1"/>
  <c r="W175" i="8"/>
  <c r="X175" i="8" s="1"/>
  <c r="EY75" i="2"/>
  <c r="EX47" i="2"/>
  <c r="CG56" i="2"/>
  <c r="P202" i="8"/>
  <c r="P222" i="8"/>
  <c r="P221" i="8" s="1"/>
  <c r="F153" i="8"/>
  <c r="F156" i="8"/>
  <c r="F152" i="8"/>
  <c r="F155" i="8"/>
  <c r="F154" i="8"/>
  <c r="F157" i="8"/>
  <c r="F150" i="8"/>
  <c r="F151" i="8"/>
  <c r="R217" i="8"/>
  <c r="R216" i="8" s="1"/>
  <c r="R204" i="8"/>
  <c r="T207" i="8"/>
  <c r="EU9" i="2"/>
  <c r="EX77" i="2"/>
  <c r="BQ77" i="2"/>
  <c r="Q21" i="8"/>
  <c r="Q22" i="8" s="1"/>
  <c r="Q24" i="8" s="1"/>
  <c r="Q27" i="8"/>
  <c r="Q28" i="8" s="1"/>
  <c r="Q30" i="8" s="1"/>
  <c r="Q38" i="8"/>
  <c r="Q43" i="8" s="1"/>
  <c r="T16" i="8"/>
  <c r="T19" i="8" s="1"/>
  <c r="T14" i="8"/>
  <c r="T37" i="8"/>
  <c r="T42" i="8" s="1"/>
  <c r="T7" i="8" s="1"/>
  <c r="Q42" i="8"/>
  <c r="S207" i="8"/>
  <c r="ET9" i="2"/>
  <c r="EV46" i="2"/>
  <c r="S16" i="8"/>
  <c r="S19" i="8" s="1"/>
  <c r="S37" i="8"/>
  <c r="S42" i="8" s="1"/>
  <c r="S7" i="8" s="1"/>
  <c r="S14" i="8"/>
  <c r="ET51" i="2"/>
  <c r="R21" i="8"/>
  <c r="R22" i="8" s="1"/>
  <c r="R24" i="8" s="1"/>
  <c r="R27" i="8"/>
  <c r="R28" i="8" s="1"/>
  <c r="R30" i="8" s="1"/>
  <c r="R38" i="8"/>
  <c r="R43" i="8" s="1"/>
  <c r="O200" i="8"/>
  <c r="O213" i="8"/>
  <c r="P213" i="8" s="1"/>
  <c r="CJ49" i="2"/>
  <c r="DZ49" i="2" s="1"/>
  <c r="T72" i="2"/>
  <c r="BJ72" i="2" s="1"/>
  <c r="U72" i="2"/>
  <c r="BK72" i="2" s="1"/>
  <c r="R73" i="2"/>
  <c r="BH73" i="2" s="1"/>
  <c r="X71" i="2"/>
  <c r="CH49" i="2"/>
  <c r="DX49" i="2" s="1"/>
  <c r="CL15" i="2"/>
  <c r="EB15" i="2" s="1"/>
  <c r="V56" i="2"/>
  <c r="BL56" i="2" s="1"/>
  <c r="CH56" i="2"/>
  <c r="W56" i="2"/>
  <c r="BM56" i="2" s="1"/>
  <c r="V71" i="2"/>
  <c r="CK47" i="2"/>
  <c r="Y15" i="2"/>
  <c r="BO15" i="2" s="1"/>
  <c r="CI56" i="2"/>
  <c r="DY56" i="2" s="1"/>
  <c r="U49" i="2"/>
  <c r="BK49" i="2" s="1"/>
  <c r="CL46" i="2"/>
  <c r="EB46" i="2" s="1"/>
  <c r="CK46" i="2"/>
  <c r="EA46" i="2" s="1"/>
  <c r="Y51" i="2"/>
  <c r="BO51" i="2" s="1"/>
  <c r="X56" i="2"/>
  <c r="BN56" i="2" s="1"/>
  <c r="CL51" i="2"/>
  <c r="EB51" i="2" s="1"/>
  <c r="CJ51" i="2"/>
  <c r="DZ51" i="2" s="1"/>
  <c r="CI51" i="2"/>
  <c r="DY51" i="2" s="1"/>
  <c r="W49" i="2"/>
  <c r="Z78" i="2"/>
  <c r="BP78" i="2" s="1"/>
  <c r="T49" i="2"/>
  <c r="BJ49" i="2" s="1"/>
  <c r="Y78" i="2"/>
  <c r="CJ52" i="2"/>
  <c r="DZ52" i="2" s="1"/>
  <c r="CI52" i="2"/>
  <c r="DY52" i="2" s="1"/>
  <c r="ES56" i="2" l="1"/>
  <c r="DW56" i="2"/>
  <c r="ET56" i="2"/>
  <c r="DX56" i="2"/>
  <c r="EW47" i="2"/>
  <c r="EA47" i="2"/>
  <c r="EV11" i="2"/>
  <c r="EW15" i="2"/>
  <c r="EW13" i="2" s="1"/>
  <c r="V58" i="2"/>
  <c r="BL58" i="2" s="1"/>
  <c r="BL71" i="2"/>
  <c r="EW78" i="2"/>
  <c r="V178" i="8" s="1"/>
  <c r="V184" i="8" s="1"/>
  <c r="BO78" i="2"/>
  <c r="BQ15" i="2"/>
  <c r="X58" i="2"/>
  <c r="BN58" i="2" s="1"/>
  <c r="BN71" i="2"/>
  <c r="W43" i="2"/>
  <c r="BM43" i="2" s="1"/>
  <c r="BM49" i="2"/>
  <c r="T217" i="8"/>
  <c r="T216" i="8" s="1"/>
  <c r="T204" i="8"/>
  <c r="Q7" i="8"/>
  <c r="EX78" i="2"/>
  <c r="BQ78" i="2"/>
  <c r="CH43" i="2"/>
  <c r="DX43" i="2" s="1"/>
  <c r="Q212" i="8"/>
  <c r="Q220" i="8"/>
  <c r="T21" i="8"/>
  <c r="T22" i="8" s="1"/>
  <c r="T24" i="8" s="1"/>
  <c r="T27" i="8"/>
  <c r="T28" i="8" s="1"/>
  <c r="T30" i="8" s="1"/>
  <c r="T38" i="8"/>
  <c r="T43" i="8" s="1"/>
  <c r="W11" i="2"/>
  <c r="Q45" i="8"/>
  <c r="Q44" i="8"/>
  <c r="Q8" i="8"/>
  <c r="Q200" i="8" s="1"/>
  <c r="Q205" i="8"/>
  <c r="R205" i="8" s="1"/>
  <c r="R212" i="8"/>
  <c r="R220" i="8"/>
  <c r="V10" i="8"/>
  <c r="EU51" i="2"/>
  <c r="O222" i="8"/>
  <c r="O202" i="8"/>
  <c r="CJ43" i="2"/>
  <c r="DZ43" i="2" s="1"/>
  <c r="EU49" i="2"/>
  <c r="U207" i="8"/>
  <c r="EV9" i="2"/>
  <c r="U16" i="8"/>
  <c r="U19" i="8" s="1"/>
  <c r="U14" i="8"/>
  <c r="U37" i="8"/>
  <c r="U42" i="8" s="1"/>
  <c r="U7" i="8" s="1"/>
  <c r="EX46" i="2"/>
  <c r="EC46" i="2"/>
  <c r="U43" i="2"/>
  <c r="BK43" i="2" s="1"/>
  <c r="ES49" i="2"/>
  <c r="R44" i="8"/>
  <c r="R45" i="8"/>
  <c r="R8" i="8"/>
  <c r="R200" i="8" s="1"/>
  <c r="T43" i="2"/>
  <c r="BJ43" i="2" s="1"/>
  <c r="ER49" i="2"/>
  <c r="W177" i="8"/>
  <c r="X177" i="8" s="1"/>
  <c r="EY77" i="2"/>
  <c r="EC47" i="2"/>
  <c r="EX51" i="2"/>
  <c r="EW46" i="2"/>
  <c r="EY46" i="2" s="1"/>
  <c r="EY47" i="2"/>
  <c r="EU43" i="2"/>
  <c r="S27" i="8"/>
  <c r="S28" i="8" s="1"/>
  <c r="S30" i="8" s="1"/>
  <c r="S21" i="8"/>
  <c r="S22" i="8" s="1"/>
  <c r="S24" i="8" s="1"/>
  <c r="S38" i="8"/>
  <c r="S43" i="8" s="1"/>
  <c r="EV51" i="2"/>
  <c r="EU56" i="2"/>
  <c r="EX15" i="2"/>
  <c r="EC15" i="2"/>
  <c r="S217" i="8"/>
  <c r="S216" i="8" s="1"/>
  <c r="S204" i="8"/>
  <c r="BQ51" i="2"/>
  <c r="T73" i="2"/>
  <c r="BJ73" i="2" s="1"/>
  <c r="U73" i="2"/>
  <c r="BK73" i="2" s="1"/>
  <c r="CH52" i="2"/>
  <c r="DX52" i="2" s="1"/>
  <c r="W55" i="2"/>
  <c r="BM55" i="2" s="1"/>
  <c r="W71" i="2"/>
  <c r="U52" i="2"/>
  <c r="BK52" i="2" s="1"/>
  <c r="CL49" i="2"/>
  <c r="EB49" i="2" s="1"/>
  <c r="CK56" i="2"/>
  <c r="EA56" i="2" s="1"/>
  <c r="V72" i="2"/>
  <c r="BL72" i="2" s="1"/>
  <c r="CK51" i="2"/>
  <c r="EA51" i="2" s="1"/>
  <c r="X72" i="2"/>
  <c r="BN72" i="2" s="1"/>
  <c r="T52" i="2"/>
  <c r="BJ52" i="2" s="1"/>
  <c r="V49" i="2"/>
  <c r="ET49" i="2" s="1"/>
  <c r="EW11" i="2" l="1"/>
  <c r="V43" i="2"/>
  <c r="BL49" i="2"/>
  <c r="W58" i="2"/>
  <c r="BM58" i="2" s="1"/>
  <c r="BM71" i="2"/>
  <c r="S205" i="8"/>
  <c r="T205" i="8" s="1"/>
  <c r="W9" i="2"/>
  <c r="BM11" i="2"/>
  <c r="EW51" i="2"/>
  <c r="EY51" i="2" s="1"/>
  <c r="T11" i="2"/>
  <c r="BJ11" i="2" s="1"/>
  <c r="ER43" i="2"/>
  <c r="U217" i="8"/>
  <c r="U216" i="8" s="1"/>
  <c r="U204" i="8"/>
  <c r="S220" i="8"/>
  <c r="S212" i="8"/>
  <c r="Q222" i="8"/>
  <c r="Q221" i="8" s="1"/>
  <c r="Q202" i="8"/>
  <c r="CH11" i="2"/>
  <c r="DX11" i="2" s="1"/>
  <c r="ET43" i="2"/>
  <c r="W52" i="2"/>
  <c r="BM52" i="2" s="1"/>
  <c r="W10" i="8"/>
  <c r="EX13" i="2"/>
  <c r="EX11" i="2"/>
  <c r="EY15" i="2"/>
  <c r="EC51" i="2"/>
  <c r="U11" i="2"/>
  <c r="ES43" i="2"/>
  <c r="O221" i="8"/>
  <c r="O223" i="8"/>
  <c r="P223" i="8" s="1"/>
  <c r="Q223" i="8" s="1"/>
  <c r="O225" i="8"/>
  <c r="P225" i="8" s="1"/>
  <c r="Q225" i="8" s="1"/>
  <c r="Q213" i="8"/>
  <c r="R213" i="8" s="1"/>
  <c r="W178" i="8"/>
  <c r="EY78" i="2"/>
  <c r="CJ11" i="2"/>
  <c r="DZ11" i="2" s="1"/>
  <c r="CJ56" i="2"/>
  <c r="U50" i="2"/>
  <c r="ES52" i="2"/>
  <c r="CL43" i="2"/>
  <c r="EB43" i="2" s="1"/>
  <c r="V207" i="8"/>
  <c r="EW9" i="2"/>
  <c r="T45" i="8"/>
  <c r="T44" i="8"/>
  <c r="T8" i="8"/>
  <c r="T200" i="8" s="1"/>
  <c r="R222" i="8"/>
  <c r="R221" i="8" s="1"/>
  <c r="R202" i="8"/>
  <c r="T212" i="8"/>
  <c r="T220" i="8"/>
  <c r="S44" i="8"/>
  <c r="S45" i="8"/>
  <c r="S8" i="8"/>
  <c r="S200" i="8" s="1"/>
  <c r="U27" i="8"/>
  <c r="U28" i="8" s="1"/>
  <c r="U30" i="8" s="1"/>
  <c r="U21" i="8"/>
  <c r="U22" i="8" s="1"/>
  <c r="U24" i="8" s="1"/>
  <c r="U38" i="8"/>
  <c r="U43" i="8" s="1"/>
  <c r="V16" i="8"/>
  <c r="V19" i="8" s="1"/>
  <c r="V37" i="8"/>
  <c r="V42" i="8" s="1"/>
  <c r="V7" i="8" s="1"/>
  <c r="V14" i="8"/>
  <c r="T50" i="2"/>
  <c r="ER52" i="2"/>
  <c r="X55" i="2"/>
  <c r="BN55" i="2" s="1"/>
  <c r="X49" i="2"/>
  <c r="BN49" i="2" s="1"/>
  <c r="W72" i="2"/>
  <c r="BM72" i="2" s="1"/>
  <c r="CK49" i="2"/>
  <c r="EA49" i="2" s="1"/>
  <c r="CL56" i="2"/>
  <c r="EB56" i="2" s="1"/>
  <c r="Z71" i="2"/>
  <c r="BP71" i="2" s="1"/>
  <c r="Z56" i="2"/>
  <c r="V55" i="2"/>
  <c r="BL55" i="2" s="1"/>
  <c r="V73" i="2"/>
  <c r="BL73" i="2" s="1"/>
  <c r="X73" i="2"/>
  <c r="BN73" i="2" s="1"/>
  <c r="CL52" i="2"/>
  <c r="EB52" i="2" s="1"/>
  <c r="Y56" i="2"/>
  <c r="BO56" i="2" s="1"/>
  <c r="Z49" i="2"/>
  <c r="BP49" i="2" s="1"/>
  <c r="V52" i="2"/>
  <c r="BL52" i="2" s="1"/>
  <c r="EV56" i="2" l="1"/>
  <c r="DZ56" i="2"/>
  <c r="S213" i="8"/>
  <c r="T213" i="8" s="1"/>
  <c r="R225" i="8"/>
  <c r="R223" i="8"/>
  <c r="EW56" i="2"/>
  <c r="BQ56" i="2"/>
  <c r="BP56" i="2"/>
  <c r="U9" i="2"/>
  <c r="BK11" i="2"/>
  <c r="U42" i="2"/>
  <c r="BK42" i="2" s="1"/>
  <c r="BK50" i="2"/>
  <c r="T42" i="2"/>
  <c r="BJ42" i="2" s="1"/>
  <c r="BJ50" i="2"/>
  <c r="EX49" i="2"/>
  <c r="V11" i="2"/>
  <c r="BL43" i="2"/>
  <c r="U220" i="8"/>
  <c r="U212" i="8"/>
  <c r="CK43" i="2"/>
  <c r="W207" i="8"/>
  <c r="EX9" i="2"/>
  <c r="EY11" i="2"/>
  <c r="EY9" i="2" s="1"/>
  <c r="EC49" i="2"/>
  <c r="S202" i="8"/>
  <c r="S222" i="8"/>
  <c r="S221" i="8" s="1"/>
  <c r="V217" i="8"/>
  <c r="V216" i="8" s="1"/>
  <c r="V204" i="8"/>
  <c r="W184" i="8"/>
  <c r="X184" i="8" s="1"/>
  <c r="X178" i="8"/>
  <c r="W16" i="8"/>
  <c r="W19" i="8" s="1"/>
  <c r="X19" i="8" s="1"/>
  <c r="W37" i="8"/>
  <c r="W14" i="8"/>
  <c r="X10" i="8"/>
  <c r="X16" i="8" s="1"/>
  <c r="U205" i="8"/>
  <c r="V205" i="8" s="1"/>
  <c r="S223" i="8"/>
  <c r="W50" i="2"/>
  <c r="EU52" i="2"/>
  <c r="X43" i="2"/>
  <c r="BN43" i="2" s="1"/>
  <c r="EV49" i="2"/>
  <c r="Z58" i="2"/>
  <c r="BP58" i="2" s="1"/>
  <c r="V21" i="8"/>
  <c r="V22" i="8" s="1"/>
  <c r="V24" i="8" s="1"/>
  <c r="V27" i="8"/>
  <c r="V28" i="8" s="1"/>
  <c r="V30" i="8" s="1"/>
  <c r="V38" i="8"/>
  <c r="V43" i="8" s="1"/>
  <c r="T9" i="2"/>
  <c r="V50" i="2"/>
  <c r="EX56" i="2"/>
  <c r="EY56" i="2" s="1"/>
  <c r="EC56" i="2"/>
  <c r="Z43" i="2"/>
  <c r="BP43" i="2" s="1"/>
  <c r="T222" i="8"/>
  <c r="T221" i="8" s="1"/>
  <c r="T202" i="8"/>
  <c r="CL11" i="2"/>
  <c r="EB11" i="2" s="1"/>
  <c r="U44" i="8"/>
  <c r="U45" i="8"/>
  <c r="U8" i="8"/>
  <c r="U200" i="8" s="1"/>
  <c r="S225" i="8"/>
  <c r="ET52" i="2"/>
  <c r="X52" i="2"/>
  <c r="BN52" i="2" s="1"/>
  <c r="W73" i="2"/>
  <c r="BM73" i="2" s="1"/>
  <c r="CK52" i="2"/>
  <c r="Y71" i="2"/>
  <c r="Z72" i="2"/>
  <c r="BP72" i="2" s="1"/>
  <c r="Y49" i="2"/>
  <c r="EC43" i="2" l="1"/>
  <c r="EA43" i="2"/>
  <c r="EC52" i="2"/>
  <c r="EA52" i="2"/>
  <c r="Y58" i="2"/>
  <c r="BO58" i="2" s="1"/>
  <c r="BO71" i="2"/>
  <c r="W42" i="2"/>
  <c r="BM42" i="2" s="1"/>
  <c r="BM50" i="2"/>
  <c r="U213" i="8"/>
  <c r="Y43" i="2"/>
  <c r="BO43" i="2" s="1"/>
  <c r="BO49" i="2"/>
  <c r="V42" i="2"/>
  <c r="BL42" i="2" s="1"/>
  <c r="BL50" i="2"/>
  <c r="EX43" i="2"/>
  <c r="V9" i="2"/>
  <c r="BL11" i="2"/>
  <c r="Z52" i="2"/>
  <c r="BP52" i="2" s="1"/>
  <c r="V44" i="8"/>
  <c r="V8" i="8"/>
  <c r="V200" i="8" s="1"/>
  <c r="V45" i="8"/>
  <c r="X50" i="2"/>
  <c r="BN50" i="2" s="1"/>
  <c r="EV52" i="2"/>
  <c r="EW49" i="2"/>
  <c r="EY49" i="2" s="1"/>
  <c r="W21" i="8"/>
  <c r="W22" i="8" s="1"/>
  <c r="W24" i="8" s="1"/>
  <c r="W27" i="8"/>
  <c r="W28" i="8" s="1"/>
  <c r="W30" i="8" s="1"/>
  <c r="W38" i="8"/>
  <c r="W43" i="8" s="1"/>
  <c r="Z11" i="2"/>
  <c r="BP11" i="2" s="1"/>
  <c r="W42" i="8"/>
  <c r="X37" i="8"/>
  <c r="BQ49" i="2"/>
  <c r="X11" i="2"/>
  <c r="EV43" i="2"/>
  <c r="BQ71" i="2"/>
  <c r="BQ58" i="2" s="1"/>
  <c r="T225" i="8"/>
  <c r="U225" i="8" s="1"/>
  <c r="V212" i="8"/>
  <c r="V220" i="8"/>
  <c r="CK11" i="2"/>
  <c r="U222" i="8"/>
  <c r="U202" i="8"/>
  <c r="T223" i="8"/>
  <c r="U223" i="8" s="1"/>
  <c r="U221" i="8"/>
  <c r="W217" i="8"/>
  <c r="W216" i="8" s="1"/>
  <c r="W204" i="8"/>
  <c r="W205" i="8" s="1"/>
  <c r="X205" i="8" s="1"/>
  <c r="X207" i="8"/>
  <c r="X217" i="8" s="1"/>
  <c r="X216" i="8" s="1"/>
  <c r="Y55" i="2"/>
  <c r="BO55" i="2" s="1"/>
  <c r="Z73" i="2"/>
  <c r="BP73" i="2" s="1"/>
  <c r="Y52" i="2"/>
  <c r="X42" i="2" l="1"/>
  <c r="BN42" i="2" s="1"/>
  <c r="EC11" i="2"/>
  <c r="EA11" i="2"/>
  <c r="Y11" i="2"/>
  <c r="X9" i="2"/>
  <c r="BN11" i="2"/>
  <c r="EW52" i="2"/>
  <c r="BO52" i="2"/>
  <c r="BQ43" i="2"/>
  <c r="Y9" i="2"/>
  <c r="BO11" i="2"/>
  <c r="EW43" i="2"/>
  <c r="EY43" i="2" s="1"/>
  <c r="W7" i="8"/>
  <c r="X7" i="8" s="1"/>
  <c r="Y8" i="8" s="1"/>
  <c r="X42" i="8"/>
  <c r="V202" i="8"/>
  <c r="V222" i="8"/>
  <c r="V225" i="8" s="1"/>
  <c r="Z9" i="2"/>
  <c r="BQ11" i="2"/>
  <c r="BQ9" i="2" s="1"/>
  <c r="V213" i="8"/>
  <c r="Y73" i="2"/>
  <c r="Y72" i="2"/>
  <c r="Y50" i="2"/>
  <c r="BO50" i="2" s="1"/>
  <c r="BQ52" i="2"/>
  <c r="EX52" i="2"/>
  <c r="EY52" i="2" s="1"/>
  <c r="Z55" i="2"/>
  <c r="W220" i="8"/>
  <c r="W212" i="8"/>
  <c r="X212" i="8" s="1"/>
  <c r="X204" i="8"/>
  <c r="X220" i="8" s="1"/>
  <c r="X221" i="8" s="1"/>
  <c r="W44" i="8"/>
  <c r="W45" i="8"/>
  <c r="W8" i="8"/>
  <c r="W200" i="8" s="1"/>
  <c r="BQ72" i="2" l="1"/>
  <c r="BO72" i="2"/>
  <c r="BQ73" i="2"/>
  <c r="BO73" i="2"/>
  <c r="W213" i="8"/>
  <c r="X213" i="8" s="1"/>
  <c r="BQ55" i="2"/>
  <c r="BP55" i="2"/>
  <c r="V221" i="8"/>
  <c r="X150" i="8"/>
  <c r="Y43" i="8"/>
  <c r="Y44" i="8" s="1"/>
  <c r="Y42" i="2"/>
  <c r="BO42" i="2" s="1"/>
  <c r="Z50" i="2"/>
  <c r="V223" i="8"/>
  <c r="W202" i="8"/>
  <c r="W222" i="8"/>
  <c r="W221" i="8" s="1"/>
  <c r="Z42" i="2" l="1"/>
  <c r="BP42" i="2" s="1"/>
  <c r="BP50" i="2"/>
  <c r="BQ50" i="2"/>
  <c r="BQ42" i="2" s="1"/>
  <c r="G155" i="8"/>
  <c r="G156" i="8"/>
  <c r="G154" i="8"/>
  <c r="G151" i="8"/>
  <c r="G157" i="8"/>
  <c r="G153" i="8"/>
  <c r="G152" i="8"/>
  <c r="W223" i="8"/>
  <c r="X223" i="8" s="1"/>
  <c r="G150" i="8"/>
  <c r="W225" i="8"/>
  <c r="X225" i="8" s="1"/>
  <c r="CA27" i="2" l="1"/>
  <c r="CD27" i="2"/>
  <c r="BX27" i="2"/>
  <c r="BZ27" i="2"/>
  <c r="BY27" i="2"/>
  <c r="BV27" i="2"/>
  <c r="DL27" i="2" s="1"/>
  <c r="CB27" i="2"/>
  <c r="EP27" i="2" l="1"/>
  <c r="DT27" i="2"/>
  <c r="EL27" i="2"/>
  <c r="DP27" i="2"/>
  <c r="EK27" i="2"/>
  <c r="DO27" i="2"/>
  <c r="EJ27" i="2"/>
  <c r="DN27" i="2"/>
  <c r="EN27" i="2"/>
  <c r="DR27" i="2"/>
  <c r="EM27" i="2"/>
  <c r="DQ27" i="2"/>
  <c r="EH27" i="2"/>
  <c r="BW27" i="2"/>
  <c r="BV24" i="2"/>
  <c r="DL24" i="2" s="1"/>
  <c r="CC27" i="2"/>
  <c r="EI27" i="2" l="1"/>
  <c r="DM27" i="2"/>
  <c r="EO27" i="2"/>
  <c r="DS27" i="2"/>
  <c r="EH24" i="2"/>
  <c r="EC27" i="2"/>
  <c r="EY27" i="2"/>
  <c r="CE24" i="2"/>
  <c r="DU24" i="2" s="1"/>
  <c r="EQ24" i="2" l="1"/>
  <c r="EY24" i="2" s="1"/>
  <c r="EC24" i="2"/>
  <c r="CK110" i="2" l="1"/>
  <c r="CK34" i="2"/>
  <c r="EA34" i="2" s="1"/>
  <c r="CK67" i="2"/>
  <c r="EA67" i="2" s="1"/>
  <c r="CJ67" i="2"/>
  <c r="DZ67" i="2" s="1"/>
  <c r="CJ34" i="2"/>
  <c r="DZ34" i="2" s="1"/>
  <c r="CJ110" i="2"/>
  <c r="CL110" i="2"/>
  <c r="CL34" i="2"/>
  <c r="EB34" i="2" s="1"/>
  <c r="CL67" i="2"/>
  <c r="EB67" i="2" s="1"/>
  <c r="EX110" i="2" l="1"/>
  <c r="EB110" i="2"/>
  <c r="EV110" i="2"/>
  <c r="DZ110" i="2"/>
  <c r="EW110" i="2"/>
  <c r="EA110" i="2"/>
  <c r="EX34" i="2"/>
  <c r="CL33" i="2"/>
  <c r="W190" i="8"/>
  <c r="W195" i="8" s="1"/>
  <c r="W198" i="8" s="1"/>
  <c r="CK33" i="2"/>
  <c r="EW34" i="2"/>
  <c r="V190" i="8"/>
  <c r="V195" i="8" s="1"/>
  <c r="V198" i="8" s="1"/>
  <c r="EW67" i="2"/>
  <c r="V167" i="8" s="1"/>
  <c r="EX67" i="2"/>
  <c r="W167" i="8" s="1"/>
  <c r="EV34" i="2"/>
  <c r="CJ33" i="2"/>
  <c r="CJ37" i="2" s="1"/>
  <c r="DZ37" i="2" s="1"/>
  <c r="U190" i="8"/>
  <c r="U195" i="8" s="1"/>
  <c r="U198" i="8" s="1"/>
  <c r="EV67" i="2"/>
  <c r="U167" i="8" s="1"/>
  <c r="CJ68" i="2"/>
  <c r="CL68" i="2"/>
  <c r="CK68" i="2"/>
  <c r="CK79" i="2"/>
  <c r="CL79" i="2"/>
  <c r="CJ79" i="2"/>
  <c r="EX33" i="2" l="1"/>
  <c r="EB33" i="2"/>
  <c r="EX79" i="2"/>
  <c r="W179" i="8" s="1"/>
  <c r="EB79" i="2"/>
  <c r="EW68" i="2"/>
  <c r="V168" i="8" s="1"/>
  <c r="EA68" i="2"/>
  <c r="EV33" i="2"/>
  <c r="DZ33" i="2"/>
  <c r="EW33" i="2"/>
  <c r="EW37" i="2" s="1"/>
  <c r="EA33" i="2"/>
  <c r="EX68" i="2"/>
  <c r="W168" i="8" s="1"/>
  <c r="EB68" i="2"/>
  <c r="EW79" i="2"/>
  <c r="V179" i="8" s="1"/>
  <c r="EA79" i="2"/>
  <c r="EV79" i="2"/>
  <c r="U179" i="8" s="1"/>
  <c r="DZ79" i="2"/>
  <c r="EV68" i="2"/>
  <c r="U168" i="8" s="1"/>
  <c r="DZ68" i="2"/>
  <c r="CK37" i="2"/>
  <c r="EA37" i="2" s="1"/>
  <c r="CL37" i="2"/>
  <c r="EB37" i="2" s="1"/>
  <c r="EV37" i="2"/>
  <c r="EX37" i="2"/>
  <c r="CJ41" i="2"/>
  <c r="DZ41" i="2" s="1"/>
  <c r="CK41" i="2"/>
  <c r="EA41" i="2" s="1"/>
  <c r="CL41" i="2"/>
  <c r="EB41" i="2" s="1"/>
  <c r="EW41" i="2" l="1"/>
  <c r="CK38" i="2"/>
  <c r="EA38" i="2" s="1"/>
  <c r="EV41" i="2"/>
  <c r="CJ38" i="2"/>
  <c r="DZ38" i="2" s="1"/>
  <c r="EX41" i="2"/>
  <c r="CL38" i="2"/>
  <c r="EB38" i="2" s="1"/>
  <c r="EW38" i="2" l="1"/>
  <c r="CK10" i="2"/>
  <c r="CL10" i="2"/>
  <c r="EX38" i="2"/>
  <c r="CJ10" i="2"/>
  <c r="EV38" i="2"/>
  <c r="CJ9" i="2" l="1"/>
  <c r="DZ10" i="2"/>
  <c r="CK9" i="2"/>
  <c r="EA10" i="2"/>
  <c r="CL9" i="2"/>
  <c r="EB10" i="2"/>
  <c r="CI110" i="2" l="1"/>
  <c r="CI34" i="2"/>
  <c r="DY34" i="2" s="1"/>
  <c r="EU110" i="2" l="1"/>
  <c r="DY110" i="2"/>
  <c r="EU34" i="2"/>
  <c r="CI33" i="2"/>
  <c r="T190" i="8"/>
  <c r="T195" i="8" s="1"/>
  <c r="T198" i="8" s="1"/>
  <c r="CI79" i="2"/>
  <c r="EU33" i="2" l="1"/>
  <c r="DY33" i="2"/>
  <c r="EU79" i="2"/>
  <c r="T179" i="8" s="1"/>
  <c r="DY79" i="2"/>
  <c r="CI37" i="2"/>
  <c r="DY37" i="2" s="1"/>
  <c r="EU37" i="2"/>
  <c r="CI41" i="2"/>
  <c r="DY41" i="2" s="1"/>
  <c r="EU41" i="2" l="1"/>
  <c r="CI38" i="2"/>
  <c r="DY38" i="2" s="1"/>
  <c r="CI10" i="2" l="1"/>
  <c r="EU38" i="2"/>
  <c r="CI9" i="2" l="1"/>
  <c r="DY10" i="2"/>
  <c r="CJ71" i="2" l="1"/>
  <c r="DZ71" i="2" s="1"/>
  <c r="CL71" i="2"/>
  <c r="EB71" i="2" s="1"/>
  <c r="CK71" i="2"/>
  <c r="EA71" i="2" s="1"/>
  <c r="EW71" i="2" l="1"/>
  <c r="V171" i="8" s="1"/>
  <c r="CK58" i="2"/>
  <c r="EX71" i="2"/>
  <c r="W171" i="8" s="1"/>
  <c r="CL58" i="2"/>
  <c r="EV71" i="2"/>
  <c r="U171" i="8" s="1"/>
  <c r="CJ58" i="2"/>
  <c r="CL55" i="2"/>
  <c r="EB55" i="2" s="1"/>
  <c r="CK72" i="2"/>
  <c r="CJ55" i="2"/>
  <c r="DZ55" i="2" s="1"/>
  <c r="CL28" i="2"/>
  <c r="EB28" i="2" s="1"/>
  <c r="CK55" i="2"/>
  <c r="EA55" i="2" s="1"/>
  <c r="CL72" i="2"/>
  <c r="CJ72" i="2"/>
  <c r="CK28" i="2"/>
  <c r="EA28" i="2" s="1"/>
  <c r="CJ28" i="2"/>
  <c r="DZ28" i="2" s="1"/>
  <c r="EV58" i="2" l="1"/>
  <c r="DZ58" i="2"/>
  <c r="EX72" i="2"/>
  <c r="W172" i="8" s="1"/>
  <c r="W182" i="8" s="1"/>
  <c r="EB72" i="2"/>
  <c r="EV72" i="2"/>
  <c r="U172" i="8" s="1"/>
  <c r="U182" i="8" s="1"/>
  <c r="DZ72" i="2"/>
  <c r="EX58" i="2"/>
  <c r="EB58" i="2"/>
  <c r="EW72" i="2"/>
  <c r="V172" i="8" s="1"/>
  <c r="V182" i="8" s="1"/>
  <c r="EA72" i="2"/>
  <c r="EW58" i="2"/>
  <c r="EA58" i="2"/>
  <c r="EV28" i="2"/>
  <c r="CJ23" i="2"/>
  <c r="EX55" i="2"/>
  <c r="CL50" i="2"/>
  <c r="EB50" i="2" s="1"/>
  <c r="CL23" i="2"/>
  <c r="EX28" i="2"/>
  <c r="EW28" i="2"/>
  <c r="CK23" i="2"/>
  <c r="EV55" i="2"/>
  <c r="CJ50" i="2"/>
  <c r="DZ50" i="2" s="1"/>
  <c r="EW55" i="2"/>
  <c r="CK50" i="2"/>
  <c r="EA50" i="2" s="1"/>
  <c r="CL73" i="2"/>
  <c r="CK73" i="2"/>
  <c r="CJ73" i="2"/>
  <c r="EW23" i="2" l="1"/>
  <c r="EA23" i="2"/>
  <c r="EV73" i="2"/>
  <c r="U173" i="8" s="1"/>
  <c r="U183" i="8" s="1"/>
  <c r="U181" i="8" s="1"/>
  <c r="DZ73" i="2"/>
  <c r="EX23" i="2"/>
  <c r="EB23" i="2"/>
  <c r="EW73" i="2"/>
  <c r="V173" i="8" s="1"/>
  <c r="V183" i="8" s="1"/>
  <c r="V181" i="8" s="1"/>
  <c r="EA73" i="2"/>
  <c r="EX73" i="2"/>
  <c r="W173" i="8" s="1"/>
  <c r="W183" i="8" s="1"/>
  <c r="W181" i="8" s="1"/>
  <c r="EB73" i="2"/>
  <c r="EV23" i="2"/>
  <c r="DZ23" i="2"/>
  <c r="EV50" i="2"/>
  <c r="CJ42" i="2"/>
  <c r="EX50" i="2"/>
  <c r="CL42" i="2"/>
  <c r="EW50" i="2"/>
  <c r="CK42" i="2"/>
  <c r="CJ31" i="2"/>
  <c r="CK31" i="2"/>
  <c r="CL31" i="2"/>
  <c r="EX42" i="2" l="1"/>
  <c r="EB42" i="2"/>
  <c r="EW42" i="2"/>
  <c r="EA42" i="2"/>
  <c r="EX31" i="2"/>
  <c r="EB31" i="2"/>
  <c r="EV42" i="2"/>
  <c r="DZ42" i="2"/>
  <c r="EW31" i="2"/>
  <c r="EA31" i="2"/>
  <c r="EV31" i="2"/>
  <c r="DZ31" i="2"/>
  <c r="BV34" i="2" l="1"/>
  <c r="DL34" i="2" s="1"/>
  <c r="BV110" i="2"/>
  <c r="DL110" i="2" s="1"/>
  <c r="BV67" i="2"/>
  <c r="DL67" i="2" s="1"/>
  <c r="CA110" i="2"/>
  <c r="CA34" i="2"/>
  <c r="DQ34" i="2" s="1"/>
  <c r="CB34" i="2"/>
  <c r="DR34" i="2" s="1"/>
  <c r="CB110" i="2"/>
  <c r="BZ34" i="2"/>
  <c r="DP34" i="2" s="1"/>
  <c r="BZ110" i="2"/>
  <c r="EL110" i="2" l="1"/>
  <c r="DP110" i="2"/>
  <c r="EM110" i="2"/>
  <c r="DQ110" i="2"/>
  <c r="EN110" i="2"/>
  <c r="DR110" i="2"/>
  <c r="EH67" i="2"/>
  <c r="EL34" i="2"/>
  <c r="BZ33" i="2"/>
  <c r="K190" i="8"/>
  <c r="K195" i="8" s="1"/>
  <c r="K198" i="8" s="1"/>
  <c r="EM34" i="2"/>
  <c r="CA33" i="2"/>
  <c r="L190" i="8"/>
  <c r="L195" i="8" s="1"/>
  <c r="L198" i="8" s="1"/>
  <c r="EH110" i="2"/>
  <c r="EH34" i="2"/>
  <c r="BV33" i="2"/>
  <c r="BV37" i="2"/>
  <c r="DL37" i="2" s="1"/>
  <c r="G190" i="8"/>
  <c r="CB33" i="2"/>
  <c r="EN34" i="2"/>
  <c r="M190" i="8"/>
  <c r="M195" i="8" s="1"/>
  <c r="M198" i="8" s="1"/>
  <c r="BZ79" i="2"/>
  <c r="CB79" i="2"/>
  <c r="BV68" i="2"/>
  <c r="DL68" i="2" s="1"/>
  <c r="CC110" i="2"/>
  <c r="CC34" i="2"/>
  <c r="DS34" i="2" s="1"/>
  <c r="CA79" i="2"/>
  <c r="BV79" i="2"/>
  <c r="DL79" i="2" s="1"/>
  <c r="EL33" i="2" l="1"/>
  <c r="DP33" i="2"/>
  <c r="EM33" i="2"/>
  <c r="DQ33" i="2"/>
  <c r="EN33" i="2"/>
  <c r="DR33" i="2"/>
  <c r="EN79" i="2"/>
  <c r="M179" i="8" s="1"/>
  <c r="DR79" i="2"/>
  <c r="EO110" i="2"/>
  <c r="DS110" i="2"/>
  <c r="EH33" i="2"/>
  <c r="EH37" i="2" s="1"/>
  <c r="DL33" i="2"/>
  <c r="EM79" i="2"/>
  <c r="L179" i="8" s="1"/>
  <c r="DQ79" i="2"/>
  <c r="EL79" i="2"/>
  <c r="K179" i="8" s="1"/>
  <c r="DP79" i="2"/>
  <c r="CA37" i="2"/>
  <c r="DQ37" i="2" s="1"/>
  <c r="EH79" i="2"/>
  <c r="EH68" i="2"/>
  <c r="CB37" i="2"/>
  <c r="DR37" i="2" s="1"/>
  <c r="EN37" i="2"/>
  <c r="EM37" i="2"/>
  <c r="EO34" i="2"/>
  <c r="CC33" i="2"/>
  <c r="N190" i="8"/>
  <c r="N195" i="8" s="1"/>
  <c r="N198" i="8" s="1"/>
  <c r="G195" i="8"/>
  <c r="BZ37" i="2"/>
  <c r="DP37" i="2" s="1"/>
  <c r="EL37" i="2"/>
  <c r="G167" i="8"/>
  <c r="BZ41" i="2"/>
  <c r="DP41" i="2" s="1"/>
  <c r="CA41" i="2"/>
  <c r="DQ41" i="2" s="1"/>
  <c r="CC79" i="2"/>
  <c r="CB41" i="2"/>
  <c r="DR41" i="2" s="1"/>
  <c r="BV41" i="2"/>
  <c r="DL41" i="2" s="1"/>
  <c r="EO33" i="2" l="1"/>
  <c r="DS33" i="2"/>
  <c r="EO79" i="2"/>
  <c r="N179" i="8" s="1"/>
  <c r="DS79" i="2"/>
  <c r="CC37" i="2"/>
  <c r="DS37" i="2" s="1"/>
  <c r="EL41" i="2"/>
  <c r="BZ38" i="2"/>
  <c r="DP38" i="2" s="1"/>
  <c r="EO37" i="2"/>
  <c r="EM41" i="2"/>
  <c r="CA38" i="2"/>
  <c r="DQ38" i="2" s="1"/>
  <c r="EH41" i="2"/>
  <c r="BV38" i="2"/>
  <c r="DL38" i="2" s="1"/>
  <c r="G168" i="8"/>
  <c r="G198" i="8"/>
  <c r="G179" i="8"/>
  <c r="CB38" i="2"/>
  <c r="DR38" i="2" s="1"/>
  <c r="EN41" i="2"/>
  <c r="CC41" i="2"/>
  <c r="DS41" i="2" s="1"/>
  <c r="EH38" i="2" l="1"/>
  <c r="BV10" i="2"/>
  <c r="DL10" i="2" s="1"/>
  <c r="CA10" i="2"/>
  <c r="EM38" i="2"/>
  <c r="EN38" i="2"/>
  <c r="CB10" i="2"/>
  <c r="CC38" i="2"/>
  <c r="DS38" i="2" s="1"/>
  <c r="EO41" i="2"/>
  <c r="EL38" i="2"/>
  <c r="BZ10" i="2"/>
  <c r="BZ9" i="2" l="1"/>
  <c r="DP10" i="2"/>
  <c r="CA9" i="2"/>
  <c r="DQ10" i="2"/>
  <c r="CB9" i="2"/>
  <c r="DR10" i="2"/>
  <c r="CC10" i="2"/>
  <c r="EO38" i="2"/>
  <c r="BV9" i="2"/>
  <c r="CC9" i="2" l="1"/>
  <c r="DS10" i="2"/>
  <c r="CE110" i="2" l="1"/>
  <c r="CE34" i="2"/>
  <c r="DU34" i="2" s="1"/>
  <c r="CI67" i="2"/>
  <c r="DY67" i="2" s="1"/>
  <c r="EQ110" i="2" l="1"/>
  <c r="DU110" i="2"/>
  <c r="EU67" i="2"/>
  <c r="T167" i="8" s="1"/>
  <c r="EQ34" i="2"/>
  <c r="CE33" i="2"/>
  <c r="CE37" i="2"/>
  <c r="DU37" i="2" s="1"/>
  <c r="P190" i="8"/>
  <c r="P195" i="8" s="1"/>
  <c r="P198" i="8" s="1"/>
  <c r="BW34" i="2"/>
  <c r="DM34" i="2" s="1"/>
  <c r="BW110" i="2"/>
  <c r="DM110" i="2" s="1"/>
  <c r="BX110" i="2"/>
  <c r="BX34" i="2"/>
  <c r="DN34" i="2" s="1"/>
  <c r="CE79" i="2"/>
  <c r="BY110" i="2"/>
  <c r="BY34" i="2"/>
  <c r="DO34" i="2" s="1"/>
  <c r="CD34" i="2"/>
  <c r="DT34" i="2" s="1"/>
  <c r="CD110" i="2"/>
  <c r="CI68" i="2"/>
  <c r="EP110" i="2" l="1"/>
  <c r="DT110" i="2"/>
  <c r="EQ33" i="2"/>
  <c r="DU33" i="2"/>
  <c r="EU68" i="2"/>
  <c r="T168" i="8" s="1"/>
  <c r="DY68" i="2"/>
  <c r="EK110" i="2"/>
  <c r="DO110" i="2"/>
  <c r="EJ110" i="2"/>
  <c r="DN110" i="2"/>
  <c r="EQ79" i="2"/>
  <c r="P179" i="8" s="1"/>
  <c r="DU79" i="2"/>
  <c r="EK34" i="2"/>
  <c r="BY33" i="2"/>
  <c r="BY37" i="2"/>
  <c r="DO37" i="2" s="1"/>
  <c r="J190" i="8"/>
  <c r="J195" i="8" s="1"/>
  <c r="J198" i="8" s="1"/>
  <c r="EP34" i="2"/>
  <c r="CD33" i="2"/>
  <c r="CD37" i="2"/>
  <c r="DT37" i="2" s="1"/>
  <c r="O190" i="8"/>
  <c r="O195" i="8" s="1"/>
  <c r="O198" i="8" s="1"/>
  <c r="EI110" i="2"/>
  <c r="EJ34" i="2"/>
  <c r="BX33" i="2"/>
  <c r="I190" i="8"/>
  <c r="I195" i="8" s="1"/>
  <c r="I198" i="8" s="1"/>
  <c r="BW33" i="2"/>
  <c r="EI34" i="2"/>
  <c r="BW37" i="2"/>
  <c r="DM37" i="2" s="1"/>
  <c r="H190" i="8"/>
  <c r="EQ37" i="2"/>
  <c r="CH110" i="2"/>
  <c r="CH34" i="2"/>
  <c r="DX34" i="2" s="1"/>
  <c r="CE41" i="2"/>
  <c r="DU41" i="2" s="1"/>
  <c r="CD79" i="2"/>
  <c r="CF34" i="2"/>
  <c r="DV34" i="2" s="1"/>
  <c r="CF110" i="2"/>
  <c r="BX79" i="2"/>
  <c r="CG110" i="2"/>
  <c r="CG34" i="2"/>
  <c r="BY79" i="2"/>
  <c r="BW79" i="2"/>
  <c r="DM79" i="2" s="1"/>
  <c r="EJ33" i="2" l="1"/>
  <c r="DN33" i="2"/>
  <c r="EP33" i="2"/>
  <c r="EP37" i="2" s="1"/>
  <c r="DT33" i="2"/>
  <c r="EK79" i="2"/>
  <c r="J179" i="8" s="1"/>
  <c r="DO79" i="2"/>
  <c r="ES110" i="2"/>
  <c r="DW110" i="2"/>
  <c r="ER110" i="2"/>
  <c r="EY110" i="2" s="1"/>
  <c r="DV110" i="2"/>
  <c r="ET110" i="2"/>
  <c r="DX110" i="2"/>
  <c r="EJ79" i="2"/>
  <c r="I179" i="8" s="1"/>
  <c r="DN79" i="2"/>
  <c r="EK33" i="2"/>
  <c r="DO33" i="2"/>
  <c r="EC34" i="2"/>
  <c r="EC33" i="2" s="1"/>
  <c r="EC37" i="2" s="1"/>
  <c r="DW34" i="2"/>
  <c r="EP79" i="2"/>
  <c r="O179" i="8" s="1"/>
  <c r="DT79" i="2"/>
  <c r="EI33" i="2"/>
  <c r="DM33" i="2"/>
  <c r="EJ37" i="2"/>
  <c r="EC110" i="2"/>
  <c r="EQ41" i="2"/>
  <c r="CE38" i="2"/>
  <c r="DU38" i="2" s="1"/>
  <c r="CH33" i="2"/>
  <c r="ET34" i="2"/>
  <c r="CH37" i="2"/>
  <c r="DX37" i="2" s="1"/>
  <c r="S190" i="8"/>
  <c r="S195" i="8" s="1"/>
  <c r="S198" i="8" s="1"/>
  <c r="H195" i="8"/>
  <c r="X190" i="8"/>
  <c r="EI37" i="2"/>
  <c r="CF33" i="2"/>
  <c r="ER34" i="2"/>
  <c r="Q190" i="8"/>
  <c r="Q195" i="8" s="1"/>
  <c r="Q198" i="8" s="1"/>
  <c r="EI79" i="2"/>
  <c r="ES34" i="2"/>
  <c r="CG33" i="2"/>
  <c r="R190" i="8"/>
  <c r="R195" i="8" s="1"/>
  <c r="R198" i="8" s="1"/>
  <c r="BX37" i="2"/>
  <c r="DN37" i="2" s="1"/>
  <c r="EK37" i="2"/>
  <c r="CF79" i="2"/>
  <c r="CG79" i="2"/>
  <c r="CH79" i="2"/>
  <c r="BX41" i="2"/>
  <c r="DN41" i="2" s="1"/>
  <c r="CD41" i="2"/>
  <c r="DT41" i="2" s="1"/>
  <c r="BY41" i="2"/>
  <c r="DO41" i="2" s="1"/>
  <c r="BW41" i="2"/>
  <c r="DM41" i="2" s="1"/>
  <c r="ES79" i="2" l="1"/>
  <c r="R179" i="8" s="1"/>
  <c r="DW79" i="2"/>
  <c r="ER79" i="2"/>
  <c r="Q179" i="8" s="1"/>
  <c r="DV79" i="2"/>
  <c r="ET79" i="2"/>
  <c r="S179" i="8" s="1"/>
  <c r="DX79" i="2"/>
  <c r="ET33" i="2"/>
  <c r="ET37" i="2" s="1"/>
  <c r="DX33" i="2"/>
  <c r="ER33" i="2"/>
  <c r="ER37" i="2" s="1"/>
  <c r="DV33" i="2"/>
  <c r="ES33" i="2"/>
  <c r="ES37" i="2" s="1"/>
  <c r="DW33" i="2"/>
  <c r="CF37" i="2"/>
  <c r="DV37" i="2" s="1"/>
  <c r="CG37" i="2"/>
  <c r="DW37" i="2" s="1"/>
  <c r="H198" i="8"/>
  <c r="X198" i="8" s="1"/>
  <c r="X195" i="8"/>
  <c r="EI41" i="2"/>
  <c r="BW38" i="2"/>
  <c r="DM38" i="2" s="1"/>
  <c r="EC79" i="2"/>
  <c r="H179" i="8"/>
  <c r="X179" i="8" s="1"/>
  <c r="EY79" i="2"/>
  <c r="CD38" i="2"/>
  <c r="DT38" i="2" s="1"/>
  <c r="EP41" i="2"/>
  <c r="CE10" i="2"/>
  <c r="EQ38" i="2"/>
  <c r="EK41" i="2"/>
  <c r="BY38" i="2"/>
  <c r="DO38" i="2" s="1"/>
  <c r="EJ41" i="2"/>
  <c r="BX38" i="2"/>
  <c r="DN38" i="2" s="1"/>
  <c r="EY34" i="2"/>
  <c r="EY33" i="2" s="1"/>
  <c r="EY37" i="2" s="1"/>
  <c r="CG41" i="2"/>
  <c r="DW41" i="2" s="1"/>
  <c r="BW67" i="2"/>
  <c r="DM67" i="2" s="1"/>
  <c r="CH41" i="2"/>
  <c r="DX41" i="2" s="1"/>
  <c r="CF41" i="2"/>
  <c r="CE9" i="2" l="1"/>
  <c r="DU10" i="2"/>
  <c r="EC41" i="2"/>
  <c r="EC38" i="2" s="1"/>
  <c r="DV41" i="2"/>
  <c r="CD10" i="2"/>
  <c r="EP38" i="2"/>
  <c r="EI67" i="2"/>
  <c r="CG38" i="2"/>
  <c r="DW38" i="2" s="1"/>
  <c r="ES41" i="2"/>
  <c r="BX10" i="2"/>
  <c r="EJ38" i="2"/>
  <c r="BW10" i="2"/>
  <c r="DM10" i="2" s="1"/>
  <c r="EI38" i="2"/>
  <c r="EK38" i="2"/>
  <c r="BY10" i="2"/>
  <c r="CF38" i="2"/>
  <c r="DV38" i="2" s="1"/>
  <c r="ER41" i="2"/>
  <c r="ET41" i="2"/>
  <c r="CH38" i="2"/>
  <c r="DX38" i="2" s="1"/>
  <c r="BX67" i="2"/>
  <c r="DN67" i="2" s="1"/>
  <c r="BW68" i="2"/>
  <c r="DM68" i="2" s="1"/>
  <c r="BX9" i="2" l="1"/>
  <c r="DN10" i="2"/>
  <c r="CD9" i="2"/>
  <c r="DT10" i="2"/>
  <c r="BY9" i="2"/>
  <c r="DO10" i="2"/>
  <c r="ES38" i="2"/>
  <c r="CG10" i="2"/>
  <c r="CH10" i="2"/>
  <c r="ET38" i="2"/>
  <c r="EJ67" i="2"/>
  <c r="I167" i="8" s="1"/>
  <c r="EI68" i="2"/>
  <c r="EY41" i="2"/>
  <c r="EY38" i="2" s="1"/>
  <c r="H167" i="8"/>
  <c r="BW9" i="2"/>
  <c r="CF10" i="2"/>
  <c r="ER38" i="2"/>
  <c r="BX68" i="2"/>
  <c r="CG9" i="2" l="1"/>
  <c r="DW10" i="2"/>
  <c r="EJ68" i="2"/>
  <c r="I168" i="8" s="1"/>
  <c r="DN68" i="2"/>
  <c r="CH9" i="2"/>
  <c r="DX10" i="2"/>
  <c r="CF9" i="2"/>
  <c r="DV10" i="2"/>
  <c r="EC10" i="2"/>
  <c r="EC9" i="2" s="1"/>
  <c r="H168" i="8"/>
  <c r="BY67" i="2" l="1"/>
  <c r="DO67" i="2" s="1"/>
  <c r="EK67" i="2" l="1"/>
  <c r="BY68" i="2"/>
  <c r="DO68" i="2" s="1"/>
  <c r="EK68" i="2" l="1"/>
  <c r="J167" i="8"/>
  <c r="J168" i="8" l="1"/>
  <c r="BZ67" i="2" l="1"/>
  <c r="DP67" i="2" s="1"/>
  <c r="EL67" i="2" l="1"/>
  <c r="BZ68" i="2"/>
  <c r="DP68" i="2" s="1"/>
  <c r="EL68" i="2" l="1"/>
  <c r="K167" i="8"/>
  <c r="CA67" i="2"/>
  <c r="DQ67" i="2" s="1"/>
  <c r="EM67" i="2" l="1"/>
  <c r="K168" i="8"/>
  <c r="CA68" i="2"/>
  <c r="DQ68" i="2" s="1"/>
  <c r="EM68" i="2" l="1"/>
  <c r="L167" i="8"/>
  <c r="L168" i="8" l="1"/>
  <c r="CB67" i="2" l="1"/>
  <c r="DR67" i="2" s="1"/>
  <c r="EN67" i="2" l="1"/>
  <c r="M167" i="8" s="1"/>
  <c r="CB68" i="2"/>
  <c r="EN68" i="2" l="1"/>
  <c r="M168" i="8" s="1"/>
  <c r="DR68" i="2"/>
  <c r="CC67" i="2" l="1"/>
  <c r="DS67" i="2" s="1"/>
  <c r="EO67" i="2" l="1"/>
  <c r="N167" i="8" s="1"/>
  <c r="CC68" i="2"/>
  <c r="EO68" i="2" l="1"/>
  <c r="N168" i="8" s="1"/>
  <c r="DS68" i="2"/>
  <c r="CD67" i="2" l="1"/>
  <c r="DT67" i="2" s="1"/>
  <c r="EP67" i="2" l="1"/>
  <c r="O167" i="8" s="1"/>
  <c r="CD68" i="2"/>
  <c r="EP68" i="2" l="1"/>
  <c r="O168" i="8" s="1"/>
  <c r="DT68" i="2"/>
  <c r="CE67" i="2" l="1"/>
  <c r="DU67" i="2" s="1"/>
  <c r="EQ67" i="2" l="1"/>
  <c r="P167" i="8" s="1"/>
  <c r="CE68" i="2"/>
  <c r="EQ68" i="2" l="1"/>
  <c r="P168" i="8" s="1"/>
  <c r="DU68" i="2"/>
  <c r="CF67" i="2"/>
  <c r="DV67" i="2" s="1"/>
  <c r="ER67" i="2" l="1"/>
  <c r="Q167" i="8" s="1"/>
  <c r="CF68" i="2"/>
  <c r="ER68" i="2" l="1"/>
  <c r="Q168" i="8" s="1"/>
  <c r="DV68" i="2"/>
  <c r="CG67" i="2" l="1"/>
  <c r="DW67" i="2" s="1"/>
  <c r="ES67" i="2" l="1"/>
  <c r="R167" i="8" s="1"/>
  <c r="CG68" i="2"/>
  <c r="ES68" i="2" l="1"/>
  <c r="R168" i="8" s="1"/>
  <c r="DW68" i="2"/>
  <c r="CH67" i="2" l="1"/>
  <c r="DX67" i="2" s="1"/>
  <c r="ET67" i="2" l="1"/>
  <c r="EC67" i="2"/>
  <c r="CH68" i="2"/>
  <c r="DX68" i="2" s="1"/>
  <c r="ET68" i="2" l="1"/>
  <c r="EC68" i="2"/>
  <c r="S167" i="8"/>
  <c r="X167" i="8" s="1"/>
  <c r="EY67" i="2"/>
  <c r="S168" i="8" l="1"/>
  <c r="X168" i="8" s="1"/>
  <c r="EY68" i="2"/>
  <c r="CB71" i="2" l="1"/>
  <c r="DR71" i="2" s="1"/>
  <c r="CH71" i="2"/>
  <c r="DX71" i="2" s="1"/>
  <c r="CE71" i="2"/>
  <c r="DU71" i="2" s="1"/>
  <c r="BX71" i="2"/>
  <c r="DN71" i="2" s="1"/>
  <c r="CD71" i="2"/>
  <c r="DT71" i="2" s="1"/>
  <c r="BZ71" i="2"/>
  <c r="DP71" i="2" s="1"/>
  <c r="CC71" i="2"/>
  <c r="DS71" i="2" s="1"/>
  <c r="BW71" i="2"/>
  <c r="DM71" i="2" s="1"/>
  <c r="EJ71" i="2" l="1"/>
  <c r="I171" i="8" s="1"/>
  <c r="BX58" i="2"/>
  <c r="ET71" i="2"/>
  <c r="S171" i="8" s="1"/>
  <c r="CH58" i="2"/>
  <c r="EP71" i="2"/>
  <c r="O171" i="8" s="1"/>
  <c r="CD58" i="2"/>
  <c r="EN71" i="2"/>
  <c r="M171" i="8" s="1"/>
  <c r="CB58" i="2"/>
  <c r="EO71" i="2"/>
  <c r="N171" i="8" s="1"/>
  <c r="CC58" i="2"/>
  <c r="EQ71" i="2"/>
  <c r="P171" i="8" s="1"/>
  <c r="CE58" i="2"/>
  <c r="EI71" i="2"/>
  <c r="H171" i="8" s="1"/>
  <c r="BW58" i="2"/>
  <c r="EL71" i="2"/>
  <c r="K171" i="8" s="1"/>
  <c r="BZ58" i="2"/>
  <c r="BX32" i="2"/>
  <c r="BW28" i="2"/>
  <c r="DM28" i="2" s="1"/>
  <c r="CA32" i="2"/>
  <c r="BZ28" i="2"/>
  <c r="DP28" i="2" s="1"/>
  <c r="BX55" i="2"/>
  <c r="DN55" i="2" s="1"/>
  <c r="CC55" i="2"/>
  <c r="DS55" i="2" s="1"/>
  <c r="CH72" i="2"/>
  <c r="CH73" i="2"/>
  <c r="CE28" i="2"/>
  <c r="DU28" i="2" s="1"/>
  <c r="BV71" i="2"/>
  <c r="DL71" i="2" s="1"/>
  <c r="BY32" i="2"/>
  <c r="BX28" i="2"/>
  <c r="DN28" i="2" s="1"/>
  <c r="CC72" i="2"/>
  <c r="CC73" i="2"/>
  <c r="CE55" i="2"/>
  <c r="DU55" i="2" s="1"/>
  <c r="CG71" i="2"/>
  <c r="DW71" i="2" s="1"/>
  <c r="CH55" i="2"/>
  <c r="DX55" i="2" s="1"/>
  <c r="CB55" i="2"/>
  <c r="DR55" i="2" s="1"/>
  <c r="CE32" i="2"/>
  <c r="CD28" i="2"/>
  <c r="DT28" i="2" s="1"/>
  <c r="CI71" i="2"/>
  <c r="DY71" i="2" s="1"/>
  <c r="CD32" i="2"/>
  <c r="CC28" i="2"/>
  <c r="DS28" i="2" s="1"/>
  <c r="CD55" i="2"/>
  <c r="DT55" i="2" s="1"/>
  <c r="CH28" i="2"/>
  <c r="DX28" i="2" s="1"/>
  <c r="CC32" i="2"/>
  <c r="CB28" i="2"/>
  <c r="DR28" i="2" s="1"/>
  <c r="BW55" i="2"/>
  <c r="DM55" i="2" s="1"/>
  <c r="CA71" i="2"/>
  <c r="DQ71" i="2" s="1"/>
  <c r="CE72" i="2"/>
  <c r="BZ55" i="2"/>
  <c r="DP55" i="2" s="1"/>
  <c r="CD72" i="2"/>
  <c r="BW72" i="2"/>
  <c r="BW73" i="2"/>
  <c r="CF71" i="2"/>
  <c r="DV71" i="2" s="1"/>
  <c r="EQ58" i="2" l="1"/>
  <c r="DU58" i="2"/>
  <c r="ET73" i="2"/>
  <c r="S173" i="8" s="1"/>
  <c r="S183" i="8" s="1"/>
  <c r="DX73" i="2"/>
  <c r="EO32" i="2"/>
  <c r="DS32" i="2"/>
  <c r="EK32" i="2"/>
  <c r="DO32" i="2"/>
  <c r="EO58" i="2"/>
  <c r="DS58" i="2"/>
  <c r="ET72" i="2"/>
  <c r="S172" i="8" s="1"/>
  <c r="S182" i="8" s="1"/>
  <c r="S181" i="8" s="1"/>
  <c r="DX72" i="2"/>
  <c r="EM32" i="2"/>
  <c r="DQ32" i="2"/>
  <c r="EN58" i="2"/>
  <c r="DR58" i="2"/>
  <c r="EP58" i="2"/>
  <c r="DT58" i="2"/>
  <c r="EP72" i="2"/>
  <c r="O172" i="8" s="1"/>
  <c r="O182" i="8" s="1"/>
  <c r="DT72" i="2"/>
  <c r="EJ32" i="2"/>
  <c r="DN32" i="2"/>
  <c r="EQ32" i="2"/>
  <c r="DU32" i="2"/>
  <c r="EO73" i="2"/>
  <c r="N173" i="8" s="1"/>
  <c r="N183" i="8" s="1"/>
  <c r="DS73" i="2"/>
  <c r="EL58" i="2"/>
  <c r="DP58" i="2"/>
  <c r="ET58" i="2"/>
  <c r="DX58" i="2"/>
  <c r="EP32" i="2"/>
  <c r="DT32" i="2"/>
  <c r="EQ72" i="2"/>
  <c r="P172" i="8" s="1"/>
  <c r="P182" i="8" s="1"/>
  <c r="DU72" i="2"/>
  <c r="EI73" i="2"/>
  <c r="H173" i="8" s="1"/>
  <c r="H183" i="8" s="1"/>
  <c r="DM73" i="2"/>
  <c r="EI72" i="2"/>
  <c r="H172" i="8" s="1"/>
  <c r="H182" i="8" s="1"/>
  <c r="DM72" i="2"/>
  <c r="EO72" i="2"/>
  <c r="N172" i="8" s="1"/>
  <c r="N182" i="8" s="1"/>
  <c r="DS72" i="2"/>
  <c r="EI58" i="2"/>
  <c r="DM58" i="2"/>
  <c r="EJ58" i="2"/>
  <c r="DN58" i="2"/>
  <c r="EL28" i="2"/>
  <c r="BZ23" i="2"/>
  <c r="H181" i="8"/>
  <c r="ES71" i="2"/>
  <c r="R171" i="8" s="1"/>
  <c r="CG58" i="2"/>
  <c r="EH71" i="2"/>
  <c r="BV58" i="2"/>
  <c r="EO28" i="2"/>
  <c r="CC23" i="2"/>
  <c r="BX73" i="2"/>
  <c r="BX72" i="2"/>
  <c r="EI28" i="2"/>
  <c r="BW23" i="2"/>
  <c r="EP55" i="2"/>
  <c r="CD50" i="2"/>
  <c r="DT50" i="2" s="1"/>
  <c r="CD73" i="2"/>
  <c r="EM71" i="2"/>
  <c r="L171" i="8" s="1"/>
  <c r="CA58" i="2"/>
  <c r="EP28" i="2"/>
  <c r="CD23" i="2"/>
  <c r="EO55" i="2"/>
  <c r="CC50" i="2"/>
  <c r="DS50" i="2" s="1"/>
  <c r="CB73" i="2"/>
  <c r="CB72" i="2"/>
  <c r="EQ55" i="2"/>
  <c r="CE50" i="2"/>
  <c r="DU50" i="2" s="1"/>
  <c r="EQ28" i="2"/>
  <c r="CE23" i="2"/>
  <c r="EJ55" i="2"/>
  <c r="BX50" i="2"/>
  <c r="DN50" i="2" s="1"/>
  <c r="EU71" i="2"/>
  <c r="T171" i="8" s="1"/>
  <c r="CI58" i="2"/>
  <c r="EN55" i="2"/>
  <c r="CB50" i="2"/>
  <c r="DR50" i="2" s="1"/>
  <c r="ER71" i="2"/>
  <c r="Q171" i="8" s="1"/>
  <c r="CF58" i="2"/>
  <c r="EI55" i="2"/>
  <c r="BW50" i="2"/>
  <c r="DM50" i="2" s="1"/>
  <c r="N181" i="8"/>
  <c r="EL55" i="2"/>
  <c r="BZ50" i="2"/>
  <c r="DP50" i="2" s="1"/>
  <c r="BZ73" i="2"/>
  <c r="BZ72" i="2"/>
  <c r="CE73" i="2"/>
  <c r="EN28" i="2"/>
  <c r="CB23" i="2"/>
  <c r="ET28" i="2"/>
  <c r="CH23" i="2"/>
  <c r="ET55" i="2"/>
  <c r="CH50" i="2"/>
  <c r="DX50" i="2" s="1"/>
  <c r="EJ28" i="2"/>
  <c r="BX23" i="2"/>
  <c r="CA72" i="2"/>
  <c r="CA73" i="2"/>
  <c r="CB32" i="2"/>
  <c r="CA28" i="2"/>
  <c r="DQ28" i="2" s="1"/>
  <c r="CI55" i="2"/>
  <c r="DY55" i="2" s="1"/>
  <c r="CA55" i="2"/>
  <c r="DQ55" i="2" s="1"/>
  <c r="CF28" i="2"/>
  <c r="DV28" i="2" s="1"/>
  <c r="BV55" i="2"/>
  <c r="DL55" i="2" s="1"/>
  <c r="CG72" i="2"/>
  <c r="CF55" i="2"/>
  <c r="DV55" i="2" s="1"/>
  <c r="CI28" i="2"/>
  <c r="DY28" i="2" s="1"/>
  <c r="CG55" i="2"/>
  <c r="DW55" i="2" s="1"/>
  <c r="CG28" i="2"/>
  <c r="DW28" i="2" s="1"/>
  <c r="BV28" i="2"/>
  <c r="DL28" i="2" s="1"/>
  <c r="EI23" i="2" l="1"/>
  <c r="DM23" i="2"/>
  <c r="EL23" i="2"/>
  <c r="DP23" i="2"/>
  <c r="ET23" i="2"/>
  <c r="DX23" i="2"/>
  <c r="ER58" i="2"/>
  <c r="DV58" i="2"/>
  <c r="EN72" i="2"/>
  <c r="M172" i="8" s="1"/>
  <c r="M182" i="8" s="1"/>
  <c r="M181" i="8" s="1"/>
  <c r="DR72" i="2"/>
  <c r="EN73" i="2"/>
  <c r="M173" i="8" s="1"/>
  <c r="M183" i="8" s="1"/>
  <c r="DR73" i="2"/>
  <c r="EJ72" i="2"/>
  <c r="I172" i="8" s="1"/>
  <c r="I182" i="8" s="1"/>
  <c r="DN72" i="2"/>
  <c r="EN32" i="2"/>
  <c r="DR32" i="2"/>
  <c r="EN23" i="2"/>
  <c r="DR23" i="2"/>
  <c r="EJ73" i="2"/>
  <c r="I173" i="8" s="1"/>
  <c r="I183" i="8" s="1"/>
  <c r="DN73" i="2"/>
  <c r="EO23" i="2"/>
  <c r="DS23" i="2"/>
  <c r="ES72" i="2"/>
  <c r="R172" i="8" s="1"/>
  <c r="R182" i="8" s="1"/>
  <c r="DW72" i="2"/>
  <c r="EQ73" i="2"/>
  <c r="P173" i="8" s="1"/>
  <c r="P183" i="8" s="1"/>
  <c r="P181" i="8" s="1"/>
  <c r="DU73" i="2"/>
  <c r="EU58" i="2"/>
  <c r="DY58" i="2"/>
  <c r="EP23" i="2"/>
  <c r="DT23" i="2"/>
  <c r="EL72" i="2"/>
  <c r="K172" i="8" s="1"/>
  <c r="K182" i="8" s="1"/>
  <c r="K181" i="8" s="1"/>
  <c r="DP72" i="2"/>
  <c r="EM73" i="2"/>
  <c r="L173" i="8" s="1"/>
  <c r="L183" i="8" s="1"/>
  <c r="DQ73" i="2"/>
  <c r="EL73" i="2"/>
  <c r="K173" i="8" s="1"/>
  <c r="K183" i="8" s="1"/>
  <c r="DP73" i="2"/>
  <c r="EM58" i="2"/>
  <c r="DQ58" i="2"/>
  <c r="EH58" i="2"/>
  <c r="DL58" i="2"/>
  <c r="EM72" i="2"/>
  <c r="L172" i="8" s="1"/>
  <c r="L182" i="8" s="1"/>
  <c r="L181" i="8" s="1"/>
  <c r="DQ72" i="2"/>
  <c r="EJ23" i="2"/>
  <c r="DN23" i="2"/>
  <c r="EQ23" i="2"/>
  <c r="DU23" i="2"/>
  <c r="EP73" i="2"/>
  <c r="O173" i="8" s="1"/>
  <c r="O183" i="8" s="1"/>
  <c r="O181" i="8" s="1"/>
  <c r="DT73" i="2"/>
  <c r="ES58" i="2"/>
  <c r="DW58" i="2"/>
  <c r="ER55" i="2"/>
  <c r="CF50" i="2"/>
  <c r="DV50" i="2" s="1"/>
  <c r="CI73" i="2"/>
  <c r="CI72" i="2"/>
  <c r="EJ50" i="2"/>
  <c r="BX42" i="2"/>
  <c r="CF23" i="2"/>
  <c r="ER28" i="2"/>
  <c r="BV73" i="2"/>
  <c r="DL73" i="2" s="1"/>
  <c r="BV72" i="2"/>
  <c r="DL72" i="2" s="1"/>
  <c r="EL50" i="2"/>
  <c r="BZ42" i="2"/>
  <c r="G171" i="8"/>
  <c r="EP50" i="2"/>
  <c r="CD42" i="2"/>
  <c r="ET50" i="2"/>
  <c r="CH42" i="2"/>
  <c r="EI50" i="2"/>
  <c r="BW42" i="2"/>
  <c r="EQ50" i="2"/>
  <c r="CE42" i="2"/>
  <c r="EM55" i="2"/>
  <c r="CA50" i="2"/>
  <c r="DQ50" i="2" s="1"/>
  <c r="CI23" i="2"/>
  <c r="EU28" i="2"/>
  <c r="EH28" i="2"/>
  <c r="BV23" i="2"/>
  <c r="DL23" i="2" s="1"/>
  <c r="EH55" i="2"/>
  <c r="BV50" i="2"/>
  <c r="DL50" i="2" s="1"/>
  <c r="EM28" i="2"/>
  <c r="CA23" i="2"/>
  <c r="CF73" i="2"/>
  <c r="CF72" i="2"/>
  <c r="CG73" i="2"/>
  <c r="ES55" i="2"/>
  <c r="CG50" i="2"/>
  <c r="DW50" i="2" s="1"/>
  <c r="CG23" i="2"/>
  <c r="ES28" i="2"/>
  <c r="EU55" i="2"/>
  <c r="CI50" i="2"/>
  <c r="DY50" i="2" s="1"/>
  <c r="EN50" i="2"/>
  <c r="CB42" i="2"/>
  <c r="EO50" i="2"/>
  <c r="CC42" i="2"/>
  <c r="I181" i="8"/>
  <c r="BZ31" i="2"/>
  <c r="BW32" i="2"/>
  <c r="DM32" i="2" s="1"/>
  <c r="CC31" i="2"/>
  <c r="CE31" i="2"/>
  <c r="BW31" i="2"/>
  <c r="BX31" i="2"/>
  <c r="CB31" i="2"/>
  <c r="CD31" i="2"/>
  <c r="CH31" i="2"/>
  <c r="EJ31" i="2" l="1"/>
  <c r="DN31" i="2"/>
  <c r="EN42" i="2"/>
  <c r="DR42" i="2"/>
  <c r="ER73" i="2"/>
  <c r="Q173" i="8" s="1"/>
  <c r="Q183" i="8" s="1"/>
  <c r="DV73" i="2"/>
  <c r="ER23" i="2"/>
  <c r="DV23" i="2"/>
  <c r="ET42" i="2"/>
  <c r="DX42" i="2"/>
  <c r="EJ42" i="2"/>
  <c r="DN42" i="2"/>
  <c r="EO31" i="2"/>
  <c r="DS31" i="2"/>
  <c r="EL31" i="2"/>
  <c r="DP31" i="2"/>
  <c r="EP42" i="2"/>
  <c r="DT42" i="2"/>
  <c r="EU72" i="2"/>
  <c r="T172" i="8" s="1"/>
  <c r="T182" i="8" s="1"/>
  <c r="T181" i="8" s="1"/>
  <c r="DY72" i="2"/>
  <c r="EN31" i="2"/>
  <c r="DR31" i="2"/>
  <c r="ES23" i="2"/>
  <c r="DW23" i="2"/>
  <c r="EU73" i="2"/>
  <c r="T173" i="8" s="1"/>
  <c r="T183" i="8" s="1"/>
  <c r="DY73" i="2"/>
  <c r="EI42" i="2"/>
  <c r="DM42" i="2"/>
  <c r="EQ31" i="2"/>
  <c r="DU31" i="2"/>
  <c r="EM23" i="2"/>
  <c r="DQ23" i="2"/>
  <c r="ET31" i="2"/>
  <c r="DX31" i="2"/>
  <c r="EU23" i="2"/>
  <c r="DY23" i="2"/>
  <c r="EL42" i="2"/>
  <c r="DP42" i="2"/>
  <c r="EI31" i="2"/>
  <c r="DM31" i="2"/>
  <c r="ES73" i="2"/>
  <c r="R173" i="8" s="1"/>
  <c r="R183" i="8" s="1"/>
  <c r="R181" i="8" s="1"/>
  <c r="DW73" i="2"/>
  <c r="EO42" i="2"/>
  <c r="DS42" i="2"/>
  <c r="EP31" i="2"/>
  <c r="DT31" i="2"/>
  <c r="ER72" i="2"/>
  <c r="Q172" i="8" s="1"/>
  <c r="Q182" i="8" s="1"/>
  <c r="Q181" i="8" s="1"/>
  <c r="DV72" i="2"/>
  <c r="EQ42" i="2"/>
  <c r="DU42" i="2"/>
  <c r="EH23" i="2"/>
  <c r="EU50" i="2"/>
  <c r="CI42" i="2"/>
  <c r="EH73" i="2"/>
  <c r="ES50" i="2"/>
  <c r="CG42" i="2"/>
  <c r="EH50" i="2"/>
  <c r="BV42" i="2"/>
  <c r="EH72" i="2"/>
  <c r="EI32" i="2"/>
  <c r="EM50" i="2"/>
  <c r="CA42" i="2"/>
  <c r="ER50" i="2"/>
  <c r="CF42" i="2"/>
  <c r="BV31" i="2"/>
  <c r="DL31" i="2" s="1"/>
  <c r="CI31" i="2"/>
  <c r="CG31" i="2"/>
  <c r="CF31" i="2"/>
  <c r="CA31" i="2"/>
  <c r="ES42" i="2" l="1"/>
  <c r="DW42" i="2"/>
  <c r="EU31" i="2"/>
  <c r="DY31" i="2"/>
  <c r="EH42" i="2"/>
  <c r="DL42" i="2"/>
  <c r="EU42" i="2"/>
  <c r="DY42" i="2"/>
  <c r="ES31" i="2"/>
  <c r="DW31" i="2"/>
  <c r="EM42" i="2"/>
  <c r="DQ42" i="2"/>
  <c r="ER31" i="2"/>
  <c r="DV31" i="2"/>
  <c r="ER42" i="2"/>
  <c r="DV42" i="2"/>
  <c r="EM31" i="2"/>
  <c r="DQ31" i="2"/>
  <c r="EH31" i="2"/>
  <c r="G173" i="8"/>
  <c r="G172" i="8"/>
  <c r="G182" i="8" l="1"/>
  <c r="G183" i="8"/>
  <c r="G181" i="8" l="1"/>
  <c r="BY71" i="2" l="1"/>
  <c r="DO71" i="2" s="1"/>
  <c r="EK71" i="2" l="1"/>
  <c r="BY58" i="2"/>
  <c r="EC71" i="2"/>
  <c r="EC58" i="2" s="1"/>
  <c r="BY55" i="2"/>
  <c r="DO55" i="2" s="1"/>
  <c r="BY28" i="2"/>
  <c r="DO28" i="2" s="1"/>
  <c r="EK58" i="2" l="1"/>
  <c r="DO58" i="2"/>
  <c r="EK55" i="2"/>
  <c r="EY55" i="2" s="1"/>
  <c r="BY50" i="2"/>
  <c r="DO50" i="2" s="1"/>
  <c r="EC55" i="2"/>
  <c r="BY73" i="2"/>
  <c r="DO73" i="2" s="1"/>
  <c r="BY72" i="2"/>
  <c r="DO72" i="2" s="1"/>
  <c r="EK28" i="2"/>
  <c r="EY28" i="2" s="1"/>
  <c r="BY23" i="2"/>
  <c r="DO23" i="2" s="1"/>
  <c r="EC28" i="2"/>
  <c r="J171" i="8"/>
  <c r="X171" i="8" s="1"/>
  <c r="EY71" i="2"/>
  <c r="EY58" i="2" s="1"/>
  <c r="BZ32" i="2"/>
  <c r="DP32" i="2" s="1"/>
  <c r="EK23" i="2" l="1"/>
  <c r="EY23" i="2" s="1"/>
  <c r="EC23" i="2"/>
  <c r="EL32" i="2"/>
  <c r="EK72" i="2"/>
  <c r="EC72" i="2"/>
  <c r="EK73" i="2"/>
  <c r="EC73" i="2"/>
  <c r="EK50" i="2"/>
  <c r="EY50" i="2" s="1"/>
  <c r="EY42" i="2" s="1"/>
  <c r="BY42" i="2"/>
  <c r="EC50" i="2"/>
  <c r="EC42" i="2" s="1"/>
  <c r="CF32" i="2"/>
  <c r="BY31" i="2"/>
  <c r="DO31" i="2" s="1"/>
  <c r="EK42" i="2" l="1"/>
  <c r="DO42" i="2"/>
  <c r="ER32" i="2"/>
  <c r="DV32" i="2"/>
  <c r="EK31" i="2"/>
  <c r="EY31" i="2" s="1"/>
  <c r="EC31" i="2"/>
  <c r="J173" i="8"/>
  <c r="EY73" i="2"/>
  <c r="J172" i="8"/>
  <c r="EY72" i="2"/>
  <c r="EC32" i="2"/>
  <c r="EY32" i="2"/>
  <c r="J182" i="8" l="1"/>
  <c r="X172" i="8"/>
  <c r="J183" i="8"/>
  <c r="X183" i="8" s="1"/>
  <c r="X173" i="8"/>
  <c r="X182" i="8" l="1"/>
  <c r="J181" i="8"/>
  <c r="X181" i="8" s="1"/>
</calcChain>
</file>

<file path=xl/sharedStrings.xml><?xml version="1.0" encoding="utf-8"?>
<sst xmlns="http://schemas.openxmlformats.org/spreadsheetml/2006/main" count="1425" uniqueCount="291">
  <si>
    <t>Индикаторы деятельности вузов</t>
  </si>
  <si>
    <t>Сценарий 1</t>
  </si>
  <si>
    <t>Сценарий 2</t>
  </si>
  <si>
    <t>Дельта (сценарий 2 - сценарий 1)</t>
  </si>
  <si>
    <t>№
п/п</t>
  </si>
  <si>
    <t>Наименование показателей</t>
  </si>
  <si>
    <t xml:space="preserve">ед. </t>
  </si>
  <si>
    <t>факт</t>
  </si>
  <si>
    <t>план</t>
  </si>
  <si>
    <t>Финансовые показатели</t>
  </si>
  <si>
    <t>тыс.руб.</t>
  </si>
  <si>
    <t>Образование</t>
  </si>
  <si>
    <t>Доходы</t>
  </si>
  <si>
    <t>тыс. руб.</t>
  </si>
  <si>
    <t>Переменные расходы (ФОТ основного персонала, матзапасы, НМА, соисполнители)</t>
  </si>
  <si>
    <t>Инвестиционные расходы (включая приобретение основных средств)</t>
  </si>
  <si>
    <t>Наука</t>
  </si>
  <si>
    <t>Потребность в дофинансировании (базовая)</t>
  </si>
  <si>
    <t>Потребность в дофинансировании на ввод в эксплуатацию и оснащение (фин.результат)</t>
  </si>
  <si>
    <t>за счет федерального бюджета</t>
  </si>
  <si>
    <t>за счет регионального и местного бюджета</t>
  </si>
  <si>
    <t>за счет средств приносящей доход деятельности</t>
  </si>
  <si>
    <t>Потребность в дофинансировании содержания имущества и операционной деятельности (фин.результат)</t>
  </si>
  <si>
    <t>Положительный денежный поток от деятельности университета</t>
  </si>
  <si>
    <t>Доходы (по источникам финансирования)</t>
  </si>
  <si>
    <t>Приносящая доход деятельность</t>
  </si>
  <si>
    <t>Целевые средства</t>
  </si>
  <si>
    <t>Субсидии на госзадание</t>
  </si>
  <si>
    <t>Доля внебюжетных доходов в общем объеме доходов</t>
  </si>
  <si>
    <t>%</t>
  </si>
  <si>
    <t>Доходы (по видам деятельности)</t>
  </si>
  <si>
    <t>Прочая деятельность</t>
  </si>
  <si>
    <t xml:space="preserve">1. Условно-переменные затраты </t>
  </si>
  <si>
    <t>ФОТ образование</t>
  </si>
  <si>
    <t xml:space="preserve">ФОТ наука </t>
  </si>
  <si>
    <t>Материальные запасы</t>
  </si>
  <si>
    <t>Нематериальные активы</t>
  </si>
  <si>
    <t>Социальное обеспечение (включая стипендию)</t>
  </si>
  <si>
    <t>Прочие прямые расходы (включая соисполнителей)</t>
  </si>
  <si>
    <t>2. Условно-постоянные затраты</t>
  </si>
  <si>
    <t>ФОТ персонала</t>
  </si>
  <si>
    <t>Оплата работ, услуг (связь, транспортные услуги, прочие услуги)</t>
  </si>
  <si>
    <t>Коммунальные услуги и содержание имущества</t>
  </si>
  <si>
    <t>Аренда имущества</t>
  </si>
  <si>
    <t>Налоги</t>
  </si>
  <si>
    <t>Поступление нефинансовых активов (НМА, матзапасы)</t>
  </si>
  <si>
    <t>3. Инвестиционные расходы (приобритение нефинансовых активов, включая основные средства)</t>
  </si>
  <si>
    <t>Налог на землю</t>
  </si>
  <si>
    <t>Налог на имущество</t>
  </si>
  <si>
    <t>НДС</t>
  </si>
  <si>
    <t>Прочие налоги, отчисления</t>
  </si>
  <si>
    <t>Среднемесячная зарплата</t>
  </si>
  <si>
    <t>Среднемесячная зарплата НПР</t>
  </si>
  <si>
    <t>руб.</t>
  </si>
  <si>
    <t>Среднемесячная зарплата ППС</t>
  </si>
  <si>
    <t>Среднемесячная зарплата НР</t>
  </si>
  <si>
    <t>Фонд оплаты труда ППС</t>
  </si>
  <si>
    <t>Фонд оплаты труда НР</t>
  </si>
  <si>
    <t>Среднесписочная численность ППС</t>
  </si>
  <si>
    <t>чел.</t>
  </si>
  <si>
    <t>Нефинансовые показатели</t>
  </si>
  <si>
    <t>Численность обучающихся</t>
  </si>
  <si>
    <t>Численность обучающихся ВО</t>
  </si>
  <si>
    <t>Численность обучающихся СПО</t>
  </si>
  <si>
    <t>Количество студентов ВО на 1 ППС</t>
  </si>
  <si>
    <t>Количество преподавателей</t>
  </si>
  <si>
    <t>Количество ППС (ВО, ДО)</t>
  </si>
  <si>
    <t>Количество преподавателей СПО</t>
  </si>
  <si>
    <t>Количество педагогических работников ОО, ПО</t>
  </si>
  <si>
    <t>Количество НР</t>
  </si>
  <si>
    <t>Количество обеспечивающего персонала</t>
  </si>
  <si>
    <t>Инфраструктура</t>
  </si>
  <si>
    <t>Общая площадь учреждения</t>
  </si>
  <si>
    <t>кв.м</t>
  </si>
  <si>
    <t>Учебная площадь</t>
  </si>
  <si>
    <t>из них, площадь крытых спортивных сооружений</t>
  </si>
  <si>
    <t>Научно-лабораторный комплекс</t>
  </si>
  <si>
    <t>Общежития</t>
  </si>
  <si>
    <t>Прочие площади</t>
  </si>
  <si>
    <t>их них, арендованная площадь</t>
  </si>
  <si>
    <t>Данные для модели кампуса</t>
  </si>
  <si>
    <t>Доля НДС к возмещению на облагаемые виды деятельности</t>
  </si>
  <si>
    <t>Индикаторы деятельности (разница сценариев)</t>
  </si>
  <si>
    <t>ОБРАЗОВАНИЕ</t>
  </si>
  <si>
    <t>Доходы без рекомендаций</t>
  </si>
  <si>
    <t>Точка безубыточности (количество внебюджетных студентов)</t>
  </si>
  <si>
    <t>Повышение доходов</t>
  </si>
  <si>
    <t>Цена</t>
  </si>
  <si>
    <t>Контингент</t>
  </si>
  <si>
    <t>Расходы без оптимизации</t>
  </si>
  <si>
    <t>Оптимизация расходов (льготы по налогам)</t>
  </si>
  <si>
    <t>Финансовый результат без рекомендаций</t>
  </si>
  <si>
    <t>Финансовый результат с учетом рекомендаций</t>
  </si>
  <si>
    <t>НАУКА</t>
  </si>
  <si>
    <t>Загрузка</t>
  </si>
  <si>
    <t>Рентабельность</t>
  </si>
  <si>
    <t>МЕРОПРИЯТИЯ</t>
  </si>
  <si>
    <t>Постоянные расходы</t>
  </si>
  <si>
    <t>Страховые взносы на ФОТ</t>
  </si>
  <si>
    <t>Земельный налог</t>
  </si>
  <si>
    <t>Коммунальные расходы</t>
  </si>
  <si>
    <t>Уборка и санитарное обслуживание</t>
  </si>
  <si>
    <t>Охрана и безопасность</t>
  </si>
  <si>
    <t>Обслуживание ИТ-инфраструктуры</t>
  </si>
  <si>
    <t>Обслуживание инженерно-технических систем</t>
  </si>
  <si>
    <t>Прочие расходы на содержание</t>
  </si>
  <si>
    <t>Прочие расходы</t>
  </si>
  <si>
    <t>Налог на прибыль</t>
  </si>
  <si>
    <t>Постоянные расходы, 
     в т.ч. по объектам:</t>
  </si>
  <si>
    <t>Стоимость содержания 1 кв м:</t>
  </si>
  <si>
    <t>Постоянные расходы, в т.ч. по направлениям расходов:</t>
  </si>
  <si>
    <t>Прочие виды деятельности</t>
  </si>
  <si>
    <t>Расходы, в т.ч.:</t>
  </si>
  <si>
    <t>Переменные</t>
  </si>
  <si>
    <t>Постоянные, в т.ч. по направлениям расходов:</t>
  </si>
  <si>
    <t>Постоянные, в т.ч. по объектам:</t>
  </si>
  <si>
    <t>Общежития (финансовый результат)</t>
  </si>
  <si>
    <t>Гостиницы (финансовый результат)</t>
  </si>
  <si>
    <t>Проведение мероприятий (финансовый результат)</t>
  </si>
  <si>
    <t>Управление спортивной инфраструктурой  (финансовый результат)</t>
  </si>
  <si>
    <t>Медицинские услуги (финансовый результат)</t>
  </si>
  <si>
    <t>Наименование объекта / группы объектов 22</t>
  </si>
  <si>
    <t>Наименование объекта / группы объектов 23</t>
  </si>
  <si>
    <t>Наименование объекта / группы объектов 24</t>
  </si>
  <si>
    <t>Наименование объекта / группы объектов 25</t>
  </si>
  <si>
    <t>Постоянные расходы (кампус)</t>
  </si>
  <si>
    <t>ПОСТОЯННЫЕ РАСХОДЫ ПО ВСЕМ ВИДАМ ДЕЯТЕЛЬНОСТИ</t>
  </si>
  <si>
    <t>ФИНАНСОВЫЙ РЕЗУЛЬТАТ КАМПУСА (интегрированный)</t>
  </si>
  <si>
    <t>Управление объектами спортивной инфраструктуры</t>
  </si>
  <si>
    <t>31</t>
  </si>
  <si>
    <t>Деятельность по проведению мероприятий</t>
  </si>
  <si>
    <t>30</t>
  </si>
  <si>
    <t>Управление объектами размещенния (гостиницы, общежития)</t>
  </si>
  <si>
    <t>29</t>
  </si>
  <si>
    <t>Торговля</t>
  </si>
  <si>
    <t>28</t>
  </si>
  <si>
    <t>Оказание услуг питания</t>
  </si>
  <si>
    <t>27</t>
  </si>
  <si>
    <t>Виды иной коммерческой деятельности</t>
  </si>
  <si>
    <t>26</t>
  </si>
  <si>
    <t>Использование для ведения иной коммерческой деятельности</t>
  </si>
  <si>
    <t>Сдача в аренду</t>
  </si>
  <si>
    <t>Использование и содержание головным ВУЗом</t>
  </si>
  <si>
    <t>23</t>
  </si>
  <si>
    <t>Распределение иной полезной площади</t>
  </si>
  <si>
    <t>22</t>
  </si>
  <si>
    <t>прочие площади</t>
  </si>
  <si>
    <t>места общего пользования</t>
  </si>
  <si>
    <t>паркинги и стоянки</t>
  </si>
  <si>
    <t>коммерческие площади свободного назначения</t>
  </si>
  <si>
    <t>площади для размещения объектов проживания</t>
  </si>
  <si>
    <t>площади спортивных объектов</t>
  </si>
  <si>
    <t>площади для размещения пунктов питания</t>
  </si>
  <si>
    <t>площади для размещения объектов здравоохранения</t>
  </si>
  <si>
    <t>производственные площади</t>
  </si>
  <si>
    <t>переговорные, коворкинги, конференц-залы</t>
  </si>
  <si>
    <t>офисные площади</t>
  </si>
  <si>
    <t>лабораторные площади</t>
  </si>
  <si>
    <t>учебные площади</t>
  </si>
  <si>
    <t>Общая площадь зданий и сооружений</t>
  </si>
  <si>
    <t>Общая площадь территорий</t>
  </si>
  <si>
    <t>Срок сдачи в эксплуатацию</t>
  </si>
  <si>
    <t>Общие сведения</t>
  </si>
  <si>
    <t>Параметры кампуса</t>
  </si>
  <si>
    <t>1</t>
  </si>
  <si>
    <t>Значение</t>
  </si>
  <si>
    <t>Наименование</t>
  </si>
  <si>
    <t>Общие характеристики</t>
  </si>
  <si>
    <t>Отчет о движении денежных средств</t>
  </si>
  <si>
    <t>20</t>
  </si>
  <si>
    <t>21</t>
  </si>
  <si>
    <t>Прочая основная деятельность</t>
  </si>
  <si>
    <t>Аренда (финансовый результат)</t>
  </si>
  <si>
    <t>Общий Опер Рез без рекомендаций</t>
  </si>
  <si>
    <t>Общий Опер Рез после рекомендаций</t>
  </si>
  <si>
    <t>Дельта переменных расходов по образованию между С2 и С1 (кампус)</t>
  </si>
  <si>
    <t>Постоянные из вуза</t>
  </si>
  <si>
    <t>Кол-во обучающихся</t>
  </si>
  <si>
    <t>Перем Расх на 1 обучающегося на кампусе</t>
  </si>
  <si>
    <t>Полные расходы на кампусе</t>
  </si>
  <si>
    <t>Доход без рекомендаций</t>
  </si>
  <si>
    <t>Дефицит</t>
  </si>
  <si>
    <t>Новое кол-во студентов (для точки безубыточности)</t>
  </si>
  <si>
    <t>Новые переменные расходы</t>
  </si>
  <si>
    <t>Новый отток</t>
  </si>
  <si>
    <t>Полученный приток</t>
  </si>
  <si>
    <t>Новая дельта</t>
  </si>
  <si>
    <t>Кол-во студентов (макс)</t>
  </si>
  <si>
    <t>Новая отток</t>
  </si>
  <si>
    <t xml:space="preserve">Новый приток </t>
  </si>
  <si>
    <t xml:space="preserve">Новая дельта </t>
  </si>
  <si>
    <t>Средняя стоимость обучения для точки безубыточности при заданном максимальном количестве обучающихся студентов</t>
  </si>
  <si>
    <t>Доходы с рекомендациями</t>
  </si>
  <si>
    <t>Налог на имущество (расчет доли)</t>
  </si>
  <si>
    <t>Сумма</t>
  </si>
  <si>
    <t>Соотношение переменных расходов</t>
  </si>
  <si>
    <t>переменные</t>
  </si>
  <si>
    <t>постоянные</t>
  </si>
  <si>
    <t>АРЕНДА</t>
  </si>
  <si>
    <t xml:space="preserve">Корреляция "Кампус" </t>
  </si>
  <si>
    <t>ОБЩЕЖИТИЯ</t>
  </si>
  <si>
    <t xml:space="preserve">Повышение доходов </t>
  </si>
  <si>
    <t>ГОСТИНИЦЫ</t>
  </si>
  <si>
    <t xml:space="preserve">УПРАВЛЕНИЕ СПОРТИВНОЙ ИНФРАСТРУКТУРОЙ </t>
  </si>
  <si>
    <t>МЕДИЦИНСКИЕ УСЛУГИ</t>
  </si>
  <si>
    <t>Влияние видов деятельности на Фин Рез</t>
  </si>
  <si>
    <t>Зав Дох</t>
  </si>
  <si>
    <t>Доля в ФР</t>
  </si>
  <si>
    <t>в том числе по уровням бюджета: 
федеральный бюджет</t>
  </si>
  <si>
    <t>региональный бюджет</t>
  </si>
  <si>
    <t>местный бюджет</t>
  </si>
  <si>
    <t>Налог на доходы физических лиц</t>
  </si>
  <si>
    <t>Страховые взносы</t>
  </si>
  <si>
    <t>Расчетный НР исходя из выроботки на 1 ед.</t>
  </si>
  <si>
    <t>Прием на первый курс</t>
  </si>
  <si>
    <t>Итого увеличени отчислений в бюджеты РФ</t>
  </si>
  <si>
    <t>Итого льготы по налогу на имущество и землю</t>
  </si>
  <si>
    <t>Налоговые последствия появления кампуса</t>
  </si>
  <si>
    <t>Дополнительное финансирование направленное на</t>
  </si>
  <si>
    <t>Коэффициент платной деятельности</t>
  </si>
  <si>
    <t>Имущественные налоги (имущество и земля)</t>
  </si>
  <si>
    <t>Расходы на содержание</t>
  </si>
  <si>
    <t>С учетом КПД</t>
  </si>
  <si>
    <t>Расчет дефицита финансовых средств</t>
  </si>
  <si>
    <t>Расходы с рекомендациями</t>
  </si>
  <si>
    <t xml:space="preserve">Расходы с учетом рекомендаций </t>
  </si>
  <si>
    <t>Количество НПР с рекомендациями</t>
  </si>
  <si>
    <t>переменные с рекомендациями</t>
  </si>
  <si>
    <t>Доход на 1 НПР</t>
  </si>
  <si>
    <t>Количество НПР</t>
  </si>
  <si>
    <t>Доходы на 1 НПР</t>
  </si>
  <si>
    <t>Переменные на 1 НПР</t>
  </si>
  <si>
    <t>Расчет диаграммы эластичности</t>
  </si>
  <si>
    <t>Контингент на 2034 год</t>
  </si>
  <si>
    <t>Численность НПР на 2034 год</t>
  </si>
  <si>
    <t>Выручка на студента Сцен2</t>
  </si>
  <si>
    <t>Выручка на 1 студента</t>
  </si>
  <si>
    <t>Выручка на 1 НПР, млн. руб</t>
  </si>
  <si>
    <t>Выручка на 1 студента, тыс. руб (медиана)</t>
  </si>
  <si>
    <t>Операционный ФР кампуса с рекомендациями</t>
  </si>
  <si>
    <t>Рост инвесиционных расходов вуза из-за Кампуса</t>
  </si>
  <si>
    <t>Итого Дефицит финансов с рекомендациями</t>
  </si>
  <si>
    <t>Итого возможное доп финансирование</t>
  </si>
  <si>
    <t>Рост выручки на 1 студента</t>
  </si>
  <si>
    <t>Сумма повышения за счет роста выручки  на 1 студента</t>
  </si>
  <si>
    <t>Сумма повышения за счет роста контингента</t>
  </si>
  <si>
    <t xml:space="preserve">Операционный ФР кампуса </t>
  </si>
  <si>
    <t>Переменные расходы (деятельность на кампусе)</t>
  </si>
  <si>
    <t>в т.ч. Налоги на имущество и землю</t>
  </si>
  <si>
    <t>Доходы (деятельность на кампусе)</t>
  </si>
  <si>
    <t>Итого Дефицит финансов без рекомендаций</t>
  </si>
  <si>
    <t>Нарастающим итогом</t>
  </si>
  <si>
    <t>Сумма ОФР с рекоменд+Инвест расходы (накопит)</t>
  </si>
  <si>
    <t>Прирост доходов</t>
  </si>
  <si>
    <t>Прирост расходов, в т.ч.:</t>
  </si>
  <si>
    <t>Переменные расходы</t>
  </si>
  <si>
    <r>
      <t>Постоянные расходы</t>
    </r>
    <r>
      <rPr>
        <sz val="10"/>
        <color rgb="FF0F2C68"/>
        <rFont val="HSE Sans"/>
        <family val="3"/>
      </rPr>
      <t>, в т.ч.:</t>
    </r>
  </si>
  <si>
    <t>Налоги на имущество организаций и землю</t>
  </si>
  <si>
    <t>Рекомендации</t>
  </si>
  <si>
    <t>Операционный финансовый результат кампуса (дефицит средств)</t>
  </si>
  <si>
    <t>Операционный финансовый результат кампуса (с учетом рекомендаций)</t>
  </si>
  <si>
    <t>Операционный финансовый результат кампуса (с учетом рекомендаций) нарастающим итогом</t>
  </si>
  <si>
    <t>Инвестиционные расходы вуза, связанные с созданием Кампуса, в т.ч.:</t>
  </si>
  <si>
    <t>Операционный финансовый результат с учетом рекомендаций + Инвестиционные расходы  нарастающим итогом</t>
  </si>
  <si>
    <t>Для презентации:</t>
  </si>
  <si>
    <t>Итого за период 2026-2042 гг</t>
  </si>
  <si>
    <t>Наименование объекта / группы объектов 6</t>
  </si>
  <si>
    <t>Наименование объекта / группы объектов 7</t>
  </si>
  <si>
    <t>Наименование объекта / группы объектов 8</t>
  </si>
  <si>
    <t>Наименование объекта / группы объектов 9</t>
  </si>
  <si>
    <t>Наименование объекта / группы объектов 10</t>
  </si>
  <si>
    <t>Наименование объекта / группы объектов 11</t>
  </si>
  <si>
    <t>Наименование объекта / группы объектов 12</t>
  </si>
  <si>
    <t>Наименование объекта / группы объектов 13</t>
  </si>
  <si>
    <t>Наименование объекта / группы объектов 14</t>
  </si>
  <si>
    <t>Наименование объекта / группы объектов 15</t>
  </si>
  <si>
    <t>Наименование объекта / группы объектов 16</t>
  </si>
  <si>
    <t>Наименование объекта / группы объектов 17</t>
  </si>
  <si>
    <t>Наименование объекта / группы объектов 18</t>
  </si>
  <si>
    <t>Наименование объекта / группы объектов 19</t>
  </si>
  <si>
    <t>Наименование объекта / группы объектов 20</t>
  </si>
  <si>
    <t>Наименование объекта / группы объектов 21</t>
  </si>
  <si>
    <t>Итого
2026-2042</t>
  </si>
  <si>
    <t>Итого
2026-2042, млн руб.</t>
  </si>
  <si>
    <t>Наименования объектов необходимо заменить в соответсвии с наименованиями объектов создаваемого кампуса</t>
  </si>
  <si>
    <t>Для корректного рассчета ячеек выделенных желтым цветом, в формулах необходимо указать период, с которого появляется соответствующий объект (по умолчанию период расчета среднего значения - 2026-2042)</t>
  </si>
  <si>
    <t>Для корректного рассчета ячеек выделенных желтым цветом, в формуле необходимо указать период,с которого появляется соответствующий показатель (по умолчанию период расчета среднего значения - 2026-2042)</t>
  </si>
  <si>
    <t>Источник данных - модель инфраструктуры</t>
  </si>
  <si>
    <r>
      <t>Расходы</t>
    </r>
    <r>
      <rPr>
        <sz val="10"/>
        <color theme="1"/>
        <rFont val="Arial"/>
        <family val="2"/>
        <charset val="204"/>
      </rPr>
      <t>, включая инвестиционные расходы</t>
    </r>
  </si>
  <si>
    <r>
      <t>Количество персонала</t>
    </r>
    <r>
      <rPr>
        <sz val="10"/>
        <color theme="1"/>
        <rFont val="Arial"/>
        <family val="2"/>
        <charset val="204"/>
      </rPr>
      <t xml:space="preserve"> (по модели вуза)</t>
    </r>
  </si>
  <si>
    <t>МИРЭА — Российский технологический университет (РТУ МИРЭА)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</si>
</sst>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\ _₽_-;\-* #,##0\ _₽_-;_-* &quot;-&quot;\ _₽_-;_-@_-"/>
    <numFmt numFmtId="165" formatCode="_-* #,##0.00\ _₽_-;\-* #,##0.00\ _₽_-;_-* &quot;-&quot;??\ _₽_-;_-@_-"/>
    <numFmt numFmtId="166" formatCode="0.0%"/>
    <numFmt numFmtId="167" formatCode="#,##0;\(#,##0\);\-"/>
    <numFmt numFmtId="168" formatCode="_-* #,##0_-;\-* #,##0_-;_-* &quot;-&quot;??_-;_-@_-"/>
    <numFmt numFmtId="169" formatCode="_-* #,##0.00_-;\-* #,##0.00_-;_-* \-??_-;_-@_-"/>
    <numFmt numFmtId="170" formatCode="#,##0.0;\(#,##0.0\);\-"/>
    <numFmt numFmtId="171" formatCode="#,##0.0"/>
    <numFmt numFmtId="172" formatCode="0.000"/>
  </numFmts>
  <fonts count="5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0"/>
      <name val="Arial Narrow"/>
      <family val="2"/>
      <charset val="204"/>
    </font>
    <font>
      <b/>
      <i/>
      <sz val="11"/>
      <color theme="0"/>
      <name val="Arial Narrow"/>
      <family val="2"/>
      <charset val="204"/>
    </font>
    <font>
      <b/>
      <i/>
      <sz val="10"/>
      <color theme="0"/>
      <name val="Arial Narrow"/>
      <family val="2"/>
      <charset val="204"/>
    </font>
    <font>
      <b/>
      <sz val="11"/>
      <color theme="0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b/>
      <sz val="11"/>
      <name val="Arial Narrow"/>
      <family val="2"/>
      <charset val="204"/>
    </font>
    <font>
      <b/>
      <sz val="11"/>
      <color rgb="FFFFFFFF"/>
      <name val="Arial Narrow"/>
      <family val="2"/>
      <charset val="204"/>
    </font>
    <font>
      <b/>
      <sz val="10"/>
      <color rgb="FFFFFFFF"/>
      <name val="Arial Narrow"/>
      <family val="2"/>
      <charset val="204"/>
    </font>
    <font>
      <sz val="11"/>
      <color theme="1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1"/>
      <name val="Arial Narrow"/>
      <family val="2"/>
      <charset val="204"/>
    </font>
    <font>
      <i/>
      <sz val="11"/>
      <color theme="2" tint="-0.499984740745262"/>
      <name val="Arial Narrow"/>
      <family val="2"/>
      <charset val="204"/>
    </font>
    <font>
      <sz val="11"/>
      <color theme="1"/>
      <name val="Calibri Light"/>
      <family val="2"/>
      <charset val="204"/>
      <scheme val="major"/>
    </font>
    <font>
      <sz val="9"/>
      <name val="Arial Narrow"/>
      <family val="2"/>
      <charset val="204"/>
    </font>
    <font>
      <sz val="12"/>
      <color theme="1"/>
      <name val="Arial Narrow"/>
      <family val="2"/>
      <charset val="204"/>
    </font>
    <font>
      <sz val="8"/>
      <name val="Arial"/>
      <family val="2"/>
      <charset val="204"/>
    </font>
    <font>
      <sz val="11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8"/>
      <name val="Arial"/>
      <family val="2"/>
    </font>
    <font>
      <sz val="10"/>
      <color theme="1"/>
      <name val="Arial"/>
      <family val="2"/>
      <charset val="204"/>
    </font>
    <font>
      <sz val="11"/>
      <name val="Calibri"/>
      <family val="2"/>
      <scheme val="minor"/>
    </font>
    <font>
      <b/>
      <i/>
      <sz val="11"/>
      <color theme="2" tint="-0.499984740745262"/>
      <name val="Arial Narrow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6"/>
      <color theme="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color rgb="FF0F2C68"/>
      <name val="HSE Sans"/>
      <family val="3"/>
    </font>
    <font>
      <b/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i/>
      <sz val="10"/>
      <color theme="0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0"/>
      <name val="Arial"/>
      <family val="2"/>
      <charset val="204"/>
    </font>
    <font>
      <b/>
      <i/>
      <sz val="10"/>
      <color theme="2" tint="-0.499984740745262"/>
      <name val="Arial"/>
      <family val="2"/>
      <charset val="204"/>
    </font>
    <font>
      <sz val="10"/>
      <name val="Arial"/>
      <family val="2"/>
      <charset val="204"/>
    </font>
    <font>
      <i/>
      <sz val="10"/>
      <color theme="2" tint="-0.499984740745262"/>
      <name val="Arial"/>
      <family val="2"/>
      <charset val="204"/>
    </font>
    <font>
      <b/>
      <sz val="10"/>
      <color theme="2" tint="-0.499984740745262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theme="0" tint="-0.499984740745262"/>
      <name val="Arial"/>
      <family val="2"/>
      <charset val="204"/>
    </font>
    <font>
      <sz val="10"/>
      <color theme="9" tint="-0.249977111117893"/>
      <name val="Arial"/>
      <family val="2"/>
      <charset val="204"/>
    </font>
    <font>
      <b/>
      <sz val="10"/>
      <color theme="9" tint="-0.249977111117893"/>
      <name val="Arial"/>
      <family val="2"/>
      <charset val="204"/>
    </font>
    <font>
      <b/>
      <sz val="11"/>
      <color theme="1"/>
      <name val="Calibri Light"/>
      <family val="2"/>
      <charset val="204"/>
      <scheme val="major"/>
    </font>
    <font>
      <sz val="11"/>
      <name val="Calibri Light"/>
      <family val="2"/>
      <charset val="204"/>
      <scheme val="major"/>
    </font>
  </fonts>
  <fills count="30">
    <fill>
      <patternFill patternType="none"/>
    </fill>
    <fill>
      <patternFill patternType="gray125"/>
    </fill>
    <fill>
      <patternFill patternType="solid">
        <fgColor theme="4" tint="-0.49998474074526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B3B72"/>
        <bgColor rgb="FF000000"/>
      </patternFill>
    </fill>
    <fill>
      <patternFill patternType="solid">
        <fgColor rgb="FFCDDB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B3B72"/>
        <bgColor indexed="64"/>
      </patternFill>
    </fill>
    <fill>
      <patternFill patternType="solid">
        <fgColor rgb="FFFFFF99"/>
        <bgColor indexed="64"/>
      </patternFill>
    </fill>
    <fill>
      <patternFill patternType="darkGrid">
        <fgColor theme="7" tint="0.79998168889431442"/>
        <bgColor rgb="FFFFFFCC"/>
      </patternFill>
    </fill>
    <fill>
      <patternFill patternType="solid">
        <fgColor theme="4"/>
        <bgColor rgb="FF000000"/>
      </patternFill>
    </fill>
    <fill>
      <patternFill patternType="solid">
        <fgColor rgb="FFEAF4E4"/>
        <bgColor indexed="64"/>
      </patternFill>
    </fill>
    <fill>
      <patternFill patternType="solid">
        <fgColor rgb="FFCDDBF3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EAF4E4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59999389629810485"/>
        <bgColor rgb="FF000000"/>
      </patternFill>
    </fill>
  </fills>
  <borders count="4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theme="7" tint="0.39994506668294322"/>
      </left>
      <right style="dotted">
        <color theme="7" tint="0.39994506668294322"/>
      </right>
      <top style="dotted">
        <color theme="7" tint="0.39994506668294322"/>
      </top>
      <bottom style="dotted">
        <color theme="7" tint="0.39994506668294322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indexed="64"/>
      </right>
      <top style="thin">
        <color indexed="64"/>
      </top>
      <bottom/>
      <diagonal/>
    </border>
    <border>
      <left style="thin">
        <color rgb="FFFFFFFF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7">
    <xf numFmtId="0" fontId="0" fillId="0" borderId="0"/>
    <xf numFmtId="43" fontId="4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21" fillId="0" borderId="0"/>
    <xf numFmtId="0" fontId="4" fillId="0" borderId="0"/>
    <xf numFmtId="0" fontId="22" fillId="0" borderId="0"/>
    <xf numFmtId="9" fontId="21" fillId="0" borderId="0" applyBorder="0" applyProtection="0"/>
    <xf numFmtId="169" fontId="21" fillId="0" borderId="0" applyBorder="0" applyProtection="0"/>
    <xf numFmtId="0" fontId="21" fillId="0" borderId="0"/>
    <xf numFmtId="0" fontId="23" fillId="0" borderId="0"/>
    <xf numFmtId="0" fontId="21" fillId="0" borderId="0"/>
    <xf numFmtId="43" fontId="5" fillId="0" borderId="0" applyFont="0" applyFill="0" applyBorder="0" applyAlignment="0" applyProtection="0"/>
    <xf numFmtId="0" fontId="24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21" fillId="0" borderId="0"/>
    <xf numFmtId="0" fontId="4" fillId="0" borderId="0"/>
    <xf numFmtId="43" fontId="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21" fillId="0" borderId="0"/>
    <xf numFmtId="0" fontId="21" fillId="0" borderId="0"/>
    <xf numFmtId="43" fontId="20" fillId="0" borderId="0" applyFont="0" applyFill="0" applyBorder="0" applyAlignment="0" applyProtection="0"/>
    <xf numFmtId="0" fontId="21" fillId="0" borderId="0"/>
    <xf numFmtId="0" fontId="4" fillId="0" borderId="0"/>
    <xf numFmtId="165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0" fontId="25" fillId="13" borderId="11" applyNumberFormat="0"/>
    <xf numFmtId="0" fontId="25" fillId="10" borderId="0" applyNumberFormat="0"/>
    <xf numFmtId="0" fontId="4" fillId="0" borderId="0"/>
    <xf numFmtId="0" fontId="4" fillId="0" borderId="0"/>
    <xf numFmtId="0" fontId="4" fillId="0" borderId="0"/>
    <xf numFmtId="0" fontId="25" fillId="14" borderId="12" applyNumberFormat="0" applyProtection="0">
      <alignment horizontal="right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5" fillId="0" borderId="0">
      <alignment horizontal="left" vertical="center" indent="1"/>
    </xf>
    <xf numFmtId="0" fontId="4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43" fontId="5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21" fillId="0" borderId="0"/>
    <xf numFmtId="0" fontId="21" fillId="0" borderId="0"/>
    <xf numFmtId="43" fontId="20" fillId="0" borderId="0" applyFont="0" applyFill="0" applyBorder="0" applyAlignment="0" applyProtection="0"/>
    <xf numFmtId="0" fontId="21" fillId="0" borderId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5" fillId="0" borderId="0"/>
  </cellStyleXfs>
  <cellXfs count="458">
    <xf numFmtId="0" fontId="0" fillId="0" borderId="0" xfId="0"/>
    <xf numFmtId="0" fontId="6" fillId="2" borderId="0" xfId="2" applyFont="1" applyFill="1" applyAlignment="1">
      <alignment vertical="center"/>
    </xf>
    <xf numFmtId="0" fontId="5" fillId="0" borderId="0" xfId="2"/>
    <xf numFmtId="3" fontId="5" fillId="0" borderId="0" xfId="2" applyNumberFormat="1"/>
    <xf numFmtId="3" fontId="6" fillId="3" borderId="0" xfId="2" applyNumberFormat="1" applyFont="1" applyFill="1" applyAlignment="1">
      <alignment vertical="center"/>
    </xf>
    <xf numFmtId="3" fontId="9" fillId="3" borderId="0" xfId="2" applyNumberFormat="1" applyFont="1" applyFill="1" applyAlignment="1">
      <alignment vertical="center"/>
    </xf>
    <xf numFmtId="0" fontId="10" fillId="0" borderId="0" xfId="2" applyFont="1" applyAlignment="1">
      <alignment vertical="center"/>
    </xf>
    <xf numFmtId="0" fontId="13" fillId="8" borderId="2" xfId="2" applyFont="1" applyFill="1" applyBorder="1" applyAlignment="1">
      <alignment horizontal="center" vertical="center"/>
    </xf>
    <xf numFmtId="0" fontId="13" fillId="8" borderId="1" xfId="2" applyFont="1" applyFill="1" applyBorder="1" applyAlignment="1">
      <alignment horizontal="center" vertical="center"/>
    </xf>
    <xf numFmtId="0" fontId="10" fillId="0" borderId="0" xfId="2" applyFont="1"/>
    <xf numFmtId="0" fontId="10" fillId="9" borderId="0" xfId="2" applyFont="1" applyFill="1" applyAlignment="1">
      <alignment horizontal="center"/>
    </xf>
    <xf numFmtId="0" fontId="10" fillId="9" borderId="0" xfId="2" applyFont="1" applyFill="1"/>
    <xf numFmtId="0" fontId="14" fillId="9" borderId="0" xfId="2" applyFont="1" applyFill="1" applyAlignment="1">
      <alignment horizont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/>
    </xf>
    <xf numFmtId="4" fontId="18" fillId="0" borderId="0" xfId="2" applyNumberFormat="1" applyFont="1"/>
    <xf numFmtId="4" fontId="18" fillId="9" borderId="0" xfId="2" applyNumberFormat="1" applyFont="1" applyFill="1" applyAlignment="1">
      <alignment horizontal="center"/>
    </xf>
    <xf numFmtId="0" fontId="8" fillId="2" borderId="0" xfId="2" applyFont="1" applyFill="1" applyAlignment="1">
      <alignment horizontal="center"/>
    </xf>
    <xf numFmtId="0" fontId="7" fillId="2" borderId="0" xfId="2" applyFont="1" applyFill="1"/>
    <xf numFmtId="0" fontId="7" fillId="2" borderId="0" xfId="2" applyFont="1" applyFill="1" applyAlignment="1">
      <alignment horizontal="center"/>
    </xf>
    <xf numFmtId="0" fontId="11" fillId="11" borderId="0" xfId="2" applyFont="1" applyFill="1" applyAlignment="1">
      <alignment horizontal="left"/>
    </xf>
    <xf numFmtId="0" fontId="17" fillId="11" borderId="0" xfId="2" applyFont="1" applyFill="1" applyAlignment="1">
      <alignment horizontal="center"/>
    </xf>
    <xf numFmtId="0" fontId="11" fillId="0" borderId="0" xfId="2" applyFont="1" applyAlignment="1">
      <alignment horizontal="left"/>
    </xf>
    <xf numFmtId="9" fontId="11" fillId="0" borderId="0" xfId="2" applyNumberFormat="1" applyFont="1" applyAlignment="1">
      <alignment horizontal="left"/>
    </xf>
    <xf numFmtId="0" fontId="19" fillId="0" borderId="0" xfId="2" applyFont="1" applyAlignment="1">
      <alignment horizontal="left" indent="2"/>
    </xf>
    <xf numFmtId="9" fontId="11" fillId="0" borderId="0" xfId="2" applyNumberFormat="1" applyFont="1" applyAlignment="1">
      <alignment horizontal="left" indent="1"/>
    </xf>
    <xf numFmtId="0" fontId="28" fillId="0" borderId="0" xfId="2" applyFont="1"/>
    <xf numFmtId="0" fontId="10" fillId="9" borderId="0" xfId="4" applyFont="1" applyFill="1" applyAlignment="1">
      <alignment vertical="center"/>
    </xf>
    <xf numFmtId="0" fontId="17" fillId="10" borderId="0" xfId="2" applyFont="1" applyFill="1" applyAlignment="1">
      <alignment horizontal="center"/>
    </xf>
    <xf numFmtId="3" fontId="4" fillId="21" borderId="0" xfId="2" applyNumberFormat="1" applyFont="1" applyFill="1"/>
    <xf numFmtId="4" fontId="18" fillId="22" borderId="0" xfId="2" applyNumberFormat="1" applyFont="1" applyFill="1"/>
    <xf numFmtId="0" fontId="11" fillId="11" borderId="15" xfId="2" applyFont="1" applyFill="1" applyBorder="1" applyAlignment="1">
      <alignment horizontal="left"/>
    </xf>
    <xf numFmtId="0" fontId="16" fillId="11" borderId="15" xfId="2" applyFont="1" applyFill="1" applyBorder="1" applyAlignment="1">
      <alignment horizontal="left" indent="1"/>
    </xf>
    <xf numFmtId="4" fontId="18" fillId="0" borderId="15" xfId="2" applyNumberFormat="1" applyFont="1" applyBorder="1"/>
    <xf numFmtId="0" fontId="11" fillId="11" borderId="16" xfId="2" applyFont="1" applyFill="1" applyBorder="1" applyAlignment="1">
      <alignment horizontal="left"/>
    </xf>
    <xf numFmtId="0" fontId="16" fillId="11" borderId="16" xfId="2" applyFont="1" applyFill="1" applyBorder="1" applyAlignment="1">
      <alignment horizontal="left" indent="1"/>
    </xf>
    <xf numFmtId="4" fontId="18" fillId="0" borderId="16" xfId="2" applyNumberFormat="1" applyFont="1" applyBorder="1"/>
    <xf numFmtId="0" fontId="17" fillId="11" borderId="16" xfId="2" applyFont="1" applyFill="1" applyBorder="1" applyAlignment="1">
      <alignment horizontal="center"/>
    </xf>
    <xf numFmtId="0" fontId="11" fillId="21" borderId="16" xfId="2" applyFont="1" applyFill="1" applyBorder="1" applyAlignment="1">
      <alignment horizontal="left"/>
    </xf>
    <xf numFmtId="0" fontId="17" fillId="21" borderId="16" xfId="2" applyFont="1" applyFill="1" applyBorder="1" applyAlignment="1">
      <alignment horizontal="center"/>
    </xf>
    <xf numFmtId="4" fontId="18" fillId="21" borderId="16" xfId="2" applyNumberFormat="1" applyFont="1" applyFill="1" applyBorder="1"/>
    <xf numFmtId="4" fontId="4" fillId="21" borderId="16" xfId="2" applyNumberFormat="1" applyFont="1" applyFill="1" applyBorder="1"/>
    <xf numFmtId="4" fontId="4" fillId="0" borderId="16" xfId="2" applyNumberFormat="1" applyFont="1" applyBorder="1"/>
    <xf numFmtId="0" fontId="11" fillId="22" borderId="16" xfId="2" applyFont="1" applyFill="1" applyBorder="1" applyAlignment="1">
      <alignment horizontal="left"/>
    </xf>
    <xf numFmtId="0" fontId="17" fillId="22" borderId="16" xfId="2" applyFont="1" applyFill="1" applyBorder="1" applyAlignment="1">
      <alignment horizontal="center"/>
    </xf>
    <xf numFmtId="4" fontId="18" fillId="22" borderId="16" xfId="2" applyNumberFormat="1" applyFont="1" applyFill="1" applyBorder="1"/>
    <xf numFmtId="4" fontId="4" fillId="22" borderId="16" xfId="2" applyNumberFormat="1" applyFont="1" applyFill="1" applyBorder="1"/>
    <xf numFmtId="0" fontId="11" fillId="22" borderId="17" xfId="2" applyFont="1" applyFill="1" applyBorder="1" applyAlignment="1">
      <alignment horizontal="left"/>
    </xf>
    <xf numFmtId="0" fontId="17" fillId="22" borderId="17" xfId="2" applyFont="1" applyFill="1" applyBorder="1" applyAlignment="1">
      <alignment horizontal="center"/>
    </xf>
    <xf numFmtId="4" fontId="18" fillId="22" borderId="17" xfId="2" applyNumberFormat="1" applyFont="1" applyFill="1" applyBorder="1"/>
    <xf numFmtId="4" fontId="4" fillId="22" borderId="17" xfId="2" applyNumberFormat="1" applyFont="1" applyFill="1" applyBorder="1"/>
    <xf numFmtId="0" fontId="11" fillId="21" borderId="17" xfId="2" applyFont="1" applyFill="1" applyBorder="1" applyAlignment="1">
      <alignment horizontal="left"/>
    </xf>
    <xf numFmtId="0" fontId="17" fillId="21" borderId="17" xfId="2" applyFont="1" applyFill="1" applyBorder="1" applyAlignment="1">
      <alignment horizontal="center"/>
    </xf>
    <xf numFmtId="4" fontId="18" fillId="21" borderId="17" xfId="2" applyNumberFormat="1" applyFont="1" applyFill="1" applyBorder="1"/>
    <xf numFmtId="4" fontId="4" fillId="21" borderId="17" xfId="2" applyNumberFormat="1" applyFont="1" applyFill="1" applyBorder="1"/>
    <xf numFmtId="0" fontId="11" fillId="22" borderId="17" xfId="2" applyFont="1" applyFill="1" applyBorder="1" applyAlignment="1">
      <alignment horizontal="left" wrapText="1"/>
    </xf>
    <xf numFmtId="4" fontId="4" fillId="0" borderId="17" xfId="2" applyNumberFormat="1" applyFont="1" applyBorder="1"/>
    <xf numFmtId="0" fontId="28" fillId="0" borderId="0" xfId="2" applyFont="1" applyAlignment="1">
      <alignment vertical="center" wrapText="1"/>
    </xf>
    <xf numFmtId="9" fontId="17" fillId="0" borderId="0" xfId="2" applyNumberFormat="1" applyFont="1" applyAlignment="1">
      <alignment horizontal="center"/>
    </xf>
    <xf numFmtId="4" fontId="4" fillId="0" borderId="0" xfId="2" applyNumberFormat="1" applyFont="1"/>
    <xf numFmtId="9" fontId="16" fillId="0" borderId="0" xfId="2" applyNumberFormat="1" applyFont="1" applyAlignment="1">
      <alignment horizontal="left" indent="1"/>
    </xf>
    <xf numFmtId="4" fontId="17" fillId="0" borderId="0" xfId="109" applyNumberFormat="1" applyFont="1" applyAlignment="1">
      <alignment horizontal="center"/>
    </xf>
    <xf numFmtId="4" fontId="27" fillId="0" borderId="0" xfId="2" applyNumberFormat="1" applyFont="1" applyAlignment="1">
      <alignment horizontal="center"/>
    </xf>
    <xf numFmtId="3" fontId="4" fillId="0" borderId="0" xfId="2" applyNumberFormat="1" applyFont="1"/>
    <xf numFmtId="3" fontId="14" fillId="21" borderId="0" xfId="2" applyNumberFormat="1" applyFont="1" applyFill="1"/>
    <xf numFmtId="0" fontId="26" fillId="0" borderId="0" xfId="2" applyFont="1"/>
    <xf numFmtId="0" fontId="14" fillId="0" borderId="0" xfId="2" applyFont="1" applyAlignment="1">
      <alignment horizontal="center"/>
    </xf>
    <xf numFmtId="0" fontId="10" fillId="9" borderId="0" xfId="2" applyFont="1" applyFill="1" applyAlignment="1">
      <alignment horizontal="center" vertical="center"/>
    </xf>
    <xf numFmtId="0" fontId="10" fillId="0" borderId="0" xfId="2" applyFont="1" applyAlignment="1">
      <alignment horizontal="center"/>
    </xf>
    <xf numFmtId="43" fontId="29" fillId="0" borderId="0" xfId="1" applyFont="1" applyFill="1" applyBorder="1" applyAlignment="1">
      <alignment horizontal="center"/>
    </xf>
    <xf numFmtId="10" fontId="29" fillId="0" borderId="0" xfId="109" applyNumberFormat="1" applyFont="1" applyFill="1" applyBorder="1"/>
    <xf numFmtId="43" fontId="29" fillId="0" borderId="0" xfId="1" applyFont="1" applyFill="1" applyBorder="1"/>
    <xf numFmtId="3" fontId="10" fillId="0" borderId="0" xfId="2" applyNumberFormat="1" applyFont="1"/>
    <xf numFmtId="0" fontId="6" fillId="2" borderId="0" xfId="2" applyFont="1" applyFill="1" applyAlignment="1">
      <alignment vertical="center"/>
    </xf>
    <xf numFmtId="0" fontId="5" fillId="0" borderId="0" xfId="2"/>
    <xf numFmtId="3" fontId="5" fillId="0" borderId="0" xfId="2" applyNumberFormat="1"/>
    <xf numFmtId="0" fontId="10" fillId="0" borderId="0" xfId="2" applyFont="1"/>
    <xf numFmtId="0" fontId="10" fillId="9" borderId="0" xfId="2" applyFont="1" applyFill="1" applyAlignment="1">
      <alignment horizontal="center"/>
    </xf>
    <xf numFmtId="0" fontId="10" fillId="9" borderId="0" xfId="2" applyFont="1" applyFill="1"/>
    <xf numFmtId="0" fontId="14" fillId="9" borderId="0" xfId="2" applyFont="1" applyFill="1" applyAlignment="1">
      <alignment horizontal="center"/>
    </xf>
    <xf numFmtId="4" fontId="18" fillId="0" borderId="0" xfId="2" applyNumberFormat="1" applyFont="1"/>
    <xf numFmtId="0" fontId="11" fillId="11" borderId="0" xfId="2" applyFont="1" applyFill="1" applyAlignment="1">
      <alignment horizontal="left"/>
    </xf>
    <xf numFmtId="3" fontId="4" fillId="21" borderId="0" xfId="2" applyNumberFormat="1" applyFont="1" applyFill="1"/>
    <xf numFmtId="4" fontId="18" fillId="0" borderId="16" xfId="2" applyNumberFormat="1" applyFont="1" applyBorder="1"/>
    <xf numFmtId="0" fontId="11" fillId="11" borderId="17" xfId="2" applyFont="1" applyFill="1" applyBorder="1" applyAlignment="1">
      <alignment horizontal="left"/>
    </xf>
    <xf numFmtId="4" fontId="18" fillId="0" borderId="17" xfId="2" applyNumberFormat="1" applyFont="1" applyBorder="1"/>
    <xf numFmtId="4" fontId="27" fillId="0" borderId="0" xfId="2" applyNumberFormat="1" applyFont="1" applyAlignment="1">
      <alignment horizontal="center"/>
    </xf>
    <xf numFmtId="0" fontId="10" fillId="9" borderId="0" xfId="2" applyFont="1" applyFill="1" applyAlignment="1">
      <alignment horizontal="center" vertical="center"/>
    </xf>
    <xf numFmtId="9" fontId="17" fillId="11" borderId="17" xfId="2" applyNumberFormat="1" applyFont="1" applyFill="1" applyBorder="1" applyAlignment="1">
      <alignment horizontal="center"/>
    </xf>
    <xf numFmtId="9" fontId="5" fillId="0" borderId="0" xfId="2" applyNumberFormat="1"/>
    <xf numFmtId="4" fontId="5" fillId="0" borderId="0" xfId="2" applyNumberFormat="1"/>
    <xf numFmtId="0" fontId="5" fillId="0" borderId="0" xfId="2" applyAlignment="1">
      <alignment horizontal="left" indent="2"/>
    </xf>
    <xf numFmtId="0" fontId="11" fillId="11" borderId="0" xfId="2" applyFont="1" applyFill="1" applyAlignment="1">
      <alignment horizontal="left" indent="2"/>
    </xf>
    <xf numFmtId="3" fontId="30" fillId="10" borderId="0" xfId="2" applyNumberFormat="1" applyFont="1" applyFill="1"/>
    <xf numFmtId="0" fontId="5" fillId="10" borderId="0" xfId="2" applyFill="1" applyBorder="1"/>
    <xf numFmtId="4" fontId="5" fillId="10" borderId="0" xfId="2" applyNumberFormat="1" applyFill="1" applyBorder="1"/>
    <xf numFmtId="3" fontId="5" fillId="10" borderId="0" xfId="2" applyNumberFormat="1" applyFill="1" applyBorder="1"/>
    <xf numFmtId="0" fontId="28" fillId="23" borderId="0" xfId="2" applyFont="1" applyFill="1" applyBorder="1"/>
    <xf numFmtId="4" fontId="28" fillId="23" borderId="0" xfId="2" applyNumberFormat="1" applyFont="1" applyFill="1" applyBorder="1"/>
    <xf numFmtId="3" fontId="28" fillId="23" borderId="0" xfId="2" applyNumberFormat="1" applyFont="1" applyFill="1" applyBorder="1"/>
    <xf numFmtId="4" fontId="5" fillId="24" borderId="0" xfId="2" applyNumberFormat="1" applyFill="1" applyBorder="1"/>
    <xf numFmtId="4" fontId="28" fillId="24" borderId="0" xfId="2" applyNumberFormat="1" applyFont="1" applyFill="1" applyBorder="1"/>
    <xf numFmtId="43" fontId="5" fillId="0" borderId="0" xfId="1" applyFont="1"/>
    <xf numFmtId="0" fontId="10" fillId="0" borderId="0" xfId="2" applyFont="1" applyAlignment="1">
      <alignment vertical="center" wrapText="1"/>
    </xf>
    <xf numFmtId="9" fontId="10" fillId="0" borderId="0" xfId="2" applyNumberFormat="1" applyFont="1"/>
    <xf numFmtId="9" fontId="10" fillId="0" borderId="0" xfId="2" applyNumberFormat="1" applyFont="1" applyAlignment="1">
      <alignment vertical="center" wrapText="1"/>
    </xf>
    <xf numFmtId="171" fontId="10" fillId="0" borderId="0" xfId="2" applyNumberFormat="1" applyFont="1"/>
    <xf numFmtId="2" fontId="11" fillId="0" borderId="0" xfId="2" applyNumberFormat="1" applyFont="1" applyAlignment="1">
      <alignment vertical="center" wrapText="1"/>
    </xf>
    <xf numFmtId="9" fontId="0" fillId="0" borderId="0" xfId="0" applyNumberFormat="1"/>
    <xf numFmtId="0" fontId="11" fillId="24" borderId="0" xfId="2" applyFont="1" applyFill="1" applyBorder="1" applyAlignment="1">
      <alignment horizontal="left"/>
    </xf>
    <xf numFmtId="0" fontId="17" fillId="24" borderId="0" xfId="2" applyFont="1" applyFill="1" applyAlignment="1">
      <alignment horizontal="center"/>
    </xf>
    <xf numFmtId="4" fontId="27" fillId="24" borderId="0" xfId="2" applyNumberFormat="1" applyFont="1" applyFill="1" applyAlignment="1">
      <alignment horizontal="center"/>
    </xf>
    <xf numFmtId="9" fontId="16" fillId="0" borderId="0" xfId="2" applyNumberFormat="1" applyFont="1" applyFill="1" applyBorder="1" applyAlignment="1">
      <alignment horizontal="left" indent="1"/>
    </xf>
    <xf numFmtId="4" fontId="27" fillId="0" borderId="0" xfId="2" applyNumberFormat="1" applyFont="1" applyFill="1" applyAlignment="1">
      <alignment horizontal="center"/>
    </xf>
    <xf numFmtId="9" fontId="11" fillId="0" borderId="0" xfId="2" applyNumberFormat="1" applyFont="1" applyBorder="1" applyAlignment="1">
      <alignment horizontal="left"/>
    </xf>
    <xf numFmtId="3" fontId="17" fillId="0" borderId="0" xfId="2" applyNumberFormat="1" applyFont="1" applyAlignment="1">
      <alignment horizontal="center"/>
    </xf>
    <xf numFmtId="2" fontId="17" fillId="0" borderId="0" xfId="2" applyNumberFormat="1" applyFont="1" applyAlignment="1">
      <alignment horizontal="center"/>
    </xf>
    <xf numFmtId="0" fontId="32" fillId="0" borderId="0" xfId="0" applyFont="1" applyAlignment="1">
      <alignment horizontal="center"/>
    </xf>
    <xf numFmtId="9" fontId="0" fillId="0" borderId="25" xfId="0" applyNumberFormat="1" applyBorder="1"/>
    <xf numFmtId="9" fontId="0" fillId="0" borderId="26" xfId="0" applyNumberFormat="1" applyBorder="1"/>
    <xf numFmtId="9" fontId="0" fillId="0" borderId="27" xfId="0" applyNumberFormat="1" applyBorder="1"/>
    <xf numFmtId="9" fontId="0" fillId="0" borderId="28" xfId="0" applyNumberFormat="1" applyBorder="1"/>
    <xf numFmtId="3" fontId="0" fillId="0" borderId="0" xfId="0" applyNumberFormat="1"/>
    <xf numFmtId="9" fontId="0" fillId="0" borderId="29" xfId="0" applyNumberFormat="1" applyBorder="1"/>
    <xf numFmtId="10" fontId="0" fillId="0" borderId="0" xfId="0" applyNumberFormat="1"/>
    <xf numFmtId="9" fontId="0" fillId="0" borderId="30" xfId="0" applyNumberFormat="1" applyBorder="1"/>
    <xf numFmtId="2" fontId="0" fillId="10" borderId="31" xfId="0" applyNumberFormat="1" applyFill="1" applyBorder="1"/>
    <xf numFmtId="2" fontId="0" fillId="10" borderId="0" xfId="0" applyNumberFormat="1" applyFill="1" applyBorder="1"/>
    <xf numFmtId="2" fontId="0" fillId="10" borderId="30" xfId="0" applyNumberFormat="1" applyFill="1" applyBorder="1"/>
    <xf numFmtId="2" fontId="0" fillId="10" borderId="32" xfId="0" applyNumberFormat="1" applyFill="1" applyBorder="1"/>
    <xf numFmtId="3" fontId="0" fillId="0" borderId="25" xfId="0" applyNumberFormat="1" applyBorder="1"/>
    <xf numFmtId="2" fontId="0" fillId="10" borderId="25" xfId="0" applyNumberFormat="1" applyFill="1" applyBorder="1"/>
    <xf numFmtId="2" fontId="0" fillId="10" borderId="26" xfId="0" applyNumberFormat="1" applyFill="1" applyBorder="1"/>
    <xf numFmtId="2" fontId="0" fillId="10" borderId="27" xfId="0" applyNumberFormat="1" applyFill="1" applyBorder="1"/>
    <xf numFmtId="2" fontId="0" fillId="10" borderId="28" xfId="0" applyNumberFormat="1" applyFill="1" applyBorder="1"/>
    <xf numFmtId="9" fontId="0" fillId="0" borderId="33" xfId="0" applyNumberFormat="1" applyBorder="1"/>
    <xf numFmtId="2" fontId="0" fillId="10" borderId="34" xfId="0" applyNumberFormat="1" applyFill="1" applyBorder="1"/>
    <xf numFmtId="2" fontId="0" fillId="10" borderId="35" xfId="0" applyNumberFormat="1" applyFill="1" applyBorder="1"/>
    <xf numFmtId="2" fontId="0" fillId="10" borderId="33" xfId="0" applyNumberFormat="1" applyFill="1" applyBorder="1"/>
    <xf numFmtId="2" fontId="0" fillId="10" borderId="36" xfId="0" applyNumberFormat="1" applyFill="1" applyBorder="1"/>
    <xf numFmtId="4" fontId="0" fillId="0" borderId="0" xfId="0" applyNumberFormat="1"/>
    <xf numFmtId="3" fontId="4" fillId="21" borderId="0" xfId="2" applyNumberFormat="1" applyFont="1" applyFill="1" applyBorder="1"/>
    <xf numFmtId="3" fontId="5" fillId="0" borderId="0" xfId="1" applyNumberFormat="1" applyFont="1"/>
    <xf numFmtId="2" fontId="0" fillId="0" borderId="0" xfId="0" applyNumberFormat="1"/>
    <xf numFmtId="0" fontId="15" fillId="0" borderId="0" xfId="2" applyFont="1"/>
    <xf numFmtId="2" fontId="33" fillId="0" borderId="0" xfId="0" applyNumberFormat="1" applyFont="1"/>
    <xf numFmtId="9" fontId="15" fillId="0" borderId="37" xfId="109" applyFont="1" applyBorder="1" applyAlignment="1">
      <alignment vertical="center" wrapText="1"/>
    </xf>
    <xf numFmtId="9" fontId="34" fillId="0" borderId="39" xfId="0" applyNumberFormat="1" applyFont="1" applyBorder="1"/>
    <xf numFmtId="171" fontId="15" fillId="0" borderId="5" xfId="2" applyNumberFormat="1" applyFont="1" applyBorder="1"/>
    <xf numFmtId="9" fontId="34" fillId="0" borderId="40" xfId="0" applyNumberFormat="1" applyFont="1" applyBorder="1"/>
    <xf numFmtId="171" fontId="15" fillId="0" borderId="24" xfId="2" applyNumberFormat="1" applyFont="1" applyBorder="1"/>
    <xf numFmtId="0" fontId="15" fillId="0" borderId="37" xfId="2" applyFont="1" applyBorder="1"/>
    <xf numFmtId="9" fontId="15" fillId="0" borderId="41" xfId="109" applyFont="1" applyBorder="1" applyAlignment="1">
      <alignment vertical="center" wrapText="1"/>
    </xf>
    <xf numFmtId="9" fontId="15" fillId="0" borderId="38" xfId="109" applyFont="1" applyBorder="1" applyAlignment="1">
      <alignment vertical="center" wrapText="1"/>
    </xf>
    <xf numFmtId="172" fontId="15" fillId="0" borderId="27" xfId="2" applyNumberFormat="1" applyFont="1" applyBorder="1" applyAlignment="1">
      <alignment vertical="center" wrapText="1"/>
    </xf>
    <xf numFmtId="1" fontId="15" fillId="0" borderId="27" xfId="109" applyNumberFormat="1" applyFont="1" applyBorder="1" applyAlignment="1">
      <alignment vertical="center" wrapText="1"/>
    </xf>
    <xf numFmtId="4" fontId="15" fillId="0" borderId="27" xfId="2" applyNumberFormat="1" applyFont="1" applyBorder="1"/>
    <xf numFmtId="2" fontId="15" fillId="0" borderId="37" xfId="2" applyNumberFormat="1" applyFont="1" applyBorder="1"/>
    <xf numFmtId="2" fontId="15" fillId="0" borderId="41" xfId="2" applyNumberFormat="1" applyFont="1" applyBorder="1"/>
    <xf numFmtId="2" fontId="15" fillId="0" borderId="38" xfId="2" applyNumberFormat="1" applyFont="1" applyBorder="1"/>
    <xf numFmtId="2" fontId="15" fillId="0" borderId="39" xfId="2" applyNumberFormat="1" applyFont="1" applyBorder="1"/>
    <xf numFmtId="2" fontId="15" fillId="0" borderId="0" xfId="2" applyNumberFormat="1" applyFont="1" applyBorder="1"/>
    <xf numFmtId="2" fontId="15" fillId="0" borderId="5" xfId="2" applyNumberFormat="1" applyFont="1" applyBorder="1"/>
    <xf numFmtId="2" fontId="15" fillId="0" borderId="40" xfId="2" applyNumberFormat="1" applyFont="1" applyBorder="1"/>
    <xf numFmtId="2" fontId="15" fillId="0" borderId="42" xfId="2" applyNumberFormat="1" applyFont="1" applyBorder="1"/>
    <xf numFmtId="2" fontId="15" fillId="0" borderId="24" xfId="2" applyNumberFormat="1" applyFont="1" applyBorder="1"/>
    <xf numFmtId="9" fontId="34" fillId="0" borderId="43" xfId="0" applyNumberFormat="1" applyFont="1" applyBorder="1"/>
    <xf numFmtId="9" fontId="34" fillId="0" borderId="22" xfId="0" applyNumberFormat="1" applyFont="1" applyBorder="1"/>
    <xf numFmtId="9" fontId="34" fillId="0" borderId="23" xfId="0" applyNumberFormat="1" applyFont="1" applyBorder="1"/>
    <xf numFmtId="9" fontId="34" fillId="0" borderId="44" xfId="0" applyNumberFormat="1" applyFont="1" applyBorder="1"/>
    <xf numFmtId="9" fontId="34" fillId="0" borderId="45" xfId="0" applyNumberFormat="1" applyFont="1" applyBorder="1"/>
    <xf numFmtId="9" fontId="34" fillId="0" borderId="46" xfId="0" applyNumberFormat="1" applyFont="1" applyBorder="1"/>
    <xf numFmtId="0" fontId="35" fillId="0" borderId="37" xfId="2" applyFont="1" applyBorder="1"/>
    <xf numFmtId="0" fontId="35" fillId="0" borderId="5" xfId="2" applyFont="1" applyBorder="1"/>
    <xf numFmtId="0" fontId="35" fillId="0" borderId="24" xfId="2" applyFont="1" applyBorder="1"/>
    <xf numFmtId="2" fontId="35" fillId="0" borderId="42" xfId="2" applyNumberFormat="1" applyFont="1" applyBorder="1"/>
    <xf numFmtId="2" fontId="35" fillId="0" borderId="24" xfId="2" applyNumberFormat="1" applyFont="1" applyBorder="1"/>
    <xf numFmtId="2" fontId="35" fillId="0" borderId="37" xfId="2" applyNumberFormat="1" applyFont="1" applyBorder="1"/>
    <xf numFmtId="2" fontId="35" fillId="0" borderId="41" xfId="2" applyNumberFormat="1" applyFont="1" applyBorder="1"/>
    <xf numFmtId="2" fontId="35" fillId="0" borderId="38" xfId="2" applyNumberFormat="1" applyFont="1" applyBorder="1"/>
    <xf numFmtId="2" fontId="35" fillId="0" borderId="39" xfId="2" applyNumberFormat="1" applyFont="1" applyBorder="1"/>
    <xf numFmtId="2" fontId="35" fillId="0" borderId="0" xfId="2" applyNumberFormat="1" applyFont="1" applyBorder="1"/>
    <xf numFmtId="2" fontId="35" fillId="0" borderId="5" xfId="2" applyNumberFormat="1" applyFont="1" applyBorder="1"/>
    <xf numFmtId="2" fontId="35" fillId="0" borderId="40" xfId="2" applyNumberFormat="1" applyFont="1" applyBorder="1"/>
    <xf numFmtId="2" fontId="35" fillId="0" borderId="27" xfId="2" applyNumberFormat="1" applyFont="1" applyBorder="1"/>
    <xf numFmtId="9" fontId="35" fillId="0" borderId="44" xfId="109" applyFont="1" applyBorder="1"/>
    <xf numFmtId="9" fontId="35" fillId="0" borderId="45" xfId="109" applyFont="1" applyBorder="1"/>
    <xf numFmtId="9" fontId="35" fillId="0" borderId="46" xfId="109" applyFont="1" applyBorder="1"/>
    <xf numFmtId="9" fontId="35" fillId="0" borderId="43" xfId="109" applyFont="1" applyBorder="1"/>
    <xf numFmtId="9" fontId="35" fillId="0" borderId="22" xfId="109" applyFont="1" applyBorder="1"/>
    <xf numFmtId="9" fontId="35" fillId="0" borderId="23" xfId="109" applyFont="1" applyBorder="1"/>
    <xf numFmtId="4" fontId="35" fillId="0" borderId="25" xfId="2" applyNumberFormat="1" applyFont="1" applyBorder="1"/>
    <xf numFmtId="4" fontId="35" fillId="0" borderId="29" xfId="2" applyNumberFormat="1" applyFont="1" applyBorder="1"/>
    <xf numFmtId="0" fontId="5" fillId="0" borderId="0" xfId="2" applyAlignment="1">
      <alignment horizontal="left" indent="4"/>
    </xf>
    <xf numFmtId="0" fontId="28" fillId="0" borderId="0" xfId="2" applyFont="1" applyAlignment="1">
      <alignment horizontal="left" indent="2"/>
    </xf>
    <xf numFmtId="3" fontId="28" fillId="0" borderId="0" xfId="1" applyNumberFormat="1" applyFont="1"/>
    <xf numFmtId="3" fontId="28" fillId="10" borderId="0" xfId="2" applyNumberFormat="1" applyFont="1" applyFill="1" applyBorder="1"/>
    <xf numFmtId="0" fontId="5" fillId="6" borderId="0" xfId="2" applyFill="1"/>
    <xf numFmtId="3" fontId="5" fillId="6" borderId="0" xfId="2" applyNumberFormat="1" applyFill="1"/>
    <xf numFmtId="3" fontId="5" fillId="6" borderId="0" xfId="2" applyNumberFormat="1" applyFill="1" applyBorder="1"/>
    <xf numFmtId="0" fontId="28" fillId="0" borderId="0" xfId="2" applyFont="1" applyAlignment="1">
      <alignment horizontal="left" indent="4"/>
    </xf>
    <xf numFmtId="0" fontId="28" fillId="6" borderId="0" xfId="2" applyFont="1" applyFill="1" applyAlignment="1">
      <alignment horizontal="left" indent="2"/>
    </xf>
    <xf numFmtId="0" fontId="28" fillId="6" borderId="0" xfId="2" applyFont="1" applyFill="1" applyAlignment="1">
      <alignment horizontal="left" indent="6"/>
    </xf>
    <xf numFmtId="0" fontId="5" fillId="27" borderId="0" xfId="2" applyFill="1"/>
    <xf numFmtId="3" fontId="5" fillId="27" borderId="0" xfId="2" applyNumberFormat="1" applyFill="1"/>
    <xf numFmtId="0" fontId="28" fillId="23" borderId="0" xfId="2" applyFont="1" applyFill="1" applyBorder="1" applyAlignment="1">
      <alignment wrapText="1"/>
    </xf>
    <xf numFmtId="0" fontId="28" fillId="6" borderId="0" xfId="2" applyFont="1" applyFill="1" applyAlignment="1">
      <alignment horizontal="left" wrapText="1" indent="2"/>
    </xf>
    <xf numFmtId="0" fontId="5" fillId="0" borderId="0" xfId="2" applyAlignment="1">
      <alignment horizontal="left" indent="3"/>
    </xf>
    <xf numFmtId="0" fontId="28" fillId="25" borderId="0" xfId="2" applyFont="1" applyFill="1"/>
    <xf numFmtId="0" fontId="39" fillId="2" borderId="0" xfId="2" applyFont="1" applyFill="1" applyAlignment="1">
      <alignment horizontal="center"/>
    </xf>
    <xf numFmtId="0" fontId="40" fillId="8" borderId="2" xfId="2" applyFont="1" applyFill="1" applyBorder="1" applyAlignment="1">
      <alignment horizontal="center" vertical="center"/>
    </xf>
    <xf numFmtId="0" fontId="40" fillId="8" borderId="18" xfId="2" applyFont="1" applyFill="1" applyBorder="1" applyAlignment="1">
      <alignment horizontal="center" vertical="center"/>
    </xf>
    <xf numFmtId="0" fontId="40" fillId="8" borderId="19" xfId="2" applyFont="1" applyFill="1" applyBorder="1" applyAlignment="1">
      <alignment horizontal="center" vertical="center"/>
    </xf>
    <xf numFmtId="0" fontId="40" fillId="8" borderId="1" xfId="2" applyFont="1" applyFill="1" applyBorder="1" applyAlignment="1">
      <alignment horizontal="center" vertical="center"/>
    </xf>
    <xf numFmtId="0" fontId="40" fillId="8" borderId="7" xfId="2" applyFont="1" applyFill="1" applyBorder="1" applyAlignment="1">
      <alignment horizontal="center" vertical="center"/>
    </xf>
    <xf numFmtId="0" fontId="40" fillId="8" borderId="6" xfId="2" applyFont="1" applyFill="1" applyBorder="1" applyAlignment="1">
      <alignment horizontal="center" vertical="center"/>
    </xf>
    <xf numFmtId="0" fontId="3" fillId="5" borderId="0" xfId="2" applyFont="1" applyFill="1" applyAlignment="1">
      <alignment horizontal="center"/>
    </xf>
    <xf numFmtId="0" fontId="38" fillId="5" borderId="5" xfId="2" applyFont="1" applyFill="1" applyBorder="1" applyAlignment="1">
      <alignment horizontal="center"/>
    </xf>
    <xf numFmtId="4" fontId="3" fillId="5" borderId="0" xfId="2" applyNumberFormat="1" applyFont="1" applyFill="1" applyAlignment="1">
      <alignment horizontal="center"/>
    </xf>
    <xf numFmtId="3" fontId="3" fillId="5" borderId="0" xfId="2" applyNumberFormat="1" applyFont="1" applyFill="1" applyAlignment="1">
      <alignment horizontal="center"/>
    </xf>
    <xf numFmtId="0" fontId="39" fillId="2" borderId="0" xfId="2" applyFont="1" applyFill="1"/>
    <xf numFmtId="0" fontId="37" fillId="2" borderId="0" xfId="2" applyFont="1" applyFill="1" applyAlignment="1">
      <alignment vertical="center"/>
    </xf>
    <xf numFmtId="0" fontId="3" fillId="0" borderId="0" xfId="2" applyFont="1"/>
    <xf numFmtId="3" fontId="3" fillId="0" borderId="0" xfId="2" applyNumberFormat="1" applyFont="1"/>
    <xf numFmtId="3" fontId="38" fillId="0" borderId="0" xfId="2" applyNumberFormat="1" applyFont="1"/>
    <xf numFmtId="3" fontId="37" fillId="3" borderId="0" xfId="2" applyNumberFormat="1" applyFont="1" applyFill="1" applyAlignment="1">
      <alignment vertical="center"/>
    </xf>
    <xf numFmtId="0" fontId="38" fillId="0" borderId="0" xfId="2" applyFont="1" applyAlignment="1">
      <alignment vertical="center"/>
    </xf>
    <xf numFmtId="3" fontId="38" fillId="0" borderId="0" xfId="2" applyNumberFormat="1" applyFont="1" applyAlignment="1">
      <alignment vertical="center"/>
    </xf>
    <xf numFmtId="1" fontId="38" fillId="5" borderId="0" xfId="2" applyNumberFormat="1" applyFont="1" applyFill="1" applyAlignment="1">
      <alignment horizontal="center" vertical="center"/>
    </xf>
    <xf numFmtId="1" fontId="38" fillId="6" borderId="0" xfId="2" applyNumberFormat="1" applyFont="1" applyFill="1" applyAlignment="1">
      <alignment horizontal="center" vertical="center"/>
    </xf>
    <xf numFmtId="0" fontId="38" fillId="0" borderId="5" xfId="2" applyFont="1" applyBorder="1"/>
    <xf numFmtId="0" fontId="3" fillId="0" borderId="14" xfId="2" applyFont="1" applyBorder="1"/>
    <xf numFmtId="0" fontId="3" fillId="0" borderId="4" xfId="2" applyFont="1" applyBorder="1"/>
    <xf numFmtId="0" fontId="38" fillId="5" borderId="0" xfId="2" applyFont="1" applyFill="1" applyAlignment="1">
      <alignment horizontal="center"/>
    </xf>
    <xf numFmtId="0" fontId="38" fillId="5" borderId="0" xfId="2" applyFont="1" applyFill="1"/>
    <xf numFmtId="0" fontId="38" fillId="0" borderId="0" xfId="2" applyFont="1"/>
    <xf numFmtId="0" fontId="38" fillId="9" borderId="0" xfId="2" applyFont="1" applyFill="1" applyAlignment="1">
      <alignment horizontal="center"/>
    </xf>
    <xf numFmtId="0" fontId="41" fillId="5" borderId="0" xfId="2" applyFont="1" applyFill="1" applyAlignment="1">
      <alignment horizontal="left"/>
    </xf>
    <xf numFmtId="0" fontId="42" fillId="5" borderId="0" xfId="2" applyFont="1" applyFill="1" applyAlignment="1">
      <alignment horizontal="center"/>
    </xf>
    <xf numFmtId="3" fontId="38" fillId="5" borderId="0" xfId="2" applyNumberFormat="1" applyFont="1" applyFill="1"/>
    <xf numFmtId="3" fontId="38" fillId="5" borderId="5" xfId="2" applyNumberFormat="1" applyFont="1" applyFill="1" applyBorder="1"/>
    <xf numFmtId="0" fontId="3" fillId="0" borderId="0" xfId="2" applyFont="1" applyAlignment="1">
      <alignment horizontal="center" vertical="center"/>
    </xf>
    <xf numFmtId="0" fontId="43" fillId="0" borderId="0" xfId="2" applyFont="1" applyAlignment="1">
      <alignment horizontal="left"/>
    </xf>
    <xf numFmtId="0" fontId="44" fillId="0" borderId="0" xfId="2" applyFont="1" applyAlignment="1">
      <alignment horizontal="center"/>
    </xf>
    <xf numFmtId="3" fontId="38" fillId="0" borderId="5" xfId="2" applyNumberFormat="1" applyFont="1" applyBorder="1"/>
    <xf numFmtId="3" fontId="38" fillId="5" borderId="0" xfId="2" applyNumberFormat="1" applyFont="1" applyFill="1" applyAlignment="1">
      <alignment horizontal="right"/>
    </xf>
    <xf numFmtId="0" fontId="43" fillId="0" borderId="0" xfId="2" applyFont="1" applyAlignment="1">
      <alignment horizontal="center"/>
    </xf>
    <xf numFmtId="3" fontId="3" fillId="16" borderId="0" xfId="2" applyNumberFormat="1" applyFont="1" applyFill="1"/>
    <xf numFmtId="0" fontId="43" fillId="10" borderId="0" xfId="2" applyFont="1" applyFill="1" applyAlignment="1">
      <alignment horizontal="center" vertical="center"/>
    </xf>
    <xf numFmtId="0" fontId="43" fillId="10" borderId="0" xfId="2" applyFont="1" applyFill="1" applyAlignment="1">
      <alignment horizontal="left" wrapText="1"/>
    </xf>
    <xf numFmtId="0" fontId="44" fillId="10" borderId="0" xfId="2" applyFont="1" applyFill="1" applyAlignment="1">
      <alignment horizontal="center"/>
    </xf>
    <xf numFmtId="0" fontId="43" fillId="10" borderId="0" xfId="2" applyFont="1" applyFill="1" applyAlignment="1">
      <alignment horizontal="center"/>
    </xf>
    <xf numFmtId="3" fontId="3" fillId="10" borderId="0" xfId="2" applyNumberFormat="1" applyFont="1" applyFill="1"/>
    <xf numFmtId="0" fontId="43" fillId="0" borderId="0" xfId="2" applyFont="1" applyAlignment="1">
      <alignment horizontal="left" wrapText="1"/>
    </xf>
    <xf numFmtId="0" fontId="38" fillId="9" borderId="0" xfId="2" applyFont="1" applyFill="1"/>
    <xf numFmtId="0" fontId="3" fillId="9" borderId="0" xfId="2" applyFont="1" applyFill="1" applyAlignment="1">
      <alignment horizontal="center"/>
    </xf>
    <xf numFmtId="3" fontId="38" fillId="9" borderId="0" xfId="2" applyNumberFormat="1" applyFont="1" applyFill="1" applyAlignment="1">
      <alignment horizontal="right"/>
    </xf>
    <xf numFmtId="3" fontId="38" fillId="9" borderId="5" xfId="2" applyNumberFormat="1" applyFont="1" applyFill="1" applyBorder="1"/>
    <xf numFmtId="0" fontId="43" fillId="0" borderId="0" xfId="2" applyFont="1" applyAlignment="1">
      <alignment horizontal="right" wrapText="1"/>
    </xf>
    <xf numFmtId="3" fontId="38" fillId="9" borderId="5" xfId="2" applyNumberFormat="1" applyFont="1" applyFill="1" applyBorder="1" applyAlignment="1">
      <alignment horizontal="right"/>
    </xf>
    <xf numFmtId="9" fontId="3" fillId="10" borderId="0" xfId="3" applyFont="1" applyFill="1" applyBorder="1"/>
    <xf numFmtId="9" fontId="38" fillId="10" borderId="5" xfId="3" applyFont="1" applyFill="1" applyBorder="1"/>
    <xf numFmtId="0" fontId="38" fillId="0" borderId="0" xfId="2" applyFont="1" applyAlignment="1">
      <alignment horizontal="center" vertical="center"/>
    </xf>
    <xf numFmtId="0" fontId="41" fillId="0" borderId="0" xfId="2" applyFont="1"/>
    <xf numFmtId="0" fontId="45" fillId="0" borderId="0" xfId="2" applyFont="1" applyAlignment="1">
      <alignment horizontal="center"/>
    </xf>
    <xf numFmtId="0" fontId="43" fillId="0" borderId="0" xfId="2" applyFont="1" applyAlignment="1">
      <alignment horizontal="left" indent="3"/>
    </xf>
    <xf numFmtId="0" fontId="41" fillId="0" borderId="0" xfId="2" applyFont="1" applyAlignment="1">
      <alignment wrapText="1"/>
    </xf>
    <xf numFmtId="3" fontId="38" fillId="16" borderId="0" xfId="2" applyNumberFormat="1" applyFont="1" applyFill="1"/>
    <xf numFmtId="3" fontId="38" fillId="5" borderId="5" xfId="2" applyNumberFormat="1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43" fillId="0" borderId="0" xfId="0" applyFont="1" applyFill="1"/>
    <xf numFmtId="0" fontId="43" fillId="0" borderId="0" xfId="0" applyFont="1" applyFill="1" applyAlignment="1">
      <alignment horizontal="left" wrapText="1" indent="3"/>
    </xf>
    <xf numFmtId="0" fontId="43" fillId="0" borderId="0" xfId="0" applyFont="1" applyFill="1" applyAlignment="1">
      <alignment horizontal="left" indent="3"/>
    </xf>
    <xf numFmtId="0" fontId="43" fillId="0" borderId="0" xfId="0" applyFont="1" applyFill="1" applyAlignment="1">
      <alignment horizontal="left"/>
    </xf>
    <xf numFmtId="3" fontId="3" fillId="5" borderId="0" xfId="2" applyNumberFormat="1" applyFont="1" applyFill="1" applyAlignment="1">
      <alignment horizontal="right"/>
    </xf>
    <xf numFmtId="3" fontId="38" fillId="6" borderId="5" xfId="2" applyNumberFormat="1" applyFont="1" applyFill="1" applyBorder="1"/>
    <xf numFmtId="1" fontId="3" fillId="16" borderId="0" xfId="2" applyNumberFormat="1" applyFont="1" applyFill="1"/>
    <xf numFmtId="0" fontId="43" fillId="0" borderId="0" xfId="0" applyFont="1" applyAlignment="1">
      <alignment horizontal="left"/>
    </xf>
    <xf numFmtId="3" fontId="43" fillId="16" borderId="0" xfId="2" applyNumberFormat="1" applyFont="1" applyFill="1"/>
    <xf numFmtId="0" fontId="3" fillId="10" borderId="0" xfId="2" applyFont="1" applyFill="1"/>
    <xf numFmtId="3" fontId="3" fillId="16" borderId="0" xfId="2" applyNumberFormat="1" applyFont="1" applyFill="1" applyAlignment="1">
      <alignment horizontal="right"/>
    </xf>
    <xf numFmtId="3" fontId="3" fillId="10" borderId="0" xfId="2" applyNumberFormat="1" applyFont="1" applyFill="1" applyAlignment="1">
      <alignment horizontal="right"/>
    </xf>
    <xf numFmtId="0" fontId="43" fillId="0" borderId="0" xfId="2" applyFont="1"/>
    <xf numFmtId="166" fontId="3" fillId="16" borderId="0" xfId="3" applyNumberFormat="1" applyFont="1" applyFill="1" applyBorder="1"/>
    <xf numFmtId="9" fontId="38" fillId="0" borderId="5" xfId="109" applyFont="1" applyBorder="1"/>
    <xf numFmtId="166" fontId="3" fillId="0" borderId="0" xfId="3" applyNumberFormat="1" applyFont="1" applyBorder="1"/>
    <xf numFmtId="0" fontId="3" fillId="0" borderId="0" xfId="2" applyFont="1" applyBorder="1"/>
    <xf numFmtId="0" fontId="38" fillId="0" borderId="0" xfId="2" applyFont="1" applyBorder="1"/>
    <xf numFmtId="0" fontId="37" fillId="2" borderId="0" xfId="2" applyFont="1" applyFill="1" applyAlignment="1">
      <alignment vertical="top"/>
    </xf>
    <xf numFmtId="0" fontId="3" fillId="0" borderId="0" xfId="2" applyFont="1" applyAlignment="1">
      <alignment vertical="top"/>
    </xf>
    <xf numFmtId="0" fontId="38" fillId="6" borderId="0" xfId="2" applyFont="1" applyFill="1" applyAlignment="1">
      <alignment vertical="top" wrapText="1"/>
    </xf>
    <xf numFmtId="0" fontId="40" fillId="8" borderId="9" xfId="4" applyFont="1" applyFill="1" applyBorder="1" applyAlignment="1">
      <alignment horizontal="center" vertical="center" wrapText="1"/>
    </xf>
    <xf numFmtId="0" fontId="40" fillId="8" borderId="7" xfId="4" applyFont="1" applyFill="1" applyBorder="1" applyAlignment="1">
      <alignment horizontal="center" vertical="center" wrapText="1"/>
    </xf>
    <xf numFmtId="0" fontId="40" fillId="8" borderId="10" xfId="4" applyFont="1" applyFill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167" fontId="47" fillId="18" borderId="0" xfId="4" applyNumberFormat="1" applyFont="1" applyFill="1" applyAlignment="1">
      <alignment vertical="center"/>
    </xf>
    <xf numFmtId="167" fontId="46" fillId="16" borderId="0" xfId="4" applyNumberFormat="1" applyFont="1" applyFill="1" applyAlignment="1">
      <alignment vertical="center"/>
    </xf>
    <xf numFmtId="170" fontId="47" fillId="18" borderId="0" xfId="4" applyNumberFormat="1" applyFont="1" applyFill="1" applyAlignment="1">
      <alignment vertical="center"/>
    </xf>
    <xf numFmtId="0" fontId="46" fillId="18" borderId="0" xfId="0" applyFont="1" applyFill="1" applyAlignment="1">
      <alignment vertical="center"/>
    </xf>
    <xf numFmtId="0" fontId="47" fillId="18" borderId="0" xfId="0" applyFont="1" applyFill="1" applyAlignment="1">
      <alignment vertical="center"/>
    </xf>
    <xf numFmtId="168" fontId="47" fillId="29" borderId="0" xfId="1" applyNumberFormat="1" applyFont="1" applyFill="1" applyAlignment="1">
      <alignment vertical="center"/>
    </xf>
    <xf numFmtId="167" fontId="47" fillId="5" borderId="0" xfId="4" applyNumberFormat="1" applyFont="1" applyFill="1" applyAlignment="1">
      <alignment vertical="center"/>
    </xf>
    <xf numFmtId="167" fontId="46" fillId="18" borderId="0" xfId="4" applyNumberFormat="1" applyFont="1" applyFill="1" applyAlignment="1">
      <alignment vertical="center"/>
    </xf>
    <xf numFmtId="167" fontId="46" fillId="28" borderId="0" xfId="4" applyNumberFormat="1" applyFont="1" applyFill="1" applyAlignment="1">
      <alignment vertical="center"/>
    </xf>
    <xf numFmtId="167" fontId="47" fillId="28" borderId="0" xfId="4" applyNumberFormat="1" applyFont="1" applyFill="1" applyAlignment="1">
      <alignment vertical="center"/>
    </xf>
    <xf numFmtId="1" fontId="47" fillId="5" borderId="0" xfId="4" applyNumberFormat="1" applyFont="1" applyFill="1" applyAlignment="1">
      <alignment vertical="center"/>
    </xf>
    <xf numFmtId="167" fontId="46" fillId="5" borderId="0" xfId="4" applyNumberFormat="1" applyFont="1" applyFill="1" applyAlignment="1">
      <alignment vertical="center"/>
    </xf>
    <xf numFmtId="167" fontId="47" fillId="18" borderId="0" xfId="0" applyNumberFormat="1" applyFont="1" applyFill="1" applyAlignment="1">
      <alignment vertical="center"/>
    </xf>
    <xf numFmtId="167" fontId="46" fillId="10" borderId="0" xfId="4" applyNumberFormat="1" applyFont="1" applyFill="1" applyAlignment="1">
      <alignment vertical="center"/>
    </xf>
    <xf numFmtId="167" fontId="47" fillId="28" borderId="0" xfId="0" applyNumberFormat="1" applyFont="1" applyFill="1" applyAlignment="1">
      <alignment vertical="center"/>
    </xf>
    <xf numFmtId="1" fontId="47" fillId="18" borderId="0" xfId="0" applyNumberFormat="1" applyFont="1" applyFill="1" applyAlignment="1">
      <alignment vertical="center"/>
    </xf>
    <xf numFmtId="167" fontId="47" fillId="20" borderId="0" xfId="4" applyNumberFormat="1" applyFont="1" applyFill="1" applyAlignment="1">
      <alignment vertical="center"/>
    </xf>
    <xf numFmtId="0" fontId="46" fillId="28" borderId="0" xfId="0" applyFont="1" applyFill="1" applyAlignment="1">
      <alignment vertical="center"/>
    </xf>
    <xf numFmtId="166" fontId="46" fillId="16" borderId="0" xfId="109" applyNumberFormat="1" applyFont="1" applyFill="1" applyAlignment="1">
      <alignment vertical="center"/>
    </xf>
    <xf numFmtId="0" fontId="47" fillId="19" borderId="0" xfId="0" applyFont="1" applyFill="1" applyAlignment="1">
      <alignment vertical="center"/>
    </xf>
    <xf numFmtId="0" fontId="38" fillId="0" borderId="13" xfId="2" applyFont="1" applyBorder="1"/>
    <xf numFmtId="0" fontId="40" fillId="8" borderId="6" xfId="4" applyFont="1" applyFill="1" applyBorder="1" applyAlignment="1">
      <alignment horizontal="center" vertical="center" wrapText="1"/>
    </xf>
    <xf numFmtId="0" fontId="40" fillId="8" borderId="1" xfId="4" applyFont="1" applyFill="1" applyBorder="1" applyAlignment="1">
      <alignment horizontal="center" vertical="center"/>
    </xf>
    <xf numFmtId="0" fontId="40" fillId="8" borderId="7" xfId="4" applyFont="1" applyFill="1" applyBorder="1" applyAlignment="1">
      <alignment horizontal="center" vertical="center"/>
    </xf>
    <xf numFmtId="0" fontId="40" fillId="8" borderId="0" xfId="4" applyFont="1" applyFill="1" applyAlignment="1">
      <alignment horizontal="center" vertical="center" wrapText="1"/>
    </xf>
    <xf numFmtId="0" fontId="40" fillId="8" borderId="0" xfId="4" applyFont="1" applyFill="1" applyAlignment="1">
      <alignment horizontal="center" vertical="center"/>
    </xf>
    <xf numFmtId="0" fontId="40" fillId="15" borderId="0" xfId="4" applyFont="1" applyFill="1" applyAlignment="1">
      <alignment horizontal="center" vertical="center" wrapText="1"/>
    </xf>
    <xf numFmtId="0" fontId="40" fillId="15" borderId="0" xfId="4" applyFont="1" applyFill="1" applyAlignment="1">
      <alignment horizontal="left" vertical="center"/>
    </xf>
    <xf numFmtId="0" fontId="40" fillId="15" borderId="0" xfId="4" applyFont="1" applyFill="1" applyAlignment="1">
      <alignment horizontal="center" vertical="center"/>
    </xf>
    <xf numFmtId="167" fontId="40" fillId="15" borderId="0" xfId="4" applyNumberFormat="1" applyFont="1" applyFill="1" applyAlignment="1">
      <alignment horizontal="center" vertical="center"/>
    </xf>
    <xf numFmtId="0" fontId="38" fillId="9" borderId="0" xfId="4" applyFont="1" applyFill="1" applyAlignment="1">
      <alignment horizontal="center" vertical="center"/>
    </xf>
    <xf numFmtId="0" fontId="38" fillId="9" borderId="0" xfId="4" applyFont="1" applyFill="1" applyAlignment="1">
      <alignment vertical="center"/>
    </xf>
    <xf numFmtId="4" fontId="46" fillId="17" borderId="0" xfId="4" applyNumberFormat="1" applyFont="1" applyFill="1" applyAlignment="1">
      <alignment horizontal="center" vertical="center"/>
    </xf>
    <xf numFmtId="4" fontId="47" fillId="17" borderId="0" xfId="4" applyNumberFormat="1" applyFont="1" applyFill="1" applyAlignment="1">
      <alignment horizontal="center" vertical="center"/>
    </xf>
    <xf numFmtId="0" fontId="41" fillId="0" borderId="0" xfId="4" applyFont="1" applyAlignment="1">
      <alignment horizontal="left" vertical="center"/>
    </xf>
    <xf numFmtId="0" fontId="41" fillId="0" borderId="0" xfId="4" applyFont="1" applyAlignment="1">
      <alignment horizontal="center" vertical="center"/>
    </xf>
    <xf numFmtId="0" fontId="43" fillId="0" borderId="0" xfId="4" applyFont="1" applyAlignment="1">
      <alignment horizontal="left" vertical="center"/>
    </xf>
    <xf numFmtId="0" fontId="44" fillId="0" borderId="0" xfId="4" applyFont="1" applyAlignment="1">
      <alignment horizontal="center" vertical="center"/>
    </xf>
    <xf numFmtId="0" fontId="41" fillId="5" borderId="0" xfId="4" applyFont="1" applyFill="1" applyAlignment="1">
      <alignment horizontal="left" vertical="center" wrapText="1"/>
    </xf>
    <xf numFmtId="0" fontId="41" fillId="5" borderId="0" xfId="4" applyFont="1" applyFill="1" applyAlignment="1">
      <alignment horizontal="center" vertical="center" wrapText="1"/>
    </xf>
    <xf numFmtId="0" fontId="43" fillId="6" borderId="0" xfId="4" applyFont="1" applyFill="1" applyAlignment="1">
      <alignment horizontal="left" vertical="center"/>
    </xf>
    <xf numFmtId="0" fontId="43" fillId="0" borderId="0" xfId="4" applyFont="1" applyAlignment="1">
      <alignment horizontal="center" vertical="center"/>
    </xf>
    <xf numFmtId="0" fontId="41" fillId="5" borderId="0" xfId="4" applyFont="1" applyFill="1" applyAlignment="1">
      <alignment horizontal="left" vertical="center"/>
    </xf>
    <xf numFmtId="0" fontId="41" fillId="5" borderId="0" xfId="4" applyFont="1" applyFill="1" applyAlignment="1">
      <alignment horizontal="center" vertical="center"/>
    </xf>
    <xf numFmtId="0" fontId="38" fillId="5" borderId="0" xfId="4" applyFont="1" applyFill="1" applyAlignment="1">
      <alignment horizontal="center" vertical="center"/>
    </xf>
    <xf numFmtId="0" fontId="38" fillId="9" borderId="0" xfId="4" applyFont="1" applyFill="1" applyAlignment="1">
      <alignment horizontal="center"/>
    </xf>
    <xf numFmtId="0" fontId="38" fillId="9" borderId="0" xfId="4" applyFont="1" applyFill="1"/>
    <xf numFmtId="0" fontId="41" fillId="0" borderId="0" xfId="4" applyFont="1" applyAlignment="1">
      <alignment horizontal="left"/>
    </xf>
    <xf numFmtId="0" fontId="41" fillId="0" borderId="0" xfId="4" applyFont="1" applyAlignment="1">
      <alignment horizontal="center" vertical="top"/>
    </xf>
    <xf numFmtId="0" fontId="43" fillId="0" borderId="0" xfId="4" applyFont="1" applyAlignment="1">
      <alignment horizontal="left" indent="2"/>
    </xf>
    <xf numFmtId="0" fontId="44" fillId="0" borderId="0" xfId="4" applyFont="1" applyAlignment="1">
      <alignment horizontal="center" vertical="top"/>
    </xf>
    <xf numFmtId="0" fontId="41" fillId="5" borderId="0" xfId="4" applyFont="1" applyFill="1" applyAlignment="1">
      <alignment horizontal="left" wrapText="1"/>
    </xf>
    <xf numFmtId="0" fontId="41" fillId="5" borderId="0" xfId="4" applyFont="1" applyFill="1" applyAlignment="1">
      <alignment horizontal="center" vertical="top" wrapText="1"/>
    </xf>
    <xf numFmtId="167" fontId="41" fillId="5" borderId="0" xfId="4" applyNumberFormat="1" applyFont="1" applyFill="1" applyAlignment="1">
      <alignment horizontal="center" vertical="top" wrapText="1"/>
    </xf>
    <xf numFmtId="167" fontId="41" fillId="5" borderId="0" xfId="4" applyNumberFormat="1" applyFont="1" applyFill="1" applyAlignment="1">
      <alignment horizontal="right" vertical="top" wrapText="1"/>
    </xf>
    <xf numFmtId="0" fontId="43" fillId="0" borderId="0" xfId="4" applyFont="1" applyAlignment="1">
      <alignment horizontal="center" vertical="top"/>
    </xf>
    <xf numFmtId="0" fontId="41" fillId="5" borderId="0" xfId="4" applyFont="1" applyFill="1" applyAlignment="1">
      <alignment horizontal="left"/>
    </xf>
    <xf numFmtId="0" fontId="41" fillId="5" borderId="0" xfId="4" applyFont="1" applyFill="1" applyAlignment="1">
      <alignment horizontal="center" vertical="top"/>
    </xf>
    <xf numFmtId="3" fontId="47" fillId="17" borderId="0" xfId="4" applyNumberFormat="1" applyFont="1" applyFill="1" applyAlignment="1">
      <alignment horizontal="right" vertical="center"/>
    </xf>
    <xf numFmtId="0" fontId="41" fillId="10" borderId="0" xfId="4" applyFont="1" applyFill="1" applyAlignment="1">
      <alignment horizontal="left" vertical="center"/>
    </xf>
    <xf numFmtId="0" fontId="41" fillId="10" borderId="0" xfId="4" applyFont="1" applyFill="1" applyAlignment="1">
      <alignment horizontal="center" vertical="center"/>
    </xf>
    <xf numFmtId="0" fontId="43" fillId="10" borderId="0" xfId="4" applyFont="1" applyFill="1" applyAlignment="1">
      <alignment horizontal="left" vertical="center"/>
    </xf>
    <xf numFmtId="4" fontId="48" fillId="5" borderId="0" xfId="4" applyNumberFormat="1" applyFont="1" applyFill="1" applyAlignment="1">
      <alignment vertical="center"/>
    </xf>
    <xf numFmtId="0" fontId="43" fillId="5" borderId="0" xfId="4" applyFont="1" applyFill="1" applyAlignment="1">
      <alignment horizontal="center" vertical="center"/>
    </xf>
    <xf numFmtId="0" fontId="41" fillId="10" borderId="0" xfId="4" applyFont="1" applyFill="1" applyAlignment="1">
      <alignment horizontal="left" indent="2"/>
    </xf>
    <xf numFmtId="0" fontId="41" fillId="10" borderId="0" xfId="4" applyFont="1" applyFill="1" applyAlignment="1">
      <alignment horizontal="center" vertical="top"/>
    </xf>
    <xf numFmtId="0" fontId="43" fillId="10" borderId="0" xfId="4" applyFont="1" applyFill="1" applyAlignment="1">
      <alignment horizontal="left" indent="3"/>
    </xf>
    <xf numFmtId="0" fontId="41" fillId="5" borderId="0" xfId="4" applyFont="1" applyFill="1" applyAlignment="1">
      <alignment horizontal="left" indent="2"/>
    </xf>
    <xf numFmtId="0" fontId="44" fillId="5" borderId="0" xfId="4" applyFont="1" applyFill="1" applyAlignment="1">
      <alignment horizontal="center"/>
    </xf>
    <xf numFmtId="0" fontId="44" fillId="5" borderId="0" xfId="4" applyFont="1" applyFill="1" applyAlignment="1">
      <alignment horizontal="center" vertical="center"/>
    </xf>
    <xf numFmtId="0" fontId="43" fillId="25" borderId="0" xfId="4" applyFont="1" applyFill="1" applyAlignment="1">
      <alignment horizontal="left" vertical="center"/>
    </xf>
    <xf numFmtId="0" fontId="44" fillId="10" borderId="0" xfId="4" applyFont="1" applyFill="1" applyAlignment="1">
      <alignment horizontal="center" vertical="center"/>
    </xf>
    <xf numFmtId="49" fontId="37" fillId="12" borderId="8" xfId="2" applyNumberFormat="1" applyFont="1" applyFill="1" applyBorder="1" applyAlignment="1">
      <alignment horizontal="center" vertical="center" wrapText="1"/>
    </xf>
    <xf numFmtId="0" fontId="37" fillId="12" borderId="8" xfId="2" applyFont="1" applyFill="1" applyBorder="1" applyAlignment="1">
      <alignment horizontal="center" vertical="center"/>
    </xf>
    <xf numFmtId="49" fontId="38" fillId="9" borderId="0" xfId="2" applyNumberFormat="1" applyFont="1" applyFill="1" applyAlignment="1">
      <alignment horizontal="center"/>
    </xf>
    <xf numFmtId="0" fontId="38" fillId="9" borderId="0" xfId="2" applyFont="1" applyFill="1" applyAlignment="1">
      <alignment vertical="center"/>
    </xf>
    <xf numFmtId="164" fontId="3" fillId="9" borderId="0" xfId="2" applyNumberFormat="1" applyFont="1" applyFill="1"/>
    <xf numFmtId="49" fontId="38" fillId="5" borderId="0" xfId="2" applyNumberFormat="1" applyFont="1" applyFill="1" applyAlignment="1">
      <alignment horizontal="center" vertical="center"/>
    </xf>
    <xf numFmtId="0" fontId="38" fillId="5" borderId="0" xfId="2" applyFont="1" applyFill="1" applyAlignment="1">
      <alignment vertical="center"/>
    </xf>
    <xf numFmtId="0" fontId="3" fillId="5" borderId="0" xfId="2" applyFont="1" applyFill="1"/>
    <xf numFmtId="49" fontId="3" fillId="0" borderId="0" xfId="2" applyNumberFormat="1" applyFont="1" applyAlignment="1">
      <alignment horizontal="center" vertical="center"/>
    </xf>
    <xf numFmtId="0" fontId="44" fillId="0" borderId="0" xfId="2" applyFont="1" applyAlignment="1">
      <alignment horizontal="right"/>
    </xf>
    <xf numFmtId="49" fontId="38" fillId="5" borderId="0" xfId="2" applyNumberFormat="1" applyFont="1" applyFill="1" applyAlignment="1">
      <alignment horizontal="center"/>
    </xf>
    <xf numFmtId="0" fontId="43" fillId="16" borderId="0" xfId="2" applyFont="1" applyFill="1" applyAlignment="1">
      <alignment horizontal="right"/>
    </xf>
    <xf numFmtId="0" fontId="41" fillId="16" borderId="0" xfId="2" applyFont="1" applyFill="1" applyAlignment="1">
      <alignment horizontal="left"/>
    </xf>
    <xf numFmtId="0" fontId="3" fillId="0" borderId="0" xfId="2" applyFont="1" applyAlignment="1">
      <alignment horizontal="left"/>
    </xf>
    <xf numFmtId="14" fontId="43" fillId="16" borderId="0" xfId="2" applyNumberFormat="1" applyFont="1" applyFill="1" applyAlignment="1">
      <alignment horizontal="right"/>
    </xf>
    <xf numFmtId="166" fontId="49" fillId="16" borderId="0" xfId="3" applyNumberFormat="1" applyFont="1" applyFill="1" applyBorder="1"/>
    <xf numFmtId="3" fontId="49" fillId="16" borderId="0" xfId="2" applyNumberFormat="1" applyFont="1" applyFill="1"/>
    <xf numFmtId="3" fontId="50" fillId="16" borderId="0" xfId="2" applyNumberFormat="1" applyFont="1" applyFill="1"/>
    <xf numFmtId="0" fontId="2" fillId="9" borderId="0" xfId="4" applyFont="1" applyFill="1" applyAlignment="1">
      <alignment horizontal="center"/>
    </xf>
    <xf numFmtId="0" fontId="2" fillId="0" borderId="0" xfId="4" applyFont="1" applyAlignment="1">
      <alignment horizontal="center" vertical="center"/>
    </xf>
    <xf numFmtId="0" fontId="2" fillId="5" borderId="0" xfId="4" applyFont="1" applyFill="1" applyAlignment="1">
      <alignment horizontal="center" vertical="center"/>
    </xf>
    <xf numFmtId="4" fontId="2" fillId="5" borderId="0" xfId="4" applyNumberFormat="1" applyFont="1" applyFill="1"/>
    <xf numFmtId="4" fontId="2" fillId="0" borderId="0" xfId="4" applyNumberFormat="1" applyFont="1"/>
    <xf numFmtId="0" fontId="2" fillId="0" borderId="0" xfId="2" applyFont="1"/>
    <xf numFmtId="0" fontId="2" fillId="9" borderId="0" xfId="4" applyFont="1" applyFill="1" applyAlignment="1">
      <alignment horizontal="center" vertical="center"/>
    </xf>
    <xf numFmtId="167" fontId="2" fillId="16" borderId="0" xfId="4" applyNumberFormat="1" applyFont="1" applyFill="1" applyAlignment="1">
      <alignment vertical="top"/>
    </xf>
    <xf numFmtId="0" fontId="38" fillId="0" borderId="0" xfId="2" applyFont="1" applyAlignment="1">
      <alignment vertical="top" wrapText="1"/>
    </xf>
    <xf numFmtId="4" fontId="2" fillId="5" borderId="0" xfId="4" applyNumberFormat="1" applyFont="1" applyFill="1" applyAlignment="1">
      <alignment vertical="center"/>
    </xf>
    <xf numFmtId="4" fontId="2" fillId="10" borderId="0" xfId="4" applyNumberFormat="1" applyFont="1" applyFill="1" applyAlignment="1">
      <alignment vertical="center"/>
    </xf>
    <xf numFmtId="4" fontId="2" fillId="0" borderId="0" xfId="4" applyNumberFormat="1" applyFont="1" applyAlignment="1">
      <alignment vertical="center"/>
    </xf>
    <xf numFmtId="4" fontId="2" fillId="10" borderId="0" xfId="4" applyNumberFormat="1" applyFont="1" applyFill="1"/>
    <xf numFmtId="0" fontId="49" fillId="6" borderId="0" xfId="4" applyFont="1" applyFill="1" applyAlignment="1">
      <alignment horizontal="left" vertical="center"/>
    </xf>
    <xf numFmtId="167" fontId="49" fillId="16" borderId="0" xfId="4" applyNumberFormat="1" applyFont="1" applyFill="1" applyAlignment="1">
      <alignment vertical="center"/>
    </xf>
    <xf numFmtId="3" fontId="43" fillId="16" borderId="0" xfId="2" applyNumberFormat="1" applyFont="1" applyFill="1" applyAlignment="1">
      <alignment horizontal="right"/>
    </xf>
    <xf numFmtId="1" fontId="41" fillId="7" borderId="0" xfId="2" applyNumberFormat="1" applyFont="1" applyFill="1" applyAlignment="1">
      <alignment horizontal="center" vertical="center"/>
    </xf>
    <xf numFmtId="1" fontId="38" fillId="6" borderId="0" xfId="2" applyNumberFormat="1" applyFont="1" applyFill="1" applyAlignment="1">
      <alignment horizontal="center" vertical="center"/>
    </xf>
    <xf numFmtId="0" fontId="40" fillId="8" borderId="1" xfId="2" applyFont="1" applyFill="1" applyBorder="1" applyAlignment="1">
      <alignment horizontal="center" vertical="center"/>
    </xf>
    <xf numFmtId="0" fontId="40" fillId="8" borderId="3" xfId="2" applyFont="1" applyFill="1" applyBorder="1" applyAlignment="1">
      <alignment horizontal="center" vertical="center"/>
    </xf>
    <xf numFmtId="0" fontId="40" fillId="8" borderId="20" xfId="2" applyFont="1" applyFill="1" applyBorder="1" applyAlignment="1">
      <alignment horizontal="center" vertical="center" wrapText="1"/>
    </xf>
    <xf numFmtId="0" fontId="40" fillId="8" borderId="21" xfId="2" applyFont="1" applyFill="1" applyBorder="1" applyAlignment="1">
      <alignment horizontal="center" vertical="center" wrapText="1"/>
    </xf>
    <xf numFmtId="0" fontId="38" fillId="6" borderId="0" xfId="2" applyFont="1" applyFill="1" applyAlignment="1">
      <alignment horizontal="center" vertical="top" wrapText="1"/>
    </xf>
    <xf numFmtId="0" fontId="12" fillId="8" borderId="1" xfId="2" applyFont="1" applyFill="1" applyBorder="1" applyAlignment="1">
      <alignment horizontal="center" vertical="center"/>
    </xf>
    <xf numFmtId="0" fontId="12" fillId="8" borderId="3" xfId="2" applyFont="1" applyFill="1" applyBorder="1" applyAlignment="1">
      <alignment horizontal="center" vertical="center"/>
    </xf>
    <xf numFmtId="0" fontId="13" fillId="8" borderId="1" xfId="2" applyFont="1" applyFill="1" applyBorder="1" applyAlignment="1">
      <alignment horizontal="center" vertical="center" wrapText="1"/>
    </xf>
    <xf numFmtId="0" fontId="13" fillId="8" borderId="3" xfId="2" applyFont="1" applyFill="1" applyBorder="1" applyAlignment="1">
      <alignment horizontal="center" vertical="center" wrapText="1"/>
    </xf>
    <xf numFmtId="0" fontId="10" fillId="0" borderId="0" xfId="2" applyFont="1" applyAlignment="1">
      <alignment horizontal="left" vertical="center" wrapText="1"/>
    </xf>
    <xf numFmtId="0" fontId="0" fillId="0" borderId="0" xfId="0" applyAlignment="1">
      <alignment horizontal="center" vertical="center" textRotation="90"/>
    </xf>
    <xf numFmtId="0" fontId="31" fillId="26" borderId="0" xfId="0" applyFont="1" applyFill="1" applyAlignment="1">
      <alignment horizontal="center"/>
    </xf>
    <xf numFmtId="0" fontId="32" fillId="2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8" fillId="4" borderId="0" xfId="2" applyFont="1" applyFill="1" applyAlignment="1">
      <alignment wrapText="1"/>
    </xf>
    <xf numFmtId="1" fontId="38" fillId="5" borderId="0" xfId="2" applyNumberFormat="1" applyFont="1" applyFill="1" applyAlignment="1">
      <alignment vertical="center"/>
    </xf>
    <xf numFmtId="1" fontId="10" fillId="5" borderId="0" xfId="2" applyNumberFormat="1" applyFont="1" applyFill="1" applyAlignment="1">
      <alignment horizontal="center" vertical="center"/>
    </xf>
    <xf numFmtId="1" fontId="10" fillId="5" borderId="0" xfId="2" applyNumberFormat="1" applyFont="1" applyFill="1" applyAlignment="1">
      <alignment horizontal="center" vertical="center"/>
    </xf>
    <xf numFmtId="0" fontId="13" fillId="8" borderId="18" xfId="2" applyFont="1" applyFill="1" applyBorder="1" applyAlignment="1">
      <alignment horizontal="center" vertical="center"/>
    </xf>
    <xf numFmtId="0" fontId="13" fillId="8" borderId="7" xfId="2" applyFont="1" applyFill="1" applyBorder="1" applyAlignment="1">
      <alignment horizontal="center" vertical="center"/>
    </xf>
    <xf numFmtId="0" fontId="15" fillId="5" borderId="0" xfId="2" applyFont="1" applyFill="1" applyAlignment="1">
      <alignment horizontal="center"/>
    </xf>
    <xf numFmtId="3" fontId="51" fillId="5" borderId="0" xfId="2" applyNumberFormat="1" applyFont="1" applyFill="1"/>
    <xf numFmtId="3" fontId="18" fillId="0" borderId="0" xfId="136" applyNumberFormat="1" applyFont="1"/>
    <xf numFmtId="3" fontId="18" fillId="0" borderId="0" xfId="2" applyNumberFormat="1" applyFont="1"/>
    <xf numFmtId="0" fontId="15" fillId="5" borderId="0" xfId="136" applyFont="1" applyFill="1" applyAlignment="1">
      <alignment horizontal="center"/>
    </xf>
    <xf numFmtId="3" fontId="15" fillId="5" borderId="0" xfId="2" applyNumberFormat="1" applyFont="1" applyFill="1" applyAlignment="1">
      <alignment horizontal="center"/>
    </xf>
    <xf numFmtId="3" fontId="18" fillId="16" borderId="0" xfId="2" applyNumberFormat="1" applyFont="1" applyFill="1"/>
    <xf numFmtId="3" fontId="18" fillId="10" borderId="0" xfId="2" applyNumberFormat="1" applyFont="1" applyFill="1"/>
    <xf numFmtId="3" fontId="18" fillId="9" borderId="0" xfId="136" applyNumberFormat="1" applyFont="1" applyFill="1" applyAlignment="1">
      <alignment horizontal="center"/>
    </xf>
    <xf numFmtId="3" fontId="51" fillId="9" borderId="0" xfId="2" applyNumberFormat="1" applyFont="1" applyFill="1" applyAlignment="1">
      <alignment horizontal="right"/>
    </xf>
    <xf numFmtId="3" fontId="18" fillId="9" borderId="0" xfId="136" applyNumberFormat="1" applyFont="1" applyFill="1" applyAlignment="1">
      <alignment horizontal="right"/>
    </xf>
    <xf numFmtId="3" fontId="18" fillId="10" borderId="0" xfId="136" applyNumberFormat="1" applyFont="1" applyFill="1"/>
    <xf numFmtId="9" fontId="18" fillId="10" borderId="0" xfId="3" applyFont="1" applyFill="1"/>
    <xf numFmtId="3" fontId="51" fillId="9" borderId="0" xfId="136" applyNumberFormat="1" applyFont="1" applyFill="1" applyAlignment="1">
      <alignment horizontal="right"/>
    </xf>
    <xf numFmtId="3" fontId="51" fillId="9" borderId="0" xfId="136" applyNumberFormat="1" applyFont="1" applyFill="1" applyAlignment="1">
      <alignment horizontal="center"/>
    </xf>
    <xf numFmtId="3" fontId="51" fillId="0" borderId="0" xfId="136" applyNumberFormat="1" applyFont="1"/>
    <xf numFmtId="3" fontId="51" fillId="0" borderId="0" xfId="2" applyNumberFormat="1" applyFont="1"/>
    <xf numFmtId="3" fontId="51" fillId="16" borderId="0" xfId="2" applyNumberFormat="1" applyFont="1" applyFill="1"/>
    <xf numFmtId="3" fontId="51" fillId="5" borderId="0" xfId="2" applyNumberFormat="1" applyFont="1" applyFill="1" applyAlignment="1">
      <alignment horizontal="right"/>
    </xf>
    <xf numFmtId="3" fontId="18" fillId="5" borderId="0" xfId="136" applyNumberFormat="1" applyFont="1" applyFill="1" applyAlignment="1">
      <alignment horizontal="right"/>
    </xf>
    <xf numFmtId="3" fontId="18" fillId="5" borderId="0" xfId="2" applyNumberFormat="1" applyFont="1" applyFill="1" applyAlignment="1">
      <alignment horizontal="right"/>
    </xf>
    <xf numFmtId="3" fontId="5" fillId="0" borderId="0" xfId="136" applyNumberFormat="1"/>
    <xf numFmtId="3" fontId="5" fillId="16" borderId="0" xfId="2" applyNumberFormat="1" applyFill="1"/>
    <xf numFmtId="1" fontId="5" fillId="0" borderId="0" xfId="136" applyNumberFormat="1"/>
    <xf numFmtId="1" fontId="5" fillId="16" borderId="0" xfId="2" applyNumberFormat="1" applyFill="1"/>
    <xf numFmtId="0" fontId="18" fillId="5" borderId="0" xfId="136" applyFont="1" applyFill="1" applyAlignment="1">
      <alignment horizontal="center"/>
    </xf>
    <xf numFmtId="0" fontId="18" fillId="5" borderId="0" xfId="2" applyFont="1" applyFill="1" applyAlignment="1">
      <alignment horizontal="center"/>
    </xf>
    <xf numFmtId="3" fontId="52" fillId="0" borderId="0" xfId="136" applyNumberFormat="1" applyFont="1"/>
    <xf numFmtId="3" fontId="52" fillId="16" borderId="0" xfId="2" applyNumberFormat="1" applyFont="1" applyFill="1"/>
    <xf numFmtId="3" fontId="18" fillId="10" borderId="0" xfId="136" applyNumberFormat="1" applyFont="1" applyFill="1" applyAlignment="1">
      <alignment horizontal="right"/>
    </xf>
    <xf numFmtId="3" fontId="18" fillId="16" borderId="0" xfId="2" applyNumberFormat="1" applyFont="1" applyFill="1" applyAlignment="1">
      <alignment horizontal="right"/>
    </xf>
    <xf numFmtId="166" fontId="18" fillId="0" borderId="0" xfId="3" applyNumberFormat="1" applyFont="1"/>
    <xf numFmtId="166" fontId="18" fillId="16" borderId="0" xfId="3" applyNumberFormat="1" applyFont="1" applyFill="1"/>
    <xf numFmtId="0" fontId="5" fillId="0" borderId="0" xfId="2" applyAlignment="1">
      <alignment vertical="top"/>
    </xf>
  </cellXfs>
  <cellStyles count="137">
    <cellStyle name="DBoard_link" xfId="41" xr:uid="{00000000-0005-0000-0000-000000000000}"/>
    <cellStyle name="Header3" xfId="54" xr:uid="{00000000-0005-0000-0000-000001000000}"/>
    <cellStyle name="Input1" xfId="36" xr:uid="{00000000-0005-0000-0000-000002000000}"/>
    <cellStyle name="Normal 2" xfId="37" xr:uid="{00000000-0005-0000-0000-000003000000}"/>
    <cellStyle name="Обычный" xfId="0" builtinId="0"/>
    <cellStyle name="Обычный 10" xfId="23" xr:uid="{00000000-0005-0000-0000-000005000000}"/>
    <cellStyle name="Обычный 10 2" xfId="67" xr:uid="{00000000-0005-0000-0000-000006000000}"/>
    <cellStyle name="Обычный 10 5" xfId="136" xr:uid="{D03233BA-22D9-40BF-AAE6-7B9F26D63DF3}"/>
    <cellStyle name="Обычный 11" xfId="27" xr:uid="{00000000-0005-0000-0000-000007000000}"/>
    <cellStyle name="Обычный 11 2" xfId="69" xr:uid="{00000000-0005-0000-0000-000008000000}"/>
    <cellStyle name="Обычный 12" xfId="28" xr:uid="{00000000-0005-0000-0000-000009000000}"/>
    <cellStyle name="Обычный 12 2" xfId="70" xr:uid="{00000000-0005-0000-0000-00000A000000}"/>
    <cellStyle name="Обычный 13" xfId="30" xr:uid="{00000000-0005-0000-0000-00000B000000}"/>
    <cellStyle name="Обычный 13 2" xfId="72" xr:uid="{00000000-0005-0000-0000-00000C000000}"/>
    <cellStyle name="Обычный 14" xfId="39" xr:uid="{00000000-0005-0000-0000-00000D000000}"/>
    <cellStyle name="Обычный 14 2" xfId="78" xr:uid="{00000000-0005-0000-0000-00000E000000}"/>
    <cellStyle name="Обычный 15" xfId="42" xr:uid="{00000000-0005-0000-0000-00000F000000}"/>
    <cellStyle name="Обычный 15 2" xfId="47" xr:uid="{00000000-0005-0000-0000-000010000000}"/>
    <cellStyle name="Обычный 15 2 2" xfId="85" xr:uid="{00000000-0005-0000-0000-000011000000}"/>
    <cellStyle name="Обычный 15 3" xfId="80" xr:uid="{00000000-0005-0000-0000-000012000000}"/>
    <cellStyle name="Обычный 16" xfId="50" xr:uid="{00000000-0005-0000-0000-000013000000}"/>
    <cellStyle name="Обычный 17" xfId="56" xr:uid="{00000000-0005-0000-0000-000014000000}"/>
    <cellStyle name="Обычный 17 2" xfId="92" xr:uid="{00000000-0005-0000-0000-000015000000}"/>
    <cellStyle name="Обычный 18" xfId="93" xr:uid="{00000000-0005-0000-0000-000016000000}"/>
    <cellStyle name="Обычный 19" xfId="94" xr:uid="{00000000-0005-0000-0000-000017000000}"/>
    <cellStyle name="Обычный 2" xfId="2" xr:uid="{00000000-0005-0000-0000-000018000000}"/>
    <cellStyle name="Обычный 2 2" xfId="25" xr:uid="{00000000-0005-0000-0000-000019000000}"/>
    <cellStyle name="Обычный 2 2 2" xfId="31" xr:uid="{00000000-0005-0000-0000-00001A000000}"/>
    <cellStyle name="Обычный 2 2 2 2" xfId="44" xr:uid="{00000000-0005-0000-0000-00001B000000}"/>
    <cellStyle name="Обычный 2 2 2 2 2" xfId="82" xr:uid="{00000000-0005-0000-0000-00001C000000}"/>
    <cellStyle name="Обычный 2 2 2 3" xfId="45" xr:uid="{00000000-0005-0000-0000-00001D000000}"/>
    <cellStyle name="Обычный 2 2 2 3 2" xfId="83" xr:uid="{00000000-0005-0000-0000-00001E000000}"/>
    <cellStyle name="Обычный 2 2 2 4" xfId="55" xr:uid="{00000000-0005-0000-0000-00001F000000}"/>
    <cellStyle name="Обычный 2 2 2 4 2" xfId="91" xr:uid="{00000000-0005-0000-0000-000020000000}"/>
    <cellStyle name="Обычный 2 2 2 5" xfId="73" xr:uid="{00000000-0005-0000-0000-000021000000}"/>
    <cellStyle name="Обычный 2 3" xfId="35" xr:uid="{00000000-0005-0000-0000-000022000000}"/>
    <cellStyle name="Обычный 2 3 2" xfId="38" xr:uid="{00000000-0005-0000-0000-000023000000}"/>
    <cellStyle name="Обычный 2 3 2 2" xfId="49" xr:uid="{00000000-0005-0000-0000-000024000000}"/>
    <cellStyle name="Обычный 2 3 2 2 2" xfId="87" xr:uid="{00000000-0005-0000-0000-000025000000}"/>
    <cellStyle name="Обычный 2 3 2 3" xfId="52" xr:uid="{00000000-0005-0000-0000-000026000000}"/>
    <cellStyle name="Обычный 2 3 2 3 2" xfId="89" xr:uid="{00000000-0005-0000-0000-000027000000}"/>
    <cellStyle name="Обычный 2 3 2 4" xfId="77" xr:uid="{00000000-0005-0000-0000-000028000000}"/>
    <cellStyle name="Обычный 2 3 3" xfId="40" xr:uid="{00000000-0005-0000-0000-000029000000}"/>
    <cellStyle name="Обычный 2 3 3 2" xfId="79" xr:uid="{00000000-0005-0000-0000-00002A000000}"/>
    <cellStyle name="Обычный 2 3 4" xfId="43" xr:uid="{00000000-0005-0000-0000-00002B000000}"/>
    <cellStyle name="Обычный 2 3 4 2" xfId="48" xr:uid="{00000000-0005-0000-0000-00002C000000}"/>
    <cellStyle name="Обычный 2 3 4 2 2" xfId="86" xr:uid="{00000000-0005-0000-0000-00002D000000}"/>
    <cellStyle name="Обычный 2 3 4 3" xfId="81" xr:uid="{00000000-0005-0000-0000-00002E000000}"/>
    <cellStyle name="Обычный 2 3 5" xfId="46" xr:uid="{00000000-0005-0000-0000-00002F000000}"/>
    <cellStyle name="Обычный 2 3 5 2" xfId="51" xr:uid="{00000000-0005-0000-0000-000030000000}"/>
    <cellStyle name="Обычный 2 3 5 2 2" xfId="88" xr:uid="{00000000-0005-0000-0000-000031000000}"/>
    <cellStyle name="Обычный 2 3 5 3" xfId="84" xr:uid="{00000000-0005-0000-0000-000032000000}"/>
    <cellStyle name="Обычный 2 3 6" xfId="76" xr:uid="{00000000-0005-0000-0000-000033000000}"/>
    <cellStyle name="Обычный 2 4" xfId="6" xr:uid="{00000000-0005-0000-0000-000034000000}"/>
    <cellStyle name="Обычный 3" xfId="4" xr:uid="{00000000-0005-0000-0000-000035000000}"/>
    <cellStyle name="Обычный 3 2" xfId="12" xr:uid="{00000000-0005-0000-0000-000036000000}"/>
    <cellStyle name="Обычный 3 3" xfId="22" xr:uid="{00000000-0005-0000-0000-000037000000}"/>
    <cellStyle name="Обычный 3 4" xfId="57" xr:uid="{00000000-0005-0000-0000-000038000000}"/>
    <cellStyle name="Обычный 3 5" xfId="96" xr:uid="{00000000-0005-0000-0000-000039000000}"/>
    <cellStyle name="Обычный 3 6" xfId="7" xr:uid="{00000000-0005-0000-0000-00003A000000}"/>
    <cellStyle name="Обычный 4" xfId="11" xr:uid="{00000000-0005-0000-0000-00003B000000}"/>
    <cellStyle name="Обычный 4 2" xfId="15" xr:uid="{00000000-0005-0000-0000-00003C000000}"/>
    <cellStyle name="Обычный 4 3" xfId="58" xr:uid="{00000000-0005-0000-0000-00003D000000}"/>
    <cellStyle name="Обычный 5" xfId="13" xr:uid="{00000000-0005-0000-0000-00003E000000}"/>
    <cellStyle name="Обычный 5 2" xfId="59" xr:uid="{00000000-0005-0000-0000-00003F000000}"/>
    <cellStyle name="Обычный 6" xfId="16" xr:uid="{00000000-0005-0000-0000-000040000000}"/>
    <cellStyle name="Обычный 6 2" xfId="61" xr:uid="{00000000-0005-0000-0000-000041000000}"/>
    <cellStyle name="Обычный 7" xfId="18" xr:uid="{00000000-0005-0000-0000-000042000000}"/>
    <cellStyle name="Обычный 7 2" xfId="63" xr:uid="{00000000-0005-0000-0000-000043000000}"/>
    <cellStyle name="Обычный 8" xfId="8" xr:uid="{00000000-0005-0000-0000-000044000000}"/>
    <cellStyle name="Обычный 9" xfId="20" xr:uid="{00000000-0005-0000-0000-000045000000}"/>
    <cellStyle name="Обычный 9 2" xfId="65" xr:uid="{00000000-0005-0000-0000-000046000000}"/>
    <cellStyle name="Процентный" xfId="109" builtinId="5"/>
    <cellStyle name="Процентный 2" xfId="3" xr:uid="{00000000-0005-0000-0000-000048000000}"/>
    <cellStyle name="Процентный 2 2" xfId="33" xr:uid="{00000000-0005-0000-0000-000049000000}"/>
    <cellStyle name="Процентный 2 3" xfId="9" xr:uid="{00000000-0005-0000-0000-00004A000000}"/>
    <cellStyle name="Процентный 3" xfId="34" xr:uid="{00000000-0005-0000-0000-00004B000000}"/>
    <cellStyle name="Процентный 3 2" xfId="75" xr:uid="{00000000-0005-0000-0000-00004C000000}"/>
    <cellStyle name="Процентный 4" xfId="53" xr:uid="{00000000-0005-0000-0000-00004D000000}"/>
    <cellStyle name="Процентный 4 2" xfId="90" xr:uid="{00000000-0005-0000-0000-00004E000000}"/>
    <cellStyle name="Финансовый" xfId="1" builtinId="3"/>
    <cellStyle name="Финансовый 10" xfId="95" xr:uid="{00000000-0005-0000-0000-000050000000}"/>
    <cellStyle name="Финансовый 10 2" xfId="123" xr:uid="{00000000-0005-0000-0000-000051000000}"/>
    <cellStyle name="Финансовый 11" xfId="5" xr:uid="{00000000-0005-0000-0000-000052000000}"/>
    <cellStyle name="Финансовый 12" xfId="110" xr:uid="{00000000-0005-0000-0000-000053000000}"/>
    <cellStyle name="Финансовый 2" xfId="14" xr:uid="{00000000-0005-0000-0000-000054000000}"/>
    <cellStyle name="Финансовый 2 2" xfId="26" xr:uid="{00000000-0005-0000-0000-000055000000}"/>
    <cellStyle name="Финансовый 2 3" xfId="60" xr:uid="{00000000-0005-0000-0000-000056000000}"/>
    <cellStyle name="Финансовый 2 3 2" xfId="103" xr:uid="{00000000-0005-0000-0000-000057000000}"/>
    <cellStyle name="Финансовый 2 3 2 2" xfId="130" xr:uid="{00000000-0005-0000-0000-000058000000}"/>
    <cellStyle name="Финансовый 2 3 3" xfId="117" xr:uid="{00000000-0005-0000-0000-000059000000}"/>
    <cellStyle name="Финансовый 2 4" xfId="97" xr:uid="{00000000-0005-0000-0000-00005A000000}"/>
    <cellStyle name="Финансовый 2 4 2" xfId="124" xr:uid="{00000000-0005-0000-0000-00005B000000}"/>
    <cellStyle name="Финансовый 2 5" xfId="111" xr:uid="{00000000-0005-0000-0000-00005C000000}"/>
    <cellStyle name="Финансовый 3" xfId="17" xr:uid="{00000000-0005-0000-0000-00005D000000}"/>
    <cellStyle name="Финансовый 3 2" xfId="62" xr:uid="{00000000-0005-0000-0000-00005E000000}"/>
    <cellStyle name="Финансовый 3 2 2" xfId="104" xr:uid="{00000000-0005-0000-0000-00005F000000}"/>
    <cellStyle name="Финансовый 3 2 2 2" xfId="131" xr:uid="{00000000-0005-0000-0000-000060000000}"/>
    <cellStyle name="Финансовый 3 2 3" xfId="118" xr:uid="{00000000-0005-0000-0000-000061000000}"/>
    <cellStyle name="Финансовый 3 3" xfId="98" xr:uid="{00000000-0005-0000-0000-000062000000}"/>
    <cellStyle name="Финансовый 3 3 2" xfId="125" xr:uid="{00000000-0005-0000-0000-000063000000}"/>
    <cellStyle name="Финансовый 3 4" xfId="112" xr:uid="{00000000-0005-0000-0000-000064000000}"/>
    <cellStyle name="Финансовый 4" xfId="10" xr:uid="{00000000-0005-0000-0000-000065000000}"/>
    <cellStyle name="Финансовый 5" xfId="19" xr:uid="{00000000-0005-0000-0000-000066000000}"/>
    <cellStyle name="Финансовый 5 2" xfId="64" xr:uid="{00000000-0005-0000-0000-000067000000}"/>
    <cellStyle name="Финансовый 5 2 2" xfId="105" xr:uid="{00000000-0005-0000-0000-000068000000}"/>
    <cellStyle name="Финансовый 5 2 2 2" xfId="132" xr:uid="{00000000-0005-0000-0000-000069000000}"/>
    <cellStyle name="Финансовый 5 2 3" xfId="119" xr:uid="{00000000-0005-0000-0000-00006A000000}"/>
    <cellStyle name="Финансовый 5 3" xfId="99" xr:uid="{00000000-0005-0000-0000-00006B000000}"/>
    <cellStyle name="Финансовый 5 3 2" xfId="126" xr:uid="{00000000-0005-0000-0000-00006C000000}"/>
    <cellStyle name="Финансовый 5 4" xfId="113" xr:uid="{00000000-0005-0000-0000-00006D000000}"/>
    <cellStyle name="Финансовый 6" xfId="21" xr:uid="{00000000-0005-0000-0000-00006E000000}"/>
    <cellStyle name="Финансовый 6 2" xfId="66" xr:uid="{00000000-0005-0000-0000-00006F000000}"/>
    <cellStyle name="Финансовый 6 2 2" xfId="106" xr:uid="{00000000-0005-0000-0000-000070000000}"/>
    <cellStyle name="Финансовый 6 2 2 2" xfId="133" xr:uid="{00000000-0005-0000-0000-000071000000}"/>
    <cellStyle name="Финансовый 6 2 3" xfId="120" xr:uid="{00000000-0005-0000-0000-000072000000}"/>
    <cellStyle name="Финансовый 6 3" xfId="100" xr:uid="{00000000-0005-0000-0000-000073000000}"/>
    <cellStyle name="Финансовый 6 3 2" xfId="127" xr:uid="{00000000-0005-0000-0000-000074000000}"/>
    <cellStyle name="Финансовый 6 4" xfId="114" xr:uid="{00000000-0005-0000-0000-000075000000}"/>
    <cellStyle name="Финансовый 7" xfId="24" xr:uid="{00000000-0005-0000-0000-000076000000}"/>
    <cellStyle name="Финансовый 7 2" xfId="68" xr:uid="{00000000-0005-0000-0000-000077000000}"/>
    <cellStyle name="Финансовый 7 2 2" xfId="107" xr:uid="{00000000-0005-0000-0000-000078000000}"/>
    <cellStyle name="Финансовый 7 2 2 2" xfId="134" xr:uid="{00000000-0005-0000-0000-000079000000}"/>
    <cellStyle name="Финансовый 7 2 3" xfId="121" xr:uid="{00000000-0005-0000-0000-00007A000000}"/>
    <cellStyle name="Финансовый 7 3" xfId="101" xr:uid="{00000000-0005-0000-0000-00007B000000}"/>
    <cellStyle name="Финансовый 7 3 2" xfId="128" xr:uid="{00000000-0005-0000-0000-00007C000000}"/>
    <cellStyle name="Финансовый 7 4" xfId="115" xr:uid="{00000000-0005-0000-0000-00007D000000}"/>
    <cellStyle name="Финансовый 8" xfId="29" xr:uid="{00000000-0005-0000-0000-00007E000000}"/>
    <cellStyle name="Финансовый 8 2" xfId="71" xr:uid="{00000000-0005-0000-0000-00007F000000}"/>
    <cellStyle name="Финансовый 8 2 2" xfId="108" xr:uid="{00000000-0005-0000-0000-000080000000}"/>
    <cellStyle name="Финансовый 8 2 2 2" xfId="135" xr:uid="{00000000-0005-0000-0000-000081000000}"/>
    <cellStyle name="Финансовый 8 2 3" xfId="122" xr:uid="{00000000-0005-0000-0000-000082000000}"/>
    <cellStyle name="Финансовый 8 3" xfId="102" xr:uid="{00000000-0005-0000-0000-000083000000}"/>
    <cellStyle name="Финансовый 8 3 2" xfId="129" xr:uid="{00000000-0005-0000-0000-000084000000}"/>
    <cellStyle name="Финансовый 8 4" xfId="116" xr:uid="{00000000-0005-0000-0000-000085000000}"/>
    <cellStyle name="Финансовый 9" xfId="32" xr:uid="{00000000-0005-0000-0000-000086000000}"/>
    <cellStyle name="Финансовый 9 2" xfId="74" xr:uid="{00000000-0005-0000-0000-000087000000}"/>
  </cellStyles>
  <dxfs count="2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75F63"/>
      <color rgb="FFFDD7D3"/>
      <color rgb="FFFBA197"/>
      <color rgb="FFFCB2AA"/>
      <color rgb="FFEAF4E4"/>
      <color rgb="FFF2F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&#1060;&#1080;&#1085;&#1056;&#1077;&#1079; &#1050;&#1072;&#1084;&#1087;&#1091;&#1089;'!B2"/><Relationship Id="rId2" Type="http://schemas.openxmlformats.org/officeDocument/2006/relationships/hyperlink" Target="#&#1055;&#1072;&#1089;&#1087;&#1086;&#1088;&#1090;!B2"/><Relationship Id="rId1" Type="http://schemas.openxmlformats.org/officeDocument/2006/relationships/image" Target="../media/image1.png"/><Relationship Id="rId4" Type="http://schemas.openxmlformats.org/officeDocument/2006/relationships/hyperlink" Target="#'&#1060;&#1080;&#1085;&#1056;&#1077;&#1079; &#1080; &#1080;&#1085;&#1076;-&#1088;&#1099; &#1042;&#1059;&#1047;'!B2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1060;&#1080;&#1085;&#1056;&#1077;&#1079; &#1050;&#1072;&#1084;&#1087;&#1091;&#1089;'!B2"/><Relationship Id="rId2" Type="http://schemas.openxmlformats.org/officeDocument/2006/relationships/hyperlink" Target="#&#1055;&#1072;&#1089;&#1087;&#1086;&#1088;&#1090;!B2"/><Relationship Id="rId1" Type="http://schemas.openxmlformats.org/officeDocument/2006/relationships/image" Target="../media/image1.png"/><Relationship Id="rId4" Type="http://schemas.openxmlformats.org/officeDocument/2006/relationships/hyperlink" Target="#'&#1060;&#1080;&#1085;&#1056;&#1077;&#1079; &#1080; &#1080;&#1085;&#1076;-&#1088;&#1099; &#1042;&#1059;&#1047;'!B2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&#1060;&#1080;&#1085;&#1056;&#1077;&#1079; &#1050;&#1072;&#1084;&#1087;&#1091;&#1089;'!B2"/><Relationship Id="rId2" Type="http://schemas.openxmlformats.org/officeDocument/2006/relationships/hyperlink" Target="#&#1055;&#1072;&#1089;&#1087;&#1086;&#1088;&#1090;!B2"/><Relationship Id="rId1" Type="http://schemas.openxmlformats.org/officeDocument/2006/relationships/image" Target="../media/image1.png"/><Relationship Id="rId4" Type="http://schemas.openxmlformats.org/officeDocument/2006/relationships/hyperlink" Target="#'&#1060;&#1080;&#1085;&#1056;&#1077;&#1079; &#1080; &#1080;&#1085;&#1076;-&#1088;&#1099; &#1042;&#1059;&#1047;'!B2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&#1060;&#1080;&#1085;&#1056;&#1077;&#1079; &#1050;&#1072;&#1084;&#1087;&#1091;&#1089;'!B2"/><Relationship Id="rId2" Type="http://schemas.openxmlformats.org/officeDocument/2006/relationships/hyperlink" Target="#&#1055;&#1072;&#1089;&#1087;&#1086;&#1088;&#1090;!B2"/><Relationship Id="rId1" Type="http://schemas.openxmlformats.org/officeDocument/2006/relationships/image" Target="../media/image1.png"/><Relationship Id="rId4" Type="http://schemas.openxmlformats.org/officeDocument/2006/relationships/hyperlink" Target="#'&#1060;&#1080;&#1085;&#1056;&#1077;&#1079; &#1080; &#1080;&#1085;&#1076;-&#1088;&#1099; &#1042;&#1059;&#1047;'!B2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70037</xdr:colOff>
      <xdr:row>0</xdr:row>
      <xdr:rowOff>0</xdr:rowOff>
    </xdr:from>
    <xdr:ext cx="781047" cy="879288"/>
    <xdr:pic>
      <xdr:nvPicPr>
        <xdr:cNvPr id="2" name="Рисунок 1" descr="C:\Users\agulyajkin\Desktop\Герб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37" y="0"/>
          <a:ext cx="781047" cy="879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absoluteAnchor>
    <xdr:pos x="1000311" y="67607"/>
    <xdr:ext cx="1386303" cy="360000"/>
    <xdr:sp macro="" textlink="">
      <xdr:nvSpPr>
        <xdr:cNvPr id="3" name="Скругленный прямоугольник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00311" y="67607"/>
          <a:ext cx="1386303" cy="360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scene3d>
          <a:camera prst="orthographicFront"/>
          <a:lightRig rig="threePt" dir="t"/>
        </a:scene3d>
        <a:sp3d>
          <a:bevelT w="1143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Паспорт</a:t>
          </a:r>
        </a:p>
      </xdr:txBody>
    </xdr:sp>
    <xdr:clientData/>
  </xdr:absoluteAnchor>
  <xdr:absoluteAnchor>
    <xdr:pos x="4671026" y="61256"/>
    <xdr:ext cx="1517278" cy="360000"/>
    <xdr:sp macro="" textlink="">
      <xdr:nvSpPr>
        <xdr:cNvPr id="4" name="Скругленный прямоугольник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671026" y="61256"/>
          <a:ext cx="1517278" cy="360000"/>
        </a:xfrm>
        <a:prstGeom prst="roundRect">
          <a:avLst/>
        </a:prstGeom>
        <a:solidFill>
          <a:schemeClr val="bg1">
            <a:lumMod val="95000"/>
          </a:schemeClr>
        </a:solidFill>
        <a:scene3d>
          <a:camera prst="orthographicFront"/>
          <a:lightRig rig="threePt" dir="t"/>
        </a:scene3d>
        <a:sp3d>
          <a:bevelT w="1143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rgbClr val="1B3B72"/>
              </a:solidFill>
              <a:latin typeface="Arial" panose="020B0604020202020204" pitchFamily="34" charset="0"/>
              <a:cs typeface="Arial" panose="020B0604020202020204" pitchFamily="34" charset="0"/>
            </a:rPr>
            <a:t>ФинРез </a:t>
          </a:r>
          <a:r>
            <a:rPr lang="ru-RU" sz="1100" b="1">
              <a:solidFill>
                <a:srgbClr val="1B3B72"/>
              </a:solidFill>
              <a:latin typeface="Arial" panose="020B0604020202020204" pitchFamily="34" charset="0"/>
              <a:cs typeface="Arial" panose="020B0604020202020204" pitchFamily="34" charset="0"/>
            </a:rPr>
            <a:t>КАМПУС</a:t>
          </a:r>
        </a:p>
      </xdr:txBody>
    </xdr:sp>
    <xdr:clientData/>
  </xdr:absoluteAnchor>
  <xdr:absoluteAnchor>
    <xdr:pos x="2476500" y="63500"/>
    <xdr:ext cx="2076450" cy="361950"/>
    <xdr:sp macro="" textlink="">
      <xdr:nvSpPr>
        <xdr:cNvPr id="5" name="Скругленный прямоугольник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476500" y="63500"/>
          <a:ext cx="2076450" cy="361950"/>
        </a:xfrm>
        <a:prstGeom prst="roundRect">
          <a:avLst/>
        </a:prstGeom>
        <a:solidFill>
          <a:schemeClr val="bg1">
            <a:lumMod val="95000"/>
          </a:schemeClr>
        </a:solidFill>
        <a:scene3d>
          <a:camera prst="orthographicFront"/>
          <a:lightRig rig="threePt" dir="t"/>
        </a:scene3d>
        <a:sp3d>
          <a:bevelT w="1143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rgbClr val="1B3B72"/>
              </a:solidFill>
              <a:latin typeface="Arial" panose="020B0604020202020204" pitchFamily="34" charset="0"/>
              <a:cs typeface="Arial" panose="020B0604020202020204" pitchFamily="34" charset="0"/>
            </a:rPr>
            <a:t>ФинРез и индикаторы </a:t>
          </a:r>
          <a:r>
            <a:rPr lang="ru-RU" sz="1100" b="1">
              <a:solidFill>
                <a:srgbClr val="1B3B72"/>
              </a:solidFill>
              <a:latin typeface="Arial" panose="020B0604020202020204" pitchFamily="34" charset="0"/>
              <a:cs typeface="Arial" panose="020B0604020202020204" pitchFamily="34" charset="0"/>
            </a:rPr>
            <a:t>ВУЗ</a:t>
          </a: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19710" cy="1001160"/>
    <xdr:pic>
      <xdr:nvPicPr>
        <xdr:cNvPr id="17" name="Рисунок 16" descr="C:\Users\agulyajkin\Desktop\Герб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19710" cy="100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absoluteAnchor>
    <xdr:pos x="1006929" y="84258"/>
    <xdr:ext cx="969550" cy="360241"/>
    <xdr:sp macro="" textlink="">
      <xdr:nvSpPr>
        <xdr:cNvPr id="20" name="Скругленный прямоугольник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006929" y="84258"/>
          <a:ext cx="969550" cy="360241"/>
        </a:xfrm>
        <a:prstGeom prst="roundRect">
          <a:avLst/>
        </a:prstGeom>
        <a:solidFill>
          <a:sysClr val="window" lastClr="FFFFFF"/>
        </a:solidFill>
        <a:scene3d>
          <a:camera prst="orthographicFront"/>
          <a:lightRig rig="threePt" dir="t"/>
        </a:scene3d>
        <a:sp3d>
          <a:bevelT w="1143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Паспорт</a:t>
          </a:r>
        </a:p>
      </xdr:txBody>
    </xdr:sp>
    <xdr:clientData/>
  </xdr:absoluteAnchor>
  <xdr:absoluteAnchor>
    <xdr:pos x="4260891" y="77908"/>
    <xdr:ext cx="1517278" cy="360000"/>
    <xdr:sp macro="" textlink="">
      <xdr:nvSpPr>
        <xdr:cNvPr id="21" name="Скругленный прямоугольник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4260891" y="77908"/>
          <a:ext cx="1517278" cy="360000"/>
        </a:xfrm>
        <a:prstGeom prst="roundRect">
          <a:avLst/>
        </a:prstGeom>
        <a:solidFill>
          <a:sysClr val="window" lastClr="FFFFFF"/>
        </a:solidFill>
        <a:scene3d>
          <a:camera prst="orthographicFront"/>
          <a:lightRig rig="threePt" dir="t"/>
        </a:scene3d>
        <a:sp3d>
          <a:bevelT w="1143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ФинРез </a:t>
          </a:r>
          <a:r>
            <a:rPr lang="ru-RU" sz="11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КАМПУС</a:t>
          </a:r>
        </a:p>
      </xdr:txBody>
    </xdr:sp>
    <xdr:clientData/>
  </xdr:absoluteAnchor>
  <xdr:absoluteAnchor>
    <xdr:pos x="2066365" y="80152"/>
    <xdr:ext cx="2076450" cy="361950"/>
    <xdr:sp macro="" textlink="">
      <xdr:nvSpPr>
        <xdr:cNvPr id="22" name="Скругленный прямоугольник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2066365" y="80152"/>
          <a:ext cx="2076450" cy="36195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scene3d>
          <a:camera prst="orthographicFront"/>
          <a:lightRig rig="threePt" dir="t"/>
        </a:scene3d>
        <a:sp3d>
          <a:bevelT w="1143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ФинРез и индикаторы </a:t>
          </a:r>
          <a:r>
            <a:rPr lang="ru-RU" sz="1100" b="1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ВУЗ</a:t>
          </a:r>
        </a:p>
      </xdr:txBody>
    </xdr: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70037</xdr:colOff>
      <xdr:row>0</xdr:row>
      <xdr:rowOff>0</xdr:rowOff>
    </xdr:from>
    <xdr:ext cx="781047" cy="879288"/>
    <xdr:pic>
      <xdr:nvPicPr>
        <xdr:cNvPr id="2" name="Рисунок 1" descr="C:\Users\agulyajkin\Desktop\Герб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37" y="0"/>
          <a:ext cx="781047" cy="879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absoluteAnchor>
    <xdr:pos x="1000312" y="67607"/>
    <xdr:ext cx="971924" cy="360000"/>
    <xdr:sp macro="" textlink="">
      <xdr:nvSpPr>
        <xdr:cNvPr id="3" name="Скругленный прямоугольник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000312" y="67607"/>
          <a:ext cx="971924" cy="360000"/>
        </a:xfrm>
        <a:prstGeom prst="roundRect">
          <a:avLst/>
        </a:prstGeom>
        <a:solidFill>
          <a:sysClr val="window" lastClr="FFFFFF"/>
        </a:solidFill>
        <a:scene3d>
          <a:camera prst="orthographicFront"/>
          <a:lightRig rig="threePt" dir="t"/>
        </a:scene3d>
        <a:sp3d>
          <a:bevelT w="1143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Паспорт</a:t>
          </a:r>
        </a:p>
      </xdr:txBody>
    </xdr:sp>
    <xdr:clientData/>
  </xdr:absoluteAnchor>
  <xdr:absoluteAnchor>
    <xdr:pos x="4245202" y="68727"/>
    <xdr:ext cx="1517278" cy="360000"/>
    <xdr:sp macro="" textlink="">
      <xdr:nvSpPr>
        <xdr:cNvPr id="4" name="Скругленный прямоугольник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245202" y="68727"/>
          <a:ext cx="1517278" cy="360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scene3d>
          <a:camera prst="orthographicFront"/>
          <a:lightRig rig="threePt" dir="t"/>
        </a:scene3d>
        <a:sp3d>
          <a:bevelT w="1143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ФинРез </a:t>
          </a:r>
          <a:r>
            <a:rPr lang="ru-RU" sz="1100" b="1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КАМПУС</a:t>
          </a:r>
        </a:p>
      </xdr:txBody>
    </xdr:sp>
    <xdr:clientData/>
  </xdr:absoluteAnchor>
  <xdr:absoluteAnchor>
    <xdr:pos x="2050676" y="70971"/>
    <xdr:ext cx="2076450" cy="361950"/>
    <xdr:sp macro="" textlink="">
      <xdr:nvSpPr>
        <xdr:cNvPr id="5" name="Скругленный прямоугольник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050676" y="70971"/>
          <a:ext cx="2076450" cy="361950"/>
        </a:xfrm>
        <a:prstGeom prst="roundRect">
          <a:avLst/>
        </a:prstGeom>
        <a:solidFill>
          <a:schemeClr val="bg1">
            <a:lumMod val="95000"/>
          </a:schemeClr>
        </a:solidFill>
        <a:scene3d>
          <a:camera prst="orthographicFront"/>
          <a:lightRig rig="threePt" dir="t"/>
        </a:scene3d>
        <a:sp3d>
          <a:bevelT w="1143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rgbClr val="1B3B72"/>
              </a:solidFill>
              <a:latin typeface="Arial" panose="020B0604020202020204" pitchFamily="34" charset="0"/>
              <a:cs typeface="Arial" panose="020B0604020202020204" pitchFamily="34" charset="0"/>
            </a:rPr>
            <a:t>ФинРез и индикаторы </a:t>
          </a:r>
          <a:r>
            <a:rPr lang="ru-RU" sz="1100" b="1">
              <a:solidFill>
                <a:srgbClr val="1B3B72"/>
              </a:solidFill>
              <a:latin typeface="Arial" panose="020B0604020202020204" pitchFamily="34" charset="0"/>
              <a:cs typeface="Arial" panose="020B0604020202020204" pitchFamily="34" charset="0"/>
            </a:rPr>
            <a:t>ВУЗ</a:t>
          </a:r>
        </a:p>
      </xdr:txBody>
    </xdr: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0</xdr:col>
      <xdr:colOff>828672</xdr:colOff>
      <xdr:row>2</xdr:row>
      <xdr:rowOff>106910</xdr:rowOff>
    </xdr:to>
    <xdr:pic>
      <xdr:nvPicPr>
        <xdr:cNvPr id="2" name="Рисунок 1" descr="C:\Users\agulyajkin\Desktop\Герб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781047" cy="84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absoluteAnchor>
    <xdr:pos x="978646" y="95997"/>
    <xdr:ext cx="969550" cy="360241"/>
    <xdr:sp macro="" textlink="">
      <xdr:nvSpPr>
        <xdr:cNvPr id="3" name="Скругленный прямоугольник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978646" y="95997"/>
          <a:ext cx="969550" cy="360241"/>
        </a:xfrm>
        <a:prstGeom prst="roundRect">
          <a:avLst/>
        </a:prstGeom>
        <a:solidFill>
          <a:sysClr val="window" lastClr="FFFFFF"/>
        </a:solidFill>
        <a:scene3d>
          <a:camera prst="orthographicFront"/>
          <a:lightRig rig="threePt" dir="t"/>
        </a:scene3d>
        <a:sp3d>
          <a:bevelT w="1143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Паспорт</a:t>
          </a:r>
        </a:p>
      </xdr:txBody>
    </xdr:sp>
    <xdr:clientData/>
  </xdr:absoluteAnchor>
  <xdr:absoluteAnchor>
    <xdr:pos x="4232608" y="89647"/>
    <xdr:ext cx="1517278" cy="360000"/>
    <xdr:sp macro="" textlink="">
      <xdr:nvSpPr>
        <xdr:cNvPr id="4" name="Скругленный прямоугольник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232608" y="89647"/>
          <a:ext cx="1517278" cy="360000"/>
        </a:xfrm>
        <a:prstGeom prst="roundRect">
          <a:avLst/>
        </a:prstGeom>
        <a:solidFill>
          <a:sysClr val="window" lastClr="FFFFFF"/>
        </a:solidFill>
        <a:scene3d>
          <a:camera prst="orthographicFront"/>
          <a:lightRig rig="threePt" dir="t"/>
        </a:scene3d>
        <a:sp3d>
          <a:bevelT w="1143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ФинРез </a:t>
          </a:r>
          <a:r>
            <a:rPr lang="ru-RU" sz="11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КАМПУС</a:t>
          </a:r>
        </a:p>
      </xdr:txBody>
    </xdr:sp>
    <xdr:clientData/>
  </xdr:absoluteAnchor>
  <xdr:absoluteAnchor>
    <xdr:pos x="2038082" y="91891"/>
    <xdr:ext cx="2076450" cy="361950"/>
    <xdr:sp macro="" textlink="">
      <xdr:nvSpPr>
        <xdr:cNvPr id="5" name="Скругленный прямоугольник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038082" y="91891"/>
          <a:ext cx="2076450" cy="361950"/>
        </a:xfrm>
        <a:prstGeom prst="roundRect">
          <a:avLst/>
        </a:prstGeom>
        <a:solidFill>
          <a:schemeClr val="bg1">
            <a:lumMod val="95000"/>
          </a:schemeClr>
        </a:solidFill>
        <a:scene3d>
          <a:camera prst="orthographicFront"/>
          <a:lightRig rig="threePt" dir="t"/>
        </a:scene3d>
        <a:sp3d>
          <a:bevelT w="1143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>
              <a:solidFill>
                <a:srgbClr val="1B3B72"/>
              </a:solidFill>
              <a:latin typeface="Arial" panose="020B0604020202020204" pitchFamily="34" charset="0"/>
              <a:cs typeface="Arial" panose="020B0604020202020204" pitchFamily="34" charset="0"/>
            </a:rPr>
            <a:t>ФинРез и индикаторы </a:t>
          </a:r>
          <a:r>
            <a:rPr lang="ru-RU" sz="1100" b="1">
              <a:solidFill>
                <a:srgbClr val="1B3B72"/>
              </a:solidFill>
              <a:latin typeface="Arial" panose="020B0604020202020204" pitchFamily="34" charset="0"/>
              <a:cs typeface="Arial" panose="020B0604020202020204" pitchFamily="34" charset="0"/>
            </a:rPr>
            <a:t>ВУЗ</a:t>
          </a:r>
        </a:p>
      </xdr:txBody>
    </xdr:sp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Users\dkamensky\Documents\&#1057;&#1047;\&#1055;&#1047;_&#1053;&#1086;&#1074;&#1086;&#1089;&#1077;&#1083;&#1100;&#1094;&#1077;&#1074;&#1091;_21.08.14\&#1040;&#1056;&#1042;_&#1069;&#1050;&#1056;_&#1057;&#1055;&#1041;_&#1057;&#1042;&#1054;&#1044;_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kovrigina/YandexDisk/&#1054;&#1094;&#1077;&#1085;&#1082;&#1072;%20&#1060;&#1052;%20&#1082;&#1072;&#1084;&#1087;&#1091;&#1089;&#1086;&#1074;%20&#1084;&#1080;&#1088;.%20&#1091;&#1088;&#1086;&#1074;&#1085;&#1103;/&#1053;&#1054;&#1042;&#1040;&#1071;%20&#1060;&#1048;&#1053;%20&#1052;&#1054;&#1044;&#1045;&#1051;&#1068;%202025/3.%20&#1057;&#1042;&#1054;&#1044;&#1053;&#1067;&#1045;%20&#1060;&#1054;&#1056;&#1052;&#1067;%20(&#1047;&#1048;&#1047;&#1048;&#1053;)/&#1057;&#1074;&#1086;&#1076;&#1085;&#1099;&#1077;%20&#1092;&#1086;&#1088;&#1084;&#1099;%20&#1060;&#1052;_0.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483641F1/1_&#1060;&#1052;%20&#1082;&#1072;&#1084;&#1087;&#1091;&#1089;&#1072;%20(&#1080;&#1085;&#1092;&#1088;&#1072;&#1089;&#1090;&#1088;&#1091;&#1082;&#1090;&#1091;&#1088;&#1072;)_23-05-2025_&#1059;&#1088;&#1060;&#1059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83641F1\2_&#1060;&#1052;_&#1082;&#1072;&#1084;&#1087;&#1091;&#1089;&#1072;_&#1080;&#1085;&#1092;&#1088;&#1072;&#1089;&#1090;&#1088;&#1091;&#1082;&#1090;&#1091;&#1088;&#1072;_15_06_2025_&#1059;&#1088;&#1060;&#1059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483641F1/2_&#1060;&#1052;_&#1082;&#1072;&#1084;&#1087;&#1091;&#1089;&#1072;_&#1080;&#1085;&#1092;&#1088;&#1072;&#1089;&#1090;&#1088;&#1091;&#1082;&#1090;&#1091;&#1088;&#1072;_15_06_2025_&#1059;&#1088;&#1060;&#1059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\&#1050;&#1086;&#1082;&#1072;&#1088;&#1077;&#1074;&#1072;\&#1060;&#1048;&#1053;&#1055;&#1051;&#1040;&#1053;\&#1060;&#1048;&#1053;&#1055;&#1051;&#1040;&#1053;\&#1060;&#1055;%20&#1060;&#1048;&#1051;&#1048;&#1040;&#1051;&#1067;_&#1053;&#1054;&#1042;&#1067;&#1049;%20&#1085;&#1072;%202017-2018_&#1088;&#1072;&#1073;&#1086;&#1095;&#1080;&#1081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83641F1\1_&#1060;&#1052;%20&#1082;&#1072;&#1084;&#1087;&#1091;&#1089;&#1072;%20(&#1080;&#1085;&#1092;&#1088;&#1072;&#1089;&#1090;&#1088;&#1091;&#1082;&#1090;&#1091;&#1088;&#1072;)_23-05-2025_&#1059;&#1088;&#1060;&#1059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akravchenko/AppData/Local/Microsoft/Windows/INetCache/Content.Outlook/T2ANOE56/1_&#1060;&#1052;%20&#1082;&#1072;&#1084;&#1087;&#1091;&#1089;&#1072;%20(&#1080;&#1085;&#1092;&#1088;&#1072;&#1089;&#1090;&#1088;&#1091;&#1082;&#1090;&#1091;&#1088;&#1072;)_17-05-2025_&#1059;&#1088;&#1060;&#1059;_4%20(002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01_&#1060;&#1052;_&#1050;&#1072;&#1084;&#1087;&#1091;&#1089;%20&#1060;&#1088;&#1103;&#1079;&#1080;&#1085;&#1086;_&#1076;&#1086;%202042%203003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02_&#1060;&#1052;%20&#1050;&#1072;&#1084;&#1087;&#1091;&#1089;%20&#1060;&#1088;&#1103;&#1079;&#1080;&#1085;&#1086;_&#1084;&#1086;&#1076;&#1077;&#1083;&#1100;_&#1042;&#1091;&#1079;&#1072;_1_78_&#1076;&#1086;%202042%203003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Аналитика PP"/>
      <sheetName val="Аналитика ЗП"/>
      <sheetName val="Лист3"/>
      <sheetName val="описание"/>
      <sheetName val="Аналитика PP (2)"/>
      <sheetName val="Диаграмма2"/>
      <sheetName val="Аналитика PP (3)"/>
      <sheetName val="ПО ФИО"/>
      <sheetName val="АРВ_ЭКР_СПБ_СВОД_2"/>
      <sheetName val="Справочник признак ПДД под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аспорт"/>
      <sheetName val="СВОД"/>
      <sheetName val="Финансовый результат (кампус)"/>
      <sheetName val="Финансовый результат (вузы)"/>
      <sheetName val="Индикаторы (кампус)"/>
      <sheetName val="Индикаторы (вузы)"/>
      <sheetName val="Лист1"/>
      <sheetName val="Анализ чувствительности"/>
      <sheetName val="Настройки"/>
      <sheetName val="Расчет чувствительности"/>
      <sheetName val="БДДС"/>
      <sheetName val="пример расчет ВО"/>
      <sheetName val="Москва"/>
      <sheetName val="Сравнение ШД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едпосылки"/>
      <sheetName val="Заемные средства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ценка проекта"/>
      <sheetName val="Предпосылки"/>
      <sheetName val="Площади"/>
      <sheetName val="График общий"/>
      <sheetName val="Графики основная деятельность"/>
      <sheetName val="График КД"/>
      <sheetName val="График Аренда"/>
      <sheetName val="Кап.затраты"/>
      <sheetName val="ФОТ и СВ"/>
      <sheetName val="Массив к передаче"/>
      <sheetName val="Содержание"/>
      <sheetName val="Прочие расходы"/>
      <sheetName val="Распред затрат"/>
      <sheetName val="Тарифы"/>
      <sheetName val="Расчет доходов резидентов"/>
      <sheetName val="Заемные средства"/>
      <sheetName val="Доходы"/>
      <sheetName val="Налоги"/>
      <sheetName val="Отчет о ФР"/>
      <sheetName val="Баланс"/>
      <sheetName val="Отчет о ДДС"/>
      <sheetName val="Лист1"/>
      <sheetName val="КД-Общежитие"/>
      <sheetName val="КД-Гостиница"/>
      <sheetName val="КД-Мероприятия"/>
      <sheetName val="КД-Спорт"/>
      <sheetName val="КД-Медицина"/>
      <sheetName val="Форма для презентации"/>
    </sheetNames>
    <sheetDataSet>
      <sheetData sheetId="0"/>
      <sheetData sheetId="1">
        <row r="68">
          <cell r="E68">
            <v>0.25</v>
          </cell>
        </row>
        <row r="70">
          <cell r="E70">
            <v>0.13</v>
          </cell>
        </row>
        <row r="71">
          <cell r="E71">
            <v>0.30199999999999999</v>
          </cell>
        </row>
        <row r="72">
          <cell r="E72">
            <v>1.4999999999999999E-2</v>
          </cell>
        </row>
        <row r="86">
          <cell r="E86">
            <v>0</v>
          </cell>
        </row>
        <row r="102">
          <cell r="E102">
            <v>0</v>
          </cell>
        </row>
        <row r="103">
          <cell r="E103">
            <v>0</v>
          </cell>
        </row>
        <row r="105">
          <cell r="E105">
            <v>0.05</v>
          </cell>
        </row>
        <row r="106">
          <cell r="E106">
            <v>0.05</v>
          </cell>
        </row>
        <row r="107">
          <cell r="E107">
            <v>0.05</v>
          </cell>
        </row>
        <row r="108">
          <cell r="E108">
            <v>0.05</v>
          </cell>
        </row>
        <row r="109">
          <cell r="E109">
            <v>0.05</v>
          </cell>
        </row>
        <row r="110">
          <cell r="E110">
            <v>0.05</v>
          </cell>
        </row>
        <row r="111">
          <cell r="E111">
            <v>0.05</v>
          </cell>
        </row>
      </sheetData>
      <sheetData sheetId="2">
        <row r="12">
          <cell r="D12" t="str">
            <v>Земельный участок под Общественным центром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5">
          <cell r="C15">
            <v>5</v>
          </cell>
          <cell r="D15" t="str">
            <v>Сумма выплат тела кредита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</row>
      </sheetData>
      <sheetData sheetId="16"/>
      <sheetData sheetId="17"/>
      <sheetData sheetId="18"/>
      <sheetData sheetId="19"/>
      <sheetData sheetId="20"/>
      <sheetData sheetId="21">
        <row r="3">
          <cell r="AE3" t="str">
            <v>Объект в целом</v>
          </cell>
        </row>
      </sheetData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едпосылки"/>
      <sheetName val="Заемные средства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вар2_млн.руб."/>
      <sheetName val="Свод-филиалы_млн.руб."/>
      <sheetName val="Расходы млн.руб."/>
      <sheetName val="Свод вар2_руб."/>
      <sheetName val="Свод вар1 значения"/>
      <sheetName val="Свод-филиалы_рубли"/>
      <sheetName val="Расходы руб."/>
      <sheetName val="БАЗА доходов"/>
      <sheetName val="БАЗА расходов"/>
      <sheetName val="анализ расходов"/>
      <sheetName val="Справочники общие "/>
      <sheetName val="Справочник КОСГУ и КВР"/>
      <sheetName val="Справочник статей ФП"/>
      <sheetName val="анализ НН 1 кв ПДД"/>
      <sheetName val="Лист1"/>
      <sheetName val="Расходы"/>
      <sheetName val="Справочник статей ФП (2)"/>
      <sheetName val="ФП ФИЛИАЛЫ_НОВЫЙ на 2017-2018_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>Санкт-Петербург</v>
          </cell>
          <cell r="F4" t="str">
            <v>Образование</v>
          </cell>
        </row>
        <row r="5">
          <cell r="F5" t="str">
            <v>Наука</v>
          </cell>
        </row>
        <row r="6">
          <cell r="F6" t="str">
            <v>Прочее</v>
          </cell>
        </row>
        <row r="7">
          <cell r="F7" t="str">
            <v>Научно-образовательная деятельность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ценка проекта"/>
      <sheetName val="Предпосылки"/>
      <sheetName val="Площади"/>
      <sheetName val="График общий"/>
      <sheetName val="Графики основная деятельность"/>
      <sheetName val="График КД"/>
      <sheetName val="График Аренда"/>
      <sheetName val="Кап.затраты"/>
      <sheetName val="Лист1"/>
      <sheetName val="ФОТ и СВ"/>
      <sheetName val="Массив к передаче"/>
      <sheetName val="Содержание"/>
      <sheetName val="Прочие расходы"/>
      <sheetName val="Распред затрат"/>
      <sheetName val="Тарифы"/>
      <sheetName val="Расчет доходов резидентов"/>
      <sheetName val="Заемные средства"/>
      <sheetName val="Отчеты"/>
      <sheetName val="Доходы"/>
      <sheetName val="КД-Питание"/>
      <sheetName val="КД-Торговля"/>
      <sheetName val="КД-Размещение"/>
      <sheetName val="КД-Мероприятия"/>
      <sheetName val="КД-Спорт"/>
      <sheetName val="Налоги"/>
      <sheetName val="Отчет о ФР"/>
      <sheetName val="Баланс"/>
      <sheetName val="Отчет о ДДС"/>
    </sheetNames>
    <sheetDataSet>
      <sheetData sheetId="0"/>
      <sheetData sheetId="1">
        <row r="67">
          <cell r="E67">
            <v>0.2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5">
          <cell r="C15">
            <v>5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ценка проекта"/>
      <sheetName val="Предпосылки"/>
      <sheetName val="Площади"/>
      <sheetName val="График общий"/>
      <sheetName val="Графики основная деятельность"/>
      <sheetName val="График КД"/>
      <sheetName val="График Аренда"/>
      <sheetName val="Кап.затраты"/>
      <sheetName val="Лист1"/>
      <sheetName val="ФОТ и СВ"/>
      <sheetName val="Массив к передаче"/>
      <sheetName val="Содержание"/>
      <sheetName val="Прочие расходы"/>
      <sheetName val="Распред затрат"/>
      <sheetName val="Тарифы"/>
      <sheetName val="Расчет доходов резидентов"/>
      <sheetName val="Заемные средства"/>
      <sheetName val="Отчеты"/>
      <sheetName val="Доходы"/>
      <sheetName val="КД-Питание"/>
      <sheetName val="КД-Торговля"/>
      <sheetName val="КД-Размещение"/>
      <sheetName val="КД-Мероприятия"/>
      <sheetName val="КД-Спорт"/>
      <sheetName val="Налоги"/>
      <sheetName val="Отчет о ФР"/>
      <sheetName val="Баланс"/>
      <sheetName val="Отчет о ДДС"/>
    </sheetNames>
    <sheetDataSet>
      <sheetData sheetId="0"/>
      <sheetData sheetId="1">
        <row r="68">
          <cell r="E68">
            <v>0.25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ценка проекта"/>
      <sheetName val="Предпосылки"/>
      <sheetName val="Площади"/>
      <sheetName val="График общий"/>
      <sheetName val="Графики основная деятельность"/>
      <sheetName val="График КД"/>
      <sheetName val="График Аренда"/>
      <sheetName val="Кап.затраты"/>
      <sheetName val="ФОТ и СВ"/>
      <sheetName val="Массив к передаче"/>
      <sheetName val="Содержание"/>
      <sheetName val="Прочие расходы"/>
      <sheetName val="Заемные средства"/>
      <sheetName val="Налоги"/>
      <sheetName val="Тарифы"/>
      <sheetName val="Расчет доходов резидентов"/>
      <sheetName val="Доходы"/>
      <sheetName val="Баланс"/>
      <sheetName val="Лист1"/>
      <sheetName val="КД-Общежитие"/>
      <sheetName val="КД-Гостиница"/>
      <sheetName val="КД-Мероприятия"/>
      <sheetName val="КД-Спорт"/>
      <sheetName val="КД-Медицина"/>
      <sheetName val="Отчет о ФР"/>
      <sheetName val="Отчет о ДДС"/>
      <sheetName val="Распред затрат"/>
      <sheetName val="Распред затрат_доп"/>
      <sheetName val="Сводная форма"/>
    </sheetNames>
    <sheetDataSet>
      <sheetData sheetId="0"/>
      <sheetData sheetId="1">
        <row r="12">
          <cell r="D12" t="str">
            <v>Научно-технологический образовательный кампус "Долина Ростеха" в г. Фрязино Московской обл.</v>
          </cell>
        </row>
        <row r="13">
          <cell r="E13">
            <v>49491</v>
          </cell>
        </row>
        <row r="14">
          <cell r="E14">
            <v>311600</v>
          </cell>
        </row>
        <row r="15">
          <cell r="E15">
            <v>92000</v>
          </cell>
        </row>
        <row r="16">
          <cell r="E16">
            <v>19800</v>
          </cell>
        </row>
        <row r="17">
          <cell r="E17">
            <v>6800</v>
          </cell>
        </row>
        <row r="18">
          <cell r="E18">
            <v>2250</v>
          </cell>
        </row>
        <row r="19">
          <cell r="E19">
            <v>17160</v>
          </cell>
        </row>
        <row r="20">
          <cell r="E20">
            <v>8000</v>
          </cell>
        </row>
        <row r="21">
          <cell r="E21">
            <v>0</v>
          </cell>
        </row>
        <row r="22">
          <cell r="E22">
            <v>960</v>
          </cell>
        </row>
        <row r="23">
          <cell r="E23">
            <v>1770.25</v>
          </cell>
        </row>
        <row r="24">
          <cell r="E24">
            <v>18278.14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4527.0200000000004</v>
          </cell>
        </row>
        <row r="28">
          <cell r="E28">
            <v>12454.59</v>
          </cell>
        </row>
        <row r="30">
          <cell r="E30">
            <v>79545.41</v>
          </cell>
        </row>
        <row r="31">
          <cell r="E31">
            <v>54545.41</v>
          </cell>
        </row>
        <row r="32">
          <cell r="E32">
            <v>25000</v>
          </cell>
        </row>
        <row r="34">
          <cell r="E34" t="str">
            <v>Не реализуется</v>
          </cell>
        </row>
        <row r="35">
          <cell r="E35" t="str">
            <v>Не реализуется</v>
          </cell>
        </row>
        <row r="36">
          <cell r="E36" t="str">
            <v>Реализуется</v>
          </cell>
        </row>
        <row r="37">
          <cell r="E37" t="str">
            <v>Не реализуется</v>
          </cell>
        </row>
        <row r="38">
          <cell r="E38" t="str">
            <v>Не реализуется</v>
          </cell>
        </row>
      </sheetData>
      <sheetData sheetId="2">
        <row r="12">
          <cell r="D12" t="str">
            <v>Центр РАН и НИЦ интегральной электроники</v>
          </cell>
        </row>
      </sheetData>
      <sheetData sheetId="3"/>
      <sheetData sheetId="4"/>
      <sheetData sheetId="5"/>
      <sheetData sheetId="6"/>
      <sheetData sheetId="7"/>
      <sheetData sheetId="8">
        <row r="14">
          <cell r="AT14">
            <v>33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>
        <row r="10">
          <cell r="F10">
            <v>46023</v>
          </cell>
        </row>
      </sheetData>
      <sheetData sheetId="17"/>
      <sheetData sheetId="18"/>
      <sheetData sheetId="19"/>
      <sheetData sheetId="20">
        <row r="177">
          <cell r="G177">
            <v>0</v>
          </cell>
        </row>
      </sheetData>
      <sheetData sheetId="21"/>
      <sheetData sheetId="22"/>
      <sheetData sheetId="23"/>
      <sheetData sheetId="24"/>
      <sheetData sheetId="25">
        <row r="13">
          <cell r="E13">
            <v>0</v>
          </cell>
        </row>
      </sheetData>
      <sheetData sheetId="26"/>
      <sheetData sheetId="27"/>
      <sheetData sheetId="28">
        <row r="24">
          <cell r="D24" t="str">
            <v>Центр РАН и НИЦ интегральной электроники</v>
          </cell>
        </row>
        <row r="25">
          <cell r="D25" t="str">
            <v xml:space="preserve">Университет МИРЭА
</v>
          </cell>
        </row>
        <row r="26">
          <cell r="D26" t="str">
            <v>Технологический центр</v>
          </cell>
        </row>
        <row r="27">
          <cell r="D27" t="str">
            <v>Спортивный центр</v>
          </cell>
        </row>
        <row r="28">
          <cell r="D28" t="str">
            <v>Гостиничный комплекс</v>
          </cell>
        </row>
        <row r="251">
          <cell r="CF251">
            <v>14382.917120359531</v>
          </cell>
          <cell r="CG251">
            <v>19038.155587527221</v>
          </cell>
          <cell r="CH251">
            <v>19368.249129971369</v>
          </cell>
          <cell r="CI251">
            <v>19713.590676279331</v>
          </cell>
          <cell r="CJ251">
            <v>15867.367096651171</v>
          </cell>
          <cell r="CK251">
            <v>20452.970248167192</v>
          </cell>
          <cell r="CL251">
            <v>20848.576595960261</v>
          </cell>
          <cell r="CM251">
            <v>21262.571382555139</v>
          </cell>
        </row>
        <row r="252">
          <cell r="CF252">
            <v>14388.244720910207</v>
          </cell>
          <cell r="CG252">
            <v>19823.816348957811</v>
          </cell>
          <cell r="CH252">
            <v>20153.90989140196</v>
          </cell>
          <cell r="CI252">
            <v>20499.251437709921</v>
          </cell>
          <cell r="CJ252">
            <v>16653.027858081761</v>
          </cell>
          <cell r="CK252">
            <v>21238.631009597782</v>
          </cell>
          <cell r="CL252">
            <v>21634.237357390848</v>
          </cell>
          <cell r="CM252">
            <v>22048.232143985733</v>
          </cell>
        </row>
        <row r="253">
          <cell r="CF253">
            <v>23173.749614919718</v>
          </cell>
          <cell r="CG253">
            <v>29447.204474085695</v>
          </cell>
          <cell r="CH253">
            <v>29777.298016529843</v>
          </cell>
          <cell r="CI253">
            <v>30122.639562837809</v>
          </cell>
          <cell r="CJ253">
            <v>26276.415983209648</v>
          </cell>
          <cell r="CK253">
            <v>30862.019134725666</v>
          </cell>
          <cell r="CL253">
            <v>31257.625482518739</v>
          </cell>
          <cell r="CM253">
            <v>31671.62026911362</v>
          </cell>
        </row>
        <row r="254">
          <cell r="CF254">
            <v>14476.169515077192</v>
          </cell>
          <cell r="CG254">
            <v>18874.39915969162</v>
          </cell>
          <cell r="CH254">
            <v>19204.492702135769</v>
          </cell>
          <cell r="CI254">
            <v>19549.834248443738</v>
          </cell>
          <cell r="CJ254">
            <v>15703.610668815572</v>
          </cell>
          <cell r="CK254">
            <v>20289.213820331595</v>
          </cell>
          <cell r="CL254">
            <v>20684.820168124665</v>
          </cell>
          <cell r="CM254">
            <v>21098.814954719543</v>
          </cell>
        </row>
        <row r="255">
          <cell r="CF255">
            <v>10794.74038077007</v>
          </cell>
          <cell r="CG255">
            <v>14213.764740219445</v>
          </cell>
          <cell r="CH255">
            <v>14543.858282663588</v>
          </cell>
          <cell r="CI255">
            <v>14889.199828971554</v>
          </cell>
          <cell r="CJ255">
            <v>11042.976249343395</v>
          </cell>
          <cell r="CK255">
            <v>15628.579400859411</v>
          </cell>
          <cell r="CL255">
            <v>16024.185748652482</v>
          </cell>
          <cell r="CM255">
            <v>16438.180535247364</v>
          </cell>
        </row>
        <row r="277"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686055.34358225111</v>
          </cell>
          <cell r="CG277">
            <v>1518087.3694886349</v>
          </cell>
          <cell r="CH277">
            <v>1540977.7061894243</v>
          </cell>
          <cell r="CI277">
            <v>1564925.4157181501</v>
          </cell>
          <cell r="CJ277">
            <v>1298209.0415888354</v>
          </cell>
          <cell r="CK277">
            <v>1616197.6921307135</v>
          </cell>
          <cell r="CL277">
            <v>1643631.0143184238</v>
          </cell>
          <cell r="CM277">
            <v>1672339.4827948462</v>
          </cell>
        </row>
        <row r="293"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138076.0043554515</v>
          </cell>
          <cell r="CG293">
            <v>304610.48940043553</v>
          </cell>
          <cell r="CH293">
            <v>309891.98607954191</v>
          </cell>
          <cell r="CI293">
            <v>315417.4508204693</v>
          </cell>
          <cell r="CJ293">
            <v>253877.87354641873</v>
          </cell>
          <cell r="CK293">
            <v>327247.52397067507</v>
          </cell>
          <cell r="CL293">
            <v>333577.22553536418</v>
          </cell>
          <cell r="CM293">
            <v>340201.14212088223</v>
          </cell>
        </row>
        <row r="294"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276254.29864147597</v>
          </cell>
          <cell r="CG294">
            <v>634362.12316664995</v>
          </cell>
          <cell r="CH294">
            <v>644925.11652486271</v>
          </cell>
          <cell r="CI294">
            <v>655976.04600671749</v>
          </cell>
          <cell r="CJ294">
            <v>532896.89145861636</v>
          </cell>
          <cell r="CK294">
            <v>679636.19230712904</v>
          </cell>
          <cell r="CL294">
            <v>692295.59543650714</v>
          </cell>
          <cell r="CM294">
            <v>705543.42860754346</v>
          </cell>
        </row>
        <row r="295"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222467.9963032293</v>
          </cell>
          <cell r="CG295">
            <v>471155.27158537111</v>
          </cell>
          <cell r="CH295">
            <v>476436.76826447749</v>
          </cell>
          <cell r="CI295">
            <v>481962.23300540494</v>
          </cell>
          <cell r="CJ295">
            <v>420422.65573135437</v>
          </cell>
          <cell r="CK295">
            <v>493792.30615561065</v>
          </cell>
          <cell r="CL295">
            <v>500122.00772029982</v>
          </cell>
          <cell r="CM295">
            <v>506745.92430581793</v>
          </cell>
        </row>
        <row r="296"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26057.105127138944</v>
          </cell>
          <cell r="CG296">
            <v>56623.197479074865</v>
          </cell>
          <cell r="CH296">
            <v>57613.47810640731</v>
          </cell>
          <cell r="CI296">
            <v>58649.502745331214</v>
          </cell>
          <cell r="CJ296">
            <v>47110.832006446719</v>
          </cell>
          <cell r="CK296">
            <v>60867.64146099479</v>
          </cell>
          <cell r="CL296">
            <v>62054.460504373987</v>
          </cell>
          <cell r="CM296">
            <v>63296.444864158628</v>
          </cell>
        </row>
        <row r="297"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</row>
        <row r="319"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14382.917120359531</v>
          </cell>
          <cell r="CG319">
            <v>19038.155587527221</v>
          </cell>
          <cell r="CH319">
            <v>19368.249129971369</v>
          </cell>
          <cell r="CI319">
            <v>19713.590676279331</v>
          </cell>
          <cell r="CJ319">
            <v>15867.367096651171</v>
          </cell>
          <cell r="CK319">
            <v>20452.970248167192</v>
          </cell>
          <cell r="CL319">
            <v>20848.576595960261</v>
          </cell>
          <cell r="CM319">
            <v>21262.571382555139</v>
          </cell>
        </row>
        <row r="320"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14388.244720910207</v>
          </cell>
          <cell r="CG320">
            <v>19823.816348957811</v>
          </cell>
          <cell r="CH320">
            <v>20153.90989140196</v>
          </cell>
          <cell r="CI320">
            <v>20499.251437709921</v>
          </cell>
          <cell r="CJ320">
            <v>16653.027858081761</v>
          </cell>
          <cell r="CK320">
            <v>21238.631009597782</v>
          </cell>
          <cell r="CL320">
            <v>21634.237357390848</v>
          </cell>
          <cell r="CM320">
            <v>22048.232143985733</v>
          </cell>
        </row>
        <row r="321"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23173.749614919718</v>
          </cell>
          <cell r="CG321">
            <v>29447.204474085695</v>
          </cell>
          <cell r="CH321">
            <v>29777.298016529843</v>
          </cell>
          <cell r="CI321">
            <v>30122.639562837809</v>
          </cell>
          <cell r="CJ321">
            <v>26276.415983209648</v>
          </cell>
          <cell r="CK321">
            <v>30862.019134725666</v>
          </cell>
          <cell r="CL321">
            <v>31257.625482518739</v>
          </cell>
          <cell r="CM321">
            <v>31671.62026911362</v>
          </cell>
        </row>
        <row r="322"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14476.169515077192</v>
          </cell>
          <cell r="CG322">
            <v>18874.39915969162</v>
          </cell>
          <cell r="CH322">
            <v>19204.492702135769</v>
          </cell>
          <cell r="CI322">
            <v>19549.834248443738</v>
          </cell>
          <cell r="CJ322">
            <v>15703.610668815572</v>
          </cell>
          <cell r="CK322">
            <v>20289.213820331595</v>
          </cell>
          <cell r="CL322">
            <v>20684.820168124665</v>
          </cell>
          <cell r="CM322">
            <v>21098.814954719543</v>
          </cell>
        </row>
        <row r="323"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</row>
        <row r="414"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112691.35019024136</v>
          </cell>
          <cell r="CG414">
            <v>234352.93185562594</v>
          </cell>
          <cell r="CH414">
            <v>243680.17854347988</v>
          </cell>
          <cell r="CI414">
            <v>253378.64964951036</v>
          </cell>
          <cell r="CJ414">
            <v>263463.11990556086</v>
          </cell>
          <cell r="CK414">
            <v>273948.95207780215</v>
          </cell>
          <cell r="CL414">
            <v>284852.1203704988</v>
          </cell>
          <cell r="CM414">
            <v>296189.23476124468</v>
          </cell>
        </row>
        <row r="416"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32822.723356380979</v>
          </cell>
          <cell r="CG416">
            <v>68258.135491929876</v>
          </cell>
          <cell r="CH416">
            <v>70974.809284508694</v>
          </cell>
          <cell r="CI416">
            <v>73799.606694032147</v>
          </cell>
          <cell r="CJ416">
            <v>76736.831040454636</v>
          </cell>
          <cell r="CK416">
            <v>79790.956915864721</v>
          </cell>
          <cell r="CL416">
            <v>82966.637001116134</v>
          </cell>
          <cell r="CM416">
            <v>86268.709153760574</v>
          </cell>
        </row>
        <row r="431"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</row>
        <row r="432"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</row>
        <row r="433"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</row>
        <row r="434"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</row>
        <row r="435"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161921.10571155106</v>
          </cell>
          <cell r="CG435">
            <v>355344.11850548617</v>
          </cell>
          <cell r="CH435">
            <v>363596.45706658973</v>
          </cell>
          <cell r="CI435">
            <v>372229.99572428886</v>
          </cell>
          <cell r="CJ435">
            <v>276074.40623358486</v>
          </cell>
          <cell r="CK435">
            <v>390714.48502148531</v>
          </cell>
          <cell r="CL435">
            <v>400604.64371631207</v>
          </cell>
          <cell r="CM435">
            <v>410954.51338118414</v>
          </cell>
        </row>
        <row r="457"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</row>
        <row r="458"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</row>
        <row r="459"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</row>
        <row r="460"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</row>
        <row r="461">
          <cell r="CF461">
            <v>10794.74038077007</v>
          </cell>
          <cell r="CG461">
            <v>14213.764740219445</v>
          </cell>
          <cell r="CH461">
            <v>14543.858282663588</v>
          </cell>
          <cell r="CI461">
            <v>14889.199828971554</v>
          </cell>
          <cell r="CJ461">
            <v>11042.976249343395</v>
          </cell>
          <cell r="CK461">
            <v>15628.579400859411</v>
          </cell>
          <cell r="CL461">
            <v>16024.185748652482</v>
          </cell>
          <cell r="CM461">
            <v>16438.180535247364</v>
          </cell>
        </row>
        <row r="462"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</row>
        <row r="463"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</row>
        <row r="464"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</row>
        <row r="465"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</row>
        <row r="466"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</row>
        <row r="467"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</row>
        <row r="468"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</row>
        <row r="469"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</row>
        <row r="470"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</row>
        <row r="471"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</row>
        <row r="472"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</row>
        <row r="473"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</row>
        <row r="474"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</row>
        <row r="475"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</row>
        <row r="476"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</row>
        <row r="477"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</row>
        <row r="478"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</row>
        <row r="479"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</row>
        <row r="480"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</row>
        <row r="481"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для переноса"/>
      <sheetName val="Предпосылки общ"/>
      <sheetName val="Расчет аренды кампуса"/>
      <sheetName val="Платный прием на 1 курс ВО "/>
      <sheetName val="Платный прием на 1 курс СПО "/>
      <sheetName val="базаВО"/>
      <sheetName val="Балансировка"/>
      <sheetName val="Расчет ФОТ_ориг"/>
      <sheetName val="Расчет корректировок сцен.2"/>
      <sheetName val="Расчет ФОТ_без к"/>
      <sheetName val="Оснащение кампуса"/>
      <sheetName val="Расчет_БДДС_сцен 1"/>
      <sheetName val="Расчет_БДР_сцен 1"/>
      <sheetName val="Расчет_БДДС_сцен 1_ОБР"/>
      <sheetName val="Расчет_БДДС_сцен 1_НАУКА"/>
      <sheetName val="Расчет_БДДС_сцен 2"/>
      <sheetName val="Расчет_БДР_сцен 2"/>
      <sheetName val="Расчет_БДДС_сцен 2_ОБР"/>
      <sheetName val="Расчет_БДДС_сцен 2_НАУКА"/>
      <sheetName val="Ввод ВПО-2_ФОТ"/>
      <sheetName val="Ввод ВПО-2 проч"/>
      <sheetName val="Ввод прочих доходов и субс"/>
      <sheetName val="Данные модели инфраструктуры"/>
      <sheetName val="ФОТ кампуса"/>
      <sheetName val="Проверка ДДС"/>
      <sheetName val="Справочники"/>
      <sheetName val="ТКК"/>
      <sheetName val="ОКК"/>
      <sheetName val="НЗ (БНЗ) ВО"/>
      <sheetName val="НЗ (БНЗ) СПО"/>
      <sheetName val="Свод НЗ ВО"/>
      <sheetName val="Свод НЗ СПО"/>
      <sheetName val="Доходы ВО_С1_"/>
      <sheetName val="Доходы ВО_С2_"/>
      <sheetName val="база СПО"/>
      <sheetName val="Доходы СПО_9_С1"/>
      <sheetName val="Доходы СПО_9_С2"/>
      <sheetName val="Доходы СПО_11_С1"/>
      <sheetName val="Доходы СПО_11_С2"/>
      <sheetName val="Лист2"/>
      <sheetName val="свод"/>
      <sheetName val="Лист3"/>
      <sheetName val="свод ср в СПО 9 кл"/>
      <sheetName val="свод ср в СПО 11 кл"/>
      <sheetName val="Сравнение ВО"/>
      <sheetName val="НСИ"/>
    </sheetNames>
    <sheetDataSet>
      <sheetData sheetId="0">
        <row r="14">
          <cell r="F14">
            <v>8984824.3588300012</v>
          </cell>
          <cell r="G14">
            <v>10045646.31136</v>
          </cell>
          <cell r="H14">
            <v>11942290.913460001</v>
          </cell>
          <cell r="I14">
            <v>12450116.129874505</v>
          </cell>
          <cell r="J14">
            <v>13279851.713060172</v>
          </cell>
          <cell r="K14">
            <v>14178366.194344884</v>
          </cell>
          <cell r="L14">
            <v>14869020.883454613</v>
          </cell>
          <cell r="M14">
            <v>15559123.736314911</v>
          </cell>
          <cell r="N14">
            <v>16308489.519377897</v>
          </cell>
          <cell r="O14">
            <v>17093186.819815457</v>
          </cell>
          <cell r="P14">
            <v>17922048.745011102</v>
          </cell>
          <cell r="Q14">
            <v>18794252.965788174</v>
          </cell>
          <cell r="R14">
            <v>19710688.870307457</v>
          </cell>
          <cell r="S14">
            <v>20680801.685983498</v>
          </cell>
          <cell r="T14">
            <v>21697375.270085476</v>
          </cell>
          <cell r="U14">
            <v>22771345.673121054</v>
          </cell>
          <cell r="V14">
            <v>23901377.169964299</v>
          </cell>
          <cell r="W14">
            <v>25093528.20555212</v>
          </cell>
          <cell r="X14">
            <v>26352731.52328404</v>
          </cell>
          <cell r="Y14">
            <v>27678550.949102364</v>
          </cell>
          <cell r="Z14">
            <v>29076363.696474291</v>
          </cell>
          <cell r="AB14">
            <v>8984824.3588300012</v>
          </cell>
          <cell r="AC14">
            <v>10045646.31136</v>
          </cell>
          <cell r="AD14">
            <v>11942290.913460001</v>
          </cell>
          <cell r="AE14">
            <v>13217204.731477184</v>
          </cell>
          <cell r="AF14">
            <v>14560925.170433652</v>
          </cell>
          <cell r="AG14">
            <v>15940939.817253288</v>
          </cell>
          <cell r="AH14">
            <v>17053901.638805319</v>
          </cell>
          <cell r="AI14">
            <v>17983197.408661183</v>
          </cell>
          <cell r="AJ14">
            <v>18827670.212069444</v>
          </cell>
          <cell r="AK14">
            <v>19698716.873105943</v>
          </cell>
          <cell r="AL14">
            <v>20615205.266670477</v>
          </cell>
          <cell r="AM14">
            <v>21579162.632495426</v>
          </cell>
          <cell r="AN14">
            <v>22592107.204456881</v>
          </cell>
          <cell r="AO14">
            <v>23658905.428119186</v>
          </cell>
          <cell r="AP14">
            <v>24775829.182877172</v>
          </cell>
          <cell r="AQ14">
            <v>25975642.047455009</v>
          </cell>
          <cell r="AR14">
            <v>27220942.636717938</v>
          </cell>
          <cell r="AS14">
            <v>28528405.455708157</v>
          </cell>
          <cell r="AT14">
            <v>29914885.161977869</v>
          </cell>
          <cell r="AU14">
            <v>31362726.523504484</v>
          </cell>
          <cell r="AV14">
            <v>32897557.10452025</v>
          </cell>
        </row>
        <row r="15">
          <cell r="F15">
            <v>3882674.3204200002</v>
          </cell>
          <cell r="G15">
            <v>4550089.5086500002</v>
          </cell>
          <cell r="H15">
            <v>5312139.1717299987</v>
          </cell>
          <cell r="I15">
            <v>5811953.797961886</v>
          </cell>
          <cell r="J15">
            <v>6316299.0956771383</v>
          </cell>
          <cell r="K15">
            <v>6822832.9419123679</v>
          </cell>
          <cell r="L15">
            <v>7094131.7540041925</v>
          </cell>
          <cell r="M15">
            <v>7374917.1520422623</v>
          </cell>
          <cell r="N15">
            <v>7669950.4898722814</v>
          </cell>
          <cell r="O15">
            <v>7976788.1519981632</v>
          </cell>
          <cell r="P15">
            <v>8295902.55543961</v>
          </cell>
          <cell r="Q15">
            <v>8627785.0338114146</v>
          </cell>
          <cell r="R15">
            <v>8972946.5956122763</v>
          </cell>
          <cell r="S15">
            <v>9331918.7129777614</v>
          </cell>
          <cell r="T15">
            <v>9705254.1421268135</v>
          </cell>
          <cell r="U15">
            <v>10093527.776781227</v>
          </cell>
          <cell r="V15">
            <v>10497337.535889715</v>
          </cell>
          <cell r="W15">
            <v>10917305.287042383</v>
          </cell>
          <cell r="X15">
            <v>11354077.807018073</v>
          </cell>
          <cell r="Y15">
            <v>11808327.780965898</v>
          </cell>
          <cell r="Z15">
            <v>12280754.841783674</v>
          </cell>
          <cell r="AB15">
            <v>3882674.3204200002</v>
          </cell>
          <cell r="AC15">
            <v>4550089.5086500002</v>
          </cell>
          <cell r="AD15">
            <v>5312139.1717299987</v>
          </cell>
          <cell r="AE15">
            <v>6212030.6359336562</v>
          </cell>
          <cell r="AF15">
            <v>6814658.832591881</v>
          </cell>
          <cell r="AG15">
            <v>7442386.2552733067</v>
          </cell>
          <cell r="AH15">
            <v>7809067.3502479754</v>
          </cell>
          <cell r="AI15">
            <v>8162173.6764667779</v>
          </cell>
          <cell r="AJ15">
            <v>8512533.6551992316</v>
          </cell>
          <cell r="AK15">
            <v>8876864.8889347594</v>
          </cell>
          <cell r="AL15">
            <v>9257140.0461424794</v>
          </cell>
          <cell r="AM15">
            <v>9654068.4784748275</v>
          </cell>
          <cell r="AN15">
            <v>10068391.451746905</v>
          </cell>
          <cell r="AO15">
            <v>10497843.206046226</v>
          </cell>
          <cell r="AP15">
            <v>10945543.931313999</v>
          </cell>
          <cell r="AQ15">
            <v>11423649.810160814</v>
          </cell>
          <cell r="AR15">
            <v>11914338.496374479</v>
          </cell>
          <cell r="AS15">
            <v>12422176.870840989</v>
          </cell>
          <cell r="AT15">
            <v>12955850.647760199</v>
          </cell>
          <cell r="AU15">
            <v>13506427.634388423</v>
          </cell>
          <cell r="AV15">
            <v>14085249.266192565</v>
          </cell>
        </row>
        <row r="16">
          <cell r="F16">
            <v>481773.371689416</v>
          </cell>
          <cell r="G16">
            <v>580219.15749883105</v>
          </cell>
          <cell r="H16">
            <v>873016.360835384</v>
          </cell>
          <cell r="I16">
            <v>912302.09707297629</v>
          </cell>
          <cell r="J16">
            <v>948794.18095589534</v>
          </cell>
          <cell r="K16">
            <v>986745.94819413114</v>
          </cell>
          <cell r="L16">
            <v>1026215.7861218964</v>
          </cell>
          <cell r="M16">
            <v>1067264.4175667723</v>
          </cell>
          <cell r="N16">
            <v>1109954.9942694432</v>
          </cell>
          <cell r="O16">
            <v>1154353.1940402209</v>
          </cell>
          <cell r="P16">
            <v>1200527.3218018299</v>
          </cell>
          <cell r="Q16">
            <v>1248548.414673903</v>
          </cell>
          <cell r="R16">
            <v>1298490.3512608593</v>
          </cell>
          <cell r="S16">
            <v>1350429.9653112937</v>
          </cell>
          <cell r="T16">
            <v>1404447.1639237455</v>
          </cell>
          <cell r="U16">
            <v>1460625.0504806954</v>
          </cell>
          <cell r="V16">
            <v>1519050.0524999232</v>
          </cell>
          <cell r="W16">
            <v>1579812.0545999201</v>
          </cell>
          <cell r="X16">
            <v>1643004.5367839169</v>
          </cell>
          <cell r="Y16">
            <v>1708724.7182552735</v>
          </cell>
          <cell r="Z16">
            <v>1777073.7069854846</v>
          </cell>
          <cell r="AB16">
            <v>481773.371689416</v>
          </cell>
          <cell r="AC16">
            <v>580219.15749883105</v>
          </cell>
          <cell r="AD16">
            <v>873016.360835384</v>
          </cell>
          <cell r="AE16">
            <v>912302.09707297629</v>
          </cell>
          <cell r="AF16">
            <v>948794.18095589534</v>
          </cell>
          <cell r="AG16">
            <v>986745.94819413114</v>
          </cell>
          <cell r="AH16">
            <v>1026215.7861218964</v>
          </cell>
          <cell r="AI16">
            <v>1067264.4175667723</v>
          </cell>
          <cell r="AJ16">
            <v>1109954.9942694432</v>
          </cell>
          <cell r="AK16">
            <v>1154353.1940402209</v>
          </cell>
          <cell r="AL16">
            <v>1200527.3218018299</v>
          </cell>
          <cell r="AM16">
            <v>1248548.414673903</v>
          </cell>
          <cell r="AN16">
            <v>1298490.3512608593</v>
          </cell>
          <cell r="AO16">
            <v>1350429.9653112937</v>
          </cell>
          <cell r="AP16">
            <v>1404447.1639237455</v>
          </cell>
          <cell r="AQ16">
            <v>1460625.0504806954</v>
          </cell>
          <cell r="AR16">
            <v>1519050.0524999232</v>
          </cell>
          <cell r="AS16">
            <v>1579812.0545999201</v>
          </cell>
          <cell r="AT16">
            <v>1643004.5367839169</v>
          </cell>
          <cell r="AU16">
            <v>1708724.7182552735</v>
          </cell>
          <cell r="AV16">
            <v>1777073.7069854846</v>
          </cell>
        </row>
        <row r="18">
          <cell r="F18">
            <v>1171701.4212100001</v>
          </cell>
          <cell r="G18">
            <v>1960113.8964400003</v>
          </cell>
          <cell r="H18">
            <v>2636185.0259199999</v>
          </cell>
          <cell r="I18">
            <v>2854380.6628930988</v>
          </cell>
          <cell r="J18">
            <v>2934600.2180014509</v>
          </cell>
          <cell r="K18">
            <v>3027858.1916865562</v>
          </cell>
          <cell r="L18">
            <v>3148972.5193540184</v>
          </cell>
          <cell r="M18">
            <v>3274931.4201281788</v>
          </cell>
          <cell r="N18">
            <v>3405928.6769333067</v>
          </cell>
          <cell r="O18">
            <v>3542165.8240106385</v>
          </cell>
          <cell r="P18">
            <v>3683852.4569710642</v>
          </cell>
          <cell r="Q18">
            <v>3831206.5552499071</v>
          </cell>
          <cell r="R18">
            <v>3984454.8174599032</v>
          </cell>
          <cell r="S18">
            <v>4143833.0101582995</v>
          </cell>
          <cell r="T18">
            <v>4309586.3305646311</v>
          </cell>
          <cell r="U18">
            <v>4481969.783787217</v>
          </cell>
          <cell r="V18">
            <v>4661248.5751387058</v>
          </cell>
          <cell r="W18">
            <v>4847698.5181442546</v>
          </cell>
          <cell r="X18">
            <v>5041606.4588700244</v>
          </cell>
          <cell r="Y18">
            <v>5243270.7172248261</v>
          </cell>
          <cell r="Z18">
            <v>5453001.5459138192</v>
          </cell>
          <cell r="AB18">
            <v>1171701.4212100001</v>
          </cell>
          <cell r="AC18">
            <v>1960113.8964400003</v>
          </cell>
          <cell r="AD18">
            <v>2636185.0259199999</v>
          </cell>
          <cell r="AE18">
            <v>2862034.0459463499</v>
          </cell>
          <cell r="AF18">
            <v>3434058.294137232</v>
          </cell>
          <cell r="AG18">
            <v>3535160.1058677677</v>
          </cell>
          <cell r="AH18">
            <v>3711677.7364646061</v>
          </cell>
          <cell r="AI18">
            <v>3847520.1277291905</v>
          </cell>
          <cell r="AJ18">
            <v>3988543.7202804787</v>
          </cell>
          <cell r="AK18">
            <v>4134950.7122826604</v>
          </cell>
          <cell r="AL18">
            <v>4286951.2888287483</v>
          </cell>
          <cell r="AM18">
            <v>4444763.9393977756</v>
          </cell>
          <cell r="AN18">
            <v>4608615.7879698817</v>
          </cell>
          <cell r="AO18">
            <v>4778742.9363047956</v>
          </cell>
          <cell r="AP18">
            <v>4955390.8209094293</v>
          </cell>
          <cell r="AQ18">
            <v>5138814.5842412971</v>
          </cell>
          <cell r="AR18">
            <v>5329279.4607163491</v>
          </cell>
          <cell r="AS18">
            <v>5527061.1781125097</v>
          </cell>
          <cell r="AT18">
            <v>5732446.3749838686</v>
          </cell>
          <cell r="AU18">
            <v>5945733.0347250188</v>
          </cell>
          <cell r="AV18">
            <v>6167230.936950651</v>
          </cell>
        </row>
        <row r="19">
          <cell r="F19">
            <v>1068943.206569883</v>
          </cell>
          <cell r="G19">
            <v>1505563.4838555639</v>
          </cell>
          <cell r="H19">
            <v>2404991.5991468155</v>
          </cell>
          <cell r="I19">
            <v>2626030.2098616511</v>
          </cell>
          <cell r="J19">
            <v>2699832.2005613353</v>
          </cell>
          <cell r="K19">
            <v>2785629.5363516319</v>
          </cell>
          <cell r="L19">
            <v>2897054.7178056971</v>
          </cell>
          <cell r="M19">
            <v>3012936.9065179243</v>
          </cell>
          <cell r="N19">
            <v>3133454.3827786422</v>
          </cell>
          <cell r="O19">
            <v>3258792.5580897871</v>
          </cell>
          <cell r="P19">
            <v>3389144.2604133789</v>
          </cell>
          <cell r="Q19">
            <v>3524710.0308299144</v>
          </cell>
          <cell r="R19">
            <v>3665698.4320631111</v>
          </cell>
          <cell r="S19">
            <v>3812326.3693456356</v>
          </cell>
          <cell r="T19">
            <v>3964819.4241194609</v>
          </cell>
          <cell r="U19">
            <v>4123412.2010842399</v>
          </cell>
          <cell r="V19">
            <v>4288348.6891276091</v>
          </cell>
          <cell r="W19">
            <v>4459882.6366927139</v>
          </cell>
          <cell r="X19">
            <v>4638277.942160422</v>
          </cell>
          <cell r="Y19">
            <v>4823809.0598468399</v>
          </cell>
          <cell r="Z19">
            <v>5016761.4222407145</v>
          </cell>
          <cell r="AB19">
            <v>1068943.206569883</v>
          </cell>
          <cell r="AC19">
            <v>1505563.4838555639</v>
          </cell>
          <cell r="AD19">
            <v>2404991.5991468155</v>
          </cell>
          <cell r="AE19">
            <v>2633071.322270642</v>
          </cell>
          <cell r="AF19">
            <v>3159333.6306062532</v>
          </cell>
          <cell r="AG19">
            <v>3252347.2973983469</v>
          </cell>
          <cell r="AH19">
            <v>3414743.5175474379</v>
          </cell>
          <cell r="AI19">
            <v>3539718.5175108556</v>
          </cell>
          <cell r="AJ19">
            <v>3669460.2226580405</v>
          </cell>
          <cell r="AK19">
            <v>3804154.6553000472</v>
          </cell>
          <cell r="AL19">
            <v>3943995.1857224479</v>
          </cell>
          <cell r="AM19">
            <v>4089182.824245953</v>
          </cell>
          <cell r="AN19">
            <v>4239926.5249322914</v>
          </cell>
          <cell r="AO19">
            <v>4396443.5014004111</v>
          </cell>
          <cell r="AP19">
            <v>4558959.5552366748</v>
          </cell>
          <cell r="AQ19">
            <v>4727709.4175019935</v>
          </cell>
          <cell r="AR19">
            <v>4902937.1038590409</v>
          </cell>
          <cell r="AS19">
            <v>5084896.2838635081</v>
          </cell>
          <cell r="AT19">
            <v>5273850.6649851585</v>
          </cell>
          <cell r="AU19">
            <v>5470074.391947018</v>
          </cell>
          <cell r="AV19">
            <v>5673852.4619945996</v>
          </cell>
        </row>
        <row r="20">
          <cell r="F20">
            <v>124641.60042158401</v>
          </cell>
          <cell r="G20">
            <v>143386.88433170598</v>
          </cell>
          <cell r="H20">
            <v>63284.984475200014</v>
          </cell>
          <cell r="I20">
            <v>66132.808776584003</v>
          </cell>
          <cell r="J20">
            <v>68778.121127647362</v>
          </cell>
          <cell r="K20">
            <v>71529.245972753255</v>
          </cell>
          <cell r="L20">
            <v>74390.415811663392</v>
          </cell>
          <cell r="M20">
            <v>77366.032444129931</v>
          </cell>
          <cell r="N20">
            <v>80460.673741895123</v>
          </cell>
          <cell r="O20">
            <v>83679.100691570944</v>
          </cell>
          <cell r="P20">
            <v>87026.264719233775</v>
          </cell>
          <cell r="Q20">
            <v>90507.315308003133</v>
          </cell>
          <cell r="R20">
            <v>94127.607920323251</v>
          </cell>
          <cell r="S20">
            <v>97892.712237136206</v>
          </cell>
          <cell r="T20">
            <v>101808.42072662165</v>
          </cell>
          <cell r="U20">
            <v>105880.75755568652</v>
          </cell>
          <cell r="V20">
            <v>110115.98785791398</v>
          </cell>
          <cell r="W20">
            <v>114520.62737223053</v>
          </cell>
          <cell r="X20">
            <v>119101.45246711976</v>
          </cell>
          <cell r="Y20">
            <v>123865.51056580455</v>
          </cell>
          <cell r="Z20">
            <v>128820.13098843674</v>
          </cell>
          <cell r="AB20">
            <v>124641.60042158401</v>
          </cell>
          <cell r="AC20">
            <v>143386.88433170598</v>
          </cell>
          <cell r="AD20">
            <v>63284.984475200014</v>
          </cell>
          <cell r="AE20">
            <v>66132.808776584003</v>
          </cell>
          <cell r="AF20">
            <v>68778.121127647362</v>
          </cell>
          <cell r="AG20">
            <v>71529.245972753255</v>
          </cell>
          <cell r="AH20">
            <v>74390.415811663392</v>
          </cell>
          <cell r="AI20">
            <v>77366.032444129931</v>
          </cell>
          <cell r="AJ20">
            <v>80460.673741895123</v>
          </cell>
          <cell r="AK20">
            <v>83679.100691570944</v>
          </cell>
          <cell r="AL20">
            <v>87026.264719233775</v>
          </cell>
          <cell r="AM20">
            <v>90507.315308003133</v>
          </cell>
          <cell r="AN20">
            <v>94127.607920323251</v>
          </cell>
          <cell r="AO20">
            <v>97892.712237136206</v>
          </cell>
          <cell r="AP20">
            <v>101808.42072662165</v>
          </cell>
          <cell r="AQ20">
            <v>105880.75755568652</v>
          </cell>
          <cell r="AR20">
            <v>110115.98785791398</v>
          </cell>
          <cell r="AS20">
            <v>114520.62737223053</v>
          </cell>
          <cell r="AT20">
            <v>119101.45246711976</v>
          </cell>
          <cell r="AU20">
            <v>123865.51056580455</v>
          </cell>
          <cell r="AV20">
            <v>128820.13098843674</v>
          </cell>
        </row>
        <row r="22"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124377.90687059746</v>
          </cell>
          <cell r="AJ22">
            <v>0</v>
          </cell>
          <cell r="AK22">
            <v>0</v>
          </cell>
          <cell r="AL22">
            <v>0</v>
          </cell>
          <cell r="AM22">
            <v>1.6393139958381653E-4</v>
          </cell>
          <cell r="AN22">
            <v>0</v>
          </cell>
          <cell r="AO22">
            <v>124377.90703452886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</row>
        <row r="23"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6651958.6703004111</v>
          </cell>
          <cell r="AK23">
            <v>6918037.017112432</v>
          </cell>
          <cell r="AL23">
            <v>4796505.6651979517</v>
          </cell>
          <cell r="AM23">
            <v>4988365.8918058695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</row>
        <row r="24"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1100000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</row>
        <row r="25"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1146128.08277774</v>
          </cell>
          <cell r="AH25">
            <v>598568.67681474925</v>
          </cell>
          <cell r="AI25">
            <v>248880.19164806535</v>
          </cell>
          <cell r="AJ25">
            <v>134307.13875493722</v>
          </cell>
          <cell r="AK25">
            <v>139679.42430513774</v>
          </cell>
          <cell r="AL25">
            <v>1081434.5647859864</v>
          </cell>
          <cell r="AM25">
            <v>1413505.062295458</v>
          </cell>
          <cell r="AN25">
            <v>1449678.2785244263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</row>
        <row r="26"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417061.36400990107</v>
          </cell>
          <cell r="AP26">
            <v>984759.65641614958</v>
          </cell>
          <cell r="AQ26">
            <v>989732.14962283941</v>
          </cell>
          <cell r="AR26">
            <v>988200.82279409701</v>
          </cell>
          <cell r="AS26">
            <v>694786.3498000463</v>
          </cell>
          <cell r="AT26">
            <v>984797.44737647939</v>
          </cell>
          <cell r="AU26">
            <v>982910.2796701605</v>
          </cell>
          <cell r="AV26">
            <v>980888.58440361987</v>
          </cell>
        </row>
        <row r="27"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</row>
        <row r="28"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</row>
        <row r="29"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417061.36400990107</v>
          </cell>
          <cell r="AP29">
            <v>984759.65641614958</v>
          </cell>
          <cell r="AQ29">
            <v>989732.14962283941</v>
          </cell>
          <cell r="AR29">
            <v>988200.82279409701</v>
          </cell>
          <cell r="AS29">
            <v>694786.3498000463</v>
          </cell>
          <cell r="AT29">
            <v>984797.44737647939</v>
          </cell>
          <cell r="AU29">
            <v>982910.2796701605</v>
          </cell>
          <cell r="AV29">
            <v>980888.58440361987</v>
          </cell>
        </row>
        <row r="30"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124377.90687059746</v>
          </cell>
          <cell r="AK30">
            <v>0</v>
          </cell>
          <cell r="AL30">
            <v>0</v>
          </cell>
          <cell r="AM30">
            <v>0</v>
          </cell>
          <cell r="AN30">
            <v>1.6393046826124191E-4</v>
          </cell>
          <cell r="AO30">
            <v>0</v>
          </cell>
          <cell r="AP30">
            <v>124377.90703452793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</row>
        <row r="32">
          <cell r="F32">
            <v>3675606.6999300006</v>
          </cell>
          <cell r="G32">
            <v>4727319.6055199997</v>
          </cell>
          <cell r="H32">
            <v>6075733.7092900006</v>
          </cell>
          <cell r="I32">
            <v>6827688.943518539</v>
          </cell>
          <cell r="J32">
            <v>7324213.7026117733</v>
          </cell>
          <cell r="K32">
            <v>7844637.033907447</v>
          </cell>
          <cell r="L32">
            <v>8182466.3839014629</v>
          </cell>
          <cell r="M32">
            <v>8506790.4293944705</v>
          </cell>
          <cell r="N32">
            <v>8847056.0346181281</v>
          </cell>
          <cell r="O32">
            <v>9200931.1036588475</v>
          </cell>
          <cell r="P32">
            <v>9568963.0774192698</v>
          </cell>
          <cell r="Q32">
            <v>9951716.1914817337</v>
          </cell>
          <cell r="R32">
            <v>10349779.331602616</v>
          </cell>
          <cell r="S32">
            <v>10763764.207221141</v>
          </cell>
          <cell r="T32">
            <v>11194308.474871529</v>
          </cell>
          <cell r="U32">
            <v>11642075.484533511</v>
          </cell>
          <cell r="V32">
            <v>12107753.135872822</v>
          </cell>
          <cell r="W32">
            <v>12592057.087296531</v>
          </cell>
          <cell r="X32">
            <v>13095732.068970386</v>
          </cell>
          <cell r="Y32">
            <v>13619556.764815724</v>
          </cell>
          <cell r="Z32">
            <v>14164333.346144514</v>
          </cell>
          <cell r="AB32">
            <v>3675606.6999300006</v>
          </cell>
          <cell r="AC32">
            <v>4727319.6055199997</v>
          </cell>
          <cell r="AD32">
            <v>6075733.7092900006</v>
          </cell>
          <cell r="AE32">
            <v>7036844.7964735366</v>
          </cell>
          <cell r="AF32">
            <v>8448156.1012156866</v>
          </cell>
          <cell r="AG32">
            <v>10560531.301000046</v>
          </cell>
          <cell r="AH32">
            <v>10810959.233577656</v>
          </cell>
          <cell r="AI32">
            <v>11017337.405688867</v>
          </cell>
          <cell r="AJ32">
            <v>11324063.598839758</v>
          </cell>
          <cell r="AK32">
            <v>11762484.363994854</v>
          </cell>
          <cell r="AL32">
            <v>13154845.30820442</v>
          </cell>
          <cell r="AM32">
            <v>13955474.331821866</v>
          </cell>
          <cell r="AN32">
            <v>14485614.498445425</v>
          </cell>
          <cell r="AO32">
            <v>16885894.972538527</v>
          </cell>
          <cell r="AP32">
            <v>18165669.872533012</v>
          </cell>
          <cell r="AQ32">
            <v>18822460.687831916</v>
          </cell>
          <cell r="AR32">
            <v>19466635.211727262</v>
          </cell>
          <cell r="AS32">
            <v>19420449.144972697</v>
          </cell>
          <cell r="AT32">
            <v>20832479.455261704</v>
          </cell>
          <cell r="AU32">
            <v>21550645.767600056</v>
          </cell>
          <cell r="AV32">
            <v>22308078.168130182</v>
          </cell>
        </row>
        <row r="33">
          <cell r="F33">
            <v>1059741.5046099999</v>
          </cell>
          <cell r="G33">
            <v>1247103.4409999999</v>
          </cell>
          <cell r="H33">
            <v>2051791.7539999997</v>
          </cell>
          <cell r="I33">
            <v>2144122.3829299998</v>
          </cell>
          <cell r="J33">
            <v>2229887.2782471995</v>
          </cell>
          <cell r="K33">
            <v>2319082.7693770877</v>
          </cell>
          <cell r="L33">
            <v>2411846.0801521717</v>
          </cell>
          <cell r="M33">
            <v>2508319.9233582583</v>
          </cell>
          <cell r="N33">
            <v>2608652.7202925887</v>
          </cell>
          <cell r="O33">
            <v>2712998.8291042922</v>
          </cell>
          <cell r="P33">
            <v>2821518.7822684641</v>
          </cell>
          <cell r="Q33">
            <v>2934379.5335592027</v>
          </cell>
          <cell r="R33">
            <v>3051754.7149015716</v>
          </cell>
          <cell r="S33">
            <v>3173825.903497634</v>
          </cell>
          <cell r="T33">
            <v>3300779.8996375399</v>
          </cell>
          <cell r="U33">
            <v>3432812.015623041</v>
          </cell>
          <cell r="V33">
            <v>3570125.3762479625</v>
          </cell>
          <cell r="W33">
            <v>3712931.2312978809</v>
          </cell>
          <cell r="X33">
            <v>3861449.2805497963</v>
          </cell>
          <cell r="Y33">
            <v>4015908.0117717879</v>
          </cell>
          <cell r="Z33">
            <v>4176545.05224266</v>
          </cell>
          <cell r="AB33">
            <v>1059741.5046099999</v>
          </cell>
          <cell r="AC33">
            <v>1247103.4409999999</v>
          </cell>
          <cell r="AD33">
            <v>2051791.7539999997</v>
          </cell>
          <cell r="AE33">
            <v>2144122.3829299998</v>
          </cell>
          <cell r="AF33">
            <v>2229887.2782471995</v>
          </cell>
          <cell r="AG33">
            <v>2319082.7693770877</v>
          </cell>
          <cell r="AH33">
            <v>2411846.0801521717</v>
          </cell>
          <cell r="AI33">
            <v>2508319.9233582583</v>
          </cell>
          <cell r="AJ33">
            <v>2608652.7202925887</v>
          </cell>
          <cell r="AK33">
            <v>2712998.8291042922</v>
          </cell>
          <cell r="AL33">
            <v>2821518.7822684641</v>
          </cell>
          <cell r="AM33">
            <v>2934379.5335592027</v>
          </cell>
          <cell r="AN33">
            <v>4151754.7149015716</v>
          </cell>
          <cell r="AO33">
            <v>3173825.903497634</v>
          </cell>
          <cell r="AP33">
            <v>3300779.8996375399</v>
          </cell>
          <cell r="AQ33">
            <v>3432812.015623041</v>
          </cell>
          <cell r="AR33">
            <v>3570125.3762479625</v>
          </cell>
          <cell r="AS33">
            <v>3712931.2312978809</v>
          </cell>
          <cell r="AT33">
            <v>3861449.2805497963</v>
          </cell>
          <cell r="AU33">
            <v>4015908.0117717879</v>
          </cell>
          <cell r="AV33">
            <v>4176545.05224266</v>
          </cell>
        </row>
        <row r="34">
          <cell r="F34">
            <v>5755958.7999999998</v>
          </cell>
          <cell r="G34">
            <v>6439057.6999999993</v>
          </cell>
          <cell r="H34">
            <v>7154049.9000000004</v>
          </cell>
          <cell r="I34">
            <v>7570109.0343486639</v>
          </cell>
          <cell r="J34">
            <v>7981221.2123608049</v>
          </cell>
          <cell r="K34">
            <v>8440329.7704263385</v>
          </cell>
          <cell r="L34">
            <v>8877413.2139416095</v>
          </cell>
          <cell r="M34">
            <v>9330820.4498844389</v>
          </cell>
          <cell r="N34">
            <v>9831054.1934423279</v>
          </cell>
          <cell r="O34">
            <v>10356655.333186468</v>
          </cell>
          <cell r="P34">
            <v>10916055.34930289</v>
          </cell>
          <cell r="Q34">
            <v>11508019.323285939</v>
          </cell>
          <cell r="R34">
            <v>12133005.469643515</v>
          </cell>
          <cell r="S34">
            <v>12800011.326938583</v>
          </cell>
          <cell r="T34">
            <v>13501353.677317219</v>
          </cell>
          <cell r="U34">
            <v>14247482.625974948</v>
          </cell>
          <cell r="V34">
            <v>15036559.048974378</v>
          </cell>
          <cell r="W34">
            <v>15874117.613733806</v>
          </cell>
          <cell r="X34">
            <v>16764545.889611002</v>
          </cell>
          <cell r="Y34">
            <v>17706836.556995884</v>
          </cell>
          <cell r="Z34">
            <v>18705780.497947384</v>
          </cell>
          <cell r="AB34">
            <v>5755958.7999999998</v>
          </cell>
          <cell r="AC34">
            <v>6439057.6999999993</v>
          </cell>
          <cell r="AD34">
            <v>7154049.9000000004</v>
          </cell>
          <cell r="AE34">
            <v>7617920.8154999986</v>
          </cell>
          <cell r="AF34">
            <v>8075403.4621199956</v>
          </cell>
          <cell r="AG34">
            <v>8531097.8036047947</v>
          </cell>
          <cell r="AH34">
            <v>8963361.397048993</v>
          </cell>
          <cell r="AI34">
            <v>9411391.2147369497</v>
          </cell>
          <cell r="AJ34">
            <v>16557651.977068957</v>
          </cell>
          <cell r="AK34">
            <v>17342926.383342676</v>
          </cell>
          <cell r="AL34">
            <v>15773861.066132201</v>
          </cell>
          <cell r="AM34">
            <v>16550211.703793362</v>
          </cell>
          <cell r="AN34">
            <v>12178797.979463199</v>
          </cell>
          <cell r="AO34">
            <v>12837147.855457833</v>
          </cell>
          <cell r="AP34">
            <v>13529219.864828588</v>
          </cell>
          <cell r="AQ34">
            <v>14265405.513917228</v>
          </cell>
          <cell r="AR34">
            <v>15043849.007579317</v>
          </cell>
          <cell r="AS34">
            <v>15870043.474849978</v>
          </cell>
          <cell r="AT34">
            <v>16748338.903590828</v>
          </cell>
          <cell r="AU34">
            <v>17677703.584476274</v>
          </cell>
          <cell r="AV34">
            <v>18662886.764691968</v>
          </cell>
        </row>
        <row r="37">
          <cell r="F37">
            <v>8984824.3588300012</v>
          </cell>
          <cell r="G37">
            <v>10045646.31136</v>
          </cell>
          <cell r="H37">
            <v>11942290.913460001</v>
          </cell>
          <cell r="I37">
            <v>12450116.129874505</v>
          </cell>
          <cell r="J37">
            <v>13279851.713060172</v>
          </cell>
          <cell r="K37">
            <v>14178366.194344884</v>
          </cell>
          <cell r="L37">
            <v>14869020.883454613</v>
          </cell>
          <cell r="M37">
            <v>15559123.736314911</v>
          </cell>
          <cell r="N37">
            <v>16308489.519377897</v>
          </cell>
          <cell r="O37">
            <v>17093186.819815457</v>
          </cell>
          <cell r="P37">
            <v>17922048.745011102</v>
          </cell>
          <cell r="Q37">
            <v>18794252.965788174</v>
          </cell>
          <cell r="R37">
            <v>19710688.870307457</v>
          </cell>
          <cell r="S37">
            <v>20680801.685983498</v>
          </cell>
          <cell r="T37">
            <v>21697375.270085476</v>
          </cell>
          <cell r="U37">
            <v>22771345.673121054</v>
          </cell>
          <cell r="V37">
            <v>23901377.169964299</v>
          </cell>
          <cell r="W37">
            <v>25093528.20555212</v>
          </cell>
          <cell r="X37">
            <v>26352731.52328404</v>
          </cell>
          <cell r="Y37">
            <v>27678550.949102364</v>
          </cell>
          <cell r="Z37">
            <v>29076363.696474291</v>
          </cell>
          <cell r="AB37">
            <v>8984824.3588300012</v>
          </cell>
          <cell r="AC37">
            <v>10045646.31136</v>
          </cell>
          <cell r="AD37">
            <v>11942290.913460001</v>
          </cell>
          <cell r="AE37">
            <v>13217204.731477184</v>
          </cell>
          <cell r="AF37">
            <v>14560925.170433652</v>
          </cell>
          <cell r="AG37">
            <v>15940939.817253288</v>
          </cell>
          <cell r="AH37">
            <v>17053901.638805319</v>
          </cell>
          <cell r="AI37">
            <v>17983197.408661183</v>
          </cell>
          <cell r="AJ37">
            <v>18827670.212069444</v>
          </cell>
          <cell r="AK37">
            <v>19698716.873105943</v>
          </cell>
          <cell r="AL37">
            <v>20615205.266670477</v>
          </cell>
          <cell r="AM37">
            <v>21579162.632495426</v>
          </cell>
          <cell r="AN37">
            <v>22592107.204456881</v>
          </cell>
          <cell r="AO37">
            <v>23658905.428119186</v>
          </cell>
          <cell r="AP37">
            <v>24775829.182877172</v>
          </cell>
          <cell r="AQ37">
            <v>25975642.047455009</v>
          </cell>
          <cell r="AR37">
            <v>27220942.636717938</v>
          </cell>
          <cell r="AS37">
            <v>28528405.455708157</v>
          </cell>
          <cell r="AT37">
            <v>29914885.161977869</v>
          </cell>
          <cell r="AU37">
            <v>31362726.523504484</v>
          </cell>
          <cell r="AV37">
            <v>32897557.10452025</v>
          </cell>
        </row>
        <row r="38">
          <cell r="F38">
            <v>1171701.4212100001</v>
          </cell>
          <cell r="G38">
            <v>1960113.8964400003</v>
          </cell>
          <cell r="H38">
            <v>2636185.0259199999</v>
          </cell>
          <cell r="I38">
            <v>2854380.6628930988</v>
          </cell>
          <cell r="J38">
            <v>2934600.2180014509</v>
          </cell>
          <cell r="K38">
            <v>3027858.1916865562</v>
          </cell>
          <cell r="L38">
            <v>3148972.5193540184</v>
          </cell>
          <cell r="M38">
            <v>3274931.4201281788</v>
          </cell>
          <cell r="N38">
            <v>3405928.6769333067</v>
          </cell>
          <cell r="O38">
            <v>3542165.8240106385</v>
          </cell>
          <cell r="P38">
            <v>3683852.4569710642</v>
          </cell>
          <cell r="Q38">
            <v>3831206.5552499071</v>
          </cell>
          <cell r="R38">
            <v>3984454.8174599032</v>
          </cell>
          <cell r="S38">
            <v>4143833.0101582995</v>
          </cell>
          <cell r="T38">
            <v>4309586.3305646311</v>
          </cell>
          <cell r="U38">
            <v>4481969.783787217</v>
          </cell>
          <cell r="V38">
            <v>4661248.5751387058</v>
          </cell>
          <cell r="W38">
            <v>4847698.5181442546</v>
          </cell>
          <cell r="X38">
            <v>5041606.4588700244</v>
          </cell>
          <cell r="Y38">
            <v>5243270.7172248261</v>
          </cell>
          <cell r="Z38">
            <v>5453001.5459138192</v>
          </cell>
          <cell r="AB38">
            <v>1171701.4212100001</v>
          </cell>
          <cell r="AC38">
            <v>1960113.8964400003</v>
          </cell>
          <cell r="AD38">
            <v>2636185.0259199999</v>
          </cell>
          <cell r="AE38">
            <v>2862034.0459463499</v>
          </cell>
          <cell r="AF38">
            <v>3434058.294137232</v>
          </cell>
          <cell r="AG38">
            <v>3535160.1058677677</v>
          </cell>
          <cell r="AH38">
            <v>3711677.7364646061</v>
          </cell>
          <cell r="AI38">
            <v>3847520.1277291905</v>
          </cell>
          <cell r="AJ38">
            <v>3988543.7202804787</v>
          </cell>
          <cell r="AK38">
            <v>4134950.7122826604</v>
          </cell>
          <cell r="AL38">
            <v>4286951.2888287483</v>
          </cell>
          <cell r="AM38">
            <v>4444763.9393977756</v>
          </cell>
          <cell r="AN38">
            <v>4608615.7879698817</v>
          </cell>
          <cell r="AO38">
            <v>4778742.9363047956</v>
          </cell>
          <cell r="AP38">
            <v>4955390.8209094293</v>
          </cell>
          <cell r="AQ38">
            <v>5138814.5842412971</v>
          </cell>
          <cell r="AR38">
            <v>5329279.4607163491</v>
          </cell>
          <cell r="AS38">
            <v>5527061.1781125097</v>
          </cell>
          <cell r="AT38">
            <v>5732446.3749838686</v>
          </cell>
          <cell r="AU38">
            <v>5945733.0347250188</v>
          </cell>
          <cell r="AV38">
            <v>6167230.936950651</v>
          </cell>
        </row>
        <row r="39">
          <cell r="F39">
            <v>334781.22449999885</v>
          </cell>
          <cell r="G39">
            <v>407720.5387199996</v>
          </cell>
          <cell r="H39">
            <v>703099.42390999943</v>
          </cell>
          <cell r="I39">
            <v>1237423.5680295983</v>
          </cell>
          <cell r="J39">
            <v>1320870.262158154</v>
          </cell>
          <cell r="K39">
            <v>1397825.1876794337</v>
          </cell>
          <cell r="L39">
            <v>1453732.2751866141</v>
          </cell>
          <cell r="M39">
            <v>1511875.6461940771</v>
          </cell>
          <cell r="N39">
            <v>1572344.7520418414</v>
          </cell>
          <cell r="O39">
            <v>1635232.6221235152</v>
          </cell>
          <cell r="P39">
            <v>1700636.0070084557</v>
          </cell>
          <cell r="Q39">
            <v>1768655.5272887945</v>
          </cell>
          <cell r="R39">
            <v>1839395.828380343</v>
          </cell>
          <cell r="S39">
            <v>1912966.7415155554</v>
          </cell>
          <cell r="T39">
            <v>1989480.4511761796</v>
          </cell>
          <cell r="U39">
            <v>2069054.6692232266</v>
          </cell>
          <cell r="V39">
            <v>2151811.8159921588</v>
          </cell>
          <cell r="W39">
            <v>2237879.2086318424</v>
          </cell>
          <cell r="X39">
            <v>2327389.2569771176</v>
          </cell>
          <cell r="Y39">
            <v>2420479.6672562016</v>
          </cell>
          <cell r="Z39">
            <v>2517293.6539464481</v>
          </cell>
          <cell r="AB39">
            <v>334781.22449999885</v>
          </cell>
          <cell r="AC39">
            <v>407720.5387199996</v>
          </cell>
          <cell r="AD39">
            <v>703099.42390999943</v>
          </cell>
          <cell r="AE39">
            <v>719649.21748000057</v>
          </cell>
          <cell r="AF39">
            <v>758463.37701199949</v>
          </cell>
          <cell r="AG39">
            <v>3079595.0505389329</v>
          </cell>
          <cell r="AH39">
            <v>2018558.0416175374</v>
          </cell>
          <cell r="AI39">
            <v>1355086.8211349007</v>
          </cell>
          <cell r="AJ39">
            <v>7801682.0162835876</v>
          </cell>
          <cell r="AK39">
            <v>8117370.7495827237</v>
          </cell>
          <cell r="AL39">
            <v>7923631.0977300191</v>
          </cell>
          <cell r="AM39">
            <v>8823248.5840982273</v>
          </cell>
          <cell r="AN39">
            <v>5062575.3477604855</v>
          </cell>
          <cell r="AO39">
            <v>6174384.3014962384</v>
          </cell>
          <cell r="AP39">
            <v>5264449.6332125366</v>
          </cell>
          <cell r="AQ39">
            <v>5406221.5856758803</v>
          </cell>
          <cell r="AR39">
            <v>5530387.4981202511</v>
          </cell>
          <cell r="AS39">
            <v>4947957.217299887</v>
          </cell>
          <cell r="AT39">
            <v>5794936.1024405928</v>
          </cell>
          <cell r="AU39">
            <v>5935797.8056186168</v>
          </cell>
          <cell r="AV39">
            <v>6082721.9435939109</v>
          </cell>
        </row>
        <row r="42">
          <cell r="F42">
            <v>3174392.8499100003</v>
          </cell>
          <cell r="G42">
            <v>3740912.4062999999</v>
          </cell>
          <cell r="H42">
            <v>4371873.1039799992</v>
          </cell>
          <cell r="I42">
            <v>4823281.4233974265</v>
          </cell>
          <cell r="J42">
            <v>5284722.5466528023</v>
          </cell>
          <cell r="K42">
            <v>5747976.1280352669</v>
          </cell>
          <cell r="L42">
            <v>5976296.787602284</v>
          </cell>
          <cell r="M42">
            <v>6212438.4960008487</v>
          </cell>
          <cell r="N42">
            <v>6460936.0358408839</v>
          </cell>
          <cell r="O42">
            <v>6719373.4772745185</v>
          </cell>
          <cell r="P42">
            <v>6988148.4163654987</v>
          </cell>
          <cell r="Q42">
            <v>7267674.3530201195</v>
          </cell>
          <cell r="R42">
            <v>7558381.3271409255</v>
          </cell>
          <cell r="S42">
            <v>7860716.580226562</v>
          </cell>
          <cell r="T42">
            <v>8175145.2434356259</v>
          </cell>
          <cell r="U42">
            <v>8502151.0531730503</v>
          </cell>
          <cell r="V42">
            <v>8842237.0952999722</v>
          </cell>
          <cell r="W42">
            <v>9195926.579111971</v>
          </cell>
          <cell r="X42">
            <v>9563763.6422764529</v>
          </cell>
          <cell r="Y42">
            <v>9946314.187967509</v>
          </cell>
          <cell r="Z42">
            <v>10344166.755486213</v>
          </cell>
          <cell r="AB42">
            <v>3174392.8499100003</v>
          </cell>
          <cell r="AC42">
            <v>3740912.4062999999</v>
          </cell>
          <cell r="AD42">
            <v>4371873.1039799992</v>
          </cell>
          <cell r="AE42">
            <v>5223358.2613691967</v>
          </cell>
          <cell r="AF42">
            <v>5783082.283567545</v>
          </cell>
          <cell r="AG42">
            <v>6367529.4413962057</v>
          </cell>
          <cell r="AH42">
            <v>6691232.3838460669</v>
          </cell>
          <cell r="AI42">
            <v>6999695.0204253644</v>
          </cell>
          <cell r="AJ42">
            <v>7303519.2011678331</v>
          </cell>
          <cell r="AK42">
            <v>7619450.2142111156</v>
          </cell>
          <cell r="AL42">
            <v>7949385.907068368</v>
          </cell>
          <cell r="AM42">
            <v>8293957.7976835333</v>
          </cell>
          <cell r="AN42">
            <v>8653826.1832755543</v>
          </cell>
          <cell r="AO42">
            <v>9026641.073295027</v>
          </cell>
          <cell r="AP42">
            <v>9415435.0326228123</v>
          </cell>
          <cell r="AQ42">
            <v>9832273.0865526367</v>
          </cell>
          <cell r="AR42">
            <v>10259238.055784736</v>
          </cell>
          <cell r="AS42">
            <v>10700798.162910577</v>
          </cell>
          <cell r="AT42">
            <v>11165536.483018579</v>
          </cell>
          <cell r="AU42">
            <v>11644414.041390033</v>
          </cell>
          <cell r="AV42">
            <v>12148661.179895103</v>
          </cell>
        </row>
        <row r="43">
          <cell r="F43">
            <v>954936.65828615008</v>
          </cell>
          <cell r="G43">
            <v>1347578.3038025</v>
          </cell>
          <cell r="H43">
            <v>2148490.7961247996</v>
          </cell>
          <cell r="I43">
            <v>2169329.3037987552</v>
          </cell>
          <cell r="J43">
            <v>2230296.1656811028</v>
          </cell>
          <cell r="K43">
            <v>2301172.2256817827</v>
          </cell>
          <cell r="L43">
            <v>2393219.1147090541</v>
          </cell>
          <cell r="M43">
            <v>2488947.8792974157</v>
          </cell>
          <cell r="N43">
            <v>2588505.7944693128</v>
          </cell>
          <cell r="O43">
            <v>2692046.0262480853</v>
          </cell>
          <cell r="P43">
            <v>2799727.8672980089</v>
          </cell>
          <cell r="Q43">
            <v>2911716.9819899295</v>
          </cell>
          <cell r="R43">
            <v>3028185.6612695265</v>
          </cell>
          <cell r="S43">
            <v>3149313.0877203075</v>
          </cell>
          <cell r="T43">
            <v>3275285.6112291198</v>
          </cell>
          <cell r="U43">
            <v>3406297.0356782852</v>
          </cell>
          <cell r="V43">
            <v>3542548.9171054158</v>
          </cell>
          <cell r="W43">
            <v>3684250.8737896332</v>
          </cell>
          <cell r="X43">
            <v>3831620.908741218</v>
          </cell>
          <cell r="Y43">
            <v>3984885.7450908679</v>
          </cell>
          <cell r="Z43">
            <v>4144281.1748945029</v>
          </cell>
          <cell r="AB43">
            <v>954936.65828615008</v>
          </cell>
          <cell r="AC43">
            <v>1347578.3038025</v>
          </cell>
          <cell r="AD43">
            <v>2148490.7961247996</v>
          </cell>
          <cell r="AE43">
            <v>2175145.8749192259</v>
          </cell>
          <cell r="AF43">
            <v>2609884.303544296</v>
          </cell>
          <cell r="AG43">
            <v>2686721.680459504</v>
          </cell>
          <cell r="AH43">
            <v>2820875.0797131006</v>
          </cell>
          <cell r="AI43">
            <v>2924115.2970741848</v>
          </cell>
          <cell r="AJ43">
            <v>3031293.227413164</v>
          </cell>
          <cell r="AK43">
            <v>3142562.5413348214</v>
          </cell>
          <cell r="AL43">
            <v>3258082.9795098486</v>
          </cell>
          <cell r="AM43">
            <v>3378020.5939423088</v>
          </cell>
          <cell r="AN43">
            <v>3502547.9988571103</v>
          </cell>
          <cell r="AO43">
            <v>3631844.6315916441</v>
          </cell>
          <cell r="AP43">
            <v>3766097.0238911663</v>
          </cell>
          <cell r="AQ43">
            <v>3905499.0840233853</v>
          </cell>
          <cell r="AR43">
            <v>4050252.390144425</v>
          </cell>
          <cell r="AS43">
            <v>4200566.495365507</v>
          </cell>
          <cell r="AT43">
            <v>4356659.2449877393</v>
          </cell>
          <cell r="AU43">
            <v>4518757.1063910145</v>
          </cell>
          <cell r="AV43">
            <v>4687095.5120824948</v>
          </cell>
        </row>
        <row r="44">
          <cell r="F44">
            <v>110468.256079318</v>
          </cell>
          <cell r="G44">
            <v>134774.97535300799</v>
          </cell>
          <cell r="H44">
            <v>270177.91364793602</v>
          </cell>
          <cell r="I44">
            <v>446702.19518348819</v>
          </cell>
          <cell r="J44">
            <v>464871.55204146227</v>
          </cell>
          <cell r="K44">
            <v>483312.27386176644</v>
          </cell>
          <cell r="L44">
            <v>502628.6447859616</v>
          </cell>
          <cell r="M44">
            <v>522664.08156082837</v>
          </cell>
          <cell r="N44">
            <v>543607.29657158908</v>
          </cell>
          <cell r="O44">
            <v>565391.23096544354</v>
          </cell>
          <cell r="P44">
            <v>588049.75756558101</v>
          </cell>
          <cell r="Q44">
            <v>611618.12402242422</v>
          </cell>
          <cell r="R44">
            <v>636133.00943172525</v>
          </cell>
          <cell r="S44">
            <v>661632.58334998833</v>
          </cell>
          <cell r="T44">
            <v>688156.56731392676</v>
          </cell>
          <cell r="U44">
            <v>715746.29897582601</v>
          </cell>
          <cell r="V44">
            <v>744444.79897209944</v>
          </cell>
          <cell r="W44">
            <v>774296.84064806276</v>
          </cell>
          <cell r="X44">
            <v>805349.02276797802</v>
          </cell>
          <cell r="Y44">
            <v>837649.84534579981</v>
          </cell>
          <cell r="Z44">
            <v>871249.78873877018</v>
          </cell>
          <cell r="AB44">
            <v>110468.256079318</v>
          </cell>
          <cell r="AC44">
            <v>134774.97535300799</v>
          </cell>
          <cell r="AD44">
            <v>270177.91364793602</v>
          </cell>
          <cell r="AE44">
            <v>447390.99965828081</v>
          </cell>
          <cell r="AF44">
            <v>509822.77889368252</v>
          </cell>
          <cell r="AG44">
            <v>528969.44613807544</v>
          </cell>
          <cell r="AH44">
            <v>553272.11432591453</v>
          </cell>
          <cell r="AI44">
            <v>574197.0652449195</v>
          </cell>
          <cell r="AJ44">
            <v>596042.65047283459</v>
          </cell>
          <cell r="AK44">
            <v>618741.87090992543</v>
          </cell>
          <cell r="AL44">
            <v>642328.65243277256</v>
          </cell>
          <cell r="AM44">
            <v>666838.2885957323</v>
          </cell>
          <cell r="AN44">
            <v>692307.49677762331</v>
          </cell>
          <cell r="AO44">
            <v>718774.47670317302</v>
          </cell>
          <cell r="AP44">
            <v>746278.97144495859</v>
          </cell>
          <cell r="AQ44">
            <v>774862.33101669326</v>
          </cell>
          <cell r="AR44">
            <v>804567.5786740873</v>
          </cell>
          <cell r="AS44">
            <v>835439.48004520568</v>
          </cell>
          <cell r="AT44">
            <v>867524.615218224</v>
          </cell>
          <cell r="AU44">
            <v>900871.45392081724</v>
          </cell>
          <cell r="AV44">
            <v>935530.43393208506</v>
          </cell>
        </row>
        <row r="45"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</row>
        <row r="46">
          <cell r="F46">
            <v>639760.12530999992</v>
          </cell>
          <cell r="G46">
            <v>700275.63043000002</v>
          </cell>
          <cell r="H46">
            <v>764463.57802999998</v>
          </cell>
          <cell r="I46">
            <v>798864.43904134992</v>
          </cell>
          <cell r="J46">
            <v>830819.01660300395</v>
          </cell>
          <cell r="K46">
            <v>864051.77726712427</v>
          </cell>
          <cell r="L46">
            <v>898613.84835780913</v>
          </cell>
          <cell r="M46">
            <v>934558.40229212167</v>
          </cell>
          <cell r="N46">
            <v>971940.73838380666</v>
          </cell>
          <cell r="O46">
            <v>1010818.3679191589</v>
          </cell>
          <cell r="P46">
            <v>1051251.1026359254</v>
          </cell>
          <cell r="Q46">
            <v>1093301.1467413625</v>
          </cell>
          <cell r="R46">
            <v>1137033.192611017</v>
          </cell>
          <cell r="S46">
            <v>1182514.5203154578</v>
          </cell>
          <cell r="T46">
            <v>1229815.1011280762</v>
          </cell>
          <cell r="U46">
            <v>1279007.7051731993</v>
          </cell>
          <cell r="V46">
            <v>1330168.013380127</v>
          </cell>
          <cell r="W46">
            <v>1383374.7339153325</v>
          </cell>
          <cell r="X46">
            <v>1438709.7232719455</v>
          </cell>
          <cell r="Y46">
            <v>1496258.1122028236</v>
          </cell>
          <cell r="Z46">
            <v>1556108.4366909366</v>
          </cell>
          <cell r="AB46">
            <v>639760.12530999992</v>
          </cell>
          <cell r="AC46">
            <v>700275.63043000002</v>
          </cell>
          <cell r="AD46">
            <v>764463.57802999998</v>
          </cell>
          <cell r="AE46">
            <v>798864.43904134992</v>
          </cell>
          <cell r="AF46">
            <v>830819.01660300395</v>
          </cell>
          <cell r="AG46">
            <v>864051.77726712427</v>
          </cell>
          <cell r="AH46">
            <v>898613.84835780913</v>
          </cell>
          <cell r="AI46">
            <v>934558.40229212167</v>
          </cell>
          <cell r="AJ46">
            <v>971940.73838380666</v>
          </cell>
          <cell r="AK46">
            <v>1010818.3679191589</v>
          </cell>
          <cell r="AL46">
            <v>1051251.1026359254</v>
          </cell>
          <cell r="AM46">
            <v>1093301.1467413625</v>
          </cell>
          <cell r="AN46">
            <v>1137033.192611017</v>
          </cell>
          <cell r="AO46">
            <v>1182514.5203154578</v>
          </cell>
          <cell r="AP46">
            <v>1229815.1011280762</v>
          </cell>
          <cell r="AQ46">
            <v>1279007.7051731993</v>
          </cell>
          <cell r="AR46">
            <v>1330168.013380127</v>
          </cell>
          <cell r="AS46">
            <v>1383374.7339153325</v>
          </cell>
          <cell r="AT46">
            <v>1438709.7232719455</v>
          </cell>
          <cell r="AU46">
            <v>1496258.1122028236</v>
          </cell>
          <cell r="AV46">
            <v>1556108.4366909366</v>
          </cell>
        </row>
        <row r="47">
          <cell r="F47">
            <v>72059.637404413894</v>
          </cell>
          <cell r="G47">
            <v>132111.67662005592</v>
          </cell>
          <cell r="H47">
            <v>162125.37909407914</v>
          </cell>
          <cell r="I47">
            <v>199806.64640251826</v>
          </cell>
          <cell r="J47">
            <v>205422.01526010409</v>
          </cell>
          <cell r="K47">
            <v>211950.07341806032</v>
          </cell>
          <cell r="L47">
            <v>220428.07635478117</v>
          </cell>
          <cell r="M47">
            <v>229245.19940897264</v>
          </cell>
          <cell r="N47">
            <v>238415.00738533027</v>
          </cell>
          <cell r="O47">
            <v>247951.60768074542</v>
          </cell>
          <cell r="P47">
            <v>257869.67198797502</v>
          </cell>
          <cell r="Q47">
            <v>268184.45886749402</v>
          </cell>
          <cell r="R47">
            <v>278911.83722219244</v>
          </cell>
          <cell r="S47">
            <v>290068.31071108207</v>
          </cell>
          <cell r="T47">
            <v>301671.04313952476</v>
          </cell>
          <cell r="U47">
            <v>313737.88486510515</v>
          </cell>
          <cell r="V47">
            <v>326287.40025970899</v>
          </cell>
          <cell r="W47">
            <v>339338.89627009816</v>
          </cell>
          <cell r="X47">
            <v>352912.45212090015</v>
          </cell>
          <cell r="Y47">
            <v>367028.95020573959</v>
          </cell>
          <cell r="Z47">
            <v>381710.10821396485</v>
          </cell>
          <cell r="AB47">
            <v>72059.637404413894</v>
          </cell>
          <cell r="AC47">
            <v>132111.67662005592</v>
          </cell>
          <cell r="AD47">
            <v>162125.37909407914</v>
          </cell>
          <cell r="AE47">
            <v>200342.3832162451</v>
          </cell>
          <cell r="AF47">
            <v>240384.0805896055</v>
          </cell>
          <cell r="AG47">
            <v>247461.20741074532</v>
          </cell>
          <cell r="AH47">
            <v>259817.44155252166</v>
          </cell>
          <cell r="AI47">
            <v>269326.4089410454</v>
          </cell>
          <cell r="AJ47">
            <v>279198.06041963212</v>
          </cell>
          <cell r="AK47">
            <v>289446.54985978641</v>
          </cell>
          <cell r="AL47">
            <v>300086.59021801129</v>
          </cell>
          <cell r="AM47">
            <v>311133.47575784475</v>
          </cell>
          <cell r="AN47">
            <v>322603.10515789129</v>
          </cell>
          <cell r="AO47">
            <v>334512.00554133579</v>
          </cell>
          <cell r="AP47">
            <v>346877.35746366158</v>
          </cell>
          <cell r="AQ47">
            <v>359717.02089689299</v>
          </cell>
          <cell r="AR47">
            <v>373049.56225014292</v>
          </cell>
          <cell r="AS47">
            <v>386894.28246787563</v>
          </cell>
          <cell r="AT47">
            <v>401271.24624887109</v>
          </cell>
          <cell r="AU47">
            <v>416201.31243075058</v>
          </cell>
          <cell r="AV47">
            <v>431706.16558654606</v>
          </cell>
        </row>
        <row r="49">
          <cell r="F49">
            <v>2202812.1657038503</v>
          </cell>
          <cell r="G49">
            <v>2615057.5485975007</v>
          </cell>
          <cell r="H49">
            <v>2979709.1039752001</v>
          </cell>
          <cell r="I49">
            <v>3245344.9152376754</v>
          </cell>
          <cell r="J49">
            <v>3426876.6526149153</v>
          </cell>
          <cell r="K49">
            <v>3613615.5873572975</v>
          </cell>
          <cell r="L49">
            <v>3800473.4910738324</v>
          </cell>
          <cell r="M49">
            <v>3998258.4746051612</v>
          </cell>
          <cell r="N49">
            <v>4207689.366659035</v>
          </cell>
          <cell r="O49">
            <v>4429536.73952555</v>
          </cell>
          <cell r="P49">
            <v>4664626.8548398577</v>
          </cell>
          <cell r="Q49">
            <v>4913845.9202585714</v>
          </cell>
          <cell r="R49">
            <v>5178144.6819780068</v>
          </cell>
          <cell r="S49">
            <v>5458543.3800387979</v>
          </cell>
          <cell r="T49">
            <v>5756137.0955418088</v>
          </cell>
          <cell r="U49">
            <v>6072101.5212575365</v>
          </cell>
          <cell r="V49">
            <v>6407699.1896604504</v>
          </cell>
          <cell r="W49">
            <v>6764286.1951757707</v>
          </cell>
          <cell r="X49">
            <v>7143319.450406705</v>
          </cell>
          <cell r="Y49">
            <v>7546364.5193326669</v>
          </cell>
          <cell r="Z49">
            <v>7975104.0739538968</v>
          </cell>
          <cell r="AB49">
            <v>2202812.1657038503</v>
          </cell>
          <cell r="AC49">
            <v>2615057.5485975007</v>
          </cell>
          <cell r="AD49">
            <v>2979709.1039752001</v>
          </cell>
          <cell r="AE49">
            <v>3245344.9152376754</v>
          </cell>
          <cell r="AF49">
            <v>3426876.6526149143</v>
          </cell>
          <cell r="AG49">
            <v>3613615.5873572999</v>
          </cell>
          <cell r="AH49">
            <v>3800473.4910738324</v>
          </cell>
          <cell r="AI49">
            <v>3998258.4746051612</v>
          </cell>
          <cell r="AJ49">
            <v>4207689.3666590368</v>
          </cell>
          <cell r="AK49">
            <v>4429536.73952555</v>
          </cell>
          <cell r="AL49">
            <v>4664626.8548398577</v>
          </cell>
          <cell r="AM49">
            <v>4913845.9202585723</v>
          </cell>
          <cell r="AN49">
            <v>5178144.6819780059</v>
          </cell>
          <cell r="AO49">
            <v>5543582.8303813329</v>
          </cell>
          <cell r="AP49">
            <v>5936066.3942922857</v>
          </cell>
          <cell r="AQ49">
            <v>6262452.994657998</v>
          </cell>
          <cell r="AR49">
            <v>6609076.3906786796</v>
          </cell>
          <cell r="AS49">
            <v>6977327.6330585573</v>
          </cell>
          <cell r="AT49">
            <v>7368700.615260141</v>
          </cell>
          <cell r="AU49">
            <v>7784800.0239610663</v>
          </cell>
          <cell r="AV49">
            <v>8227349.9197486639</v>
          </cell>
        </row>
        <row r="50">
          <cell r="F50">
            <v>401669.92253558605</v>
          </cell>
          <cell r="G50">
            <v>508416.37457994383</v>
          </cell>
          <cell r="H50">
            <v>589158.9267859211</v>
          </cell>
          <cell r="I50">
            <v>585285.45324208157</v>
          </cell>
          <cell r="J50">
            <v>611073.76837028004</v>
          </cell>
          <cell r="K50">
            <v>637205.54155753914</v>
          </cell>
          <cell r="L50">
            <v>662693.76321984222</v>
          </cell>
          <cell r="M50">
            <v>689201.51374863577</v>
          </cell>
          <cell r="N50">
            <v>716769.57429858262</v>
          </cell>
          <cell r="O50">
            <v>745440.35727052402</v>
          </cell>
          <cell r="P50">
            <v>775257.97156134504</v>
          </cell>
          <cell r="Q50">
            <v>806268.29042379837</v>
          </cell>
          <cell r="R50">
            <v>838519.02204075223</v>
          </cell>
          <cell r="S50">
            <v>872059.78292238084</v>
          </cell>
          <cell r="T50">
            <v>906942.17423927621</v>
          </cell>
          <cell r="U50">
            <v>943219.86120884819</v>
          </cell>
          <cell r="V50">
            <v>980948.65565720247</v>
          </cell>
          <cell r="W50">
            <v>1020186.6018834901</v>
          </cell>
          <cell r="X50">
            <v>1060994.0659588319</v>
          </cell>
          <cell r="Y50">
            <v>1103433.8285971812</v>
          </cell>
          <cell r="Z50">
            <v>1147571.1817410726</v>
          </cell>
          <cell r="AB50">
            <v>401669.92253558617</v>
          </cell>
          <cell r="AC50">
            <v>508416.37457994372</v>
          </cell>
          <cell r="AD50">
            <v>589158.92678592121</v>
          </cell>
          <cell r="AE50">
            <v>585821.19005581015</v>
          </cell>
          <cell r="AF50">
            <v>646035.83369978773</v>
          </cell>
          <cell r="AG50">
            <v>672716.67555022333</v>
          </cell>
          <cell r="AH50">
            <v>702083.12841758365</v>
          </cell>
          <cell r="AI50">
            <v>729282.72328070446</v>
          </cell>
          <cell r="AJ50">
            <v>757552.62733288459</v>
          </cell>
          <cell r="AK50">
            <v>786935.29944956559</v>
          </cell>
          <cell r="AL50">
            <v>817474.88979138411</v>
          </cell>
          <cell r="AM50">
            <v>849217.30731414969</v>
          </cell>
          <cell r="AN50">
            <v>882210.28997645027</v>
          </cell>
          <cell r="AO50">
            <v>916503.47775263677</v>
          </cell>
          <cell r="AP50">
            <v>952148.4885634114</v>
          </cell>
          <cell r="AQ50">
            <v>989198.99724063149</v>
          </cell>
          <cell r="AR50">
            <v>1027710.817647639</v>
          </cell>
          <cell r="AS50">
            <v>1067741.9880812685</v>
          </cell>
          <cell r="AT50">
            <v>1109352.8600867991</v>
          </cell>
          <cell r="AU50">
            <v>1152606.1908221974</v>
          </cell>
          <cell r="AV50">
            <v>1197567.2391136468</v>
          </cell>
        </row>
        <row r="51">
          <cell r="F51">
            <v>1192318</v>
          </cell>
          <cell r="G51">
            <v>1406586.5</v>
          </cell>
          <cell r="H51">
            <v>1386087.5</v>
          </cell>
          <cell r="I51">
            <v>1448461.4375</v>
          </cell>
          <cell r="J51">
            <v>1506399.8949999998</v>
          </cell>
          <cell r="K51">
            <v>1566655.8907999999</v>
          </cell>
          <cell r="L51">
            <v>1629322.126432</v>
          </cell>
          <cell r="M51">
            <v>1694495.01148928</v>
          </cell>
          <cell r="N51">
            <v>1762274.8119488512</v>
          </cell>
          <cell r="O51">
            <v>1832765.8044268053</v>
          </cell>
          <cell r="P51">
            <v>1906076.4366038777</v>
          </cell>
          <cell r="Q51">
            <v>1982319.4940680331</v>
          </cell>
          <cell r="R51">
            <v>2061612.2738307542</v>
          </cell>
          <cell r="S51">
            <v>2144076.7647839841</v>
          </cell>
          <cell r="T51">
            <v>2229839.8353753434</v>
          </cell>
          <cell r="U51">
            <v>2319033.4287903574</v>
          </cell>
          <cell r="V51">
            <v>2411794.7659419719</v>
          </cell>
          <cell r="W51">
            <v>2508266.5565796504</v>
          </cell>
          <cell r="X51">
            <v>2608597.2188428366</v>
          </cell>
          <cell r="Y51">
            <v>2712941.1075965501</v>
          </cell>
          <cell r="Z51">
            <v>2821458.7519004121</v>
          </cell>
          <cell r="AB51">
            <v>1192318</v>
          </cell>
          <cell r="AC51">
            <v>1406586.5</v>
          </cell>
          <cell r="AD51">
            <v>1386087.5</v>
          </cell>
          <cell r="AE51">
            <v>1448461.4375</v>
          </cell>
          <cell r="AF51">
            <v>1506399.8949999998</v>
          </cell>
          <cell r="AG51">
            <v>1566655.8907999999</v>
          </cell>
          <cell r="AH51">
            <v>1629322.126432</v>
          </cell>
          <cell r="AI51">
            <v>1694495.01148928</v>
          </cell>
          <cell r="AJ51">
            <v>1762274.8119488512</v>
          </cell>
          <cell r="AK51">
            <v>1832765.8044268053</v>
          </cell>
          <cell r="AL51">
            <v>1906076.4366038777</v>
          </cell>
          <cell r="AM51">
            <v>1982319.4940680331</v>
          </cell>
          <cell r="AN51">
            <v>2061612.2738307542</v>
          </cell>
          <cell r="AO51">
            <v>2369647.3377318098</v>
          </cell>
          <cell r="AP51">
            <v>2723153.1807039045</v>
          </cell>
          <cell r="AQ51">
            <v>2831980.6452629957</v>
          </cell>
          <cell r="AR51">
            <v>2945157.2816302208</v>
          </cell>
          <cell r="AS51">
            <v>3062856.9003922916</v>
          </cell>
          <cell r="AT51">
            <v>3185260.2583392211</v>
          </cell>
          <cell r="AU51">
            <v>3312555.3360648905</v>
          </cell>
          <cell r="AV51">
            <v>3444937.6266617929</v>
          </cell>
        </row>
        <row r="52">
          <cell r="F52">
            <v>15626.9</v>
          </cell>
          <cell r="G52">
            <v>32891.599999999999</v>
          </cell>
          <cell r="H52">
            <v>31208.9</v>
          </cell>
          <cell r="I52">
            <v>32613.300499999994</v>
          </cell>
          <cell r="J52">
            <v>33917.832519999996</v>
          </cell>
          <cell r="K52">
            <v>35274.545820799998</v>
          </cell>
          <cell r="L52">
            <v>36685.527653631994</v>
          </cell>
          <cell r="M52">
            <v>38152.948759777275</v>
          </cell>
          <cell r="N52">
            <v>39679.066710168365</v>
          </cell>
          <cell r="O52">
            <v>41266.229378575103</v>
          </cell>
          <cell r="P52">
            <v>42916.87855371811</v>
          </cell>
          <cell r="Q52">
            <v>44633.553695866831</v>
          </cell>
          <cell r="R52">
            <v>46418.895843701503</v>
          </cell>
          <cell r="S52">
            <v>48275.651677449569</v>
          </cell>
          <cell r="T52">
            <v>50206.677744547553</v>
          </cell>
          <cell r="U52">
            <v>52214.944854329457</v>
          </cell>
          <cell r="V52">
            <v>54303.54264850264</v>
          </cell>
          <cell r="W52">
            <v>56475.684354442747</v>
          </cell>
          <cell r="X52">
            <v>58734.711728620459</v>
          </cell>
          <cell r="Y52">
            <v>61084.100197765285</v>
          </cell>
          <cell r="Z52">
            <v>63527.464205675889</v>
          </cell>
          <cell r="AB52">
            <v>15626.9</v>
          </cell>
          <cell r="AC52">
            <v>32891.599999999999</v>
          </cell>
          <cell r="AD52">
            <v>31208.9</v>
          </cell>
          <cell r="AE52">
            <v>32613.300499999994</v>
          </cell>
          <cell r="AF52">
            <v>33917.832519999996</v>
          </cell>
          <cell r="AG52">
            <v>35274.545820799998</v>
          </cell>
          <cell r="AH52">
            <v>36685.527653631994</v>
          </cell>
          <cell r="AI52">
            <v>38152.948759777275</v>
          </cell>
          <cell r="AJ52">
            <v>39679.066710168365</v>
          </cell>
          <cell r="AK52">
            <v>41266.229378575103</v>
          </cell>
          <cell r="AL52">
            <v>42916.87855371811</v>
          </cell>
          <cell r="AM52">
            <v>44633.553695866831</v>
          </cell>
          <cell r="AN52">
            <v>46418.895843701503</v>
          </cell>
          <cell r="AO52">
            <v>48275.651677449569</v>
          </cell>
          <cell r="AP52">
            <v>50206.677744547553</v>
          </cell>
          <cell r="AQ52">
            <v>52214.944854329457</v>
          </cell>
          <cell r="AR52">
            <v>54303.54264850264</v>
          </cell>
          <cell r="AS52">
            <v>56475.684354442747</v>
          </cell>
          <cell r="AT52">
            <v>58734.711728620459</v>
          </cell>
          <cell r="AU52">
            <v>61084.100197765285</v>
          </cell>
          <cell r="AV52">
            <v>63527.464205675889</v>
          </cell>
        </row>
        <row r="53">
          <cell r="F53">
            <v>745023</v>
          </cell>
          <cell r="G53">
            <v>804128.79999999993</v>
          </cell>
          <cell r="H53">
            <v>879574.70000000007</v>
          </cell>
          <cell r="I53">
            <v>769467.85511492181</v>
          </cell>
          <cell r="J53">
            <v>790443.51481219812</v>
          </cell>
          <cell r="K53">
            <v>812295.06497736555</v>
          </cell>
          <cell r="L53">
            <v>835054.6583491395</v>
          </cell>
          <cell r="M53">
            <v>858758.61665578454</v>
          </cell>
          <cell r="N53">
            <v>883444.7144946953</v>
          </cell>
          <cell r="O53">
            <v>909152.23744716262</v>
          </cell>
          <cell r="P53">
            <v>935922.04251772841</v>
          </cell>
          <cell r="Q53">
            <v>963796.62099111697</v>
          </cell>
          <cell r="R53">
            <v>992820.16380344122</v>
          </cell>
          <cell r="S53">
            <v>1023053.9744294748</v>
          </cell>
          <cell r="T53">
            <v>1054545.5709546609</v>
          </cell>
          <cell r="U53">
            <v>1087344.3884467427</v>
          </cell>
          <cell r="V53">
            <v>1121501.8553364237</v>
          </cell>
          <cell r="W53">
            <v>1157071.4728587964</v>
          </cell>
          <cell r="X53">
            <v>1194108.8976778688</v>
          </cell>
          <cell r="Y53">
            <v>1232672.0278214086</v>
          </cell>
          <cell r="Z53">
            <v>1272821.0920584165</v>
          </cell>
          <cell r="AB53">
            <v>745023</v>
          </cell>
          <cell r="AC53">
            <v>804128.79999999993</v>
          </cell>
          <cell r="AD53">
            <v>879574.70000000007</v>
          </cell>
          <cell r="AE53">
            <v>765493.81978632743</v>
          </cell>
          <cell r="AF53">
            <v>785795.91127550055</v>
          </cell>
          <cell r="AG53">
            <v>808542.29375090962</v>
          </cell>
          <cell r="AH53">
            <v>831473.58223554539</v>
          </cell>
          <cell r="AI53">
            <v>855448.76802643517</v>
          </cell>
          <cell r="AJ53">
            <v>880521.65340952203</v>
          </cell>
          <cell r="AK53">
            <v>906749.75879336672</v>
          </cell>
          <cell r="AL53">
            <v>934194.67501810612</v>
          </cell>
          <cell r="AM53">
            <v>962922.45622269646</v>
          </cell>
          <cell r="AN53">
            <v>993004.05833334359</v>
          </cell>
          <cell r="AO53">
            <v>1142496.3673179518</v>
          </cell>
          <cell r="AP53">
            <v>1351047.9017610808</v>
          </cell>
          <cell r="AQ53">
            <v>1388988.7087556862</v>
          </cell>
          <cell r="AR53">
            <v>1428782.7906084992</v>
          </cell>
          <cell r="AS53">
            <v>1419593.2512377412</v>
          </cell>
          <cell r="AT53">
            <v>1513427.9764626422</v>
          </cell>
          <cell r="AU53">
            <v>1558416.275715716</v>
          </cell>
          <cell r="AV53">
            <v>1605277.9436110987</v>
          </cell>
        </row>
        <row r="54">
          <cell r="F54">
            <v>137348.54392068199</v>
          </cell>
          <cell r="G54">
            <v>295325.62464699196</v>
          </cell>
          <cell r="H54">
            <v>260466.48635206401</v>
          </cell>
          <cell r="I54">
            <v>126216.41490739421</v>
          </cell>
          <cell r="J54">
            <v>141097.45617263869</v>
          </cell>
          <cell r="K54">
            <v>152984.24473158224</v>
          </cell>
          <cell r="L54">
            <v>159071.07765321736</v>
          </cell>
          <cell r="M54">
            <v>165293.2192218228</v>
          </cell>
          <cell r="N54">
            <v>171978.92633089051</v>
          </cell>
          <cell r="O54">
            <v>178938.09835688083</v>
          </cell>
          <cell r="P54">
            <v>186182.1664856876</v>
          </cell>
          <cell r="Q54">
            <v>193723.05934592034</v>
          </cell>
          <cell r="R54">
            <v>201573.22618654824</v>
          </cell>
          <cell r="S54">
            <v>209745.66124929138</v>
          </cell>
          <cell r="T54">
            <v>218253.92940539122</v>
          </cell>
          <cell r="U54">
            <v>227112.19313095487</v>
          </cell>
          <cell r="V54">
            <v>236335.24089996796</v>
          </cell>
          <cell r="W54">
            <v>245938.51707931363</v>
          </cell>
          <cell r="X54">
            <v>255938.1534157705</v>
          </cell>
          <cell r="Y54">
            <v>266351.00221099309</v>
          </cell>
          <cell r="Z54">
            <v>277194.67128696619</v>
          </cell>
          <cell r="AB54">
            <v>137348.54392068199</v>
          </cell>
          <cell r="AC54">
            <v>295325.62464699196</v>
          </cell>
          <cell r="AD54">
            <v>260466.48635206401</v>
          </cell>
          <cell r="AE54">
            <v>125527.61043260159</v>
          </cell>
          <cell r="AF54">
            <v>96146.229320418439</v>
          </cell>
          <cell r="AG54">
            <v>107327.07245527324</v>
          </cell>
          <cell r="AH54">
            <v>108427.60811326443</v>
          </cell>
          <cell r="AI54">
            <v>113760.23553773167</v>
          </cell>
          <cell r="AJ54">
            <v>119543.57242964499</v>
          </cell>
          <cell r="AK54">
            <v>125587.45841239893</v>
          </cell>
          <cell r="AL54">
            <v>131903.27161849604</v>
          </cell>
          <cell r="AM54">
            <v>138502.89477261226</v>
          </cell>
          <cell r="AN54">
            <v>145398.73884065019</v>
          </cell>
          <cell r="AO54">
            <v>185426.49125248764</v>
          </cell>
          <cell r="AP54">
            <v>228389.66076628922</v>
          </cell>
          <cell r="AQ54">
            <v>238970.97037459631</v>
          </cell>
          <cell r="AR54">
            <v>250012.06789201219</v>
          </cell>
          <cell r="AS54">
            <v>261532.70872262539</v>
          </cell>
          <cell r="AT54">
            <v>273553.51788138924</v>
          </cell>
          <cell r="AU54">
            <v>286096.03063709172</v>
          </cell>
          <cell r="AV54">
            <v>299182.73524741177</v>
          </cell>
        </row>
        <row r="55">
          <cell r="F55">
            <v>953855.1166500001</v>
          </cell>
          <cell r="G55">
            <v>1058987.32889</v>
          </cell>
          <cell r="H55">
            <v>1582124.6118800002</v>
          </cell>
          <cell r="I55">
            <v>1653320.2194146002</v>
          </cell>
          <cell r="J55">
            <v>1719453.0281911842</v>
          </cell>
          <cell r="K55">
            <v>1788231.1493188315</v>
          </cell>
          <cell r="L55">
            <v>1859760.3952915848</v>
          </cell>
          <cell r="M55">
            <v>1934150.8111032483</v>
          </cell>
          <cell r="N55">
            <v>2011516.8435473782</v>
          </cell>
          <cell r="O55">
            <v>2091977.5172892734</v>
          </cell>
          <cell r="P55">
            <v>2175656.6179808443</v>
          </cell>
          <cell r="Q55">
            <v>2262682.8827000782</v>
          </cell>
          <cell r="R55">
            <v>2353190.1980080814</v>
          </cell>
          <cell r="S55">
            <v>2447317.8059284049</v>
          </cell>
          <cell r="T55">
            <v>2545210.5181655413</v>
          </cell>
          <cell r="U55">
            <v>2647018.9388921629</v>
          </cell>
          <cell r="V55">
            <v>2752899.6964478493</v>
          </cell>
          <cell r="W55">
            <v>2863015.6843057633</v>
          </cell>
          <cell r="X55">
            <v>2977536.3116779937</v>
          </cell>
          <cell r="Y55">
            <v>3096637.7641451135</v>
          </cell>
          <cell r="Z55">
            <v>3220503.2747109183</v>
          </cell>
          <cell r="AB55">
            <v>953855.1166500001</v>
          </cell>
          <cell r="AC55">
            <v>1058987.32889</v>
          </cell>
          <cell r="AD55">
            <v>1582124.6118800002</v>
          </cell>
          <cell r="AE55">
            <v>1653320.2194146002</v>
          </cell>
          <cell r="AF55">
            <v>1719453.0281911842</v>
          </cell>
          <cell r="AG55">
            <v>2933214.2489968934</v>
          </cell>
          <cell r="AH55">
            <v>2457731.1014002259</v>
          </cell>
          <cell r="AI55">
            <v>2058528.7179738455</v>
          </cell>
          <cell r="AJ55">
            <v>8791003.1662799995</v>
          </cell>
          <cell r="AK55">
            <v>9142643.2929311991</v>
          </cell>
          <cell r="AL55">
            <v>8047724.7798029641</v>
          </cell>
          <cell r="AM55">
            <v>8658158.3611590154</v>
          </cell>
          <cell r="AN55">
            <v>4900321.3453851305</v>
          </cell>
          <cell r="AO55">
            <v>4162481.7403546344</v>
          </cell>
          <cell r="AP55">
            <v>2545210.5181655413</v>
          </cell>
          <cell r="AQ55">
            <v>2647018.9388921629</v>
          </cell>
          <cell r="AR55">
            <v>2752899.6964478493</v>
          </cell>
          <cell r="AS55">
            <v>2863015.6843057633</v>
          </cell>
          <cell r="AT55">
            <v>2977536.3116779937</v>
          </cell>
          <cell r="AU55">
            <v>3096637.7641451135</v>
          </cell>
          <cell r="AV55">
            <v>3220503.2747109183</v>
          </cell>
        </row>
        <row r="60">
          <cell r="F60">
            <v>116339.85767647029</v>
          </cell>
          <cell r="G60">
            <v>109330.07709616136</v>
          </cell>
          <cell r="H60">
            <v>104057.32813292653</v>
          </cell>
          <cell r="I60">
            <v>137242.73800000001</v>
          </cell>
          <cell r="J60">
            <v>137242.73800000001</v>
          </cell>
          <cell r="K60">
            <v>137242.73800000001</v>
          </cell>
          <cell r="L60">
            <v>137242.73800000001</v>
          </cell>
          <cell r="M60">
            <v>137242.73800000001</v>
          </cell>
          <cell r="N60">
            <v>137242.73800000001</v>
          </cell>
          <cell r="O60">
            <v>137242.73800000001</v>
          </cell>
          <cell r="P60">
            <v>137242.73800000001</v>
          </cell>
          <cell r="Q60">
            <v>137242.73800000001</v>
          </cell>
          <cell r="R60">
            <v>137242.73800000001</v>
          </cell>
          <cell r="S60">
            <v>137242.73800000001</v>
          </cell>
          <cell r="T60">
            <v>137242.73800000001</v>
          </cell>
          <cell r="U60">
            <v>137242.73800000001</v>
          </cell>
          <cell r="V60">
            <v>137242.73800000001</v>
          </cell>
          <cell r="W60">
            <v>137242.73800000001</v>
          </cell>
          <cell r="X60">
            <v>137242.73800000001</v>
          </cell>
          <cell r="Y60">
            <v>137242.73800000001</v>
          </cell>
          <cell r="Z60">
            <v>137242.73800000001</v>
          </cell>
          <cell r="AB60">
            <v>116339.85767647029</v>
          </cell>
          <cell r="AC60">
            <v>109330.07709616136</v>
          </cell>
          <cell r="AD60">
            <v>104057.32813292653</v>
          </cell>
          <cell r="AE60">
            <v>135414.74199999997</v>
          </cell>
          <cell r="AF60">
            <v>133399.34400000001</v>
          </cell>
          <cell r="AG60">
            <v>134207.84400000001</v>
          </cell>
          <cell r="AH60">
            <v>134207.84400000001</v>
          </cell>
          <cell r="AI60">
            <v>134207.84400000001</v>
          </cell>
          <cell r="AJ60">
            <v>134207.84400000001</v>
          </cell>
          <cell r="AK60">
            <v>134207.84400000001</v>
          </cell>
          <cell r="AL60">
            <v>134207.84400000001</v>
          </cell>
          <cell r="AM60">
            <v>134207.84400000001</v>
          </cell>
          <cell r="AN60">
            <v>134207.84400000001</v>
          </cell>
          <cell r="AO60">
            <v>134207.84400000001</v>
          </cell>
          <cell r="AP60">
            <v>134207.84400000001</v>
          </cell>
          <cell r="AQ60">
            <v>134207.84400000001</v>
          </cell>
          <cell r="AR60">
            <v>134207.84400000001</v>
          </cell>
          <cell r="AS60">
            <v>134207.84400000001</v>
          </cell>
          <cell r="AT60">
            <v>134207.84400000001</v>
          </cell>
          <cell r="AU60">
            <v>134207.84400000001</v>
          </cell>
          <cell r="AV60">
            <v>134207.84400000001</v>
          </cell>
        </row>
        <row r="63">
          <cell r="F63">
            <v>116339.85767647029</v>
          </cell>
          <cell r="G63">
            <v>109330.07709616136</v>
          </cell>
          <cell r="H63">
            <v>104057.32813292653</v>
          </cell>
          <cell r="I63">
            <v>137242.73800000001</v>
          </cell>
          <cell r="J63">
            <v>137242.73800000001</v>
          </cell>
          <cell r="K63">
            <v>137242.73800000001</v>
          </cell>
          <cell r="L63">
            <v>137242.73800000001</v>
          </cell>
          <cell r="M63">
            <v>137242.73800000001</v>
          </cell>
          <cell r="N63">
            <v>137242.73800000001</v>
          </cell>
          <cell r="O63">
            <v>137242.73800000001</v>
          </cell>
          <cell r="P63">
            <v>137242.73800000001</v>
          </cell>
          <cell r="Q63">
            <v>137242.73800000001</v>
          </cell>
          <cell r="R63">
            <v>137242.73800000001</v>
          </cell>
          <cell r="S63">
            <v>137242.73800000001</v>
          </cell>
          <cell r="T63">
            <v>137242.73800000001</v>
          </cell>
          <cell r="U63">
            <v>137242.73800000001</v>
          </cell>
          <cell r="V63">
            <v>137242.73800000001</v>
          </cell>
          <cell r="W63">
            <v>137242.73800000001</v>
          </cell>
          <cell r="X63">
            <v>137242.73800000001</v>
          </cell>
          <cell r="Y63">
            <v>137242.73800000001</v>
          </cell>
          <cell r="Z63">
            <v>137242.73800000001</v>
          </cell>
          <cell r="AB63">
            <v>116339.85767647029</v>
          </cell>
          <cell r="AC63">
            <v>109330.07709616136</v>
          </cell>
          <cell r="AD63">
            <v>104057.32813292653</v>
          </cell>
          <cell r="AE63">
            <v>135414.74199999997</v>
          </cell>
          <cell r="AF63">
            <v>133399.34400000001</v>
          </cell>
          <cell r="AG63">
            <v>134207.84400000001</v>
          </cell>
          <cell r="AH63">
            <v>134207.84400000001</v>
          </cell>
          <cell r="AI63">
            <v>134207.84400000001</v>
          </cell>
          <cell r="AJ63">
            <v>134207.84400000001</v>
          </cell>
          <cell r="AK63">
            <v>134207.84400000001</v>
          </cell>
          <cell r="AL63">
            <v>134207.84400000001</v>
          </cell>
          <cell r="AM63">
            <v>134207.84400000001</v>
          </cell>
          <cell r="AN63">
            <v>134207.84400000001</v>
          </cell>
          <cell r="AO63">
            <v>134207.84400000001</v>
          </cell>
          <cell r="AP63">
            <v>134207.84400000001</v>
          </cell>
          <cell r="AQ63">
            <v>134207.84400000001</v>
          </cell>
          <cell r="AR63">
            <v>134207.84400000001</v>
          </cell>
          <cell r="AS63">
            <v>134207.84400000001</v>
          </cell>
          <cell r="AT63">
            <v>134207.84400000001</v>
          </cell>
          <cell r="AU63">
            <v>134207.84400000001</v>
          </cell>
          <cell r="AV63">
            <v>134207.84400000001</v>
          </cell>
        </row>
        <row r="64">
          <cell r="F64">
            <v>46159.790814072439</v>
          </cell>
          <cell r="G64">
            <v>45073.411414308262</v>
          </cell>
          <cell r="H64">
            <v>43159.023394352371</v>
          </cell>
          <cell r="I64">
            <v>54048.764000000003</v>
          </cell>
          <cell r="J64">
            <v>53196.462</v>
          </cell>
          <cell r="K64">
            <v>52346.932000000001</v>
          </cell>
          <cell r="L64">
            <v>51497.402000000002</v>
          </cell>
          <cell r="M64">
            <v>50647.872000000003</v>
          </cell>
          <cell r="N64">
            <v>49798.342000000004</v>
          </cell>
          <cell r="O64">
            <v>48948.811999999998</v>
          </cell>
          <cell r="P64">
            <v>48099.282000000007</v>
          </cell>
          <cell r="Q64">
            <v>47249.751999999986</v>
          </cell>
          <cell r="R64">
            <v>46400.221999999994</v>
          </cell>
          <cell r="S64">
            <v>45566.036901216525</v>
          </cell>
          <cell r="T64">
            <v>44746.917872592843</v>
          </cell>
          <cell r="U64">
            <v>43942.591188712526</v>
          </cell>
          <cell r="V64">
            <v>43152.788135392737</v>
          </cell>
          <cell r="W64">
            <v>42377.244917044678</v>
          </cell>
          <cell r="X64">
            <v>41615.702565767715</v>
          </cell>
          <cell r="Y64">
            <v>40867.90685214402</v>
          </cell>
          <cell r="Z64">
            <v>40133.608197701724</v>
          </cell>
          <cell r="AB64">
            <v>46159.790814072439</v>
          </cell>
          <cell r="AC64">
            <v>45073.411414308262</v>
          </cell>
          <cell r="AD64">
            <v>43159.023394352371</v>
          </cell>
          <cell r="AE64">
            <v>54048.764000000003</v>
          </cell>
          <cell r="AF64">
            <v>53196.462</v>
          </cell>
          <cell r="AG64">
            <v>52346.932000000001</v>
          </cell>
          <cell r="AH64">
            <v>51497.402000000002</v>
          </cell>
          <cell r="AI64">
            <v>50647.872000000003</v>
          </cell>
          <cell r="AJ64">
            <v>49798.342000000004</v>
          </cell>
          <cell r="AK64">
            <v>48948.811999999998</v>
          </cell>
          <cell r="AL64">
            <v>48099.282000000007</v>
          </cell>
          <cell r="AM64">
            <v>47249.751999999986</v>
          </cell>
          <cell r="AN64">
            <v>46400.221999999994</v>
          </cell>
          <cell r="AO64">
            <v>45566.036901216525</v>
          </cell>
          <cell r="AP64">
            <v>44746.917872592843</v>
          </cell>
          <cell r="AQ64">
            <v>43942.591188712526</v>
          </cell>
          <cell r="AR64">
            <v>43152.788135392737</v>
          </cell>
          <cell r="AS64">
            <v>42377.244917044678</v>
          </cell>
          <cell r="AT64">
            <v>41615.702565767715</v>
          </cell>
          <cell r="AU64">
            <v>40867.90685214402</v>
          </cell>
          <cell r="AV64">
            <v>40133.608197701724</v>
          </cell>
        </row>
        <row r="66">
          <cell r="F66">
            <v>46159.790814072439</v>
          </cell>
          <cell r="G66">
            <v>45073.411414308262</v>
          </cell>
          <cell r="H66">
            <v>43159.023394352371</v>
          </cell>
          <cell r="I66">
            <v>54048.764000000003</v>
          </cell>
          <cell r="J66">
            <v>53196.462</v>
          </cell>
          <cell r="K66">
            <v>52346.932000000001</v>
          </cell>
          <cell r="L66">
            <v>51497.402000000002</v>
          </cell>
          <cell r="M66">
            <v>50647.872000000003</v>
          </cell>
          <cell r="N66">
            <v>49798.342000000004</v>
          </cell>
          <cell r="O66">
            <v>48948.811999999998</v>
          </cell>
          <cell r="P66">
            <v>48099.282000000007</v>
          </cell>
          <cell r="Q66">
            <v>47249.751999999986</v>
          </cell>
          <cell r="R66">
            <v>46400.221999999994</v>
          </cell>
          <cell r="S66">
            <v>45566.036901216525</v>
          </cell>
          <cell r="T66">
            <v>44746.917872592843</v>
          </cell>
          <cell r="U66">
            <v>43942.591188712526</v>
          </cell>
          <cell r="V66">
            <v>43152.788135392737</v>
          </cell>
          <cell r="W66">
            <v>42377.244917044678</v>
          </cell>
          <cell r="X66">
            <v>41615.702565767715</v>
          </cell>
          <cell r="Y66">
            <v>40867.90685214402</v>
          </cell>
          <cell r="Z66">
            <v>40133.608197701724</v>
          </cell>
          <cell r="AB66">
            <v>46159.790814072439</v>
          </cell>
          <cell r="AC66">
            <v>45073.411414308262</v>
          </cell>
          <cell r="AD66">
            <v>43159.023394352371</v>
          </cell>
          <cell r="AE66">
            <v>54048.764000000003</v>
          </cell>
          <cell r="AF66">
            <v>53196.462</v>
          </cell>
          <cell r="AG66">
            <v>52346.932000000001</v>
          </cell>
          <cell r="AH66">
            <v>51497.402000000002</v>
          </cell>
          <cell r="AI66">
            <v>50647.872000000003</v>
          </cell>
          <cell r="AJ66">
            <v>49798.342000000004</v>
          </cell>
          <cell r="AK66">
            <v>48948.811999999998</v>
          </cell>
          <cell r="AL66">
            <v>48099.282000000007</v>
          </cell>
          <cell r="AM66">
            <v>47249.751999999986</v>
          </cell>
          <cell r="AN66">
            <v>46400.221999999994</v>
          </cell>
          <cell r="AO66">
            <v>45566.036901216525</v>
          </cell>
          <cell r="AP66">
            <v>44746.917872592843</v>
          </cell>
          <cell r="AQ66">
            <v>43942.591188712526</v>
          </cell>
          <cell r="AR66">
            <v>43152.788135392737</v>
          </cell>
          <cell r="AS66">
            <v>42377.244917044678</v>
          </cell>
          <cell r="AT66">
            <v>41615.702565767715</v>
          </cell>
          <cell r="AU66">
            <v>40867.90685214402</v>
          </cell>
          <cell r="AV66">
            <v>40133.608197701724</v>
          </cell>
        </row>
        <row r="68">
          <cell r="F68">
            <v>26583.780250432901</v>
          </cell>
          <cell r="G68">
            <v>37540.565729045498</v>
          </cell>
          <cell r="H68">
            <v>27036.30803919095</v>
          </cell>
          <cell r="I68">
            <v>36153.541377543952</v>
          </cell>
          <cell r="J68">
            <v>37598.840724381254</v>
          </cell>
          <cell r="K68">
            <v>39101.952045092039</v>
          </cell>
          <cell r="L68">
            <v>40665.187818631253</v>
          </cell>
          <cell r="M68">
            <v>42290.953023112044</v>
          </cell>
          <cell r="N68">
            <v>43981.748835772058</v>
          </cell>
          <cell r="O68">
            <v>45740.176480938477</v>
          </cell>
          <cell r="P68">
            <v>47568.941231911544</v>
          </cell>
          <cell r="Q68">
            <v>49470.856572923542</v>
          </cell>
          <cell r="R68">
            <v>51448.848527576018</v>
          </cell>
          <cell r="S68">
            <v>53505.960160414594</v>
          </cell>
          <cell r="T68">
            <v>55645.356258566724</v>
          </cell>
          <cell r="U68">
            <v>57870.328200644923</v>
          </cell>
          <cell r="V68">
            <v>60184.299020406259</v>
          </cell>
          <cell r="W68">
            <v>62590.828672958029</v>
          </cell>
          <cell r="X68">
            <v>65093.619511611898</v>
          </cell>
          <cell r="Y68">
            <v>67696.521983811908</v>
          </cell>
          <cell r="Z68">
            <v>70403.540554899926</v>
          </cell>
          <cell r="AB68">
            <v>26583.780250432901</v>
          </cell>
          <cell r="AC68">
            <v>37540.565729045498</v>
          </cell>
          <cell r="AD68">
            <v>27036.30803919095</v>
          </cell>
          <cell r="AE68">
            <v>34007.50204894966</v>
          </cell>
          <cell r="AF68">
            <v>36794.631187683641</v>
          </cell>
          <cell r="AG68">
            <v>38384.074818636145</v>
          </cell>
          <cell r="AH68">
            <v>40119.005705037096</v>
          </cell>
          <cell r="AI68">
            <v>42015.998393762638</v>
          </cell>
          <cell r="AJ68">
            <v>44093.581750598671</v>
          </cell>
          <cell r="AK68">
            <v>46372.591827142591</v>
          </cell>
          <cell r="AL68">
            <v>48876.467732289217</v>
          </cell>
          <cell r="AM68">
            <v>51631.585804503018</v>
          </cell>
          <cell r="AN68">
            <v>54667.637057478387</v>
          </cell>
          <cell r="AO68">
            <v>174113.14905222532</v>
          </cell>
          <cell r="AP68">
            <v>353312.4830683202</v>
          </cell>
          <cell r="AQ68">
            <v>362549.54250958824</v>
          </cell>
          <cell r="AR68">
            <v>370500.12829248171</v>
          </cell>
          <cell r="AS68">
            <v>328147.50105190283</v>
          </cell>
          <cell r="AT68">
            <v>387447.59229638509</v>
          </cell>
          <cell r="AU68">
            <v>396475.6638781192</v>
          </cell>
          <cell r="AV68">
            <v>405895.28610758221</v>
          </cell>
        </row>
        <row r="69">
          <cell r="F69">
            <v>26583.780250432901</v>
          </cell>
          <cell r="G69">
            <v>37540.565729045498</v>
          </cell>
          <cell r="H69">
            <v>27036.30803919095</v>
          </cell>
          <cell r="I69">
            <v>36153.541377543952</v>
          </cell>
          <cell r="J69">
            <v>37598.840724381254</v>
          </cell>
          <cell r="K69">
            <v>39101.952045092039</v>
          </cell>
          <cell r="L69">
            <v>40665.187818631253</v>
          </cell>
          <cell r="M69">
            <v>42290.953023112044</v>
          </cell>
          <cell r="N69">
            <v>43981.748835772058</v>
          </cell>
          <cell r="O69">
            <v>45740.176480938477</v>
          </cell>
          <cell r="P69">
            <v>47568.941231911544</v>
          </cell>
          <cell r="Q69">
            <v>49470.856572923542</v>
          </cell>
          <cell r="R69">
            <v>51448.848527576018</v>
          </cell>
          <cell r="S69">
            <v>53505.960160414594</v>
          </cell>
          <cell r="T69">
            <v>55645.356258566724</v>
          </cell>
          <cell r="U69">
            <v>57870.328200644923</v>
          </cell>
          <cell r="V69">
            <v>60184.299020406259</v>
          </cell>
          <cell r="W69">
            <v>62590.828672958029</v>
          </cell>
          <cell r="X69">
            <v>65093.619511611898</v>
          </cell>
          <cell r="Y69">
            <v>67696.521983811908</v>
          </cell>
          <cell r="Z69">
            <v>70403.540554899926</v>
          </cell>
          <cell r="AB69">
            <v>26583.780250432901</v>
          </cell>
          <cell r="AC69">
            <v>37540.565729045498</v>
          </cell>
          <cell r="AD69">
            <v>27036.30803919095</v>
          </cell>
          <cell r="AE69">
            <v>34007.50204894966</v>
          </cell>
          <cell r="AF69">
            <v>36794.631187683641</v>
          </cell>
          <cell r="AG69">
            <v>38384.074818636145</v>
          </cell>
          <cell r="AH69">
            <v>40119.005705037096</v>
          </cell>
          <cell r="AI69">
            <v>42015.998393762638</v>
          </cell>
          <cell r="AJ69">
            <v>44093.581750598671</v>
          </cell>
          <cell r="AK69">
            <v>46372.591827142591</v>
          </cell>
          <cell r="AL69">
            <v>48876.467732289217</v>
          </cell>
          <cell r="AM69">
            <v>51631.585804503018</v>
          </cell>
          <cell r="AN69">
            <v>54667.637057478387</v>
          </cell>
          <cell r="AO69">
            <v>174113.14905222532</v>
          </cell>
          <cell r="AP69">
            <v>353312.4830683202</v>
          </cell>
          <cell r="AQ69">
            <v>362549.54250958824</v>
          </cell>
          <cell r="AR69">
            <v>370500.12829248171</v>
          </cell>
          <cell r="AS69">
            <v>328147.50105190283</v>
          </cell>
          <cell r="AT69">
            <v>387447.59229638509</v>
          </cell>
          <cell r="AU69">
            <v>396475.6638781192</v>
          </cell>
          <cell r="AV69">
            <v>405895.28610758221</v>
          </cell>
        </row>
        <row r="72">
          <cell r="F72">
            <v>111941.94367051781</v>
          </cell>
          <cell r="G72">
            <v>128805.58625912273</v>
          </cell>
          <cell r="H72">
            <v>185242.2862504528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B72">
            <v>111941.94367051781</v>
          </cell>
          <cell r="AC72">
            <v>128805.58625912273</v>
          </cell>
          <cell r="AD72">
            <v>185242.2862504528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1870.0979966664288</v>
          </cell>
          <cell r="AP72">
            <v>1870.0979966664288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</row>
        <row r="73">
          <cell r="F73">
            <v>31343.744227744988</v>
          </cell>
          <cell r="G73">
            <v>36065.564152554369</v>
          </cell>
          <cell r="H73">
            <v>51867.840150126787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B73">
            <v>31343.744227744988</v>
          </cell>
          <cell r="AC73">
            <v>36065.564152554369</v>
          </cell>
          <cell r="AD73">
            <v>51867.840150126787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598.43135893325723</v>
          </cell>
          <cell r="AP73">
            <v>598.43135893325723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</row>
        <row r="74">
          <cell r="F74">
            <v>80598.19944277282</v>
          </cell>
          <cell r="G74">
            <v>92740.022106568358</v>
          </cell>
          <cell r="H74">
            <v>133374.44610032602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B74">
            <v>80598.19944277282</v>
          </cell>
          <cell r="AC74">
            <v>92740.022106568358</v>
          </cell>
          <cell r="AD74">
            <v>133374.44610032602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1271.6666377331717</v>
          </cell>
          <cell r="AP74">
            <v>1271.6666377331717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</row>
        <row r="76">
          <cell r="F76">
            <v>652970.66900000011</v>
          </cell>
          <cell r="G76">
            <v>791141.35100000002</v>
          </cell>
          <cell r="H76">
            <v>975718.1590000001</v>
          </cell>
          <cell r="I76">
            <v>1051512.0858532246</v>
          </cell>
          <cell r="J76">
            <v>1123819.7595720773</v>
          </cell>
          <cell r="K76">
            <v>1197866.1638308768</v>
          </cell>
          <cell r="L76">
            <v>1249963.6271272919</v>
          </cell>
          <cell r="M76">
            <v>1304364.9416937891</v>
          </cell>
          <cell r="N76">
            <v>1361624.9446871746</v>
          </cell>
          <cell r="O76">
            <v>1421590.3168748668</v>
          </cell>
          <cell r="P76">
            <v>1484403.1345011233</v>
          </cell>
          <cell r="Q76">
            <v>1550213.9199564536</v>
          </cell>
          <cell r="R76">
            <v>1619182.20509214</v>
          </cell>
          <cell r="S76">
            <v>1691477.1354655884</v>
          </cell>
          <cell r="T76">
            <v>1767278.1186550271</v>
          </cell>
          <cell r="U76">
            <v>1846775.5200301418</v>
          </cell>
          <cell r="V76">
            <v>1930171.4096331801</v>
          </cell>
          <cell r="W76">
            <v>2017680.36411457</v>
          </cell>
          <cell r="X76">
            <v>2109530.3279798543</v>
          </cell>
          <cell r="Y76">
            <v>2205963.5387426871</v>
          </cell>
          <cell r="Z76">
            <v>2307237.5209437539</v>
          </cell>
          <cell r="AB76">
            <v>652970.66900000011</v>
          </cell>
          <cell r="AC76">
            <v>791141.35100000002</v>
          </cell>
          <cell r="AD76">
            <v>975718.1590000001</v>
          </cell>
          <cell r="AE76">
            <v>1092857.9075652561</v>
          </cell>
          <cell r="AF76">
            <v>1191592.4705618196</v>
          </cell>
          <cell r="AG76">
            <v>1279023.2786114954</v>
          </cell>
          <cell r="AH76">
            <v>1343608.6153896202</v>
          </cell>
          <cell r="AI76">
            <v>1406616.5606276072</v>
          </cell>
          <cell r="AJ76">
            <v>1470804.6718817672</v>
          </cell>
          <cell r="AK76">
            <v>1537991.900167655</v>
          </cell>
          <cell r="AL76">
            <v>1608478.4052560946</v>
          </cell>
          <cell r="AM76">
            <v>1682441.2741671358</v>
          </cell>
          <cell r="AN76">
            <v>1760068.0815907433</v>
          </cell>
          <cell r="AO76">
            <v>1849976.483073472</v>
          </cell>
          <cell r="AP76">
            <v>1944894.6197711232</v>
          </cell>
          <cell r="AQ76">
            <v>2036523.8418813299</v>
          </cell>
          <cell r="AR76">
            <v>2131913.7342580906</v>
          </cell>
          <cell r="AS76">
            <v>2231693.4129165472</v>
          </cell>
          <cell r="AT76">
            <v>2336926.448268503</v>
          </cell>
          <cell r="AU76">
            <v>2446878.6040981263</v>
          </cell>
          <cell r="AV76">
            <v>2562911.5123717152</v>
          </cell>
        </row>
        <row r="78">
          <cell r="F78">
            <v>555025.06865000003</v>
          </cell>
          <cell r="G78">
            <v>672470.14835000003</v>
          </cell>
          <cell r="H78">
            <v>829360.43515000003</v>
          </cell>
          <cell r="I78">
            <v>893785.27297524095</v>
          </cell>
          <cell r="J78">
            <v>955246.79563626566</v>
          </cell>
          <cell r="K78">
            <v>1018186.2392562453</v>
          </cell>
          <cell r="L78">
            <v>1062469.083058198</v>
          </cell>
          <cell r="M78">
            <v>1108710.2004397206</v>
          </cell>
          <cell r="N78">
            <v>1157381.2029840983</v>
          </cell>
          <cell r="O78">
            <v>1208351.7693436367</v>
          </cell>
          <cell r="P78">
            <v>1261742.6643259549</v>
          </cell>
          <cell r="Q78">
            <v>1317681.8319629855</v>
          </cell>
          <cell r="R78">
            <v>1376304.874328319</v>
          </cell>
          <cell r="S78">
            <v>1437755.5651457501</v>
          </cell>
          <cell r="T78">
            <v>1502186.4008567729</v>
          </cell>
          <cell r="U78">
            <v>1569759.1920256205</v>
          </cell>
          <cell r="V78">
            <v>1640645.6981882032</v>
          </cell>
          <cell r="W78">
            <v>1715028.3094973844</v>
          </cell>
          <cell r="X78">
            <v>1793100.7787828762</v>
          </cell>
          <cell r="Y78">
            <v>1875069.0079312839</v>
          </cell>
          <cell r="Z78">
            <v>1961151.8928021907</v>
          </cell>
          <cell r="AB78">
            <v>555025.06865000003</v>
          </cell>
          <cell r="AC78">
            <v>672470.14835000003</v>
          </cell>
          <cell r="AD78">
            <v>829360.43515000003</v>
          </cell>
          <cell r="AE78">
            <v>928929.22143046767</v>
          </cell>
          <cell r="AF78">
            <v>1012853.5999775466</v>
          </cell>
          <cell r="AG78">
            <v>1087169.7868197712</v>
          </cell>
          <cell r="AH78">
            <v>1142067.3230811772</v>
          </cell>
          <cell r="AI78">
            <v>1195624.0765334661</v>
          </cell>
          <cell r="AJ78">
            <v>1250183.9710995022</v>
          </cell>
          <cell r="AK78">
            <v>1307293.1151425068</v>
          </cell>
          <cell r="AL78">
            <v>1367206.6444676805</v>
          </cell>
          <cell r="AM78">
            <v>1430075.0830420654</v>
          </cell>
          <cell r="AN78">
            <v>1496057.8693521318</v>
          </cell>
          <cell r="AO78">
            <v>1572480.0106124512</v>
          </cell>
          <cell r="AP78">
            <v>1653160.4268054545</v>
          </cell>
          <cell r="AQ78">
            <v>1731045.2655991304</v>
          </cell>
          <cell r="AR78">
            <v>1812126.674119377</v>
          </cell>
          <cell r="AS78">
            <v>1896939.4009790651</v>
          </cell>
          <cell r="AT78">
            <v>1986387.4810282274</v>
          </cell>
          <cell r="AU78">
            <v>2079846.8134834073</v>
          </cell>
          <cell r="AV78">
            <v>2178474.785515958</v>
          </cell>
        </row>
        <row r="79">
          <cell r="F79">
            <v>97945.600350000081</v>
          </cell>
          <cell r="G79">
            <v>118671.20264999999</v>
          </cell>
          <cell r="H79">
            <v>146357.72385000007</v>
          </cell>
          <cell r="I79">
            <v>157726.81287798367</v>
          </cell>
          <cell r="J79">
            <v>168572.96393581165</v>
          </cell>
          <cell r="K79">
            <v>179679.9245746315</v>
          </cell>
          <cell r="L79">
            <v>187494.54406909388</v>
          </cell>
          <cell r="M79">
            <v>195654.74125406845</v>
          </cell>
          <cell r="N79">
            <v>204243.74170307629</v>
          </cell>
          <cell r="O79">
            <v>213238.54753123014</v>
          </cell>
          <cell r="P79">
            <v>222660.47017516848</v>
          </cell>
          <cell r="Q79">
            <v>232532.08799346816</v>
          </cell>
          <cell r="R79">
            <v>242877.33076382102</v>
          </cell>
          <cell r="S79">
            <v>253721.57031983836</v>
          </cell>
          <cell r="T79">
            <v>265091.71779825422</v>
          </cell>
          <cell r="U79">
            <v>277016.32800452132</v>
          </cell>
          <cell r="V79">
            <v>289525.71144497697</v>
          </cell>
          <cell r="W79">
            <v>302652.05461718561</v>
          </cell>
          <cell r="X79">
            <v>316429.5491969781</v>
          </cell>
          <cell r="Y79">
            <v>330894.53081140318</v>
          </cell>
          <cell r="Z79">
            <v>346085.62814156315</v>
          </cell>
          <cell r="AB79">
            <v>97945.600350000081</v>
          </cell>
          <cell r="AC79">
            <v>118671.20264999999</v>
          </cell>
          <cell r="AD79">
            <v>146357.72385000007</v>
          </cell>
          <cell r="AE79">
            <v>163928.68613478844</v>
          </cell>
          <cell r="AF79">
            <v>178738.87058427301</v>
          </cell>
          <cell r="AG79">
            <v>191853.49179172423</v>
          </cell>
          <cell r="AH79">
            <v>201541.29230844299</v>
          </cell>
          <cell r="AI79">
            <v>210992.48409414105</v>
          </cell>
          <cell r="AJ79">
            <v>220620.70078226505</v>
          </cell>
          <cell r="AK79">
            <v>230698.78502514819</v>
          </cell>
          <cell r="AL79">
            <v>241271.76078841416</v>
          </cell>
          <cell r="AM79">
            <v>252366.19112507044</v>
          </cell>
          <cell r="AN79">
            <v>264010.21223861142</v>
          </cell>
          <cell r="AO79">
            <v>277496.47246102081</v>
          </cell>
          <cell r="AP79">
            <v>291734.19296566863</v>
          </cell>
          <cell r="AQ79">
            <v>305478.57628219947</v>
          </cell>
          <cell r="AR79">
            <v>319787.06013871357</v>
          </cell>
          <cell r="AS79">
            <v>334754.01193748205</v>
          </cell>
          <cell r="AT79">
            <v>350538.96724027558</v>
          </cell>
          <cell r="AU79">
            <v>367031.79061471904</v>
          </cell>
          <cell r="AV79">
            <v>384436.72685575718</v>
          </cell>
        </row>
        <row r="80">
          <cell r="F80">
            <v>1307828.6739000001</v>
          </cell>
          <cell r="G80">
            <v>1616192.8587</v>
          </cell>
          <cell r="H80">
            <v>1992507.8040800001</v>
          </cell>
          <cell r="I80">
            <v>2147268.395370591</v>
          </cell>
          <cell r="J80">
            <v>2294909.9335051505</v>
          </cell>
          <cell r="K80">
            <v>2446102.062558189</v>
          </cell>
          <cell r="L80">
            <v>2552485.5263192859</v>
          </cell>
          <cell r="M80">
            <v>2663573.3706056345</v>
          </cell>
          <cell r="N80">
            <v>2780498.3559946534</v>
          </cell>
          <cell r="O80">
            <v>2902947.51612532</v>
          </cell>
          <cell r="P80">
            <v>3031210.9474939094</v>
          </cell>
          <cell r="Q80">
            <v>3165595.9914242867</v>
          </cell>
          <cell r="R80">
            <v>3306428.3841639776</v>
          </cell>
          <cell r="S80">
            <v>3454053.4905448058</v>
          </cell>
          <cell r="T80">
            <v>3608837.6276156311</v>
          </cell>
          <cell r="U80">
            <v>3771169.4851611308</v>
          </cell>
          <cell r="V80">
            <v>3941461.6505676261</v>
          </cell>
          <cell r="W80">
            <v>4120152.2460879851</v>
          </cell>
          <cell r="X80">
            <v>4307706.6871961663</v>
          </cell>
          <cell r="Y80">
            <v>4504619.5714118723</v>
          </cell>
          <cell r="Z80">
            <v>4711416.7077211998</v>
          </cell>
          <cell r="AB80">
            <v>1307828.6739000001</v>
          </cell>
          <cell r="AC80">
            <v>1616192.8587</v>
          </cell>
          <cell r="AD80">
            <v>1992507.8040800001</v>
          </cell>
          <cell r="AE80">
            <v>2232398.8764620093</v>
          </cell>
          <cell r="AF80">
            <v>2479047.254483548</v>
          </cell>
          <cell r="AG80">
            <v>2656908.3488423685</v>
          </cell>
          <cell r="AH80">
            <v>2792128.1692426098</v>
          </cell>
          <cell r="AI80">
            <v>2919959.7419192279</v>
          </cell>
          <cell r="AJ80">
            <v>3050086.9104288802</v>
          </cell>
          <cell r="AK80">
            <v>3186215.6124482164</v>
          </cell>
          <cell r="AL80">
            <v>3328950.6952523761</v>
          </cell>
          <cell r="AM80">
            <v>3478645.3077083323</v>
          </cell>
          <cell r="AN80">
            <v>3635673.5471273693</v>
          </cell>
          <cell r="AO80">
            <v>3817629.9899321389</v>
          </cell>
          <cell r="AP80">
            <v>4009649.6197597464</v>
          </cell>
          <cell r="AQ80">
            <v>4194768.2620934956</v>
          </cell>
          <cell r="AR80">
            <v>4387377.6184887951</v>
          </cell>
          <cell r="AS80">
            <v>4588750.540635542</v>
          </cell>
          <cell r="AT80">
            <v>4801046.2221455025</v>
          </cell>
          <cell r="AU80">
            <v>5022752.9231708208</v>
          </cell>
          <cell r="AV80">
            <v>5256637.0276214238</v>
          </cell>
        </row>
        <row r="81">
          <cell r="F81">
            <v>443997.62758850656</v>
          </cell>
          <cell r="G81">
            <v>483379.15950136207</v>
          </cell>
          <cell r="H81">
            <v>520079.75418307743</v>
          </cell>
          <cell r="I81">
            <v>542022.81173737778</v>
          </cell>
          <cell r="J81">
            <v>562405.4740878169</v>
          </cell>
          <cell r="K81">
            <v>583603.44293227349</v>
          </cell>
          <cell r="L81">
            <v>605649.3305305083</v>
          </cell>
          <cell r="M81">
            <v>628577.05363267253</v>
          </cell>
          <cell r="N81">
            <v>652421.8856589233</v>
          </cell>
          <cell r="O81">
            <v>677220.51096622413</v>
          </cell>
          <cell r="P81">
            <v>703011.08128581697</v>
          </cell>
          <cell r="Q81">
            <v>729833.2744181935</v>
          </cell>
          <cell r="R81">
            <v>757728.35527586518</v>
          </cell>
          <cell r="S81">
            <v>786739.23936784372</v>
          </cell>
          <cell r="T81">
            <v>816910.55882350134</v>
          </cell>
          <cell r="U81">
            <v>848288.73105738533</v>
          </cell>
          <cell r="V81">
            <v>880922.03018062469</v>
          </cell>
          <cell r="W81">
            <v>914860.66126879363</v>
          </cell>
          <cell r="X81">
            <v>950156.83760048926</v>
          </cell>
          <cell r="Y81">
            <v>986864.86098545277</v>
          </cell>
          <cell r="Z81">
            <v>1025041.2053058149</v>
          </cell>
          <cell r="AB81">
            <v>443997.62758850656</v>
          </cell>
          <cell r="AC81">
            <v>483379.15950136207</v>
          </cell>
          <cell r="AD81">
            <v>520079.75418307743</v>
          </cell>
          <cell r="AE81">
            <v>542022.81173737778</v>
          </cell>
          <cell r="AF81">
            <v>562405.4740878169</v>
          </cell>
          <cell r="AG81">
            <v>583603.44293227349</v>
          </cell>
          <cell r="AH81">
            <v>605649.3305305083</v>
          </cell>
          <cell r="AI81">
            <v>628577.05363267253</v>
          </cell>
          <cell r="AJ81">
            <v>652421.8856589233</v>
          </cell>
          <cell r="AK81">
            <v>677220.51096622413</v>
          </cell>
          <cell r="AL81">
            <v>703011.08128581697</v>
          </cell>
          <cell r="AM81">
            <v>729833.2744181935</v>
          </cell>
          <cell r="AN81">
            <v>757728.35527586518</v>
          </cell>
          <cell r="AO81">
            <v>786739.23936784372</v>
          </cell>
          <cell r="AP81">
            <v>816910.55882350134</v>
          </cell>
          <cell r="AQ81">
            <v>848288.73105738533</v>
          </cell>
          <cell r="AR81">
            <v>880922.03018062469</v>
          </cell>
          <cell r="AS81">
            <v>914860.66126879363</v>
          </cell>
          <cell r="AT81">
            <v>950156.83760048926</v>
          </cell>
          <cell r="AU81">
            <v>986864.86098545277</v>
          </cell>
          <cell r="AV81">
            <v>1025041.2053058149</v>
          </cell>
        </row>
        <row r="83">
          <cell r="F83">
            <v>193508.95191699013</v>
          </cell>
          <cell r="G83">
            <v>219384.21794269609</v>
          </cell>
          <cell r="H83">
            <v>239757.30503695059</v>
          </cell>
          <cell r="I83">
            <v>259822.63262581796</v>
          </cell>
          <cell r="J83">
            <v>279129.20966105623</v>
          </cell>
          <cell r="K83">
            <v>300093.23455304914</v>
          </cell>
          <cell r="L83">
            <v>312822.12405302795</v>
          </cell>
          <cell r="M83">
            <v>326118.52222958673</v>
          </cell>
          <cell r="N83">
            <v>339993.98854213045</v>
          </cell>
          <cell r="O83">
            <v>354484.84055908414</v>
          </cell>
          <cell r="P83">
            <v>369619.79816605238</v>
          </cell>
          <cell r="Q83">
            <v>385428.97813722462</v>
          </cell>
          <cell r="R83">
            <v>401943.96168923157</v>
          </cell>
          <cell r="S83">
            <v>419197.86493355827</v>
          </cell>
          <cell r="T83">
            <v>437225.41230514215</v>
          </cell>
          <cell r="U83">
            <v>456063.01304259774</v>
          </cell>
          <cell r="V83">
            <v>475748.84079297562</v>
          </cell>
          <cell r="W83">
            <v>496322.91641109006</v>
          </cell>
          <cell r="X83">
            <v>517827.19402025657</v>
          </cell>
          <cell r="Y83">
            <v>540305.65039780724</v>
          </cell>
          <cell r="Z83">
            <v>563804.37774501601</v>
          </cell>
          <cell r="AB83">
            <v>193508.95191699013</v>
          </cell>
          <cell r="AC83">
            <v>219384.21794269609</v>
          </cell>
          <cell r="AD83">
            <v>239757.30503695059</v>
          </cell>
          <cell r="AE83">
            <v>277206.14628992323</v>
          </cell>
          <cell r="AF83">
            <v>300256.48592488805</v>
          </cell>
          <cell r="AG83">
            <v>322423.84918361454</v>
          </cell>
          <cell r="AH83">
            <v>336008.32758633047</v>
          </cell>
          <cell r="AI83">
            <v>350030.57353418489</v>
          </cell>
          <cell r="AJ83">
            <v>364703.7154668069</v>
          </cell>
          <cell r="AK83">
            <v>380012.7538169265</v>
          </cell>
          <cell r="AL83">
            <v>395982.14711862791</v>
          </cell>
          <cell r="AM83">
            <v>412641.31471746054</v>
          </cell>
          <cell r="AN83">
            <v>430021.02245654515</v>
          </cell>
          <cell r="AO83">
            <v>448163.26681223762</v>
          </cell>
          <cell r="AP83">
            <v>467094.69339975837</v>
          </cell>
          <cell r="AQ83">
            <v>486812.55713293713</v>
          </cell>
          <cell r="AR83">
            <v>507415.74519613007</v>
          </cell>
          <cell r="AS83">
            <v>528931.63728978368</v>
          </cell>
          <cell r="AT83">
            <v>551373.82764742628</v>
          </cell>
          <cell r="AU83">
            <v>574819.94358967792</v>
          </cell>
          <cell r="AV83">
            <v>599277.17858321976</v>
          </cell>
        </row>
        <row r="84">
          <cell r="F84">
            <v>182280.08510128257</v>
          </cell>
          <cell r="G84">
            <v>203106.50688846968</v>
          </cell>
          <cell r="H84">
            <v>221637.23177395706</v>
          </cell>
          <cell r="I84">
            <v>240800</v>
          </cell>
          <cell r="J84">
            <v>260064</v>
          </cell>
          <cell r="K84">
            <v>280870</v>
          </cell>
          <cell r="L84">
            <v>292104.8</v>
          </cell>
          <cell r="M84">
            <v>303788.99199999997</v>
          </cell>
          <cell r="N84">
            <v>315940.55167999998</v>
          </cell>
          <cell r="O84">
            <v>328578.17374719999</v>
          </cell>
          <cell r="P84">
            <v>341721.30069708801</v>
          </cell>
          <cell r="Q84">
            <v>355390.15272497153</v>
          </cell>
          <cell r="R84">
            <v>369605.75883397041</v>
          </cell>
          <cell r="S84">
            <v>384389.98918732925</v>
          </cell>
          <cell r="T84">
            <v>399765.58875482244</v>
          </cell>
          <cell r="U84">
            <v>415756.21230501536</v>
          </cell>
          <cell r="V84">
            <v>432386.46079721599</v>
          </cell>
          <cell r="W84">
            <v>449681.91922910465</v>
          </cell>
          <cell r="X84">
            <v>467669.19599826884</v>
          </cell>
          <cell r="Y84">
            <v>486375.96383819962</v>
          </cell>
          <cell r="Z84">
            <v>505831.00239172764</v>
          </cell>
          <cell r="AB84">
            <v>182280.08510128257</v>
          </cell>
          <cell r="AC84">
            <v>203106.50688846968</v>
          </cell>
          <cell r="AD84">
            <v>221637.23177395706</v>
          </cell>
          <cell r="AE84">
            <v>260000</v>
          </cell>
          <cell r="AF84">
            <v>280800</v>
          </cell>
          <cell r="AG84">
            <v>303264.95016611298</v>
          </cell>
          <cell r="AH84">
            <v>315395.5481727575</v>
          </cell>
          <cell r="AI84">
            <v>328011.37009966775</v>
          </cell>
          <cell r="AJ84">
            <v>341131.82490365446</v>
          </cell>
          <cell r="AK84">
            <v>354777.09789980069</v>
          </cell>
          <cell r="AL84">
            <v>368968.18181579275</v>
          </cell>
          <cell r="AM84">
            <v>383726.90908842447</v>
          </cell>
          <cell r="AN84">
            <v>399075.98545196146</v>
          </cell>
          <cell r="AO84">
            <v>415039.0248700399</v>
          </cell>
          <cell r="AP84">
            <v>431640.58586484153</v>
          </cell>
          <cell r="AQ84">
            <v>448906.2092994352</v>
          </cell>
          <cell r="AR84">
            <v>466862.45767141262</v>
          </cell>
          <cell r="AS84">
            <v>485536.95597826916</v>
          </cell>
          <cell r="AT84">
            <v>504958.43421739998</v>
          </cell>
          <cell r="AU84">
            <v>525156.77158609591</v>
          </cell>
          <cell r="AV84">
            <v>546163.04244953988</v>
          </cell>
        </row>
        <row r="85">
          <cell r="F85">
            <v>320064.08308004058</v>
          </cell>
          <cell r="G85">
            <v>390095.24880095926</v>
          </cell>
          <cell r="H85">
            <v>427488.4700359017</v>
          </cell>
          <cell r="I85">
            <v>446725.45118751726</v>
          </cell>
          <cell r="J85">
            <v>464594.46923501795</v>
          </cell>
          <cell r="K85">
            <v>483178.24800441868</v>
          </cell>
          <cell r="L85">
            <v>502505.37792459538</v>
          </cell>
          <cell r="M85">
            <v>522605.59304157918</v>
          </cell>
          <cell r="N85">
            <v>543509.81676324236</v>
          </cell>
          <cell r="O85">
            <v>565250.20943377214</v>
          </cell>
          <cell r="P85">
            <v>587860.21781112312</v>
          </cell>
          <cell r="Q85">
            <v>611374.62652356806</v>
          </cell>
          <cell r="R85">
            <v>635829.61158451077</v>
          </cell>
          <cell r="S85">
            <v>661262.79604789126</v>
          </cell>
          <cell r="T85">
            <v>687713.30788980692</v>
          </cell>
          <cell r="U85">
            <v>715221.8402053992</v>
          </cell>
          <cell r="V85">
            <v>743830.71381361515</v>
          </cell>
          <cell r="W85">
            <v>773583.94236615975</v>
          </cell>
          <cell r="X85">
            <v>804527.3000608061</v>
          </cell>
          <cell r="Y85">
            <v>836708.39206323831</v>
          </cell>
          <cell r="Z85">
            <v>870176.72774576792</v>
          </cell>
          <cell r="AB85">
            <v>320064.08308004058</v>
          </cell>
          <cell r="AC85">
            <v>390095.24880095926</v>
          </cell>
          <cell r="AD85">
            <v>427488.4700359017</v>
          </cell>
          <cell r="AE85">
            <v>446725.45118751726</v>
          </cell>
          <cell r="AF85">
            <v>464594.46923501795</v>
          </cell>
          <cell r="AG85">
            <v>483178.24800441868</v>
          </cell>
          <cell r="AH85">
            <v>502505.37792459538</v>
          </cell>
          <cell r="AI85">
            <v>522605.59304157918</v>
          </cell>
          <cell r="AJ85">
            <v>543509.81676324236</v>
          </cell>
          <cell r="AK85">
            <v>565250.20943377214</v>
          </cell>
          <cell r="AL85">
            <v>587860.21781112312</v>
          </cell>
          <cell r="AM85">
            <v>611374.62652356806</v>
          </cell>
          <cell r="AN85">
            <v>635829.61158451077</v>
          </cell>
          <cell r="AO85">
            <v>661262.79604789126</v>
          </cell>
          <cell r="AP85">
            <v>687713.30788980692</v>
          </cell>
          <cell r="AQ85">
            <v>715221.8402053992</v>
          </cell>
          <cell r="AR85">
            <v>743830.71381361515</v>
          </cell>
          <cell r="AS85">
            <v>773583.94236615975</v>
          </cell>
          <cell r="AT85">
            <v>804527.3000608061</v>
          </cell>
          <cell r="AU85">
            <v>836708.39206323831</v>
          </cell>
          <cell r="AV85">
            <v>870176.72774576792</v>
          </cell>
        </row>
        <row r="86">
          <cell r="F86">
            <v>2433220.4000000004</v>
          </cell>
          <cell r="G86">
            <v>2842353.7</v>
          </cell>
          <cell r="H86">
            <v>3325888.3</v>
          </cell>
          <cell r="I86">
            <v>3710446.9831224964</v>
          </cell>
          <cell r="J86">
            <v>4079085.3919052039</v>
          </cell>
          <cell r="K86">
            <v>4450203.2253963165</v>
          </cell>
          <cell r="L86">
            <v>4627170.7222920088</v>
          </cell>
          <cell r="M86">
            <v>4809957.7541981349</v>
          </cell>
          <cell r="N86">
            <v>5002356.0643660603</v>
          </cell>
          <cell r="O86">
            <v>5202450.3069407027</v>
          </cell>
          <cell r="P86">
            <v>5410548.3192183301</v>
          </cell>
          <cell r="Q86">
            <v>5626970.2519870643</v>
          </cell>
          <cell r="R86">
            <v>5852049.0620665476</v>
          </cell>
          <cell r="S86">
            <v>6086131.0245492095</v>
          </cell>
          <cell r="T86">
            <v>6329576.2655311786</v>
          </cell>
          <cell r="U86">
            <v>6582759.3161524255</v>
          </cell>
          <cell r="V86">
            <v>6846069.6887985226</v>
          </cell>
          <cell r="W86">
            <v>7119912.4763504639</v>
          </cell>
          <cell r="X86">
            <v>7404708.9754044833</v>
          </cell>
          <cell r="Y86">
            <v>7700897.3344206624</v>
          </cell>
          <cell r="Z86">
            <v>8008933.2277974905</v>
          </cell>
          <cell r="AB86">
            <v>2433220.4000000004</v>
          </cell>
          <cell r="AC86">
            <v>2842353.7</v>
          </cell>
          <cell r="AD86">
            <v>3325888.3</v>
          </cell>
          <cell r="AE86">
            <v>4028063.6349079255</v>
          </cell>
          <cell r="AF86">
            <v>4474978.3951321049</v>
          </cell>
          <cell r="AG86">
            <v>4942381.3462287439</v>
          </cell>
          <cell r="AH86">
            <v>5195273.7502221828</v>
          </cell>
          <cell r="AI86">
            <v>5434489.4910001876</v>
          </cell>
          <cell r="AJ86">
            <v>5670706.1023498951</v>
          </cell>
          <cell r="AK86">
            <v>5916334.9193825414</v>
          </cell>
          <cell r="AL86">
            <v>6172869.5270704459</v>
          </cell>
          <cell r="AM86">
            <v>6440802.527161032</v>
          </cell>
          <cell r="AN86">
            <v>6720649.0060605612</v>
          </cell>
          <cell r="AO86">
            <v>7010544.8593711425</v>
          </cell>
          <cell r="AP86">
            <v>7312879.3425368732</v>
          </cell>
          <cell r="AQ86">
            <v>7637179.4479792304</v>
          </cell>
          <cell r="AR86">
            <v>7969278.0102590695</v>
          </cell>
          <cell r="AS86">
            <v>8312697.9254335016</v>
          </cell>
          <cell r="AT86">
            <v>8674213.5819731895</v>
          </cell>
          <cell r="AU86">
            <v>9046672.9574401285</v>
          </cell>
          <cell r="AV86">
            <v>9438941.7856867369</v>
          </cell>
        </row>
        <row r="87">
          <cell r="F87">
            <v>379083.90000000014</v>
          </cell>
          <cell r="G87">
            <v>520543.1</v>
          </cell>
          <cell r="H87">
            <v>619174.30000000005</v>
          </cell>
          <cell r="I87">
            <v>700592.06482877373</v>
          </cell>
          <cell r="J87">
            <v>749092.77484260662</v>
          </cell>
          <cell r="K87">
            <v>803813.9396147381</v>
          </cell>
          <cell r="L87">
            <v>869405.15708730079</v>
          </cell>
          <cell r="M87">
            <v>940348.61790562433</v>
          </cell>
          <cell r="N87">
            <v>1017081.0651267235</v>
          </cell>
          <cell r="O87">
            <v>1100074.8800410642</v>
          </cell>
          <cell r="P87">
            <v>1189840.9902524152</v>
          </cell>
          <cell r="Q87">
            <v>1286932.0150570122</v>
          </cell>
          <cell r="R87">
            <v>1391945.6674856646</v>
          </cell>
          <cell r="S87">
            <v>1505528.4339524948</v>
          </cell>
          <cell r="T87">
            <v>1628379.5541630185</v>
          </cell>
          <cell r="U87">
            <v>1761255.3257827209</v>
          </cell>
          <cell r="V87">
            <v>1904973.7603665909</v>
          </cell>
          <cell r="W87">
            <v>2060419.6192125054</v>
          </cell>
          <cell r="X87">
            <v>2228549.8601402454</v>
          </cell>
          <cell r="Y87">
            <v>2410399.5287276898</v>
          </cell>
          <cell r="Z87">
            <v>2607088.1302718692</v>
          </cell>
          <cell r="AB87">
            <v>379083.90000000014</v>
          </cell>
          <cell r="AC87">
            <v>520543.1</v>
          </cell>
          <cell r="AD87">
            <v>619174.30000000005</v>
          </cell>
          <cell r="AE87">
            <v>702470.54568660294</v>
          </cell>
          <cell r="AF87">
            <v>876585.58761998138</v>
          </cell>
          <cell r="AG87">
            <v>938488.79041577934</v>
          </cell>
          <cell r="AH87">
            <v>1024763.3936768764</v>
          </cell>
          <cell r="AI87">
            <v>1104759.0835757437</v>
          </cell>
          <cell r="AJ87">
            <v>1191062.0215864284</v>
          </cell>
          <cell r="AK87">
            <v>1284173.478823672</v>
          </cell>
          <cell r="AL87">
            <v>1384634.8153850427</v>
          </cell>
          <cell r="AM87">
            <v>1493030.702075734</v>
          </cell>
          <cell r="AN87">
            <v>1609992.6020143065</v>
          </cell>
          <cell r="AO87">
            <v>1736202.5331425376</v>
          </cell>
          <cell r="AP87">
            <v>1872397.1343669072</v>
          </cell>
          <cell r="AQ87">
            <v>2019372.0599019979</v>
          </cell>
          <cell r="AR87">
            <v>2177986.7283784929</v>
          </cell>
          <cell r="AS87">
            <v>2349169.4554326902</v>
          </cell>
          <cell r="AT87">
            <v>2533923.0008236356</v>
          </cell>
          <cell r="AU87">
            <v>2733330.5636424026</v>
          </cell>
          <cell r="AV87">
            <v>2948562.2619010373</v>
          </cell>
        </row>
        <row r="88">
          <cell r="F88">
            <v>1112.3999999999999</v>
          </cell>
          <cell r="G88">
            <v>1166.2</v>
          </cell>
          <cell r="H88">
            <v>1250.5</v>
          </cell>
          <cell r="I88">
            <v>1284.0694155324256</v>
          </cell>
          <cell r="J88">
            <v>1307.0774219375498</v>
          </cell>
          <cell r="K88">
            <v>1320.3626901521216</v>
          </cell>
          <cell r="L88">
            <v>1320.0658126501198</v>
          </cell>
          <cell r="M88">
            <v>1319.4349479583664</v>
          </cell>
          <cell r="N88">
            <v>1319.4349479583664</v>
          </cell>
          <cell r="O88">
            <v>1319.4349479583664</v>
          </cell>
          <cell r="P88">
            <v>1319.4349479583664</v>
          </cell>
          <cell r="Q88">
            <v>1319.4349479583664</v>
          </cell>
          <cell r="R88">
            <v>1319.4349479583664</v>
          </cell>
          <cell r="S88">
            <v>1319.4349479583664</v>
          </cell>
          <cell r="T88">
            <v>1319.4349479583664</v>
          </cell>
          <cell r="U88">
            <v>1319.4349479583664</v>
          </cell>
          <cell r="V88">
            <v>1319.4349479583664</v>
          </cell>
          <cell r="W88">
            <v>1319.4349479583664</v>
          </cell>
          <cell r="X88">
            <v>1319.4349479583664</v>
          </cell>
          <cell r="Y88">
            <v>1319.4349479583664</v>
          </cell>
          <cell r="Z88">
            <v>1319.4349479583664</v>
          </cell>
          <cell r="AB88">
            <v>1112.3999999999999</v>
          </cell>
          <cell r="AC88">
            <v>1166.2</v>
          </cell>
          <cell r="AD88">
            <v>1250.5</v>
          </cell>
          <cell r="AE88">
            <v>1291.0460368294634</v>
          </cell>
          <cell r="AF88">
            <v>1328.0443955164128</v>
          </cell>
          <cell r="AG88">
            <v>1358.103242594075</v>
          </cell>
          <cell r="AH88">
            <v>1372.6873498799036</v>
          </cell>
          <cell r="AI88">
            <v>1380.6659327461966</v>
          </cell>
          <cell r="AJ88">
            <v>1385.2675340272215</v>
          </cell>
          <cell r="AK88">
            <v>1389.6835868694955</v>
          </cell>
          <cell r="AL88">
            <v>1394.1738590872696</v>
          </cell>
          <cell r="AM88">
            <v>1398.7383506805443</v>
          </cell>
          <cell r="AN88">
            <v>1403.3770616493191</v>
          </cell>
          <cell r="AO88">
            <v>1407.607566052842</v>
          </cell>
          <cell r="AP88">
            <v>1411.8380704563649</v>
          </cell>
          <cell r="AQ88">
            <v>1417.7385108086467</v>
          </cell>
          <cell r="AR88">
            <v>1422.4885508406724</v>
          </cell>
          <cell r="AS88">
            <v>1426.719055244195</v>
          </cell>
          <cell r="AT88">
            <v>1431.506204963971</v>
          </cell>
          <cell r="AU88">
            <v>1435.5511609287428</v>
          </cell>
          <cell r="AV88">
            <v>1440.1898718975178</v>
          </cell>
        </row>
        <row r="89">
          <cell r="F89">
            <v>98.7</v>
          </cell>
          <cell r="G89">
            <v>111.19999999999999</v>
          </cell>
          <cell r="H89">
            <v>120.7</v>
          </cell>
          <cell r="I89">
            <v>130.69027500866028</v>
          </cell>
          <cell r="J89">
            <v>134.36319637281949</v>
          </cell>
          <cell r="K89">
            <v>138.63309295182151</v>
          </cell>
          <cell r="L89">
            <v>144.17841666989437</v>
          </cell>
          <cell r="M89">
            <v>149.94555333669012</v>
          </cell>
          <cell r="N89">
            <v>155.94337547015778</v>
          </cell>
          <cell r="O89">
            <v>162.18111048896407</v>
          </cell>
          <cell r="P89">
            <v>168.66835490852264</v>
          </cell>
          <cell r="Q89">
            <v>175.41508910486354</v>
          </cell>
          <cell r="R89">
            <v>182.43169266905809</v>
          </cell>
          <cell r="S89">
            <v>189.72896037582041</v>
          </cell>
          <cell r="T89">
            <v>197.31811879085322</v>
          </cell>
          <cell r="U89">
            <v>205.21084354248737</v>
          </cell>
          <cell r="V89">
            <v>213.41927728418688</v>
          </cell>
          <cell r="W89">
            <v>221.95604837555439</v>
          </cell>
          <cell r="X89">
            <v>230.83429031057653</v>
          </cell>
          <cell r="Y89">
            <v>240.06766192299963</v>
          </cell>
          <cell r="Z89">
            <v>249.67036839991962</v>
          </cell>
          <cell r="AB89">
            <v>98.7</v>
          </cell>
          <cell r="AC89">
            <v>111.19999999999999</v>
          </cell>
          <cell r="AD89">
            <v>120.7</v>
          </cell>
          <cell r="AE89">
            <v>131.040691737928</v>
          </cell>
          <cell r="AF89">
            <v>157.23131420098676</v>
          </cell>
          <cell r="AG89">
            <v>161.86034765497087</v>
          </cell>
          <cell r="AH89">
            <v>169.94235927538168</v>
          </cell>
          <cell r="AI89">
            <v>176.16202005959133</v>
          </cell>
          <cell r="AJ89">
            <v>182.61890660343329</v>
          </cell>
          <cell r="AK89">
            <v>189.32227672385807</v>
          </cell>
          <cell r="AL89">
            <v>196.28175392622555</v>
          </cell>
          <cell r="AM89">
            <v>203.50734193935602</v>
          </cell>
          <cell r="AN89">
            <v>211.00943983013335</v>
          </cell>
          <cell r="AO89">
            <v>218.79885772080581</v>
          </cell>
          <cell r="AP89">
            <v>226.88683313305458</v>
          </cell>
          <cell r="AQ89">
            <v>235.2850479838616</v>
          </cell>
          <cell r="AR89">
            <v>244.00564625921058</v>
          </cell>
          <cell r="AS89">
            <v>253.06125239269335</v>
          </cell>
          <cell r="AT89">
            <v>262.4649903771778</v>
          </cell>
          <cell r="AU89">
            <v>272.23050363881714</v>
          </cell>
          <cell r="AV89">
            <v>282.37197570385314</v>
          </cell>
        </row>
        <row r="92">
          <cell r="F92">
            <v>28156.3</v>
          </cell>
          <cell r="G92">
            <v>29406.7</v>
          </cell>
          <cell r="H92">
            <v>31474.1</v>
          </cell>
          <cell r="I92">
            <v>34602</v>
          </cell>
          <cell r="J92">
            <v>35222</v>
          </cell>
          <cell r="K92">
            <v>35580</v>
          </cell>
          <cell r="L92">
            <v>35572</v>
          </cell>
          <cell r="M92">
            <v>35555</v>
          </cell>
          <cell r="N92">
            <v>35555</v>
          </cell>
          <cell r="O92">
            <v>35555</v>
          </cell>
          <cell r="P92">
            <v>35555</v>
          </cell>
          <cell r="Q92">
            <v>35555</v>
          </cell>
          <cell r="R92">
            <v>35555</v>
          </cell>
          <cell r="S92">
            <v>35555</v>
          </cell>
          <cell r="T92">
            <v>35555</v>
          </cell>
          <cell r="U92">
            <v>35555</v>
          </cell>
          <cell r="V92">
            <v>35555</v>
          </cell>
          <cell r="W92">
            <v>35555</v>
          </cell>
          <cell r="X92">
            <v>35555</v>
          </cell>
          <cell r="Y92">
            <v>35555</v>
          </cell>
          <cell r="Z92">
            <v>35555</v>
          </cell>
          <cell r="AB92">
            <v>28156.3</v>
          </cell>
          <cell r="AC92">
            <v>29406.7</v>
          </cell>
          <cell r="AD92">
            <v>31474.1</v>
          </cell>
          <cell r="AE92">
            <v>34790</v>
          </cell>
          <cell r="AF92">
            <v>35787</v>
          </cell>
          <cell r="AG92">
            <v>36597</v>
          </cell>
          <cell r="AH92">
            <v>36990</v>
          </cell>
          <cell r="AI92">
            <v>37205</v>
          </cell>
          <cell r="AJ92">
            <v>37329</v>
          </cell>
          <cell r="AK92">
            <v>37448</v>
          </cell>
          <cell r="AL92">
            <v>37569</v>
          </cell>
          <cell r="AM92">
            <v>37692</v>
          </cell>
          <cell r="AN92">
            <v>37817</v>
          </cell>
          <cell r="AO92">
            <v>37931</v>
          </cell>
          <cell r="AP92">
            <v>38045</v>
          </cell>
          <cell r="AQ92">
            <v>38204</v>
          </cell>
          <cell r="AR92">
            <v>38332</v>
          </cell>
          <cell r="AS92">
            <v>38446</v>
          </cell>
          <cell r="AT92">
            <v>38575</v>
          </cell>
          <cell r="AU92">
            <v>38684</v>
          </cell>
          <cell r="AV92">
            <v>38809</v>
          </cell>
        </row>
        <row r="93">
          <cell r="F93">
            <v>1342</v>
          </cell>
          <cell r="G93">
            <v>1504</v>
          </cell>
          <cell r="H93">
            <v>1602.7</v>
          </cell>
          <cell r="I93">
            <v>1535</v>
          </cell>
          <cell r="J93">
            <v>1418</v>
          </cell>
          <cell r="K93">
            <v>1293</v>
          </cell>
          <cell r="L93">
            <v>1290</v>
          </cell>
          <cell r="M93">
            <v>1290</v>
          </cell>
          <cell r="N93">
            <v>1290</v>
          </cell>
          <cell r="O93">
            <v>1290</v>
          </cell>
          <cell r="P93">
            <v>1290</v>
          </cell>
          <cell r="Q93">
            <v>1290</v>
          </cell>
          <cell r="R93">
            <v>1290</v>
          </cell>
          <cell r="S93">
            <v>1290</v>
          </cell>
          <cell r="T93">
            <v>1290</v>
          </cell>
          <cell r="U93">
            <v>1290</v>
          </cell>
          <cell r="V93">
            <v>1290</v>
          </cell>
          <cell r="W93">
            <v>1290</v>
          </cell>
          <cell r="X93">
            <v>1290</v>
          </cell>
          <cell r="Y93">
            <v>1290</v>
          </cell>
          <cell r="Z93">
            <v>1290</v>
          </cell>
          <cell r="AB93">
            <v>1342</v>
          </cell>
          <cell r="AC93">
            <v>1504</v>
          </cell>
          <cell r="AD93">
            <v>1602.7</v>
          </cell>
          <cell r="AE93">
            <v>1513</v>
          </cell>
          <cell r="AF93">
            <v>1388</v>
          </cell>
          <cell r="AG93">
            <v>1257</v>
          </cell>
          <cell r="AH93">
            <v>1248</v>
          </cell>
          <cell r="AI93">
            <v>1259</v>
          </cell>
          <cell r="AJ93">
            <v>1259</v>
          </cell>
          <cell r="AK93">
            <v>1259</v>
          </cell>
          <cell r="AL93">
            <v>1259</v>
          </cell>
          <cell r="AM93">
            <v>1259</v>
          </cell>
          <cell r="AN93">
            <v>1259</v>
          </cell>
          <cell r="AO93">
            <v>1259</v>
          </cell>
          <cell r="AP93">
            <v>1259</v>
          </cell>
          <cell r="AQ93">
            <v>1259</v>
          </cell>
          <cell r="AR93">
            <v>1259</v>
          </cell>
          <cell r="AS93">
            <v>1259</v>
          </cell>
          <cell r="AT93">
            <v>1259</v>
          </cell>
          <cell r="AU93">
            <v>1259</v>
          </cell>
          <cell r="AV93">
            <v>1259</v>
          </cell>
        </row>
        <row r="94">
          <cell r="F94">
            <v>25.311308881697233</v>
          </cell>
          <cell r="G94">
            <v>25.215829188818383</v>
          </cell>
          <cell r="H94">
            <v>25.16921231507397</v>
          </cell>
          <cell r="I94">
            <v>26.94714131607336</v>
          </cell>
          <cell r="J94">
            <v>26.94714131607336</v>
          </cell>
          <cell r="K94">
            <v>26.947141316073356</v>
          </cell>
          <cell r="L94">
            <v>26.94714131607336</v>
          </cell>
          <cell r="M94">
            <v>26.947141316073363</v>
          </cell>
          <cell r="N94">
            <v>26.947141316073363</v>
          </cell>
          <cell r="O94">
            <v>26.947141316073363</v>
          </cell>
          <cell r="P94">
            <v>26.947141316073363</v>
          </cell>
          <cell r="Q94">
            <v>26.947141316073363</v>
          </cell>
          <cell r="R94">
            <v>26.947141316073363</v>
          </cell>
          <cell r="S94">
            <v>26.947141316073363</v>
          </cell>
          <cell r="T94">
            <v>26.947141316073363</v>
          </cell>
          <cell r="U94">
            <v>26.947141316073363</v>
          </cell>
          <cell r="V94">
            <v>26.947141316073363</v>
          </cell>
          <cell r="W94">
            <v>26.947141316073363</v>
          </cell>
          <cell r="X94">
            <v>26.947141316073363</v>
          </cell>
          <cell r="Y94">
            <v>26.947141316073363</v>
          </cell>
          <cell r="Z94">
            <v>26.947141316073363</v>
          </cell>
          <cell r="AB94">
            <v>25.311308881697233</v>
          </cell>
          <cell r="AC94">
            <v>25.215829188818383</v>
          </cell>
          <cell r="AD94">
            <v>25.16921231507397</v>
          </cell>
          <cell r="AE94">
            <v>26.947141316073356</v>
          </cell>
          <cell r="AF94">
            <v>26.947141316073363</v>
          </cell>
          <cell r="AG94">
            <v>26.94714131607336</v>
          </cell>
          <cell r="AH94">
            <v>26.94714131607336</v>
          </cell>
          <cell r="AI94">
            <v>26.94714131607336</v>
          </cell>
          <cell r="AJ94">
            <v>26.94714131607336</v>
          </cell>
          <cell r="AK94">
            <v>26.947141316073356</v>
          </cell>
          <cell r="AL94">
            <v>26.94714131607336</v>
          </cell>
          <cell r="AM94">
            <v>26.94714131607336</v>
          </cell>
          <cell r="AN94">
            <v>26.947141316073363</v>
          </cell>
          <cell r="AO94">
            <v>26.94714131607336</v>
          </cell>
          <cell r="AP94">
            <v>26.94714131607336</v>
          </cell>
          <cell r="AQ94">
            <v>26.94714131607336</v>
          </cell>
          <cell r="AR94">
            <v>26.94714131607336</v>
          </cell>
          <cell r="AS94">
            <v>26.94714131607336</v>
          </cell>
          <cell r="AT94">
            <v>26.94714131607336</v>
          </cell>
          <cell r="AU94">
            <v>26.94714131607336</v>
          </cell>
          <cell r="AV94">
            <v>26.94714131607336</v>
          </cell>
        </row>
        <row r="96">
          <cell r="F96">
            <v>1166.8999999999999</v>
          </cell>
          <cell r="G96">
            <v>1223.9000000000001</v>
          </cell>
          <cell r="H96">
            <v>1308.7</v>
          </cell>
          <cell r="I96">
            <v>1336.0757173980273</v>
          </cell>
          <cell r="J96">
            <v>1355.1197255502034</v>
          </cell>
          <cell r="K96">
            <v>1364.1699528962408</v>
          </cell>
          <cell r="L96">
            <v>1363.7714344133942</v>
          </cell>
          <cell r="M96">
            <v>1363.1405697216408</v>
          </cell>
          <cell r="N96">
            <v>1363.1405697216408</v>
          </cell>
          <cell r="O96">
            <v>1363.1405697216408</v>
          </cell>
          <cell r="P96">
            <v>1363.1405697216408</v>
          </cell>
          <cell r="Q96">
            <v>1363.1405697216408</v>
          </cell>
          <cell r="R96">
            <v>1363.1405697216408</v>
          </cell>
          <cell r="S96">
            <v>1363.1405697216408</v>
          </cell>
          <cell r="T96">
            <v>1363.1405697216408</v>
          </cell>
          <cell r="U96">
            <v>1363.1405697216408</v>
          </cell>
          <cell r="V96">
            <v>1363.1405697216408</v>
          </cell>
          <cell r="W96">
            <v>1363.1405697216408</v>
          </cell>
          <cell r="X96">
            <v>1363.1405697216408</v>
          </cell>
          <cell r="Y96">
            <v>1363.1405697216408</v>
          </cell>
          <cell r="Z96">
            <v>1363.1405697216408</v>
          </cell>
          <cell r="AB96">
            <v>1166.8999999999999</v>
          </cell>
          <cell r="AC96">
            <v>1223.9000000000001</v>
          </cell>
          <cell r="AD96">
            <v>1308.7</v>
          </cell>
          <cell r="AE96">
            <v>1342.3069715022032</v>
          </cell>
          <cell r="AF96">
            <v>1375.0702893206183</v>
          </cell>
          <cell r="AG96">
            <v>1400.6908135680565</v>
          </cell>
          <cell r="AH96">
            <v>1414.9699979113507</v>
          </cell>
          <cell r="AI96">
            <v>1423.3212643740746</v>
          </cell>
          <cell r="AJ96">
            <v>1427.9228656550995</v>
          </cell>
          <cell r="AK96">
            <v>1432.3389184973735</v>
          </cell>
          <cell r="AL96">
            <v>1436.8291907151477</v>
          </cell>
          <cell r="AM96">
            <v>1441.3936823084223</v>
          </cell>
          <cell r="AN96">
            <v>1446.0323932771971</v>
          </cell>
          <cell r="AO96">
            <v>1450.26289768072</v>
          </cell>
          <cell r="AP96">
            <v>1454.4934020842429</v>
          </cell>
          <cell r="AQ96">
            <v>1460.3938424365247</v>
          </cell>
          <cell r="AR96">
            <v>1465.1438824685504</v>
          </cell>
          <cell r="AS96">
            <v>1469.374386872073</v>
          </cell>
          <cell r="AT96">
            <v>1474.161536591849</v>
          </cell>
          <cell r="AU96">
            <v>1478.2064925566208</v>
          </cell>
          <cell r="AV96">
            <v>1482.8452035253958</v>
          </cell>
        </row>
        <row r="97">
          <cell r="F97">
            <v>1112.8</v>
          </cell>
          <cell r="G97">
            <v>1166.7</v>
          </cell>
          <cell r="H97">
            <v>1250.5</v>
          </cell>
          <cell r="I97">
            <v>1284.0694155324256</v>
          </cell>
          <cell r="J97">
            <v>1307.0774219375498</v>
          </cell>
          <cell r="K97">
            <v>1320.3626901521216</v>
          </cell>
          <cell r="L97">
            <v>1320.0658126501198</v>
          </cell>
          <cell r="M97">
            <v>1319.4349479583664</v>
          </cell>
          <cell r="N97">
            <v>1319.4349479583664</v>
          </cell>
          <cell r="O97">
            <v>1319.4349479583664</v>
          </cell>
          <cell r="P97">
            <v>1319.4349479583664</v>
          </cell>
          <cell r="Q97">
            <v>1319.4349479583664</v>
          </cell>
          <cell r="R97">
            <v>1319.4349479583664</v>
          </cell>
          <cell r="S97">
            <v>1319.4349479583664</v>
          </cell>
          <cell r="T97">
            <v>1319.4349479583664</v>
          </cell>
          <cell r="U97">
            <v>1319.4349479583664</v>
          </cell>
          <cell r="V97">
            <v>1319.4349479583664</v>
          </cell>
          <cell r="W97">
            <v>1319.4349479583664</v>
          </cell>
          <cell r="X97">
            <v>1319.4349479583664</v>
          </cell>
          <cell r="Y97">
            <v>1319.4349479583664</v>
          </cell>
          <cell r="Z97">
            <v>1319.4349479583664</v>
          </cell>
          <cell r="AB97">
            <v>1112.8</v>
          </cell>
          <cell r="AC97">
            <v>1166.7</v>
          </cell>
          <cell r="AD97">
            <v>1250.5</v>
          </cell>
          <cell r="AE97">
            <v>1291.0460368294634</v>
          </cell>
          <cell r="AF97">
            <v>1328.0443955164128</v>
          </cell>
          <cell r="AG97">
            <v>1358.103242594075</v>
          </cell>
          <cell r="AH97">
            <v>1372.6873498799036</v>
          </cell>
          <cell r="AI97">
            <v>1380.6659327461966</v>
          </cell>
          <cell r="AJ97">
            <v>1385.2675340272215</v>
          </cell>
          <cell r="AK97">
            <v>1389.6835868694955</v>
          </cell>
          <cell r="AL97">
            <v>1394.1738590872696</v>
          </cell>
          <cell r="AM97">
            <v>1398.7383506805443</v>
          </cell>
          <cell r="AN97">
            <v>1403.3770616493191</v>
          </cell>
          <cell r="AO97">
            <v>1407.607566052842</v>
          </cell>
          <cell r="AP97">
            <v>1411.8380704563649</v>
          </cell>
          <cell r="AQ97">
            <v>1417.7385108086467</v>
          </cell>
          <cell r="AR97">
            <v>1422.4885508406724</v>
          </cell>
          <cell r="AS97">
            <v>1426.719055244195</v>
          </cell>
          <cell r="AT97">
            <v>1431.506204963971</v>
          </cell>
          <cell r="AU97">
            <v>1435.5511609287428</v>
          </cell>
          <cell r="AV97">
            <v>1440.1898718975178</v>
          </cell>
        </row>
        <row r="98">
          <cell r="F98">
            <v>49.300000000000004</v>
          </cell>
          <cell r="G98">
            <v>52.800000000000004</v>
          </cell>
          <cell r="H98">
            <v>54.300000000000004</v>
          </cell>
          <cell r="I98">
            <v>52.006301865601799</v>
          </cell>
          <cell r="J98">
            <v>48.042303612653647</v>
          </cell>
          <cell r="K98">
            <v>43.807262744119299</v>
          </cell>
          <cell r="L98">
            <v>43.705621763274479</v>
          </cell>
          <cell r="M98">
            <v>43.705621763274479</v>
          </cell>
          <cell r="N98">
            <v>43.705621763274479</v>
          </cell>
          <cell r="O98">
            <v>43.705621763274479</v>
          </cell>
          <cell r="P98">
            <v>43.705621763274479</v>
          </cell>
          <cell r="Q98">
            <v>43.705621763274479</v>
          </cell>
          <cell r="R98">
            <v>43.705621763274479</v>
          </cell>
          <cell r="S98">
            <v>43.705621763274479</v>
          </cell>
          <cell r="T98">
            <v>43.705621763274479</v>
          </cell>
          <cell r="U98">
            <v>43.705621763274479</v>
          </cell>
          <cell r="V98">
            <v>43.705621763274479</v>
          </cell>
          <cell r="W98">
            <v>43.705621763274479</v>
          </cell>
          <cell r="X98">
            <v>43.705621763274479</v>
          </cell>
          <cell r="Y98">
            <v>43.705621763274479</v>
          </cell>
          <cell r="Z98">
            <v>43.705621763274479</v>
          </cell>
          <cell r="AB98">
            <v>49.300000000000004</v>
          </cell>
          <cell r="AC98">
            <v>52.800000000000004</v>
          </cell>
          <cell r="AD98">
            <v>54.300000000000004</v>
          </cell>
          <cell r="AE98">
            <v>51.260934672739758</v>
          </cell>
          <cell r="AF98">
            <v>47.02589380420541</v>
          </cell>
          <cell r="AG98">
            <v>42.587570973981407</v>
          </cell>
          <cell r="AH98">
            <v>42.282648031446939</v>
          </cell>
          <cell r="AI98">
            <v>42.655331627877956</v>
          </cell>
          <cell r="AJ98">
            <v>42.655331627877956</v>
          </cell>
          <cell r="AK98">
            <v>42.655331627877956</v>
          </cell>
          <cell r="AL98">
            <v>42.655331627877956</v>
          </cell>
          <cell r="AM98">
            <v>42.655331627877956</v>
          </cell>
          <cell r="AN98">
            <v>42.655331627877956</v>
          </cell>
          <cell r="AO98">
            <v>42.655331627877956</v>
          </cell>
          <cell r="AP98">
            <v>42.655331627877956</v>
          </cell>
          <cell r="AQ98">
            <v>42.655331627877956</v>
          </cell>
          <cell r="AR98">
            <v>42.655331627877956</v>
          </cell>
          <cell r="AS98">
            <v>42.655331627877956</v>
          </cell>
          <cell r="AT98">
            <v>42.655331627877956</v>
          </cell>
          <cell r="AU98">
            <v>42.655331627877956</v>
          </cell>
          <cell r="AV98">
            <v>42.655331627877956</v>
          </cell>
        </row>
        <row r="99">
          <cell r="F99">
            <v>4.8</v>
          </cell>
          <cell r="G99">
            <v>4.3999999999999995</v>
          </cell>
          <cell r="H99">
            <v>3.9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B99">
            <v>4.8</v>
          </cell>
          <cell r="AC99">
            <v>4.3999999999999995</v>
          </cell>
          <cell r="AD99">
            <v>3.9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</row>
        <row r="100">
          <cell r="F100">
            <v>98.7</v>
          </cell>
          <cell r="G100">
            <v>111.19999999999999</v>
          </cell>
          <cell r="H100">
            <v>120.7</v>
          </cell>
          <cell r="I100">
            <v>130.69027500866028</v>
          </cell>
          <cell r="J100">
            <v>134.36319637281949</v>
          </cell>
          <cell r="K100">
            <v>138.63309295182151</v>
          </cell>
          <cell r="L100">
            <v>144.17841666989437</v>
          </cell>
          <cell r="M100">
            <v>149.94555333669012</v>
          </cell>
          <cell r="N100">
            <v>155.94337547015778</v>
          </cell>
          <cell r="O100">
            <v>162.18111048896407</v>
          </cell>
          <cell r="P100">
            <v>168.66835490852264</v>
          </cell>
          <cell r="Q100">
            <v>175.41508910486354</v>
          </cell>
          <cell r="R100">
            <v>182.43169266905809</v>
          </cell>
          <cell r="S100">
            <v>189.72896037582041</v>
          </cell>
          <cell r="T100">
            <v>197.31811879085322</v>
          </cell>
          <cell r="U100">
            <v>205.21084354248737</v>
          </cell>
          <cell r="V100">
            <v>213.41927728418688</v>
          </cell>
          <cell r="W100">
            <v>221.95604837555439</v>
          </cell>
          <cell r="X100">
            <v>230.83429031057653</v>
          </cell>
          <cell r="Y100">
            <v>240.06766192299963</v>
          </cell>
          <cell r="Z100">
            <v>249.67036839991962</v>
          </cell>
          <cell r="AB100">
            <v>98.7</v>
          </cell>
          <cell r="AC100">
            <v>111.19999999999999</v>
          </cell>
          <cell r="AD100">
            <v>120.7</v>
          </cell>
          <cell r="AE100">
            <v>131.040691737928</v>
          </cell>
          <cell r="AF100">
            <v>157.23131420098676</v>
          </cell>
          <cell r="AG100">
            <v>161.86034765497087</v>
          </cell>
          <cell r="AH100">
            <v>169.94235927538168</v>
          </cell>
          <cell r="AI100">
            <v>176.16202005959133</v>
          </cell>
          <cell r="AJ100">
            <v>182.61890660343329</v>
          </cell>
          <cell r="AK100">
            <v>189.32227672385807</v>
          </cell>
          <cell r="AL100">
            <v>196.28175392622555</v>
          </cell>
          <cell r="AM100">
            <v>203.50734193935602</v>
          </cell>
          <cell r="AN100">
            <v>211.00943983013335</v>
          </cell>
          <cell r="AO100">
            <v>218.79885772080581</v>
          </cell>
          <cell r="AP100">
            <v>226.88683313305458</v>
          </cell>
          <cell r="AQ100">
            <v>235.2850479838616</v>
          </cell>
          <cell r="AR100">
            <v>244.00564625921058</v>
          </cell>
          <cell r="AS100">
            <v>253.06125239269335</v>
          </cell>
          <cell r="AT100">
            <v>262.4649903771778</v>
          </cell>
          <cell r="AU100">
            <v>272.23050363881714</v>
          </cell>
          <cell r="AV100">
            <v>282.37197570385314</v>
          </cell>
        </row>
        <row r="101">
          <cell r="F101">
            <v>1383.8000000000006</v>
          </cell>
          <cell r="G101">
            <v>1504.0000000000002</v>
          </cell>
          <cell r="H101">
            <v>1721.5000000000005</v>
          </cell>
          <cell r="I101">
            <v>1721.5000000000002</v>
          </cell>
          <cell r="J101">
            <v>1721.5</v>
          </cell>
          <cell r="K101">
            <v>1721.5000000000002</v>
          </cell>
          <cell r="L101">
            <v>1721.5</v>
          </cell>
          <cell r="M101">
            <v>1721.5</v>
          </cell>
          <cell r="N101">
            <v>1721.5</v>
          </cell>
          <cell r="O101">
            <v>1721.5</v>
          </cell>
          <cell r="P101">
            <v>1721.5</v>
          </cell>
          <cell r="Q101">
            <v>1721.5000000000002</v>
          </cell>
          <cell r="R101">
            <v>1721.5000000000002</v>
          </cell>
          <cell r="S101">
            <v>1721.5000000000002</v>
          </cell>
          <cell r="T101">
            <v>1721.5</v>
          </cell>
          <cell r="U101">
            <v>1721.5</v>
          </cell>
          <cell r="V101">
            <v>1721.5</v>
          </cell>
          <cell r="W101">
            <v>1721.5000000000002</v>
          </cell>
          <cell r="X101">
            <v>1721.5</v>
          </cell>
          <cell r="Y101">
            <v>1721.5</v>
          </cell>
          <cell r="Z101">
            <v>1721.5</v>
          </cell>
          <cell r="AB101">
            <v>1383.8000000000006</v>
          </cell>
          <cell r="AC101">
            <v>1504.0000000000002</v>
          </cell>
          <cell r="AD101">
            <v>1721.5000000000005</v>
          </cell>
          <cell r="AE101">
            <v>1721.5000000000005</v>
          </cell>
          <cell r="AF101">
            <v>1721.5</v>
          </cell>
          <cell r="AG101">
            <v>1721.4999999999998</v>
          </cell>
          <cell r="AH101">
            <v>1721.5000000000002</v>
          </cell>
          <cell r="AI101">
            <v>1721.5</v>
          </cell>
          <cell r="AJ101">
            <v>1721.4999999999998</v>
          </cell>
          <cell r="AK101">
            <v>1721.5</v>
          </cell>
          <cell r="AL101">
            <v>1721.4999999999998</v>
          </cell>
          <cell r="AM101">
            <v>1721.5</v>
          </cell>
          <cell r="AN101">
            <v>1721.4999999999998</v>
          </cell>
          <cell r="AO101">
            <v>1773.5</v>
          </cell>
          <cell r="AP101">
            <v>1825.5</v>
          </cell>
          <cell r="AQ101">
            <v>1825.5</v>
          </cell>
          <cell r="AR101">
            <v>1825.4999999999998</v>
          </cell>
          <cell r="AS101">
            <v>1825.5</v>
          </cell>
          <cell r="AT101">
            <v>1825.4999999999998</v>
          </cell>
          <cell r="AU101">
            <v>1825.5</v>
          </cell>
          <cell r="AV101">
            <v>1825.4999999999998</v>
          </cell>
        </row>
        <row r="103">
          <cell r="F103">
            <v>296265</v>
          </cell>
          <cell r="G103">
            <v>312495</v>
          </cell>
          <cell r="H103">
            <v>329976</v>
          </cell>
          <cell r="I103">
            <v>329976</v>
          </cell>
          <cell r="J103">
            <v>329976</v>
          </cell>
          <cell r="K103">
            <v>329976</v>
          </cell>
          <cell r="L103">
            <v>329976</v>
          </cell>
          <cell r="M103">
            <v>329976</v>
          </cell>
          <cell r="N103">
            <v>329976</v>
          </cell>
          <cell r="O103">
            <v>329976</v>
          </cell>
          <cell r="P103">
            <v>329976</v>
          </cell>
          <cell r="Q103">
            <v>329976</v>
          </cell>
          <cell r="R103">
            <v>329976</v>
          </cell>
          <cell r="S103">
            <v>329976</v>
          </cell>
          <cell r="T103">
            <v>329976</v>
          </cell>
          <cell r="U103">
            <v>329976</v>
          </cell>
          <cell r="V103">
            <v>329976</v>
          </cell>
          <cell r="W103">
            <v>329976</v>
          </cell>
          <cell r="X103">
            <v>329976</v>
          </cell>
          <cell r="Y103">
            <v>329976</v>
          </cell>
          <cell r="Z103">
            <v>329976</v>
          </cell>
          <cell r="AB103">
            <v>296265</v>
          </cell>
          <cell r="AC103">
            <v>312495</v>
          </cell>
          <cell r="AD103">
            <v>329976</v>
          </cell>
          <cell r="AE103">
            <v>329976</v>
          </cell>
          <cell r="AF103">
            <v>329976</v>
          </cell>
          <cell r="AG103">
            <v>329976</v>
          </cell>
          <cell r="AH103">
            <v>329976</v>
          </cell>
          <cell r="AI103">
            <v>329976</v>
          </cell>
          <cell r="AJ103">
            <v>329976</v>
          </cell>
          <cell r="AK103">
            <v>329976</v>
          </cell>
          <cell r="AL103">
            <v>329976</v>
          </cell>
          <cell r="AM103">
            <v>329976</v>
          </cell>
          <cell r="AN103">
            <v>329976</v>
          </cell>
          <cell r="AO103">
            <v>420205.75</v>
          </cell>
          <cell r="AP103">
            <v>420205.75</v>
          </cell>
          <cell r="AQ103">
            <v>420205.75</v>
          </cell>
          <cell r="AR103">
            <v>420205.75</v>
          </cell>
          <cell r="AS103">
            <v>420205.75</v>
          </cell>
          <cell r="AT103">
            <v>420205.75</v>
          </cell>
          <cell r="AU103">
            <v>420205.75</v>
          </cell>
          <cell r="AV103">
            <v>420205.75</v>
          </cell>
        </row>
        <row r="104">
          <cell r="F104">
            <v>126628</v>
          </cell>
          <cell r="G104">
            <v>94018</v>
          </cell>
          <cell r="H104">
            <v>110558</v>
          </cell>
          <cell r="I104">
            <v>110558</v>
          </cell>
          <cell r="J104">
            <v>110558</v>
          </cell>
          <cell r="K104">
            <v>110558</v>
          </cell>
          <cell r="L104">
            <v>110558</v>
          </cell>
          <cell r="M104">
            <v>110558</v>
          </cell>
          <cell r="N104">
            <v>110558</v>
          </cell>
          <cell r="O104">
            <v>110558</v>
          </cell>
          <cell r="P104">
            <v>110558</v>
          </cell>
          <cell r="Q104">
            <v>110558</v>
          </cell>
          <cell r="R104">
            <v>110558</v>
          </cell>
          <cell r="S104">
            <v>110558</v>
          </cell>
          <cell r="T104">
            <v>110558</v>
          </cell>
          <cell r="U104">
            <v>110558</v>
          </cell>
          <cell r="V104">
            <v>110558</v>
          </cell>
          <cell r="W104">
            <v>110558</v>
          </cell>
          <cell r="X104">
            <v>110558</v>
          </cell>
          <cell r="Y104">
            <v>110558</v>
          </cell>
          <cell r="Z104">
            <v>110558</v>
          </cell>
          <cell r="AB104">
            <v>126628</v>
          </cell>
          <cell r="AC104">
            <v>94018</v>
          </cell>
          <cell r="AD104">
            <v>110558</v>
          </cell>
          <cell r="AE104">
            <v>110558</v>
          </cell>
          <cell r="AF104">
            <v>110558</v>
          </cell>
          <cell r="AG104">
            <v>110558</v>
          </cell>
          <cell r="AH104">
            <v>110558</v>
          </cell>
          <cell r="AI104">
            <v>110558</v>
          </cell>
          <cell r="AJ104">
            <v>110558</v>
          </cell>
          <cell r="AK104">
            <v>110558</v>
          </cell>
          <cell r="AL104">
            <v>110558</v>
          </cell>
          <cell r="AM104">
            <v>110558</v>
          </cell>
          <cell r="AN104">
            <v>110558</v>
          </cell>
          <cell r="AO104">
            <v>135558</v>
          </cell>
          <cell r="AP104">
            <v>135558</v>
          </cell>
          <cell r="AQ104">
            <v>135558</v>
          </cell>
          <cell r="AR104">
            <v>135558</v>
          </cell>
          <cell r="AS104">
            <v>135558</v>
          </cell>
          <cell r="AT104">
            <v>135558</v>
          </cell>
          <cell r="AU104">
            <v>135558</v>
          </cell>
          <cell r="AV104">
            <v>135558</v>
          </cell>
        </row>
        <row r="105">
          <cell r="F105">
            <v>13318</v>
          </cell>
          <cell r="G105">
            <v>12808</v>
          </cell>
          <cell r="H105">
            <v>29417</v>
          </cell>
          <cell r="I105">
            <v>29417</v>
          </cell>
          <cell r="J105">
            <v>29417</v>
          </cell>
          <cell r="K105">
            <v>29417</v>
          </cell>
          <cell r="L105">
            <v>29417</v>
          </cell>
          <cell r="M105">
            <v>29417</v>
          </cell>
          <cell r="N105">
            <v>29417</v>
          </cell>
          <cell r="O105">
            <v>29417</v>
          </cell>
          <cell r="P105">
            <v>29417</v>
          </cell>
          <cell r="Q105">
            <v>29417</v>
          </cell>
          <cell r="R105">
            <v>29417</v>
          </cell>
          <cell r="S105">
            <v>29417</v>
          </cell>
          <cell r="T105">
            <v>29417</v>
          </cell>
          <cell r="U105">
            <v>29417</v>
          </cell>
          <cell r="V105">
            <v>29417</v>
          </cell>
          <cell r="W105">
            <v>29417</v>
          </cell>
          <cell r="X105">
            <v>29417</v>
          </cell>
          <cell r="Y105">
            <v>29417</v>
          </cell>
          <cell r="Z105">
            <v>29417</v>
          </cell>
          <cell r="AB105">
            <v>13318</v>
          </cell>
          <cell r="AC105">
            <v>12808</v>
          </cell>
          <cell r="AD105">
            <v>29417</v>
          </cell>
          <cell r="AE105">
            <v>29417</v>
          </cell>
          <cell r="AF105">
            <v>29417</v>
          </cell>
          <cell r="AG105">
            <v>29417</v>
          </cell>
          <cell r="AH105">
            <v>29417</v>
          </cell>
          <cell r="AI105">
            <v>29417</v>
          </cell>
          <cell r="AJ105">
            <v>29417</v>
          </cell>
          <cell r="AK105">
            <v>29417</v>
          </cell>
          <cell r="AL105">
            <v>29417</v>
          </cell>
          <cell r="AM105">
            <v>29417</v>
          </cell>
          <cell r="AN105">
            <v>29417</v>
          </cell>
          <cell r="AO105">
            <v>31187.25</v>
          </cell>
          <cell r="AP105">
            <v>31187.25</v>
          </cell>
          <cell r="AQ105">
            <v>31187.25</v>
          </cell>
          <cell r="AR105">
            <v>31187.25</v>
          </cell>
          <cell r="AS105">
            <v>31187.25</v>
          </cell>
          <cell r="AT105">
            <v>31187.25</v>
          </cell>
          <cell r="AU105">
            <v>31187.25</v>
          </cell>
          <cell r="AV105">
            <v>31187.25</v>
          </cell>
        </row>
        <row r="106">
          <cell r="F106">
            <v>10878</v>
          </cell>
          <cell r="G106">
            <v>10728</v>
          </cell>
          <cell r="H106">
            <v>10728</v>
          </cell>
          <cell r="I106">
            <v>10728</v>
          </cell>
          <cell r="J106">
            <v>10728</v>
          </cell>
          <cell r="K106">
            <v>10728</v>
          </cell>
          <cell r="L106">
            <v>10728</v>
          </cell>
          <cell r="M106">
            <v>10728</v>
          </cell>
          <cell r="N106">
            <v>10728</v>
          </cell>
          <cell r="O106">
            <v>10728</v>
          </cell>
          <cell r="P106">
            <v>10728</v>
          </cell>
          <cell r="Q106">
            <v>10728</v>
          </cell>
          <cell r="R106">
            <v>10728</v>
          </cell>
          <cell r="S106">
            <v>10728</v>
          </cell>
          <cell r="T106">
            <v>10728</v>
          </cell>
          <cell r="U106">
            <v>10728</v>
          </cell>
          <cell r="V106">
            <v>10728</v>
          </cell>
          <cell r="W106">
            <v>10728</v>
          </cell>
          <cell r="X106">
            <v>10728</v>
          </cell>
          <cell r="Y106">
            <v>10728</v>
          </cell>
          <cell r="Z106">
            <v>10728</v>
          </cell>
          <cell r="AB106">
            <v>10878</v>
          </cell>
          <cell r="AC106">
            <v>10728</v>
          </cell>
          <cell r="AD106">
            <v>10728</v>
          </cell>
          <cell r="AE106">
            <v>10728</v>
          </cell>
          <cell r="AF106">
            <v>10728</v>
          </cell>
          <cell r="AG106">
            <v>10728</v>
          </cell>
          <cell r="AH106">
            <v>10728</v>
          </cell>
          <cell r="AI106">
            <v>10728</v>
          </cell>
          <cell r="AJ106">
            <v>10728</v>
          </cell>
          <cell r="AK106">
            <v>10728</v>
          </cell>
          <cell r="AL106">
            <v>10728</v>
          </cell>
          <cell r="AM106">
            <v>10728</v>
          </cell>
          <cell r="AN106">
            <v>10728</v>
          </cell>
          <cell r="AO106">
            <v>28728</v>
          </cell>
          <cell r="AP106">
            <v>28728</v>
          </cell>
          <cell r="AQ106">
            <v>28728</v>
          </cell>
          <cell r="AR106">
            <v>28728</v>
          </cell>
          <cell r="AS106">
            <v>28728</v>
          </cell>
          <cell r="AT106">
            <v>28728</v>
          </cell>
          <cell r="AU106">
            <v>28728</v>
          </cell>
          <cell r="AV106">
            <v>28728</v>
          </cell>
        </row>
        <row r="107">
          <cell r="F107">
            <v>48931</v>
          </cell>
          <cell r="G107">
            <v>48931</v>
          </cell>
          <cell r="H107">
            <v>48931</v>
          </cell>
          <cell r="I107">
            <v>48931</v>
          </cell>
          <cell r="J107">
            <v>48931</v>
          </cell>
          <cell r="K107">
            <v>48931</v>
          </cell>
          <cell r="L107">
            <v>48931</v>
          </cell>
          <cell r="M107">
            <v>48931</v>
          </cell>
          <cell r="N107">
            <v>48931</v>
          </cell>
          <cell r="O107">
            <v>48931</v>
          </cell>
          <cell r="P107">
            <v>48931</v>
          </cell>
          <cell r="Q107">
            <v>48931</v>
          </cell>
          <cell r="R107">
            <v>48931</v>
          </cell>
          <cell r="S107">
            <v>48931</v>
          </cell>
          <cell r="T107">
            <v>48931</v>
          </cell>
          <cell r="U107">
            <v>48931</v>
          </cell>
          <cell r="V107">
            <v>48931</v>
          </cell>
          <cell r="W107">
            <v>48931</v>
          </cell>
          <cell r="X107">
            <v>48931</v>
          </cell>
          <cell r="Y107">
            <v>48931</v>
          </cell>
          <cell r="Z107">
            <v>48931</v>
          </cell>
          <cell r="AB107">
            <v>48931</v>
          </cell>
          <cell r="AC107">
            <v>48931</v>
          </cell>
          <cell r="AD107">
            <v>48931</v>
          </cell>
          <cell r="AE107">
            <v>48931</v>
          </cell>
          <cell r="AF107">
            <v>48931</v>
          </cell>
          <cell r="AG107">
            <v>48931</v>
          </cell>
          <cell r="AH107">
            <v>48931</v>
          </cell>
          <cell r="AI107">
            <v>48931</v>
          </cell>
          <cell r="AJ107">
            <v>48931</v>
          </cell>
          <cell r="AK107">
            <v>48931</v>
          </cell>
          <cell r="AL107">
            <v>48931</v>
          </cell>
          <cell r="AM107">
            <v>48931</v>
          </cell>
          <cell r="AN107">
            <v>48931</v>
          </cell>
          <cell r="AO107">
            <v>67209.14</v>
          </cell>
          <cell r="AP107">
            <v>67209.14</v>
          </cell>
          <cell r="AQ107">
            <v>67209.14</v>
          </cell>
          <cell r="AR107">
            <v>67209.14</v>
          </cell>
          <cell r="AS107">
            <v>67209.14</v>
          </cell>
          <cell r="AT107">
            <v>67209.14</v>
          </cell>
          <cell r="AU107">
            <v>67209.14</v>
          </cell>
          <cell r="AV107">
            <v>67209.14</v>
          </cell>
        </row>
        <row r="108">
          <cell r="F108">
            <v>109828</v>
          </cell>
          <cell r="G108">
            <v>10925</v>
          </cell>
          <cell r="H108">
            <v>10924</v>
          </cell>
          <cell r="I108">
            <v>10924</v>
          </cell>
          <cell r="J108">
            <v>10924</v>
          </cell>
          <cell r="K108">
            <v>10924</v>
          </cell>
          <cell r="L108">
            <v>10924</v>
          </cell>
          <cell r="M108">
            <v>10924</v>
          </cell>
          <cell r="N108">
            <v>10924</v>
          </cell>
          <cell r="O108">
            <v>10924</v>
          </cell>
          <cell r="P108">
            <v>10924</v>
          </cell>
          <cell r="Q108">
            <v>10924</v>
          </cell>
          <cell r="R108">
            <v>10924</v>
          </cell>
          <cell r="S108">
            <v>10924</v>
          </cell>
          <cell r="T108">
            <v>10924</v>
          </cell>
          <cell r="U108">
            <v>10924</v>
          </cell>
          <cell r="V108">
            <v>10924</v>
          </cell>
          <cell r="W108">
            <v>10924</v>
          </cell>
          <cell r="X108">
            <v>10924</v>
          </cell>
          <cell r="Y108">
            <v>10924</v>
          </cell>
          <cell r="Z108">
            <v>10924</v>
          </cell>
          <cell r="AB108">
            <v>109828</v>
          </cell>
          <cell r="AC108">
            <v>158818</v>
          </cell>
          <cell r="AD108">
            <v>159759</v>
          </cell>
          <cell r="AE108">
            <v>159759</v>
          </cell>
          <cell r="AF108">
            <v>159759</v>
          </cell>
          <cell r="AG108">
            <v>159759</v>
          </cell>
          <cell r="AH108">
            <v>159759</v>
          </cell>
          <cell r="AI108">
            <v>159759</v>
          </cell>
          <cell r="AJ108">
            <v>159759</v>
          </cell>
          <cell r="AK108">
            <v>159759</v>
          </cell>
          <cell r="AL108">
            <v>159759</v>
          </cell>
          <cell r="AM108">
            <v>159759</v>
          </cell>
          <cell r="AN108">
            <v>159759</v>
          </cell>
          <cell r="AO108">
            <v>188710.61</v>
          </cell>
          <cell r="AP108">
            <v>188710.61</v>
          </cell>
          <cell r="AQ108">
            <v>188710.61</v>
          </cell>
          <cell r="AR108">
            <v>188710.61</v>
          </cell>
          <cell r="AS108">
            <v>188710.61</v>
          </cell>
          <cell r="AT108">
            <v>188710.61</v>
          </cell>
          <cell r="AU108">
            <v>188710.61</v>
          </cell>
          <cell r="AV108">
            <v>188710.61</v>
          </cell>
        </row>
        <row r="109">
          <cell r="F109">
            <v>63.29</v>
          </cell>
          <cell r="G109">
            <v>62.92</v>
          </cell>
          <cell r="H109">
            <v>63.11</v>
          </cell>
          <cell r="I109">
            <v>63.11</v>
          </cell>
          <cell r="J109">
            <v>63.11</v>
          </cell>
          <cell r="K109">
            <v>63.11</v>
          </cell>
          <cell r="L109">
            <v>63.11</v>
          </cell>
          <cell r="M109">
            <v>63.11</v>
          </cell>
          <cell r="N109">
            <v>63.11</v>
          </cell>
          <cell r="O109">
            <v>63.11</v>
          </cell>
          <cell r="P109">
            <v>63.11</v>
          </cell>
          <cell r="Q109">
            <v>63.11</v>
          </cell>
          <cell r="R109">
            <v>63.11</v>
          </cell>
          <cell r="S109">
            <v>63.11</v>
          </cell>
          <cell r="T109">
            <v>63.11</v>
          </cell>
          <cell r="U109">
            <v>63.11</v>
          </cell>
          <cell r="V109">
            <v>63.11</v>
          </cell>
          <cell r="W109">
            <v>63.11</v>
          </cell>
          <cell r="X109">
            <v>63.11</v>
          </cell>
          <cell r="Y109">
            <v>63.11</v>
          </cell>
          <cell r="Z109">
            <v>63.11</v>
          </cell>
          <cell r="AB109">
            <v>63.29</v>
          </cell>
          <cell r="AC109">
            <v>62.92</v>
          </cell>
          <cell r="AD109">
            <v>63.11</v>
          </cell>
          <cell r="AE109">
            <v>63.11</v>
          </cell>
          <cell r="AF109">
            <v>63.11</v>
          </cell>
          <cell r="AG109">
            <v>63.11</v>
          </cell>
          <cell r="AH109">
            <v>63.11</v>
          </cell>
          <cell r="AI109">
            <v>63.11</v>
          </cell>
          <cell r="AJ109">
            <v>63.11</v>
          </cell>
          <cell r="AK109">
            <v>63.11</v>
          </cell>
          <cell r="AL109">
            <v>63.11</v>
          </cell>
          <cell r="AM109">
            <v>63.11</v>
          </cell>
          <cell r="AN109">
            <v>63.11</v>
          </cell>
          <cell r="AO109">
            <v>63.11</v>
          </cell>
          <cell r="AP109">
            <v>63.11</v>
          </cell>
          <cell r="AQ109">
            <v>63.11</v>
          </cell>
          <cell r="AR109">
            <v>63.11</v>
          </cell>
          <cell r="AS109">
            <v>63.11</v>
          </cell>
          <cell r="AT109">
            <v>63.11</v>
          </cell>
          <cell r="AU109">
            <v>63.11</v>
          </cell>
          <cell r="AV109">
            <v>63.11</v>
          </cell>
        </row>
        <row r="111">
          <cell r="F111">
            <v>4.5215261984685423E-2</v>
          </cell>
          <cell r="G111">
            <v>3.5059022014605097E-2</v>
          </cell>
          <cell r="H111">
            <v>4.0021913655991281E-2</v>
          </cell>
          <cell r="I111">
            <v>3.72158345317068E-2</v>
          </cell>
          <cell r="J111">
            <v>3.6079797554235168E-2</v>
          </cell>
          <cell r="K111">
            <v>3.5032911319118905E-2</v>
          </cell>
          <cell r="L111">
            <v>3.4929244933220562E-2</v>
          </cell>
          <cell r="M111">
            <v>3.4940762893760503E-2</v>
          </cell>
          <cell r="N111">
            <v>3.4940117488352865E-2</v>
          </cell>
          <cell r="O111">
            <v>3.4939501311860091E-2</v>
          </cell>
          <cell r="P111">
            <v>3.4938901888986636E-2</v>
          </cell>
          <cell r="Q111">
            <v>3.493832600698088E-2</v>
          </cell>
          <cell r="R111">
            <v>3.4937772606213113E-2</v>
          </cell>
          <cell r="S111">
            <v>3.4937243054080518E-2</v>
          </cell>
          <cell r="T111">
            <v>3.4936733878093845E-2</v>
          </cell>
          <cell r="U111">
            <v>3.493624137050591E-2</v>
          </cell>
          <cell r="V111">
            <v>3.493576791678385E-2</v>
          </cell>
          <cell r="W111">
            <v>3.49353149084995E-2</v>
          </cell>
          <cell r="X111">
            <v>3.4934882331789881E-2</v>
          </cell>
          <cell r="Y111">
            <v>3.4934459428400524E-2</v>
          </cell>
          <cell r="Z111">
            <v>3.4934055509027589E-2</v>
          </cell>
          <cell r="AB111">
            <v>4.5215261984685423E-2</v>
          </cell>
          <cell r="AC111">
            <v>3.5059022014605097E-2</v>
          </cell>
          <cell r="AD111">
            <v>4.0021913655991281E-2</v>
          </cell>
          <cell r="AE111">
            <v>3.3966234635412262E-2</v>
          </cell>
          <cell r="AF111">
            <v>3.0610693510218993E-2</v>
          </cell>
          <cell r="AG111">
            <v>2.8652077090836253E-2</v>
          </cell>
          <cell r="AH111">
            <v>2.760882741081858E-2</v>
          </cell>
          <cell r="AI111">
            <v>2.7422486393636654E-2</v>
          </cell>
          <cell r="AJ111">
            <v>2.767848687083449E-2</v>
          </cell>
          <cell r="AK111">
            <v>2.8024488336187248E-2</v>
          </cell>
          <cell r="AL111">
            <v>2.8438671690362738E-2</v>
          </cell>
          <cell r="AM111">
            <v>2.8918713922994475E-2</v>
          </cell>
          <cell r="AN111">
            <v>2.9468217761913457E-2</v>
          </cell>
          <cell r="AO111">
            <v>8.5206312491288447E-2</v>
          </cell>
          <cell r="AP111">
            <v>0.15400261568094059</v>
          </cell>
          <cell r="AQ111">
            <v>0.15227262281490861</v>
          </cell>
          <cell r="AR111">
            <v>0.15016772991655553</v>
          </cell>
          <cell r="AS111">
            <v>0.13095821721833709</v>
          </cell>
          <cell r="AT111">
            <v>0.1461969510731001</v>
          </cell>
          <cell r="AU111">
            <v>0.14436878063549344</v>
          </cell>
          <cell r="AV111">
            <v>0.14253555475987284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showGridLines="0" zoomScale="70" zoomScaleNormal="70" workbookViewId="0">
      <selection activeCell="E32" sqref="E32"/>
    </sheetView>
  </sheetViews>
  <sheetFormatPr defaultColWidth="8.54296875" defaultRowHeight="13" x14ac:dyDescent="0.25"/>
  <cols>
    <col min="1" max="1" width="13.54296875" style="221" customWidth="1"/>
    <col min="2" max="2" width="3.54296875" style="222" customWidth="1"/>
    <col min="3" max="3" width="8.54296875" style="222"/>
    <col min="4" max="4" width="57.54296875" style="222" customWidth="1"/>
    <col min="5" max="5" width="23.453125" style="222" customWidth="1"/>
    <col min="6" max="6" width="9.1796875" style="222" customWidth="1"/>
    <col min="7" max="7" width="9.453125" style="222" customWidth="1"/>
    <col min="8" max="8" width="11" style="222" bestFit="1" customWidth="1"/>
    <col min="9" max="9" width="4" style="222" customWidth="1"/>
    <col min="10" max="10" width="12.1796875" style="222" bestFit="1" customWidth="1"/>
    <col min="11" max="11" width="2.453125" style="222" customWidth="1"/>
    <col min="12" max="12" width="11" style="222" bestFit="1" customWidth="1"/>
    <col min="13" max="15" width="8.54296875" style="222"/>
    <col min="16" max="16" width="9.1796875" style="222" customWidth="1"/>
    <col min="17" max="16384" width="8.54296875" style="222"/>
  </cols>
  <sheetData>
    <row r="1" spans="1:21" s="220" customFormat="1" ht="37.5" customHeight="1" x14ac:dyDescent="0.3">
      <c r="A1" s="209"/>
      <c r="D1" s="209"/>
      <c r="E1" s="209"/>
    </row>
    <row r="2" spans="1:21" ht="13.5" thickBot="1" x14ac:dyDescent="0.3"/>
    <row r="3" spans="1:21" s="316" customFormat="1" ht="13.5" thickBot="1" x14ac:dyDescent="0.35">
      <c r="A3" s="221"/>
      <c r="B3" s="225"/>
      <c r="C3" s="225"/>
      <c r="D3" s="225" t="s">
        <v>167</v>
      </c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</row>
    <row r="4" spans="1:21" s="235" customFormat="1" x14ac:dyDescent="0.3">
      <c r="A4" s="221"/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</row>
    <row r="5" spans="1:21" ht="26" x14ac:dyDescent="0.25">
      <c r="C5" s="368" t="s">
        <v>4</v>
      </c>
      <c r="D5" s="369" t="s">
        <v>166</v>
      </c>
      <c r="E5" s="369" t="s">
        <v>165</v>
      </c>
    </row>
    <row r="6" spans="1:21" x14ac:dyDescent="0.3">
      <c r="C6" s="370" t="s">
        <v>164</v>
      </c>
      <c r="D6" s="371" t="s">
        <v>163</v>
      </c>
      <c r="E6" s="372"/>
    </row>
    <row r="7" spans="1:21" x14ac:dyDescent="0.25">
      <c r="C7" s="373">
        <f t="shared" ref="C7:C24" si="0">C6+1</f>
        <v>2</v>
      </c>
      <c r="D7" s="374" t="s">
        <v>162</v>
      </c>
      <c r="E7" s="375"/>
    </row>
    <row r="8" spans="1:21" x14ac:dyDescent="0.3">
      <c r="C8" s="376">
        <f t="shared" si="0"/>
        <v>3</v>
      </c>
      <c r="D8" s="380" t="str">
        <f>[9]Предпосылки!$D$12</f>
        <v>Научно-технологический образовательный кампус "Долина Ростеха" в г. Фрязино Московской обл.</v>
      </c>
    </row>
    <row r="9" spans="1:21" ht="18" customHeight="1" x14ac:dyDescent="0.25">
      <c r="C9" s="376">
        <f t="shared" si="0"/>
        <v>4</v>
      </c>
      <c r="D9" s="242" t="s">
        <v>161</v>
      </c>
      <c r="E9" s="382">
        <f>[9]Предпосылки!E13</f>
        <v>49491</v>
      </c>
      <c r="G9" s="222" t="s">
        <v>287</v>
      </c>
    </row>
    <row r="10" spans="1:21" x14ac:dyDescent="0.25">
      <c r="C10" s="376">
        <f t="shared" si="0"/>
        <v>5</v>
      </c>
      <c r="D10" s="242" t="s">
        <v>160</v>
      </c>
      <c r="E10" s="401">
        <f>[9]Предпосылки!E14</f>
        <v>311600</v>
      </c>
    </row>
    <row r="11" spans="1:21" x14ac:dyDescent="0.25">
      <c r="C11" s="376">
        <f t="shared" si="0"/>
        <v>6</v>
      </c>
      <c r="D11" s="242" t="s">
        <v>159</v>
      </c>
      <c r="E11" s="401">
        <f>[9]Предпосылки!E15</f>
        <v>92000</v>
      </c>
    </row>
    <row r="12" spans="1:21" x14ac:dyDescent="0.3">
      <c r="C12" s="376">
        <f t="shared" si="0"/>
        <v>7</v>
      </c>
      <c r="D12" s="377" t="s">
        <v>158</v>
      </c>
      <c r="E12" s="401">
        <f>[9]Предпосылки!E16</f>
        <v>19800</v>
      </c>
    </row>
    <row r="13" spans="1:21" x14ac:dyDescent="0.3">
      <c r="C13" s="376">
        <f t="shared" si="0"/>
        <v>8</v>
      </c>
      <c r="D13" s="377" t="s">
        <v>157</v>
      </c>
      <c r="E13" s="401">
        <f>[9]Предпосылки!E17</f>
        <v>6800</v>
      </c>
    </row>
    <row r="14" spans="1:21" x14ac:dyDescent="0.3">
      <c r="C14" s="376">
        <f t="shared" si="0"/>
        <v>9</v>
      </c>
      <c r="D14" s="377" t="s">
        <v>156</v>
      </c>
      <c r="E14" s="401">
        <f>[9]Предпосылки!E18</f>
        <v>2250</v>
      </c>
    </row>
    <row r="15" spans="1:21" x14ac:dyDescent="0.3">
      <c r="C15" s="376">
        <f t="shared" si="0"/>
        <v>10</v>
      </c>
      <c r="D15" s="377" t="s">
        <v>155</v>
      </c>
      <c r="E15" s="401">
        <f>[9]Предпосылки!E19</f>
        <v>17160</v>
      </c>
    </row>
    <row r="16" spans="1:21" x14ac:dyDescent="0.3">
      <c r="C16" s="376">
        <f t="shared" si="0"/>
        <v>11</v>
      </c>
      <c r="D16" s="377" t="s">
        <v>154</v>
      </c>
      <c r="E16" s="401">
        <f>[9]Предпосылки!E20</f>
        <v>8000</v>
      </c>
    </row>
    <row r="17" spans="3:7" x14ac:dyDescent="0.3">
      <c r="C17" s="376">
        <f t="shared" si="0"/>
        <v>12</v>
      </c>
      <c r="D17" s="377" t="s">
        <v>153</v>
      </c>
      <c r="E17" s="401">
        <f>[9]Предпосылки!E21</f>
        <v>0</v>
      </c>
    </row>
    <row r="18" spans="3:7" x14ac:dyDescent="0.3">
      <c r="C18" s="376">
        <f t="shared" si="0"/>
        <v>13</v>
      </c>
      <c r="D18" s="377" t="s">
        <v>152</v>
      </c>
      <c r="E18" s="401">
        <f>[9]Предпосылки!E22</f>
        <v>960</v>
      </c>
    </row>
    <row r="19" spans="3:7" x14ac:dyDescent="0.3">
      <c r="C19" s="376">
        <f t="shared" si="0"/>
        <v>14</v>
      </c>
      <c r="D19" s="377" t="s">
        <v>151</v>
      </c>
      <c r="E19" s="401">
        <f>[9]Предпосылки!E23</f>
        <v>1770.25</v>
      </c>
    </row>
    <row r="20" spans="3:7" x14ac:dyDescent="0.3">
      <c r="C20" s="376">
        <f t="shared" si="0"/>
        <v>15</v>
      </c>
      <c r="D20" s="377" t="s">
        <v>150</v>
      </c>
      <c r="E20" s="401">
        <f>[9]Предпосылки!E24</f>
        <v>18278.14</v>
      </c>
    </row>
    <row r="21" spans="3:7" x14ac:dyDescent="0.3">
      <c r="C21" s="376">
        <f t="shared" si="0"/>
        <v>16</v>
      </c>
      <c r="D21" s="377" t="s">
        <v>149</v>
      </c>
      <c r="E21" s="401">
        <f>[9]Предпосылки!E25</f>
        <v>0</v>
      </c>
    </row>
    <row r="22" spans="3:7" x14ac:dyDescent="0.3">
      <c r="C22" s="376">
        <f t="shared" si="0"/>
        <v>17</v>
      </c>
      <c r="D22" s="377" t="s">
        <v>148</v>
      </c>
      <c r="E22" s="401">
        <f>[9]Предпосылки!E26</f>
        <v>0</v>
      </c>
    </row>
    <row r="23" spans="3:7" x14ac:dyDescent="0.3">
      <c r="C23" s="376">
        <f t="shared" si="0"/>
        <v>18</v>
      </c>
      <c r="D23" s="377" t="s">
        <v>147</v>
      </c>
      <c r="E23" s="401">
        <f>[9]Предпосылки!E27</f>
        <v>4527.0200000000004</v>
      </c>
    </row>
    <row r="24" spans="3:7" x14ac:dyDescent="0.3">
      <c r="C24" s="376">
        <f t="shared" si="0"/>
        <v>19</v>
      </c>
      <c r="D24" s="377" t="s">
        <v>146</v>
      </c>
      <c r="E24" s="401">
        <f>[9]Предпосылки!E28</f>
        <v>12454.59</v>
      </c>
    </row>
    <row r="25" spans="3:7" x14ac:dyDescent="0.25">
      <c r="C25" s="373" t="s">
        <v>169</v>
      </c>
      <c r="D25" s="374" t="s">
        <v>144</v>
      </c>
      <c r="E25" s="375"/>
    </row>
    <row r="26" spans="3:7" ht="18" customHeight="1" x14ac:dyDescent="0.25">
      <c r="C26" s="376" t="s">
        <v>170</v>
      </c>
      <c r="D26" s="242" t="s">
        <v>142</v>
      </c>
      <c r="E26" s="401">
        <f>[9]Предпосылки!E30</f>
        <v>79545.41</v>
      </c>
      <c r="G26" s="381"/>
    </row>
    <row r="27" spans="3:7" x14ac:dyDescent="0.25">
      <c r="C27" s="376" t="s">
        <v>145</v>
      </c>
      <c r="D27" s="242" t="s">
        <v>141</v>
      </c>
      <c r="E27" s="401">
        <f>[9]Предпосылки!E31</f>
        <v>54545.41</v>
      </c>
    </row>
    <row r="28" spans="3:7" x14ac:dyDescent="0.25">
      <c r="C28" s="376" t="s">
        <v>143</v>
      </c>
      <c r="D28" s="242" t="s">
        <v>140</v>
      </c>
      <c r="E28" s="401">
        <f>[9]Предпосылки!E32</f>
        <v>25000</v>
      </c>
    </row>
    <row r="29" spans="3:7" x14ac:dyDescent="0.3">
      <c r="C29" s="378" t="s">
        <v>139</v>
      </c>
      <c r="D29" s="374" t="s">
        <v>138</v>
      </c>
      <c r="E29" s="375"/>
    </row>
    <row r="30" spans="3:7" ht="18" customHeight="1" x14ac:dyDescent="0.25">
      <c r="C30" s="376" t="s">
        <v>137</v>
      </c>
      <c r="D30" s="242" t="s">
        <v>136</v>
      </c>
      <c r="E30" s="379" t="str">
        <f>[9]Предпосылки!E34</f>
        <v>Не реализуется</v>
      </c>
    </row>
    <row r="31" spans="3:7" x14ac:dyDescent="0.25">
      <c r="C31" s="376" t="s">
        <v>135</v>
      </c>
      <c r="D31" s="242" t="s">
        <v>134</v>
      </c>
      <c r="E31" s="379" t="str">
        <f>[9]Предпосылки!E35</f>
        <v>Не реализуется</v>
      </c>
    </row>
    <row r="32" spans="3:7" x14ac:dyDescent="0.25">
      <c r="C32" s="376" t="s">
        <v>133</v>
      </c>
      <c r="D32" s="242" t="s">
        <v>132</v>
      </c>
      <c r="E32" s="379" t="str">
        <f>[9]Предпосылки!E36</f>
        <v>Реализуется</v>
      </c>
    </row>
    <row r="33" spans="3:5" x14ac:dyDescent="0.25">
      <c r="C33" s="376" t="s">
        <v>131</v>
      </c>
      <c r="D33" s="242" t="s">
        <v>130</v>
      </c>
      <c r="E33" s="379" t="str">
        <f>[9]Предпосылки!E37</f>
        <v>Не реализуется</v>
      </c>
    </row>
    <row r="34" spans="3:5" x14ac:dyDescent="0.25">
      <c r="C34" s="376" t="s">
        <v>129</v>
      </c>
      <c r="D34" s="242" t="s">
        <v>128</v>
      </c>
      <c r="E34" s="379" t="str">
        <f>[9]Предпосылки!E38</f>
        <v>Не реализуется</v>
      </c>
    </row>
  </sheetData>
  <dataValidations disablePrompts="1" count="1">
    <dataValidation type="decimal" operator="equal" allowBlank="1" showInputMessage="1" showErrorMessage="1" errorTitle="Недопустимое значение" promptTitle="Недопустимое значение" sqref="F13:F14 J13:J14" xr:uid="{00000000-0002-0000-0000-000000000000}">
      <formula1>0.9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Z113"/>
  <sheetViews>
    <sheetView showGridLines="0" showZeros="0" tabSelected="1" zoomScale="40" zoomScaleNormal="40" workbookViewId="0">
      <pane xSplit="5" ySplit="6" topLeftCell="DF7" activePane="bottomRight" state="frozen"/>
      <selection pane="topRight" activeCell="F1" sqref="F1"/>
      <selection pane="bottomLeft" activeCell="A7" sqref="A7"/>
      <selection pane="bottomRight" activeCell="BE41" sqref="BE41"/>
    </sheetView>
  </sheetViews>
  <sheetFormatPr defaultColWidth="9.1796875" defaultRowHeight="14.5" outlineLevelRow="1" x14ac:dyDescent="0.35"/>
  <cols>
    <col min="1" max="1" width="13.54296875" style="221" customWidth="1"/>
    <col min="2" max="2" width="6.453125" style="222" customWidth="1"/>
    <col min="3" max="3" width="10.54296875" style="222" bestFit="1" customWidth="1"/>
    <col min="4" max="4" width="60.1796875" style="222" customWidth="1"/>
    <col min="5" max="5" width="11" style="222" customWidth="1"/>
    <col min="6" max="26" width="10.7265625" style="222" bestFit="1" customWidth="1"/>
    <col min="27" max="68" width="17" style="74" customWidth="1"/>
    <col min="69" max="69" width="12.54296875" style="235" customWidth="1"/>
    <col min="70" max="82" width="10.7265625" style="222" bestFit="1" customWidth="1"/>
    <col min="83" max="83" width="11.453125" style="222" bestFit="1" customWidth="1"/>
    <col min="84" max="90" width="10.7265625" style="222" bestFit="1" customWidth="1"/>
    <col min="91" max="132" width="17" style="74" customWidth="1"/>
    <col min="133" max="133" width="14.54296875" style="222" customWidth="1"/>
    <col min="134" max="154" width="11.453125" style="222" bestFit="1" customWidth="1"/>
    <col min="155" max="155" width="13.81640625" style="222" customWidth="1"/>
    <col min="156" max="16384" width="9.1796875" style="222"/>
  </cols>
  <sheetData>
    <row r="1" spans="1:156" s="220" customFormat="1" ht="37.5" customHeight="1" x14ac:dyDescent="0.3">
      <c r="A1" s="209"/>
      <c r="D1" s="209"/>
      <c r="E1" s="209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</row>
    <row r="2" spans="1:156" x14ac:dyDescent="0.35"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>
        <v>1</v>
      </c>
      <c r="AW2" s="75">
        <v>1</v>
      </c>
      <c r="AX2" s="75">
        <v>1</v>
      </c>
      <c r="AY2" s="75">
        <v>1</v>
      </c>
      <c r="AZ2" s="75">
        <v>1</v>
      </c>
      <c r="BA2" s="75">
        <v>1</v>
      </c>
      <c r="BB2" s="75">
        <v>1</v>
      </c>
      <c r="BC2" s="75">
        <v>1</v>
      </c>
      <c r="BD2" s="75">
        <v>1</v>
      </c>
      <c r="BE2" s="75">
        <v>1</v>
      </c>
      <c r="BF2" s="75">
        <v>1</v>
      </c>
      <c r="BG2" s="75">
        <v>1</v>
      </c>
      <c r="BH2" s="75">
        <v>1</v>
      </c>
      <c r="BI2" s="75">
        <v>1</v>
      </c>
      <c r="BJ2" s="75">
        <v>1</v>
      </c>
      <c r="BK2" s="75">
        <v>1</v>
      </c>
      <c r="BL2" s="75">
        <v>1</v>
      </c>
      <c r="BM2" s="75">
        <v>1</v>
      </c>
      <c r="BN2" s="75">
        <v>1</v>
      </c>
      <c r="BO2" s="75">
        <v>1</v>
      </c>
      <c r="BP2" s="75">
        <v>1</v>
      </c>
      <c r="BQ2" s="224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75"/>
      <c r="CN2" s="75"/>
      <c r="CO2" s="75"/>
      <c r="CP2" s="75"/>
      <c r="CQ2" s="75"/>
      <c r="CR2" s="75"/>
      <c r="CS2" s="75"/>
      <c r="CT2" s="75"/>
      <c r="CU2" s="75"/>
      <c r="CV2" s="75"/>
      <c r="CW2" s="75"/>
      <c r="CX2" s="75"/>
      <c r="CY2" s="75"/>
      <c r="CZ2" s="75"/>
      <c r="DA2" s="75"/>
      <c r="DB2" s="75"/>
      <c r="DC2" s="75"/>
      <c r="DD2" s="75"/>
      <c r="DE2" s="75"/>
      <c r="DF2" s="75"/>
      <c r="DG2" s="75"/>
      <c r="DH2" s="75">
        <v>1</v>
      </c>
      <c r="DI2" s="75">
        <v>1</v>
      </c>
      <c r="DJ2" s="75">
        <v>1</v>
      </c>
      <c r="DK2" s="75">
        <v>1</v>
      </c>
      <c r="DL2" s="75">
        <v>1</v>
      </c>
      <c r="DM2" s="75">
        <v>1</v>
      </c>
      <c r="DN2" s="75">
        <v>1</v>
      </c>
      <c r="DO2" s="75">
        <v>1</v>
      </c>
      <c r="DP2" s="75">
        <v>1</v>
      </c>
      <c r="DQ2" s="75">
        <v>1</v>
      </c>
      <c r="DR2" s="75">
        <v>1</v>
      </c>
      <c r="DS2" s="75">
        <v>1</v>
      </c>
      <c r="DT2" s="75">
        <v>1</v>
      </c>
      <c r="DU2" s="75">
        <v>1</v>
      </c>
      <c r="DV2" s="75">
        <v>1</v>
      </c>
      <c r="DW2" s="75">
        <v>1</v>
      </c>
      <c r="DX2" s="75">
        <v>1</v>
      </c>
      <c r="DY2" s="75">
        <v>1</v>
      </c>
      <c r="DZ2" s="75">
        <v>1</v>
      </c>
      <c r="EA2" s="75">
        <v>1</v>
      </c>
      <c r="EB2" s="75">
        <v>1</v>
      </c>
      <c r="EC2" s="223"/>
      <c r="EY2" s="223"/>
    </row>
    <row r="3" spans="1:156" ht="21.75" customHeight="1" x14ac:dyDescent="0.3">
      <c r="B3" s="225"/>
      <c r="C3" s="225"/>
      <c r="D3" s="225" t="s">
        <v>0</v>
      </c>
      <c r="E3" s="226"/>
      <c r="F3" s="418" t="s">
        <v>290</v>
      </c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418"/>
      <c r="AA3" s="418"/>
      <c r="AB3" s="418"/>
      <c r="AC3" s="418"/>
      <c r="AD3" s="418"/>
      <c r="AE3" s="418"/>
      <c r="AF3" s="418"/>
      <c r="AG3" s="418"/>
      <c r="AH3" s="418"/>
      <c r="AI3" s="418"/>
      <c r="AJ3" s="418"/>
      <c r="AK3" s="418"/>
      <c r="AL3" s="418"/>
      <c r="AM3" s="418"/>
      <c r="AN3" s="418"/>
      <c r="AO3" s="418"/>
      <c r="AP3" s="418"/>
      <c r="AQ3" s="418"/>
      <c r="AR3" s="418"/>
      <c r="AS3" s="418"/>
      <c r="AT3" s="418"/>
      <c r="AU3" s="418"/>
      <c r="AV3" s="418"/>
      <c r="AW3" s="418"/>
      <c r="AX3" s="418"/>
      <c r="AY3" s="418"/>
      <c r="AZ3" s="418"/>
      <c r="BA3" s="418"/>
      <c r="BB3" s="418"/>
      <c r="BC3" s="418"/>
      <c r="BD3" s="418"/>
      <c r="BE3" s="418"/>
      <c r="BF3" s="418"/>
      <c r="BG3" s="418"/>
      <c r="BH3" s="418"/>
      <c r="BI3" s="418"/>
      <c r="BJ3" s="418"/>
      <c r="BK3" s="418"/>
      <c r="BL3" s="418"/>
      <c r="BM3" s="418"/>
      <c r="BN3" s="418"/>
      <c r="BO3" s="418"/>
      <c r="BP3" s="418"/>
      <c r="BQ3" s="418"/>
      <c r="BR3" s="418"/>
      <c r="BS3" s="418"/>
      <c r="BT3" s="418"/>
      <c r="BU3" s="418"/>
      <c r="BV3" s="418"/>
      <c r="BW3" s="418"/>
      <c r="BX3" s="418"/>
      <c r="BY3" s="418"/>
      <c r="BZ3" s="418"/>
      <c r="CA3" s="418"/>
      <c r="CB3" s="418"/>
      <c r="CC3" s="418"/>
      <c r="CD3" s="418"/>
      <c r="CE3" s="418"/>
      <c r="CF3" s="418"/>
      <c r="CG3" s="418"/>
      <c r="CH3" s="418"/>
      <c r="CI3" s="418"/>
      <c r="CJ3" s="418"/>
      <c r="CK3" s="418"/>
      <c r="CL3" s="418"/>
      <c r="CM3" s="418"/>
      <c r="CN3" s="418"/>
      <c r="CO3" s="418"/>
      <c r="CP3" s="418"/>
      <c r="CQ3" s="418"/>
      <c r="CR3" s="418"/>
      <c r="CS3" s="418"/>
      <c r="CT3" s="418"/>
      <c r="CU3" s="418"/>
      <c r="CV3" s="418"/>
      <c r="CW3" s="418"/>
      <c r="CX3" s="418"/>
      <c r="CY3" s="418"/>
      <c r="CZ3" s="418"/>
      <c r="DA3" s="418"/>
      <c r="DB3" s="418"/>
      <c r="DC3" s="418"/>
      <c r="DD3" s="418"/>
      <c r="DE3" s="418"/>
      <c r="DF3" s="418"/>
      <c r="DG3" s="418"/>
      <c r="DH3" s="418"/>
      <c r="DI3" s="418"/>
      <c r="DJ3" s="418"/>
      <c r="DK3" s="418"/>
      <c r="DL3" s="418"/>
      <c r="DM3" s="418"/>
      <c r="DN3" s="418"/>
      <c r="DO3" s="418"/>
      <c r="DP3" s="418"/>
      <c r="DQ3" s="418"/>
      <c r="DR3" s="418"/>
      <c r="DS3" s="418"/>
      <c r="DT3" s="418"/>
      <c r="DU3" s="418"/>
      <c r="DV3" s="418"/>
      <c r="DW3" s="418"/>
      <c r="DX3" s="418"/>
      <c r="DY3" s="418"/>
      <c r="DZ3" s="418"/>
      <c r="EA3" s="418"/>
      <c r="EB3" s="418"/>
      <c r="EC3" s="418"/>
      <c r="ED3" s="418"/>
      <c r="EE3" s="418"/>
      <c r="EF3" s="418"/>
      <c r="EG3" s="418"/>
      <c r="EH3" s="418"/>
      <c r="EI3" s="418"/>
      <c r="EJ3" s="418"/>
      <c r="EK3" s="418"/>
      <c r="EL3" s="418"/>
      <c r="EM3" s="418"/>
      <c r="EN3" s="418"/>
      <c r="EO3" s="418"/>
      <c r="EP3" s="418"/>
      <c r="EQ3" s="418"/>
      <c r="ER3" s="418"/>
      <c r="ES3" s="418"/>
      <c r="ET3" s="418"/>
      <c r="EU3" s="418"/>
      <c r="EV3" s="418"/>
      <c r="EW3" s="418"/>
      <c r="EX3" s="418"/>
      <c r="EY3" s="418"/>
    </row>
    <row r="4" spans="1:156" ht="18" customHeight="1" x14ac:dyDescent="0.25">
      <c r="C4" s="226"/>
      <c r="D4" s="226"/>
      <c r="E4" s="227"/>
      <c r="F4" s="419" t="s">
        <v>1</v>
      </c>
      <c r="G4" s="419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19"/>
      <c r="S4" s="419"/>
      <c r="T4" s="419"/>
      <c r="U4" s="419"/>
      <c r="V4" s="419"/>
      <c r="W4" s="419"/>
      <c r="X4" s="419"/>
      <c r="Y4" s="419"/>
      <c r="Z4" s="419"/>
      <c r="AA4" s="420"/>
      <c r="AB4" s="420"/>
      <c r="AC4" s="420"/>
      <c r="AD4" s="420"/>
      <c r="AE4" s="420"/>
      <c r="AF4" s="420"/>
      <c r="AG4" s="420"/>
      <c r="AH4" s="420"/>
      <c r="AI4" s="420"/>
      <c r="AJ4" s="420"/>
      <c r="AK4" s="420"/>
      <c r="AL4" s="420"/>
      <c r="AM4" s="420"/>
      <c r="AN4" s="420"/>
      <c r="AO4" s="420"/>
      <c r="AP4" s="420"/>
      <c r="AQ4" s="420"/>
      <c r="AR4" s="420"/>
      <c r="AS4" s="420"/>
      <c r="AT4" s="420"/>
      <c r="AU4" s="420"/>
      <c r="AV4" s="421" t="s">
        <v>1</v>
      </c>
      <c r="AW4" s="421"/>
      <c r="AX4" s="421"/>
      <c r="AY4" s="421"/>
      <c r="AZ4" s="421"/>
      <c r="BA4" s="421"/>
      <c r="BB4" s="421"/>
      <c r="BC4" s="421"/>
      <c r="BD4" s="421"/>
      <c r="BE4" s="421"/>
      <c r="BF4" s="421"/>
      <c r="BG4" s="421"/>
      <c r="BH4" s="421"/>
      <c r="BI4" s="421"/>
      <c r="BJ4" s="421"/>
      <c r="BK4" s="421"/>
      <c r="BL4" s="421"/>
      <c r="BM4" s="421"/>
      <c r="BN4" s="421"/>
      <c r="BO4" s="421"/>
      <c r="BP4" s="421"/>
      <c r="BQ4" s="228"/>
      <c r="BR4" s="403" t="s">
        <v>2</v>
      </c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  <c r="CJ4" s="403"/>
      <c r="CK4" s="403"/>
      <c r="CL4" s="403"/>
      <c r="CM4" s="420"/>
      <c r="CN4" s="420"/>
      <c r="CO4" s="420"/>
      <c r="CP4" s="420"/>
      <c r="CQ4" s="420"/>
      <c r="CR4" s="420"/>
      <c r="CS4" s="420"/>
      <c r="CT4" s="420"/>
      <c r="CU4" s="420"/>
      <c r="CV4" s="420"/>
      <c r="CW4" s="420"/>
      <c r="CX4" s="420"/>
      <c r="CY4" s="420"/>
      <c r="CZ4" s="420"/>
      <c r="DA4" s="420"/>
      <c r="DB4" s="420"/>
      <c r="DC4" s="420"/>
      <c r="DD4" s="420"/>
      <c r="DE4" s="420"/>
      <c r="DF4" s="420"/>
      <c r="DG4" s="420"/>
      <c r="DH4" s="421" t="s">
        <v>1</v>
      </c>
      <c r="DI4" s="421"/>
      <c r="DJ4" s="421"/>
      <c r="DK4" s="421"/>
      <c r="DL4" s="421"/>
      <c r="DM4" s="421"/>
      <c r="DN4" s="421"/>
      <c r="DO4" s="421"/>
      <c r="DP4" s="421"/>
      <c r="DQ4" s="421"/>
      <c r="DR4" s="421"/>
      <c r="DS4" s="421"/>
      <c r="DT4" s="421"/>
      <c r="DU4" s="421"/>
      <c r="DV4" s="421"/>
      <c r="DW4" s="421"/>
      <c r="DX4" s="421"/>
      <c r="DY4" s="421"/>
      <c r="DZ4" s="421"/>
      <c r="EA4" s="421"/>
      <c r="EB4" s="421"/>
      <c r="EC4" s="229"/>
      <c r="ED4" s="402" t="s">
        <v>3</v>
      </c>
      <c r="EE4" s="402"/>
      <c r="EF4" s="402"/>
      <c r="EG4" s="402"/>
      <c r="EH4" s="402"/>
      <c r="EI4" s="402"/>
      <c r="EJ4" s="402"/>
      <c r="EK4" s="402"/>
      <c r="EL4" s="402"/>
      <c r="EM4" s="402"/>
      <c r="EN4" s="402"/>
      <c r="EO4" s="402"/>
      <c r="EP4" s="402"/>
      <c r="EQ4" s="402"/>
      <c r="ER4" s="402"/>
      <c r="ES4" s="402"/>
      <c r="ET4" s="402"/>
      <c r="EU4" s="402"/>
      <c r="EV4" s="402"/>
      <c r="EW4" s="402"/>
      <c r="EX4" s="402"/>
      <c r="EY4" s="402"/>
    </row>
    <row r="5" spans="1:156" ht="18" customHeight="1" x14ac:dyDescent="0.25">
      <c r="C5" s="404" t="s">
        <v>4</v>
      </c>
      <c r="D5" s="404" t="s">
        <v>5</v>
      </c>
      <c r="E5" s="404" t="s">
        <v>6</v>
      </c>
      <c r="F5" s="210">
        <v>2022</v>
      </c>
      <c r="G5" s="210">
        <v>2023</v>
      </c>
      <c r="H5" s="210">
        <v>2024</v>
      </c>
      <c r="I5" s="210">
        <v>2025</v>
      </c>
      <c r="J5" s="210">
        <v>2026</v>
      </c>
      <c r="K5" s="210">
        <v>2027</v>
      </c>
      <c r="L5" s="210">
        <v>2028</v>
      </c>
      <c r="M5" s="210">
        <v>2029</v>
      </c>
      <c r="N5" s="210">
        <v>2030</v>
      </c>
      <c r="O5" s="210">
        <v>2031</v>
      </c>
      <c r="P5" s="210">
        <v>2032</v>
      </c>
      <c r="Q5" s="210">
        <v>2033</v>
      </c>
      <c r="R5" s="211">
        <v>2034</v>
      </c>
      <c r="S5" s="211">
        <v>2035</v>
      </c>
      <c r="T5" s="211">
        <v>2036</v>
      </c>
      <c r="U5" s="211">
        <v>2037</v>
      </c>
      <c r="V5" s="211">
        <v>2038</v>
      </c>
      <c r="W5" s="211">
        <v>2039</v>
      </c>
      <c r="X5" s="211">
        <v>2040</v>
      </c>
      <c r="Y5" s="211">
        <v>2041</v>
      </c>
      <c r="Z5" s="211">
        <v>2042</v>
      </c>
      <c r="AA5" s="422"/>
      <c r="AB5" s="422"/>
      <c r="AC5" s="422"/>
      <c r="AD5" s="422"/>
      <c r="AE5" s="422"/>
      <c r="AF5" s="422"/>
      <c r="AG5" s="422"/>
      <c r="AH5" s="422"/>
      <c r="AI5" s="422"/>
      <c r="AJ5" s="422"/>
      <c r="AK5" s="422"/>
      <c r="AL5" s="422"/>
      <c r="AM5" s="422"/>
      <c r="AN5" s="422"/>
      <c r="AO5" s="422"/>
      <c r="AP5" s="422"/>
      <c r="AQ5" s="422"/>
      <c r="AR5" s="422"/>
      <c r="AS5" s="422"/>
      <c r="AT5" s="422"/>
      <c r="AU5" s="422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422"/>
      <c r="BI5" s="422"/>
      <c r="BJ5" s="422"/>
      <c r="BK5" s="422"/>
      <c r="BL5" s="422"/>
      <c r="BM5" s="422"/>
      <c r="BN5" s="422"/>
      <c r="BO5" s="422"/>
      <c r="BP5" s="422"/>
      <c r="BQ5" s="406" t="s">
        <v>265</v>
      </c>
      <c r="BR5" s="212">
        <v>2022</v>
      </c>
      <c r="BS5" s="210">
        <v>2023</v>
      </c>
      <c r="BT5" s="210">
        <v>2024</v>
      </c>
      <c r="BU5" s="210">
        <v>2025</v>
      </c>
      <c r="BV5" s="210">
        <v>2026</v>
      </c>
      <c r="BW5" s="210">
        <v>2027</v>
      </c>
      <c r="BX5" s="210">
        <v>2028</v>
      </c>
      <c r="BY5" s="210">
        <v>2029</v>
      </c>
      <c r="BZ5" s="210">
        <v>2030</v>
      </c>
      <c r="CA5" s="210">
        <v>2031</v>
      </c>
      <c r="CB5" s="210">
        <v>2032</v>
      </c>
      <c r="CC5" s="210">
        <v>2033</v>
      </c>
      <c r="CD5" s="211">
        <v>2034</v>
      </c>
      <c r="CE5" s="211">
        <v>2035</v>
      </c>
      <c r="CF5" s="211">
        <v>2036</v>
      </c>
      <c r="CG5" s="211">
        <v>2037</v>
      </c>
      <c r="CH5" s="211">
        <v>2038</v>
      </c>
      <c r="CI5" s="211">
        <v>2039</v>
      </c>
      <c r="CJ5" s="211">
        <v>2040</v>
      </c>
      <c r="CK5" s="211">
        <v>2041</v>
      </c>
      <c r="CL5" s="211">
        <v>2042</v>
      </c>
      <c r="CM5" s="422"/>
      <c r="CN5" s="422"/>
      <c r="CO5" s="422"/>
      <c r="CP5" s="422"/>
      <c r="CQ5" s="422"/>
      <c r="CR5" s="422"/>
      <c r="CS5" s="422"/>
      <c r="CT5" s="422"/>
      <c r="CU5" s="422"/>
      <c r="CV5" s="422"/>
      <c r="CW5" s="422"/>
      <c r="CX5" s="422"/>
      <c r="CY5" s="422"/>
      <c r="CZ5" s="422"/>
      <c r="DA5" s="422"/>
      <c r="DB5" s="422"/>
      <c r="DC5" s="422"/>
      <c r="DD5" s="422"/>
      <c r="DE5" s="422"/>
      <c r="DF5" s="422"/>
      <c r="DG5" s="422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422"/>
      <c r="DU5" s="422"/>
      <c r="DV5" s="422"/>
      <c r="DW5" s="422"/>
      <c r="DX5" s="422"/>
      <c r="DY5" s="422"/>
      <c r="DZ5" s="422"/>
      <c r="EA5" s="422"/>
      <c r="EB5" s="422"/>
      <c r="EC5" s="406" t="s">
        <v>265</v>
      </c>
      <c r="ED5" s="212">
        <v>2022</v>
      </c>
      <c r="EE5" s="210">
        <v>2023</v>
      </c>
      <c r="EF5" s="210">
        <v>2024</v>
      </c>
      <c r="EG5" s="210">
        <v>2025</v>
      </c>
      <c r="EH5" s="210">
        <v>2026</v>
      </c>
      <c r="EI5" s="210">
        <v>2027</v>
      </c>
      <c r="EJ5" s="210">
        <v>2028</v>
      </c>
      <c r="EK5" s="210">
        <v>2029</v>
      </c>
      <c r="EL5" s="210">
        <v>2030</v>
      </c>
      <c r="EM5" s="210">
        <v>2031</v>
      </c>
      <c r="EN5" s="210">
        <v>2032</v>
      </c>
      <c r="EO5" s="210">
        <v>2033</v>
      </c>
      <c r="EP5" s="211">
        <v>2034</v>
      </c>
      <c r="EQ5" s="211">
        <v>2035</v>
      </c>
      <c r="ER5" s="211">
        <v>2036</v>
      </c>
      <c r="ES5" s="211">
        <v>2037</v>
      </c>
      <c r="ET5" s="211">
        <v>2038</v>
      </c>
      <c r="EU5" s="211">
        <v>2039</v>
      </c>
      <c r="EV5" s="211">
        <v>2040</v>
      </c>
      <c r="EW5" s="211">
        <v>2041</v>
      </c>
      <c r="EX5" s="211">
        <v>2042</v>
      </c>
      <c r="EY5" s="406" t="s">
        <v>265</v>
      </c>
    </row>
    <row r="6" spans="1:156" ht="13.5" thickBot="1" x14ac:dyDescent="0.3">
      <c r="C6" s="405"/>
      <c r="D6" s="405"/>
      <c r="E6" s="405"/>
      <c r="F6" s="213" t="s">
        <v>7</v>
      </c>
      <c r="G6" s="213" t="s">
        <v>7</v>
      </c>
      <c r="H6" s="213" t="s">
        <v>7</v>
      </c>
      <c r="I6" s="213" t="s">
        <v>8</v>
      </c>
      <c r="J6" s="213" t="s">
        <v>8</v>
      </c>
      <c r="K6" s="213" t="s">
        <v>8</v>
      </c>
      <c r="L6" s="213" t="s">
        <v>8</v>
      </c>
      <c r="M6" s="213" t="s">
        <v>8</v>
      </c>
      <c r="N6" s="213" t="s">
        <v>8</v>
      </c>
      <c r="O6" s="213" t="s">
        <v>8</v>
      </c>
      <c r="P6" s="213" t="s">
        <v>8</v>
      </c>
      <c r="Q6" s="213" t="s">
        <v>8</v>
      </c>
      <c r="R6" s="214" t="s">
        <v>8</v>
      </c>
      <c r="S6" s="214" t="s">
        <v>8</v>
      </c>
      <c r="T6" s="214" t="s">
        <v>8</v>
      </c>
      <c r="U6" s="214" t="s">
        <v>8</v>
      </c>
      <c r="V6" s="214" t="s">
        <v>8</v>
      </c>
      <c r="W6" s="214" t="s">
        <v>8</v>
      </c>
      <c r="X6" s="214" t="s">
        <v>8</v>
      </c>
      <c r="Y6" s="214" t="s">
        <v>8</v>
      </c>
      <c r="Z6" s="214" t="s">
        <v>8</v>
      </c>
      <c r="AA6" s="423"/>
      <c r="AB6" s="423"/>
      <c r="AC6" s="423"/>
      <c r="AD6" s="423"/>
      <c r="AE6" s="423"/>
      <c r="AF6" s="423"/>
      <c r="AG6" s="423"/>
      <c r="AH6" s="423"/>
      <c r="AI6" s="423"/>
      <c r="AJ6" s="423"/>
      <c r="AK6" s="423"/>
      <c r="AL6" s="423"/>
      <c r="AM6" s="423"/>
      <c r="AN6" s="423"/>
      <c r="AO6" s="423"/>
      <c r="AP6" s="423"/>
      <c r="AQ6" s="423"/>
      <c r="AR6" s="423"/>
      <c r="AS6" s="423"/>
      <c r="AT6" s="423"/>
      <c r="AU6" s="423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423"/>
      <c r="BI6" s="423"/>
      <c r="BJ6" s="423"/>
      <c r="BK6" s="423"/>
      <c r="BL6" s="423"/>
      <c r="BM6" s="423"/>
      <c r="BN6" s="423"/>
      <c r="BO6" s="423"/>
      <c r="BP6" s="423"/>
      <c r="BQ6" s="407"/>
      <c r="BR6" s="215" t="s">
        <v>7</v>
      </c>
      <c r="BS6" s="213" t="s">
        <v>7</v>
      </c>
      <c r="BT6" s="213" t="s">
        <v>7</v>
      </c>
      <c r="BU6" s="213" t="s">
        <v>8</v>
      </c>
      <c r="BV6" s="213" t="s">
        <v>8</v>
      </c>
      <c r="BW6" s="213" t="s">
        <v>8</v>
      </c>
      <c r="BX6" s="213" t="s">
        <v>8</v>
      </c>
      <c r="BY6" s="213" t="s">
        <v>8</v>
      </c>
      <c r="BZ6" s="213" t="s">
        <v>8</v>
      </c>
      <c r="CA6" s="213" t="s">
        <v>8</v>
      </c>
      <c r="CB6" s="213" t="s">
        <v>8</v>
      </c>
      <c r="CC6" s="213" t="s">
        <v>8</v>
      </c>
      <c r="CD6" s="214" t="s">
        <v>8</v>
      </c>
      <c r="CE6" s="214" t="s">
        <v>8</v>
      </c>
      <c r="CF6" s="214" t="s">
        <v>8</v>
      </c>
      <c r="CG6" s="214" t="s">
        <v>8</v>
      </c>
      <c r="CH6" s="214" t="s">
        <v>8</v>
      </c>
      <c r="CI6" s="214" t="s">
        <v>8</v>
      </c>
      <c r="CJ6" s="214" t="s">
        <v>8</v>
      </c>
      <c r="CK6" s="214" t="s">
        <v>8</v>
      </c>
      <c r="CL6" s="214" t="s">
        <v>8</v>
      </c>
      <c r="CM6" s="423"/>
      <c r="CN6" s="423"/>
      <c r="CO6" s="423"/>
      <c r="CP6" s="423"/>
      <c r="CQ6" s="423"/>
      <c r="CR6" s="423"/>
      <c r="CS6" s="423"/>
      <c r="CT6" s="423"/>
      <c r="CU6" s="423"/>
      <c r="CV6" s="423"/>
      <c r="CW6" s="423"/>
      <c r="CX6" s="423"/>
      <c r="CY6" s="423"/>
      <c r="CZ6" s="423"/>
      <c r="DA6" s="423"/>
      <c r="DB6" s="423"/>
      <c r="DC6" s="423"/>
      <c r="DD6" s="423"/>
      <c r="DE6" s="423"/>
      <c r="DF6" s="423"/>
      <c r="DG6" s="423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423"/>
      <c r="DU6" s="423"/>
      <c r="DV6" s="423"/>
      <c r="DW6" s="423"/>
      <c r="DX6" s="423"/>
      <c r="DY6" s="423"/>
      <c r="DZ6" s="423"/>
      <c r="EA6" s="423"/>
      <c r="EB6" s="423"/>
      <c r="EC6" s="407"/>
      <c r="ED6" s="215" t="s">
        <v>7</v>
      </c>
      <c r="EE6" s="213" t="s">
        <v>7</v>
      </c>
      <c r="EF6" s="213" t="s">
        <v>7</v>
      </c>
      <c r="EG6" s="213" t="s">
        <v>8</v>
      </c>
      <c r="EH6" s="213" t="s">
        <v>8</v>
      </c>
      <c r="EI6" s="213" t="s">
        <v>8</v>
      </c>
      <c r="EJ6" s="213" t="s">
        <v>8</v>
      </c>
      <c r="EK6" s="213" t="s">
        <v>8</v>
      </c>
      <c r="EL6" s="213" t="s">
        <v>8</v>
      </c>
      <c r="EM6" s="213" t="s">
        <v>8</v>
      </c>
      <c r="EN6" s="213" t="s">
        <v>8</v>
      </c>
      <c r="EO6" s="213" t="s">
        <v>8</v>
      </c>
      <c r="EP6" s="214" t="s">
        <v>8</v>
      </c>
      <c r="EQ6" s="214" t="s">
        <v>8</v>
      </c>
      <c r="ER6" s="214" t="s">
        <v>8</v>
      </c>
      <c r="ES6" s="214" t="s">
        <v>8</v>
      </c>
      <c r="ET6" s="214" t="s">
        <v>8</v>
      </c>
      <c r="EU6" s="214" t="s">
        <v>8</v>
      </c>
      <c r="EV6" s="214" t="s">
        <v>8</v>
      </c>
      <c r="EW6" s="214" t="s">
        <v>8</v>
      </c>
      <c r="EX6" s="214" t="s">
        <v>8</v>
      </c>
      <c r="EY6" s="407"/>
    </row>
    <row r="7" spans="1:156" x14ac:dyDescent="0.35">
      <c r="BQ7" s="230"/>
      <c r="EC7" s="231"/>
      <c r="ED7" s="232"/>
      <c r="EE7" s="232"/>
      <c r="EF7" s="232"/>
      <c r="EG7" s="232"/>
      <c r="EH7" s="232"/>
      <c r="EI7" s="232"/>
      <c r="EJ7" s="232"/>
      <c r="EK7" s="232"/>
      <c r="EL7" s="232"/>
      <c r="EM7" s="232"/>
      <c r="EN7" s="232"/>
      <c r="EO7" s="232"/>
      <c r="EP7" s="232"/>
      <c r="EQ7" s="232"/>
      <c r="ER7" s="232"/>
      <c r="ES7" s="232"/>
      <c r="ET7" s="232"/>
      <c r="EU7" s="232"/>
      <c r="EV7" s="232"/>
      <c r="EW7" s="232"/>
      <c r="EX7" s="232"/>
      <c r="EY7" s="231"/>
    </row>
    <row r="8" spans="1:156" s="235" customFormat="1" ht="13" x14ac:dyDescent="0.3">
      <c r="A8" s="221"/>
      <c r="B8" s="222"/>
      <c r="C8" s="233"/>
      <c r="D8" s="234" t="s">
        <v>9</v>
      </c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217"/>
      <c r="BR8" s="216"/>
      <c r="BS8" s="216"/>
      <c r="BT8" s="216"/>
      <c r="BU8" s="216"/>
      <c r="BV8" s="216"/>
      <c r="BW8" s="216"/>
      <c r="BX8" s="216"/>
      <c r="BY8" s="216"/>
      <c r="BZ8" s="216"/>
      <c r="CA8" s="216"/>
      <c r="CB8" s="216"/>
      <c r="CC8" s="216"/>
      <c r="CD8" s="216"/>
      <c r="CE8" s="216"/>
      <c r="CF8" s="216"/>
      <c r="CG8" s="216"/>
      <c r="CH8" s="216"/>
      <c r="CI8" s="216"/>
      <c r="CJ8" s="216"/>
      <c r="CK8" s="216"/>
      <c r="CL8" s="216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4"/>
      <c r="DF8" s="424"/>
      <c r="DG8" s="424"/>
      <c r="DH8" s="424"/>
      <c r="DI8" s="424"/>
      <c r="DJ8" s="424"/>
      <c r="DK8" s="424"/>
      <c r="DL8" s="424"/>
      <c r="DM8" s="424"/>
      <c r="DN8" s="424"/>
      <c r="DO8" s="424"/>
      <c r="DP8" s="424"/>
      <c r="DQ8" s="424"/>
      <c r="DR8" s="424"/>
      <c r="DS8" s="424"/>
      <c r="DT8" s="424"/>
      <c r="DU8" s="424"/>
      <c r="DV8" s="424"/>
      <c r="DW8" s="424"/>
      <c r="DX8" s="424"/>
      <c r="DY8" s="424"/>
      <c r="DZ8" s="424"/>
      <c r="EA8" s="424"/>
      <c r="EB8" s="424"/>
      <c r="EC8" s="217"/>
      <c r="ED8" s="218"/>
      <c r="EE8" s="218"/>
      <c r="EF8" s="218"/>
      <c r="EG8" s="218"/>
      <c r="EH8" s="218"/>
      <c r="EI8" s="218"/>
      <c r="EJ8" s="218"/>
      <c r="EK8" s="218"/>
      <c r="EL8" s="218"/>
      <c r="EM8" s="218"/>
      <c r="EN8" s="218"/>
      <c r="EO8" s="218"/>
      <c r="EP8" s="218"/>
      <c r="EQ8" s="218"/>
      <c r="ER8" s="218"/>
      <c r="ES8" s="218"/>
      <c r="ET8" s="218"/>
      <c r="EU8" s="218"/>
      <c r="EV8" s="218"/>
      <c r="EW8" s="218"/>
      <c r="EX8" s="218"/>
      <c r="EY8" s="217"/>
    </row>
    <row r="9" spans="1:156" s="235" customFormat="1" x14ac:dyDescent="0.35">
      <c r="A9" s="221"/>
      <c r="B9" s="222"/>
      <c r="C9" s="236">
        <v>1</v>
      </c>
      <c r="D9" s="237" t="s">
        <v>127</v>
      </c>
      <c r="E9" s="238"/>
      <c r="F9" s="239">
        <f>F10-F11-F12</f>
        <v>5539689.4775501173</v>
      </c>
      <c r="G9" s="239">
        <f t="shared" ref="G9:R9" si="0">G10-G11-G12</f>
        <v>6357827.7540144371</v>
      </c>
      <c r="H9" s="239">
        <f t="shared" si="0"/>
        <v>7564444.592413187</v>
      </c>
      <c r="I9" s="239">
        <f t="shared" si="0"/>
        <v>8103936.3529736623</v>
      </c>
      <c r="J9" s="239">
        <f t="shared" si="0"/>
        <v>8519190.8969813026</v>
      </c>
      <c r="K9" s="239">
        <f t="shared" si="0"/>
        <v>8995587.0954468735</v>
      </c>
      <c r="L9" s="239">
        <f t="shared" si="0"/>
        <v>9480539.2061853558</v>
      </c>
      <c r="M9" s="239">
        <f t="shared" si="0"/>
        <v>9958076.7440769803</v>
      </c>
      <c r="N9" s="239">
        <f t="shared" si="0"/>
        <v>10483358.075702121</v>
      </c>
      <c r="O9" s="239">
        <f t="shared" si="0"/>
        <v>11035004.555861663</v>
      </c>
      <c r="P9" s="239">
        <f t="shared" si="0"/>
        <v>11621490.393137634</v>
      </c>
      <c r="Q9" s="239">
        <f t="shared" si="0"/>
        <v>12241619.983685547</v>
      </c>
      <c r="R9" s="239">
        <f t="shared" si="0"/>
        <v>12895894.488472316</v>
      </c>
      <c r="S9" s="239">
        <f t="shared" ref="S9:Z9" si="1">S10-S11-S12</f>
        <v>13593356.355333956</v>
      </c>
      <c r="T9" s="239">
        <f t="shared" si="1"/>
        <v>14326368.485580016</v>
      </c>
      <c r="U9" s="239">
        <f t="shared" si="1"/>
        <v>15105430.14826603</v>
      </c>
      <c r="V9" s="239">
        <f t="shared" si="1"/>
        <v>15928751.336077839</v>
      </c>
      <c r="W9" s="239">
        <f t="shared" si="1"/>
        <v>16801918.00859312</v>
      </c>
      <c r="X9" s="239">
        <f t="shared" si="1"/>
        <v>17729371.489952687</v>
      </c>
      <c r="Y9" s="239">
        <f t="shared" si="1"/>
        <v>18710164.492770653</v>
      </c>
      <c r="Z9" s="239">
        <f t="shared" si="1"/>
        <v>19749142.632310171</v>
      </c>
      <c r="AA9" s="425"/>
      <c r="AB9" s="425"/>
      <c r="AC9" s="425"/>
      <c r="AD9" s="425"/>
      <c r="AE9" s="425"/>
      <c r="AF9" s="425"/>
      <c r="AG9" s="425"/>
      <c r="AH9" s="425"/>
      <c r="AI9" s="425"/>
      <c r="AJ9" s="425"/>
      <c r="AK9" s="425"/>
      <c r="AL9" s="425"/>
      <c r="AM9" s="425"/>
      <c r="AN9" s="425"/>
      <c r="AO9" s="425"/>
      <c r="AP9" s="425"/>
      <c r="AQ9" s="425"/>
      <c r="AR9" s="425"/>
      <c r="AS9" s="425"/>
      <c r="AT9" s="425"/>
      <c r="AU9" s="425"/>
      <c r="AV9" s="425"/>
      <c r="AW9" s="425"/>
      <c r="AX9" s="425"/>
      <c r="AY9" s="425"/>
      <c r="AZ9" s="425"/>
      <c r="BA9" s="425"/>
      <c r="BB9" s="425"/>
      <c r="BC9" s="425"/>
      <c r="BD9" s="425"/>
      <c r="BE9" s="425"/>
      <c r="BF9" s="425"/>
      <c r="BG9" s="425"/>
      <c r="BH9" s="425"/>
      <c r="BI9" s="425"/>
      <c r="BJ9" s="425"/>
      <c r="BK9" s="425"/>
      <c r="BL9" s="425"/>
      <c r="BM9" s="425"/>
      <c r="BN9" s="425"/>
      <c r="BO9" s="425"/>
      <c r="BP9" s="425"/>
      <c r="BQ9" s="240">
        <f>BQ10-BQ11-BQ12</f>
        <v>227175264.38843432</v>
      </c>
      <c r="BR9" s="239">
        <f>BR10-BR11-BR12</f>
        <v>5539689.4775501173</v>
      </c>
      <c r="BS9" s="239">
        <f t="shared" ref="BS9:CD9" si="2">BS10-BS11-BS12</f>
        <v>6357827.7540144371</v>
      </c>
      <c r="BT9" s="239">
        <f t="shared" si="2"/>
        <v>7564444.592413187</v>
      </c>
      <c r="BU9" s="239">
        <f t="shared" si="2"/>
        <v>7953786.0366992354</v>
      </c>
      <c r="BV9" s="239">
        <f t="shared" si="2"/>
        <v>8779454.3783847485</v>
      </c>
      <c r="BW9" s="239">
        <f t="shared" si="2"/>
        <v>11860961.420988338</v>
      </c>
      <c r="BX9" s="239">
        <f t="shared" si="2"/>
        <v>11560326.549092049</v>
      </c>
      <c r="BY9" s="239">
        <f t="shared" si="2"/>
        <v>11483912.163547641</v>
      </c>
      <c r="BZ9" s="239">
        <f t="shared" si="2"/>
        <v>18435902.070776239</v>
      </c>
      <c r="CA9" s="239">
        <f t="shared" si="2"/>
        <v>19270018.790736519</v>
      </c>
      <c r="CB9" s="239">
        <f t="shared" si="2"/>
        <v>19624652.421364315</v>
      </c>
      <c r="CC9" s="239">
        <f t="shared" si="2"/>
        <v>21103923.853270646</v>
      </c>
      <c r="CD9" s="239">
        <f t="shared" si="2"/>
        <v>17954980.363508046</v>
      </c>
      <c r="CE9" s="239">
        <f>CE10-CE11-CE12</f>
        <v>19555824.852762036</v>
      </c>
      <c r="CF9" s="239">
        <f t="shared" ref="CF9:CL9" si="3">CF10-CF11-CF12</f>
        <v>19135822.031942979</v>
      </c>
      <c r="CG9" s="239">
        <f t="shared" si="3"/>
        <v>20369318.989709377</v>
      </c>
      <c r="CH9" s="239">
        <f t="shared" si="3"/>
        <v>21263333.99532102</v>
      </c>
      <c r="CI9" s="239">
        <f t="shared" si="3"/>
        <v>21496350.696416058</v>
      </c>
      <c r="CJ9" s="239">
        <f t="shared" si="3"/>
        <v>23212566.326656971</v>
      </c>
      <c r="CK9" s="239">
        <f t="shared" si="3"/>
        <v>24267755.337512679</v>
      </c>
      <c r="CL9" s="239">
        <f t="shared" si="3"/>
        <v>25388408.256877646</v>
      </c>
      <c r="CM9" s="425"/>
      <c r="CN9" s="425"/>
      <c r="CO9" s="425"/>
      <c r="CP9" s="425"/>
      <c r="CQ9" s="425"/>
      <c r="CR9" s="425"/>
      <c r="CS9" s="425"/>
      <c r="CT9" s="425"/>
      <c r="CU9" s="425"/>
      <c r="CV9" s="425"/>
      <c r="CW9" s="425"/>
      <c r="CX9" s="425"/>
      <c r="CY9" s="425"/>
      <c r="CZ9" s="425"/>
      <c r="DA9" s="425"/>
      <c r="DB9" s="425"/>
      <c r="DC9" s="425"/>
      <c r="DD9" s="425"/>
      <c r="DE9" s="425"/>
      <c r="DF9" s="425"/>
      <c r="DG9" s="425"/>
      <c r="DH9" s="425"/>
      <c r="DI9" s="425"/>
      <c r="DJ9" s="425"/>
      <c r="DK9" s="425"/>
      <c r="DL9" s="425"/>
      <c r="DM9" s="425"/>
      <c r="DN9" s="425"/>
      <c r="DO9" s="425"/>
      <c r="DP9" s="425"/>
      <c r="DQ9" s="425"/>
      <c r="DR9" s="425"/>
      <c r="DS9" s="425"/>
      <c r="DT9" s="425"/>
      <c r="DU9" s="425"/>
      <c r="DV9" s="425"/>
      <c r="DW9" s="425"/>
      <c r="DX9" s="425"/>
      <c r="DY9" s="425"/>
      <c r="DZ9" s="425"/>
      <c r="EA9" s="425"/>
      <c r="EB9" s="425"/>
      <c r="EC9" s="240">
        <f>EC10-EC11-EC12</f>
        <v>314763512.49886727</v>
      </c>
      <c r="ED9" s="239">
        <f>ED10-ED11-ED12</f>
        <v>0</v>
      </c>
      <c r="EE9" s="239">
        <f>EE10-EE11-EE12</f>
        <v>0</v>
      </c>
      <c r="EF9" s="239">
        <f t="shared" ref="EF9:EP9" si="4">EF10-EF11-EF12</f>
        <v>0</v>
      </c>
      <c r="EG9" s="239">
        <f t="shared" si="4"/>
        <v>367624.03427516902</v>
      </c>
      <c r="EH9" s="239">
        <f t="shared" si="4"/>
        <v>822670.36654959992</v>
      </c>
      <c r="EI9" s="239">
        <f t="shared" si="4"/>
        <v>1183604.4626819617</v>
      </c>
      <c r="EJ9" s="239">
        <f t="shared" si="4"/>
        <v>1514961.5764757693</v>
      </c>
      <c r="EK9" s="239">
        <f t="shared" si="4"/>
        <v>1682624.2445298363</v>
      </c>
      <c r="EL9" s="239">
        <f t="shared" si="4"/>
        <v>1723206.7308323714</v>
      </c>
      <c r="EM9" s="239">
        <f t="shared" si="4"/>
        <v>1752876.1074156519</v>
      </c>
      <c r="EN9" s="239">
        <f t="shared" si="4"/>
        <v>1780166.9375051199</v>
      </c>
      <c r="EO9" s="239">
        <f t="shared" si="4"/>
        <v>1807710.8127756682</v>
      </c>
      <c r="EP9" s="239">
        <f t="shared" si="4"/>
        <v>1835906.3556555933</v>
      </c>
      <c r="EQ9" s="239">
        <f t="shared" ref="EQ9:EX9" si="5">EQ10-EQ11-EQ12</f>
        <v>2466974.9078635061</v>
      </c>
      <c r="ER9" s="239">
        <f t="shared" si="5"/>
        <v>3218666.5301789385</v>
      </c>
      <c r="ES9" s="239">
        <f t="shared" si="5"/>
        <v>3276808.5433725007</v>
      </c>
      <c r="ET9" s="239">
        <f t="shared" si="5"/>
        <v>3328281.440064427</v>
      </c>
      <c r="EU9" s="239">
        <f t="shared" si="5"/>
        <v>3193215.6033752495</v>
      </c>
      <c r="EV9" s="239">
        <f t="shared" si="5"/>
        <v>3435289.1935119745</v>
      </c>
      <c r="EW9" s="239">
        <f t="shared" si="5"/>
        <v>3487184.5603511049</v>
      </c>
      <c r="EX9" s="239">
        <f t="shared" si="5"/>
        <v>3545142.8299411614</v>
      </c>
      <c r="EY9" s="240">
        <f>EY10-EY11-EY12</f>
        <v>40055291.203080438</v>
      </c>
    </row>
    <row r="10" spans="1:156" s="235" customFormat="1" x14ac:dyDescent="0.35">
      <c r="A10" s="221"/>
      <c r="B10" s="222"/>
      <c r="C10" s="241">
        <v>2</v>
      </c>
      <c r="D10" s="242" t="s">
        <v>12</v>
      </c>
      <c r="E10" s="243"/>
      <c r="F10" s="223">
        <f>F38</f>
        <v>10491307.00454</v>
      </c>
      <c r="G10" s="223">
        <f t="shared" ref="G10:CD10" si="6">G38</f>
        <v>12413480.746520001</v>
      </c>
      <c r="H10" s="223">
        <f t="shared" si="6"/>
        <v>15281575.363290001</v>
      </c>
      <c r="I10" s="223">
        <f t="shared" si="6"/>
        <v>16541920.3607972</v>
      </c>
      <c r="J10" s="223">
        <f t="shared" si="6"/>
        <v>17535322.193219777</v>
      </c>
      <c r="K10" s="223">
        <f t="shared" si="6"/>
        <v>18604049.573710874</v>
      </c>
      <c r="L10" s="223">
        <f t="shared" si="6"/>
        <v>19471725.677995246</v>
      </c>
      <c r="M10" s="223">
        <f t="shared" si="6"/>
        <v>20345930.802637167</v>
      </c>
      <c r="N10" s="223">
        <f t="shared" si="6"/>
        <v>21286762.948353045</v>
      </c>
      <c r="O10" s="223">
        <f t="shared" si="6"/>
        <v>22270585.265949614</v>
      </c>
      <c r="P10" s="223">
        <f t="shared" si="6"/>
        <v>23306537.208990622</v>
      </c>
      <c r="Q10" s="223">
        <f t="shared" si="6"/>
        <v>24394115.048326876</v>
      </c>
      <c r="R10" s="223">
        <f t="shared" si="6"/>
        <v>25534539.516147703</v>
      </c>
      <c r="S10" s="223">
        <f t="shared" ref="S10:Z10" si="7">S38</f>
        <v>26737601.437657353</v>
      </c>
      <c r="T10" s="223">
        <f t="shared" si="7"/>
        <v>27996442.051826291</v>
      </c>
      <c r="U10" s="223">
        <f t="shared" si="7"/>
        <v>29322370.126131497</v>
      </c>
      <c r="V10" s="223">
        <f t="shared" si="7"/>
        <v>30714437.561095163</v>
      </c>
      <c r="W10" s="223">
        <f t="shared" si="7"/>
        <v>32179105.932328217</v>
      </c>
      <c r="X10" s="223">
        <f t="shared" si="7"/>
        <v>33721727.239131182</v>
      </c>
      <c r="Y10" s="223">
        <f t="shared" si="7"/>
        <v>35342301.333583392</v>
      </c>
      <c r="Z10" s="223">
        <f t="shared" si="7"/>
        <v>37046658.896334559</v>
      </c>
      <c r="AA10" s="426">
        <v>844890.94538999908</v>
      </c>
      <c r="AB10" s="426">
        <v>1540312.2515799981</v>
      </c>
      <c r="AC10" s="426">
        <v>2978551.2268800009</v>
      </c>
      <c r="AD10" s="426">
        <v>4875098.2033515926</v>
      </c>
      <c r="AE10" s="426">
        <v>6884479.9808428623</v>
      </c>
      <c r="AF10" s="426">
        <v>9062036.2010451518</v>
      </c>
      <c r="AG10" s="426">
        <v>11419274.762848845</v>
      </c>
      <c r="AH10" s="426">
        <v>13933191.722445363</v>
      </c>
      <c r="AI10" s="426">
        <v>16634713.337705262</v>
      </c>
      <c r="AJ10" s="426">
        <v>19532618.427161425</v>
      </c>
      <c r="AK10" s="426">
        <v>22643126.469736844</v>
      </c>
      <c r="AL10" s="426">
        <v>25980159.514639083</v>
      </c>
      <c r="AM10" s="426">
        <v>29556965.739428192</v>
      </c>
      <c r="AN10" s="426">
        <v>33394566.87966077</v>
      </c>
      <c r="AO10" s="426">
        <v>37505010.081979752</v>
      </c>
      <c r="AP10" s="426">
        <v>41909413.89255701</v>
      </c>
      <c r="AQ10" s="426">
        <v>46625581.97849033</v>
      </c>
      <c r="AR10" s="426">
        <v>51675274.959151983</v>
      </c>
      <c r="AS10" s="426">
        <v>57082953.951074034</v>
      </c>
      <c r="AT10" s="426">
        <v>62870271.858088121</v>
      </c>
      <c r="AU10" s="426">
        <v>69061737.255251855</v>
      </c>
      <c r="AV10" s="427" t="b">
        <f>AA10=F10</f>
        <v>0</v>
      </c>
      <c r="AW10" s="427" t="b">
        <f t="shared" ref="AW10:BL23" si="8">AB10=G10</f>
        <v>0</v>
      </c>
      <c r="AX10" s="427" t="b">
        <f t="shared" si="8"/>
        <v>0</v>
      </c>
      <c r="AY10" s="427" t="b">
        <f t="shared" si="8"/>
        <v>0</v>
      </c>
      <c r="AZ10" s="427" t="b">
        <f t="shared" si="8"/>
        <v>0</v>
      </c>
      <c r="BA10" s="427" t="b">
        <f t="shared" si="8"/>
        <v>0</v>
      </c>
      <c r="BB10" s="427" t="b">
        <f t="shared" si="8"/>
        <v>0</v>
      </c>
      <c r="BC10" s="427" t="b">
        <f t="shared" si="8"/>
        <v>0</v>
      </c>
      <c r="BD10" s="427" t="b">
        <f t="shared" si="8"/>
        <v>0</v>
      </c>
      <c r="BE10" s="427" t="b">
        <f t="shared" si="8"/>
        <v>0</v>
      </c>
      <c r="BF10" s="427" t="b">
        <f t="shared" si="8"/>
        <v>0</v>
      </c>
      <c r="BG10" s="427" t="b">
        <f t="shared" si="8"/>
        <v>0</v>
      </c>
      <c r="BH10" s="427" t="b">
        <f t="shared" si="8"/>
        <v>0</v>
      </c>
      <c r="BI10" s="427" t="b">
        <f t="shared" si="8"/>
        <v>0</v>
      </c>
      <c r="BJ10" s="427" t="b">
        <f t="shared" si="8"/>
        <v>0</v>
      </c>
      <c r="BK10" s="427" t="b">
        <f t="shared" si="8"/>
        <v>0</v>
      </c>
      <c r="BL10" s="427" t="b">
        <f t="shared" si="8"/>
        <v>0</v>
      </c>
      <c r="BM10" s="427" t="b">
        <f t="shared" ref="BE10:BP25" si="9">AR10=W10</f>
        <v>0</v>
      </c>
      <c r="BN10" s="427" t="b">
        <f t="shared" si="9"/>
        <v>0</v>
      </c>
      <c r="BO10" s="427" t="b">
        <f t="shared" si="9"/>
        <v>0</v>
      </c>
      <c r="BP10" s="427" t="b">
        <f>AU10=Z10</f>
        <v>0</v>
      </c>
      <c r="BQ10" s="244">
        <f>SUM(J10:Z10)</f>
        <v>445810212.81341863</v>
      </c>
      <c r="BR10" s="223">
        <f>BR38</f>
        <v>10491307.00454</v>
      </c>
      <c r="BS10" s="223">
        <f t="shared" si="6"/>
        <v>12413480.746520001</v>
      </c>
      <c r="BT10" s="223">
        <f t="shared" si="6"/>
        <v>15281575.363290001</v>
      </c>
      <c r="BU10" s="223">
        <f t="shared" si="6"/>
        <v>16798887.994903535</v>
      </c>
      <c r="BV10" s="223">
        <f>BV38</f>
        <v>18753446.841582883</v>
      </c>
      <c r="BW10" s="223">
        <f t="shared" si="6"/>
        <v>22555694.973659992</v>
      </c>
      <c r="BX10" s="223">
        <f t="shared" si="6"/>
        <v>22784137.416887462</v>
      </c>
      <c r="BY10" s="223">
        <f t="shared" si="6"/>
        <v>23185804.357525274</v>
      </c>
      <c r="BZ10" s="223">
        <f t="shared" si="6"/>
        <v>30617895.948633511</v>
      </c>
      <c r="CA10" s="223">
        <f t="shared" si="6"/>
        <v>31951038.334971327</v>
      </c>
      <c r="CB10" s="223">
        <f t="shared" si="6"/>
        <v>32825787.653229244</v>
      </c>
      <c r="CC10" s="223">
        <f t="shared" si="6"/>
        <v>34847175.155991428</v>
      </c>
      <c r="CD10" s="223">
        <f t="shared" si="6"/>
        <v>32263298.340187244</v>
      </c>
      <c r="CE10" s="223">
        <f t="shared" ref="CE10:CL10" si="10">CE38</f>
        <v>34612032.66592022</v>
      </c>
      <c r="CF10" s="223">
        <f t="shared" si="10"/>
        <v>34995669.636999138</v>
      </c>
      <c r="CG10" s="223">
        <f t="shared" si="10"/>
        <v>36520678.217372186</v>
      </c>
      <c r="CH10" s="223">
        <f t="shared" si="10"/>
        <v>38080609.595554538</v>
      </c>
      <c r="CI10" s="223">
        <f t="shared" si="10"/>
        <v>39003423.851120554</v>
      </c>
      <c r="CJ10" s="223">
        <f t="shared" si="10"/>
        <v>41442267.63940233</v>
      </c>
      <c r="CK10" s="223">
        <f t="shared" si="10"/>
        <v>43244257.36384812</v>
      </c>
      <c r="CL10" s="223">
        <f t="shared" si="10"/>
        <v>45147509.985064812</v>
      </c>
      <c r="CM10" s="426">
        <v>844890.94538999908</v>
      </c>
      <c r="CN10" s="426">
        <v>1540312.2515799981</v>
      </c>
      <c r="CO10" s="426">
        <v>2978551.2268800009</v>
      </c>
      <c r="CP10" s="426">
        <v>4732514.5315097962</v>
      </c>
      <c r="CQ10" s="426">
        <v>7235055.2880386282</v>
      </c>
      <c r="CR10" s="426">
        <v>11362033.442188479</v>
      </c>
      <c r="CS10" s="426">
        <v>15446989.473669626</v>
      </c>
      <c r="CT10" s="426">
        <v>19479870.07629478</v>
      </c>
      <c r="CU10" s="426">
        <v>30243615.326788452</v>
      </c>
      <c r="CV10" s="426">
        <v>41475722.217196435</v>
      </c>
      <c r="CW10" s="426">
        <v>51739482.141400166</v>
      </c>
      <c r="CX10" s="426">
        <v>62750361.114920773</v>
      </c>
      <c r="CY10" s="426">
        <v>70149867.138883919</v>
      </c>
      <c r="CZ10" s="426">
        <v>78137153.54557386</v>
      </c>
      <c r="DA10" s="426">
        <v>86569338.958862856</v>
      </c>
      <c r="DB10" s="426">
        <v>95347431.82041657</v>
      </c>
      <c r="DC10" s="426">
        <v>104457955.78794879</v>
      </c>
      <c r="DD10" s="426">
        <v>113259709.89734076</v>
      </c>
      <c r="DE10" s="426">
        <v>123101865.44826467</v>
      </c>
      <c r="DF10" s="426">
        <v>133339297.25809769</v>
      </c>
      <c r="DG10" s="426">
        <v>144000575.55741149</v>
      </c>
      <c r="DH10" s="427" t="b">
        <f>CM10=BR10</f>
        <v>0</v>
      </c>
      <c r="DI10" s="427" t="b">
        <f t="shared" ref="DI10:DI23" si="11">CN10=BS10</f>
        <v>0</v>
      </c>
      <c r="DJ10" s="427" t="b">
        <f t="shared" ref="DJ10:DJ23" si="12">CO10=BT10</f>
        <v>0</v>
      </c>
      <c r="DK10" s="427" t="b">
        <f t="shared" ref="DK10:DK23" si="13">CP10=BU10</f>
        <v>0</v>
      </c>
      <c r="DL10" s="427" t="b">
        <f t="shared" ref="DL10:DL23" si="14">CQ10=BV10</f>
        <v>0</v>
      </c>
      <c r="DM10" s="427" t="b">
        <f t="shared" ref="DM10:DM23" si="15">CR10=BW10</f>
        <v>0</v>
      </c>
      <c r="DN10" s="427" t="b">
        <f t="shared" ref="DN10:DN23" si="16">CS10=BX10</f>
        <v>0</v>
      </c>
      <c r="DO10" s="427" t="b">
        <f t="shared" ref="DO10:DO23" si="17">CT10=BY10</f>
        <v>0</v>
      </c>
      <c r="DP10" s="427" t="b">
        <f t="shared" ref="DP10:DP23" si="18">CU10=BZ10</f>
        <v>0</v>
      </c>
      <c r="DQ10" s="427" t="b">
        <f t="shared" ref="DQ10:DQ25" si="19">CV10=CA10</f>
        <v>0</v>
      </c>
      <c r="DR10" s="427" t="b">
        <f t="shared" ref="DR10:DR25" si="20">CW10=CB10</f>
        <v>0</v>
      </c>
      <c r="DS10" s="427" t="b">
        <f t="shared" ref="DS10:DS25" si="21">CX10=CC10</f>
        <v>0</v>
      </c>
      <c r="DT10" s="427" t="b">
        <f t="shared" ref="DT10:DT25" si="22">CY10=CD10</f>
        <v>0</v>
      </c>
      <c r="DU10" s="427" t="b">
        <f t="shared" ref="DU10:DU25" si="23">CZ10=CE10</f>
        <v>0</v>
      </c>
      <c r="DV10" s="427" t="b">
        <f t="shared" ref="DV10:DV25" si="24">DA10=CF10</f>
        <v>0</v>
      </c>
      <c r="DW10" s="427" t="b">
        <f t="shared" ref="DW10:DW25" si="25">DB10=CG10</f>
        <v>0</v>
      </c>
      <c r="DX10" s="427" t="b">
        <f t="shared" ref="DX10:EB26" si="26">DC10=CH10</f>
        <v>0</v>
      </c>
      <c r="DY10" s="427" t="b">
        <f t="shared" ref="DY10:DY25" si="27">DD10=CI10</f>
        <v>0</v>
      </c>
      <c r="DZ10" s="427" t="b">
        <f t="shared" ref="DZ10:DZ25" si="28">DE10=CJ10</f>
        <v>0</v>
      </c>
      <c r="EA10" s="427" t="b">
        <f t="shared" ref="EA10:EA25" si="29">DF10=CK10</f>
        <v>0</v>
      </c>
      <c r="EB10" s="427" t="b">
        <f>DG10=CL10</f>
        <v>0</v>
      </c>
      <c r="EC10" s="244">
        <f>SUM(BV10:CL10)</f>
        <v>562830727.97795022</v>
      </c>
      <c r="ED10" s="223">
        <f>ED14+ED19+'ФинРез Кампус'!F210</f>
        <v>0</v>
      </c>
      <c r="EE10" s="223">
        <f>EE14+EE19+'ФинРез Кампус'!G210</f>
        <v>0</v>
      </c>
      <c r="EF10" s="223">
        <f>EF14+EF19+'ФинРез Кампус'!H210</f>
        <v>0</v>
      </c>
      <c r="EG10" s="223">
        <f>EG14+EG19+'ФинРез Кампус'!I210</f>
        <v>774741.9846559302</v>
      </c>
      <c r="EH10" s="223">
        <f>EH14+EH19+'ФинРез Кампус'!J210</f>
        <v>1780531.5335092605</v>
      </c>
      <c r="EI10" s="223">
        <f>EI14+EI19+'ФинРез Кампус'!K210</f>
        <v>2269875.5370896156</v>
      </c>
      <c r="EJ10" s="223">
        <f>EJ14+EJ19+'ФинРез Кампус'!L210</f>
        <v>2747585.972461293</v>
      </c>
      <c r="EK10" s="223">
        <f>EK14+EK19+'ФинРез Кампус'!M210</f>
        <v>2996662.3799472833</v>
      </c>
      <c r="EL10" s="223">
        <f>EL14+EL19+'ФинРез Кампус'!N210</f>
        <v>3101795.7360387198</v>
      </c>
      <c r="EM10" s="223">
        <f>EM14+EM19+'ФинРез Кампус'!O210</f>
        <v>3198314.9415625082</v>
      </c>
      <c r="EN10" s="223">
        <f>EN14+EN19+'ФинРез Кампус'!P210</f>
        <v>3296255.3535170583</v>
      </c>
      <c r="EO10" s="223">
        <f>EO14+EO19+'ФинРез Кампус'!Q210</f>
        <v>3398467.0508551197</v>
      </c>
      <c r="EP10" s="223">
        <f>EP14+EP19+'ФинРез Кампус'!R210</f>
        <v>3505579.3046594025</v>
      </c>
      <c r="EQ10" s="223">
        <f>EQ14+EQ19+'ФинРез Кампус'!S210</f>
        <v>4411760.3620546777</v>
      </c>
      <c r="ER10" s="223">
        <f>ER14+ER19+'ФинРез Кампус'!T210</f>
        <v>5476698.7044807542</v>
      </c>
      <c r="ES10" s="223">
        <f>ES14+ES19+'ФинРез Кампус'!U210</f>
        <v>5645799.0595209394</v>
      </c>
      <c r="ET10" s="223">
        <f>ET14+ET19+'ФинРез Кампус'!V210</f>
        <v>5805900.4176989431</v>
      </c>
      <c r="EU10" s="223">
        <f>EU14+EU19+'ФинРез Кампус'!W210</f>
        <v>5675912.0716186892</v>
      </c>
      <c r="EV10" s="223">
        <f>EV14+EV19+'ФинРез Кампус'!X210</f>
        <v>6143140.1990161873</v>
      </c>
      <c r="EW10" s="223">
        <f>EW14+EW19+'ФинРез Кампус'!Y210</f>
        <v>6315121.0265912358</v>
      </c>
      <c r="EX10" s="223">
        <f>EX14+EX19+'ФинРез Кампус'!Z210</f>
        <v>6503951.5166388815</v>
      </c>
      <c r="EY10" s="244">
        <f>SUM(EH10:EX10)</f>
        <v>72273351.167260572</v>
      </c>
      <c r="EZ10" s="224"/>
    </row>
    <row r="11" spans="1:156" s="235" customFormat="1" x14ac:dyDescent="0.35">
      <c r="A11" s="221"/>
      <c r="B11" s="222"/>
      <c r="C11" s="241">
        <v>3</v>
      </c>
      <c r="D11" s="242" t="s">
        <v>14</v>
      </c>
      <c r="E11" s="243"/>
      <c r="F11" s="223">
        <f>F43</f>
        <v>4951617.5269898828</v>
      </c>
      <c r="G11" s="223">
        <f t="shared" ref="G11:CC11" si="30">G43</f>
        <v>6055652.9925055644</v>
      </c>
      <c r="H11" s="223">
        <f t="shared" si="30"/>
        <v>7717130.7708768137</v>
      </c>
      <c r="I11" s="223">
        <f t="shared" si="30"/>
        <v>8437984.007823538</v>
      </c>
      <c r="J11" s="223">
        <f t="shared" si="30"/>
        <v>9016131.2962384745</v>
      </c>
      <c r="K11" s="223">
        <f t="shared" si="30"/>
        <v>9608462.4782640003</v>
      </c>
      <c r="L11" s="223">
        <f t="shared" si="30"/>
        <v>9991186.4718098901</v>
      </c>
      <c r="M11" s="223">
        <f t="shared" si="30"/>
        <v>10387854.058560187</v>
      </c>
      <c r="N11" s="223">
        <f t="shared" si="30"/>
        <v>10803404.872650923</v>
      </c>
      <c r="O11" s="223">
        <f t="shared" si="30"/>
        <v>11235580.710087951</v>
      </c>
      <c r="P11" s="223">
        <f t="shared" si="30"/>
        <v>11685046.815852989</v>
      </c>
      <c r="Q11" s="223">
        <f t="shared" si="30"/>
        <v>12152495.064641329</v>
      </c>
      <c r="R11" s="223">
        <f t="shared" si="30"/>
        <v>12638645.027675387</v>
      </c>
      <c r="S11" s="223">
        <f t="shared" ref="S11:Z11" si="31">S43</f>
        <v>13144245.082323397</v>
      </c>
      <c r="T11" s="223">
        <f t="shared" si="31"/>
        <v>13670073.566246275</v>
      </c>
      <c r="U11" s="223">
        <f t="shared" si="31"/>
        <v>14216939.977865467</v>
      </c>
      <c r="V11" s="223">
        <f t="shared" si="31"/>
        <v>14785686.225017324</v>
      </c>
      <c r="W11" s="223">
        <f t="shared" si="31"/>
        <v>15377187.923735097</v>
      </c>
      <c r="X11" s="223">
        <f t="shared" si="31"/>
        <v>15992355.749178495</v>
      </c>
      <c r="Y11" s="223">
        <f t="shared" si="31"/>
        <v>16632136.840812739</v>
      </c>
      <c r="Z11" s="223">
        <f t="shared" si="31"/>
        <v>17297516.264024388</v>
      </c>
      <c r="AA11" s="426">
        <v>844890.94538999908</v>
      </c>
      <c r="AB11" s="426">
        <v>695421.30618999898</v>
      </c>
      <c r="AC11" s="426">
        <v>1438238.9753000028</v>
      </c>
      <c r="AD11" s="426">
        <v>1896546.9764715917</v>
      </c>
      <c r="AE11" s="426">
        <v>2009381.7774912696</v>
      </c>
      <c r="AF11" s="426">
        <v>2177556.2202022895</v>
      </c>
      <c r="AG11" s="426">
        <v>2357238.561803693</v>
      </c>
      <c r="AH11" s="426">
        <v>2513916.9595965184</v>
      </c>
      <c r="AI11" s="426">
        <v>2701521.6152598988</v>
      </c>
      <c r="AJ11" s="426">
        <v>2897905.0894561633</v>
      </c>
      <c r="AK11" s="426">
        <v>3110508.0425754208</v>
      </c>
      <c r="AL11" s="426">
        <v>3337033.044902239</v>
      </c>
      <c r="AM11" s="426">
        <v>3576806.2247891109</v>
      </c>
      <c r="AN11" s="426">
        <v>3837601.1402325779</v>
      </c>
      <c r="AO11" s="426">
        <v>4110443.202318985</v>
      </c>
      <c r="AP11" s="426">
        <v>4404403.8105772622</v>
      </c>
      <c r="AQ11" s="426">
        <v>4716168.0859333202</v>
      </c>
      <c r="AR11" s="426">
        <v>5049692.980661653</v>
      </c>
      <c r="AS11" s="426">
        <v>5407678.9919220544</v>
      </c>
      <c r="AT11" s="426">
        <v>5787317.9070140887</v>
      </c>
      <c r="AU11" s="426">
        <v>6191465.3971637338</v>
      </c>
      <c r="AV11" s="427" t="b">
        <f t="shared" ref="AV11:BK50" si="32">AA11=F11</f>
        <v>0</v>
      </c>
      <c r="AW11" s="427" t="b">
        <f t="shared" si="8"/>
        <v>0</v>
      </c>
      <c r="AX11" s="427" t="b">
        <f t="shared" si="8"/>
        <v>0</v>
      </c>
      <c r="AY11" s="427" t="b">
        <f t="shared" si="8"/>
        <v>0</v>
      </c>
      <c r="AZ11" s="427" t="b">
        <f t="shared" si="8"/>
        <v>0</v>
      </c>
      <c r="BA11" s="427" t="b">
        <f t="shared" si="8"/>
        <v>0</v>
      </c>
      <c r="BB11" s="427" t="b">
        <f t="shared" si="8"/>
        <v>0</v>
      </c>
      <c r="BC11" s="427" t="b">
        <f t="shared" si="8"/>
        <v>0</v>
      </c>
      <c r="BD11" s="427" t="b">
        <f t="shared" si="8"/>
        <v>0</v>
      </c>
      <c r="BE11" s="427" t="b">
        <f t="shared" si="8"/>
        <v>0</v>
      </c>
      <c r="BF11" s="427" t="b">
        <f t="shared" si="8"/>
        <v>0</v>
      </c>
      <c r="BG11" s="427" t="b">
        <f t="shared" si="8"/>
        <v>0</v>
      </c>
      <c r="BH11" s="427" t="b">
        <f t="shared" si="8"/>
        <v>0</v>
      </c>
      <c r="BI11" s="427" t="b">
        <f t="shared" si="8"/>
        <v>0</v>
      </c>
      <c r="BJ11" s="427" t="b">
        <f t="shared" si="8"/>
        <v>0</v>
      </c>
      <c r="BK11" s="427" t="b">
        <f t="shared" si="8"/>
        <v>0</v>
      </c>
      <c r="BL11" s="427" t="b">
        <f t="shared" si="8"/>
        <v>0</v>
      </c>
      <c r="BM11" s="427" t="b">
        <f t="shared" si="9"/>
        <v>0</v>
      </c>
      <c r="BN11" s="427" t="b">
        <f t="shared" si="9"/>
        <v>0</v>
      </c>
      <c r="BO11" s="427" t="b">
        <f t="shared" si="9"/>
        <v>0</v>
      </c>
      <c r="BP11" s="427" t="b">
        <f t="shared" si="9"/>
        <v>0</v>
      </c>
      <c r="BQ11" s="244">
        <f>SUM(J11:Z11)</f>
        <v>218634948.42498431</v>
      </c>
      <c r="BR11" s="223">
        <f>BR43</f>
        <v>4951617.5269898828</v>
      </c>
      <c r="BS11" s="223">
        <f t="shared" si="30"/>
        <v>6055652.9925055644</v>
      </c>
      <c r="BT11" s="223">
        <f t="shared" si="30"/>
        <v>7717130.7708768137</v>
      </c>
      <c r="BU11" s="223">
        <f t="shared" si="30"/>
        <v>8845101.9582042992</v>
      </c>
      <c r="BV11" s="223">
        <f t="shared" si="30"/>
        <v>9973992.4631981347</v>
      </c>
      <c r="BW11" s="223">
        <f t="shared" si="30"/>
        <v>10694733.552671654</v>
      </c>
      <c r="BX11" s="223">
        <f t="shared" si="30"/>
        <v>11223810.867795413</v>
      </c>
      <c r="BY11" s="223">
        <f t="shared" si="30"/>
        <v>11701892.193977633</v>
      </c>
      <c r="BZ11" s="223">
        <f t="shared" si="30"/>
        <v>12181993.877857272</v>
      </c>
      <c r="CA11" s="223">
        <f t="shared" si="30"/>
        <v>12681019.544234807</v>
      </c>
      <c r="CB11" s="223">
        <f>CB43</f>
        <v>13201135.231864927</v>
      </c>
      <c r="CC11" s="223">
        <f t="shared" si="30"/>
        <v>13743251.302720781</v>
      </c>
      <c r="CD11" s="223">
        <f>CD43</f>
        <v>14308317.976679197</v>
      </c>
      <c r="CE11" s="223">
        <f t="shared" ref="CE11:CL11" si="33">CE43</f>
        <v>14894286.707446637</v>
      </c>
      <c r="CF11" s="223">
        <f t="shared" si="33"/>
        <v>15504503.486550674</v>
      </c>
      <c r="CG11" s="223">
        <f t="shared" si="33"/>
        <v>16151359.227662807</v>
      </c>
      <c r="CH11" s="223">
        <f t="shared" si="33"/>
        <v>16817275.600233518</v>
      </c>
      <c r="CI11" s="223">
        <f t="shared" si="33"/>
        <v>17507073.154704496</v>
      </c>
      <c r="CJ11" s="223">
        <f t="shared" si="33"/>
        <v>18229701.312745359</v>
      </c>
      <c r="CK11" s="223">
        <f t="shared" si="33"/>
        <v>18976502.026335441</v>
      </c>
      <c r="CL11" s="223">
        <f t="shared" si="33"/>
        <v>19759101.728187166</v>
      </c>
      <c r="CM11" s="426">
        <v>844890.94538999908</v>
      </c>
      <c r="CN11" s="426">
        <v>695421.30618999898</v>
      </c>
      <c r="CO11" s="426">
        <v>1438238.9753000028</v>
      </c>
      <c r="CP11" s="426">
        <v>1753963.3046297953</v>
      </c>
      <c r="CQ11" s="426">
        <v>2502540.756528832</v>
      </c>
      <c r="CR11" s="426">
        <v>4126978.1541498508</v>
      </c>
      <c r="CS11" s="426">
        <v>4084956.0314811468</v>
      </c>
      <c r="CT11" s="426">
        <v>4032880.602625154</v>
      </c>
      <c r="CU11" s="426">
        <v>10763745.250493672</v>
      </c>
      <c r="CV11" s="426">
        <v>11232106.890407987</v>
      </c>
      <c r="CW11" s="426">
        <v>10263759.924203731</v>
      </c>
      <c r="CX11" s="426">
        <v>11010878.973520609</v>
      </c>
      <c r="CY11" s="426">
        <v>7399506.0239631385</v>
      </c>
      <c r="CZ11" s="426">
        <v>7987286.40668994</v>
      </c>
      <c r="DA11" s="426">
        <v>8432185.4132889919</v>
      </c>
      <c r="DB11" s="426">
        <v>8778092.86155371</v>
      </c>
      <c r="DC11" s="426">
        <v>9110523.9675322175</v>
      </c>
      <c r="DD11" s="426">
        <v>8801754.109391978</v>
      </c>
      <c r="DE11" s="426">
        <v>9842155.5509239174</v>
      </c>
      <c r="DF11" s="426">
        <v>10237431.809833024</v>
      </c>
      <c r="DG11" s="426">
        <v>10661278.299313799</v>
      </c>
      <c r="DH11" s="427" t="b">
        <f t="shared" ref="DH11:DW50" si="34">CM11=BR11</f>
        <v>0</v>
      </c>
      <c r="DI11" s="427" t="b">
        <f t="shared" si="11"/>
        <v>0</v>
      </c>
      <c r="DJ11" s="427" t="b">
        <f t="shared" si="12"/>
        <v>0</v>
      </c>
      <c r="DK11" s="427" t="b">
        <f t="shared" si="13"/>
        <v>0</v>
      </c>
      <c r="DL11" s="427" t="b">
        <f t="shared" si="14"/>
        <v>0</v>
      </c>
      <c r="DM11" s="427" t="b">
        <f t="shared" si="15"/>
        <v>0</v>
      </c>
      <c r="DN11" s="427" t="b">
        <f t="shared" si="16"/>
        <v>0</v>
      </c>
      <c r="DO11" s="427" t="b">
        <f t="shared" si="17"/>
        <v>0</v>
      </c>
      <c r="DP11" s="427" t="b">
        <f t="shared" si="18"/>
        <v>0</v>
      </c>
      <c r="DQ11" s="427" t="b">
        <f t="shared" si="19"/>
        <v>0</v>
      </c>
      <c r="DR11" s="427" t="b">
        <f t="shared" si="20"/>
        <v>0</v>
      </c>
      <c r="DS11" s="427" t="b">
        <f t="shared" si="21"/>
        <v>0</v>
      </c>
      <c r="DT11" s="427" t="b">
        <f t="shared" si="22"/>
        <v>0</v>
      </c>
      <c r="DU11" s="427" t="b">
        <f t="shared" si="23"/>
        <v>0</v>
      </c>
      <c r="DV11" s="427" t="b">
        <f t="shared" si="24"/>
        <v>0</v>
      </c>
      <c r="DW11" s="427" t="b">
        <f t="shared" si="25"/>
        <v>0</v>
      </c>
      <c r="DX11" s="427" t="b">
        <f t="shared" si="26"/>
        <v>0</v>
      </c>
      <c r="DY11" s="427" t="b">
        <f t="shared" si="27"/>
        <v>0</v>
      </c>
      <c r="DZ11" s="427" t="b">
        <f t="shared" si="28"/>
        <v>0</v>
      </c>
      <c r="EA11" s="427" t="b">
        <f t="shared" si="29"/>
        <v>0</v>
      </c>
      <c r="EB11" s="427" t="b">
        <f t="shared" ref="EB11:EB26" si="35">DG11=CL11</f>
        <v>0</v>
      </c>
      <c r="EC11" s="244">
        <f>SUM(BV11:CL11)</f>
        <v>247549950.25486591</v>
      </c>
      <c r="ED11" s="223">
        <f>ED15+ED20+'ФинРез Кампус'!F212</f>
        <v>0</v>
      </c>
      <c r="EE11" s="223">
        <f>EE15+EE20+'ФинРез Кампус'!G212</f>
        <v>0</v>
      </c>
      <c r="EF11" s="223">
        <f>EF15+EF20+'ФинРез Кампус'!H212</f>
        <v>0</v>
      </c>
      <c r="EG11" s="223">
        <f>EG15+EG20+'ФинРез Кампус'!I212</f>
        <v>407117.95038076118</v>
      </c>
      <c r="EH11" s="223">
        <f>EH15+EH20+'ФинРез Кампус'!J212</f>
        <v>957861.16695966059</v>
      </c>
      <c r="EI11" s="223">
        <f>EI15+EI20+'ФинРез Кампус'!K212</f>
        <v>1086271.0744076539</v>
      </c>
      <c r="EJ11" s="223">
        <f>EJ15+EJ20+'ФинРез Кампус'!L212</f>
        <v>1232624.3959855237</v>
      </c>
      <c r="EK11" s="223">
        <f>EK15+EK20+'ФинРез Кампус'!M212</f>
        <v>1314038.135417447</v>
      </c>
      <c r="EL11" s="223">
        <f>EL15+EL20+'ФинРез Кампус'!N212</f>
        <v>1378589.0052063484</v>
      </c>
      <c r="EM11" s="223">
        <f>EM15+EM20+'ФинРез Кампус'!O212</f>
        <v>1445438.8341468563</v>
      </c>
      <c r="EN11" s="223">
        <f>EN15+EN20+'ФинРез Кампус'!P212</f>
        <v>1516088.4160119384</v>
      </c>
      <c r="EO11" s="223">
        <f>EO15+EO20+'ФинРез Кампус'!Q212</f>
        <v>1590756.2380794515</v>
      </c>
      <c r="EP11" s="223">
        <f>EP15+EP20+'ФинРез Кампус'!R212</f>
        <v>1669672.9490038091</v>
      </c>
      <c r="EQ11" s="223">
        <f>EQ15+EQ20+'ФинРез Кампус'!S212</f>
        <v>1782864.3484796206</v>
      </c>
      <c r="ER11" s="223">
        <f>ER15+ER20+'ФинРез Кампус'!T212</f>
        <v>1902688.0557963294</v>
      </c>
      <c r="ES11" s="223">
        <f>ES15+ES20+'ФинРез Кампус'!U212</f>
        <v>2005394.0590818487</v>
      </c>
      <c r="ET11" s="223">
        <f>ET15+ET20+'ФинРез Кампус'!V212</f>
        <v>2105388.9819102273</v>
      </c>
      <c r="EU11" s="223">
        <f>EU15+EU20+'ФинРез Кампус'!W212</f>
        <v>2206622.0620098547</v>
      </c>
      <c r="EV11" s="223">
        <f>EV15+EV20+'ФинРез Кампус'!X212</f>
        <v>2317136.5204827273</v>
      </c>
      <c r="EW11" s="223">
        <f>EW15+EW20+'ФинРез Кампус'!Y212</f>
        <v>2427331.8225238188</v>
      </c>
      <c r="EX11" s="223">
        <f>EX15+EX20+'ФинРез Кампус'!Z212</f>
        <v>2547854.173316536</v>
      </c>
      <c r="EY11" s="244">
        <f>SUM(EH11:EX11)</f>
        <v>29486620.238819651</v>
      </c>
      <c r="EZ11" s="224"/>
    </row>
    <row r="12" spans="1:156" s="235" customFormat="1" x14ac:dyDescent="0.35">
      <c r="A12" s="221"/>
      <c r="B12" s="222"/>
      <c r="C12" s="241">
        <v>5</v>
      </c>
      <c r="D12" s="242" t="s">
        <v>125</v>
      </c>
      <c r="E12" s="24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426">
        <v>-108964.17126000102</v>
      </c>
      <c r="AB12" s="426">
        <v>-363566.02270000102</v>
      </c>
      <c r="AC12" s="426">
        <v>-143885.63657999737</v>
      </c>
      <c r="AD12" s="426">
        <v>243226.75705699157</v>
      </c>
      <c r="AE12" s="426">
        <v>289928.74930008547</v>
      </c>
      <c r="AF12" s="426">
        <v>389325.07088345801</v>
      </c>
      <c r="AG12" s="426">
        <v>497478.16651210818</v>
      </c>
      <c r="AH12" s="426">
        <v>579766.14849327016</v>
      </c>
      <c r="AI12" s="426">
        <v>690004.77171252063</v>
      </c>
      <c r="AJ12" s="426">
        <v>805927.57216688991</v>
      </c>
      <c r="AK12" s="426">
        <v>934851.42459457647</v>
      </c>
      <c r="AL12" s="426">
        <v>1074350.1622021608</v>
      </c>
      <c r="AM12" s="426">
        <v>1223616.0267810295</v>
      </c>
      <c r="AN12" s="426">
        <v>1390283.334304173</v>
      </c>
      <c r="AO12" s="426">
        <v>1565232.6841534437</v>
      </c>
      <c r="AP12" s="426">
        <v>1757384.8716850993</v>
      </c>
      <c r="AQ12" s="426">
        <v>1963268.389485471</v>
      </c>
      <c r="AR12" s="426">
        <v>2186677.2963558896</v>
      </c>
      <c r="AS12" s="426">
        <v>2430142.6802440607</v>
      </c>
      <c r="AT12" s="426">
        <v>2690680.1428689752</v>
      </c>
      <c r="AU12" s="426">
        <v>2970962.1224528155</v>
      </c>
      <c r="AV12" s="427" t="b">
        <f t="shared" si="32"/>
        <v>0</v>
      </c>
      <c r="AW12" s="427" t="b">
        <f t="shared" si="8"/>
        <v>0</v>
      </c>
      <c r="AX12" s="427" t="b">
        <f t="shared" si="8"/>
        <v>0</v>
      </c>
      <c r="AY12" s="427" t="b">
        <f t="shared" si="8"/>
        <v>0</v>
      </c>
      <c r="AZ12" s="427" t="b">
        <f t="shared" si="8"/>
        <v>0</v>
      </c>
      <c r="BA12" s="427" t="b">
        <f t="shared" si="8"/>
        <v>0</v>
      </c>
      <c r="BB12" s="427" t="b">
        <f t="shared" si="8"/>
        <v>0</v>
      </c>
      <c r="BC12" s="427" t="b">
        <f t="shared" si="8"/>
        <v>0</v>
      </c>
      <c r="BD12" s="427" t="b">
        <f t="shared" si="8"/>
        <v>0</v>
      </c>
      <c r="BE12" s="427" t="b">
        <f t="shared" si="8"/>
        <v>0</v>
      </c>
      <c r="BF12" s="427" t="b">
        <f t="shared" si="8"/>
        <v>0</v>
      </c>
      <c r="BG12" s="427" t="b">
        <f t="shared" si="8"/>
        <v>0</v>
      </c>
      <c r="BH12" s="427" t="b">
        <f t="shared" si="8"/>
        <v>0</v>
      </c>
      <c r="BI12" s="427" t="b">
        <f t="shared" si="8"/>
        <v>0</v>
      </c>
      <c r="BJ12" s="427" t="b">
        <f t="shared" si="8"/>
        <v>0</v>
      </c>
      <c r="BK12" s="427" t="b">
        <f t="shared" si="8"/>
        <v>0</v>
      </c>
      <c r="BL12" s="427" t="b">
        <f t="shared" si="8"/>
        <v>0</v>
      </c>
      <c r="BM12" s="427" t="b">
        <f t="shared" si="9"/>
        <v>0</v>
      </c>
      <c r="BN12" s="427" t="b">
        <f t="shared" si="9"/>
        <v>0</v>
      </c>
      <c r="BO12" s="427" t="b">
        <f t="shared" si="9"/>
        <v>0</v>
      </c>
      <c r="BP12" s="427" t="b">
        <f t="shared" si="9"/>
        <v>0</v>
      </c>
      <c r="BQ12" s="244"/>
      <c r="BR12" s="223">
        <f t="shared" ref="BR12:BV12" si="36">ED12</f>
        <v>0</v>
      </c>
      <c r="BS12" s="223">
        <f t="shared" si="36"/>
        <v>0</v>
      </c>
      <c r="BT12" s="223">
        <f t="shared" si="36"/>
        <v>0</v>
      </c>
      <c r="BU12" s="223">
        <f t="shared" si="36"/>
        <v>0</v>
      </c>
      <c r="BV12" s="223">
        <f t="shared" si="36"/>
        <v>0</v>
      </c>
      <c r="BW12" s="223">
        <f t="shared" ref="BW12" si="37">EI12</f>
        <v>0</v>
      </c>
      <c r="BX12" s="223">
        <f t="shared" ref="BX12" si="38">EJ12</f>
        <v>0</v>
      </c>
      <c r="BY12" s="223">
        <f t="shared" ref="BY12" si="39">EK12</f>
        <v>0</v>
      </c>
      <c r="BZ12" s="223">
        <f t="shared" ref="BZ12" si="40">EL12</f>
        <v>0</v>
      </c>
      <c r="CA12" s="223">
        <f t="shared" ref="CA12" si="41">EM12</f>
        <v>0</v>
      </c>
      <c r="CB12" s="223">
        <f t="shared" ref="CB12" si="42">EN12</f>
        <v>0</v>
      </c>
      <c r="CC12" s="223">
        <f t="shared" ref="CC12" si="43">EO12</f>
        <v>0</v>
      </c>
      <c r="CD12" s="223">
        <f t="shared" ref="CD12" si="44">EP12</f>
        <v>0</v>
      </c>
      <c r="CE12" s="223">
        <f>EQ12</f>
        <v>161921.10571155106</v>
      </c>
      <c r="CF12" s="223">
        <f>ER12</f>
        <v>355344.11850548617</v>
      </c>
      <c r="CG12" s="223">
        <f t="shared" ref="CG12:CL12" si="45">EZ12</f>
        <v>0</v>
      </c>
      <c r="CH12" s="223">
        <f t="shared" si="45"/>
        <v>0</v>
      </c>
      <c r="CI12" s="223">
        <f t="shared" si="45"/>
        <v>0</v>
      </c>
      <c r="CJ12" s="223">
        <f t="shared" si="45"/>
        <v>0</v>
      </c>
      <c r="CK12" s="223">
        <f t="shared" si="45"/>
        <v>0</v>
      </c>
      <c r="CL12" s="223">
        <f t="shared" si="45"/>
        <v>0</v>
      </c>
      <c r="CM12" s="426">
        <v>-108964.17126000102</v>
      </c>
      <c r="CN12" s="426">
        <v>-363566.02270000102</v>
      </c>
      <c r="CO12" s="426">
        <v>-143885.63657999737</v>
      </c>
      <c r="CP12" s="426">
        <v>100643.08521519508</v>
      </c>
      <c r="CQ12" s="426">
        <v>783087.72833764786</v>
      </c>
      <c r="CR12" s="426">
        <v>2338747.0048310193</v>
      </c>
      <c r="CS12" s="426">
        <v>2225195.6361895618</v>
      </c>
      <c r="CT12" s="426">
        <v>2223107.6983925034</v>
      </c>
      <c r="CU12" s="426">
        <v>2100269.7366458774</v>
      </c>
      <c r="CV12" s="426">
        <v>2222092.3560062833</v>
      </c>
      <c r="CW12" s="426">
        <v>3291597.6410249313</v>
      </c>
      <c r="CX12" s="426">
        <v>3759830.1991785914</v>
      </c>
      <c r="CY12" s="426">
        <v>3946315.8259550575</v>
      </c>
      <c r="CZ12" s="426">
        <v>5539968.6007615346</v>
      </c>
      <c r="DA12" s="426">
        <v>5886974.8951234501</v>
      </c>
      <c r="DB12" s="426">
        <v>6131073.9226615466</v>
      </c>
      <c r="DC12" s="426">
        <v>6357624.2710843682</v>
      </c>
      <c r="DD12" s="426">
        <v>5938738.4250862151</v>
      </c>
      <c r="DE12" s="426">
        <v>6864619.2392459232</v>
      </c>
      <c r="DF12" s="426">
        <v>7140794.0456879102</v>
      </c>
      <c r="DG12" s="426">
        <v>7440775.0246028807</v>
      </c>
      <c r="DH12" s="427" t="b">
        <f t="shared" si="34"/>
        <v>0</v>
      </c>
      <c r="DI12" s="427" t="b">
        <f t="shared" si="11"/>
        <v>0</v>
      </c>
      <c r="DJ12" s="427" t="b">
        <f t="shared" si="12"/>
        <v>0</v>
      </c>
      <c r="DK12" s="427" t="b">
        <f t="shared" si="13"/>
        <v>0</v>
      </c>
      <c r="DL12" s="427" t="b">
        <f t="shared" si="14"/>
        <v>0</v>
      </c>
      <c r="DM12" s="427" t="b">
        <f t="shared" si="15"/>
        <v>0</v>
      </c>
      <c r="DN12" s="427" t="b">
        <f t="shared" si="16"/>
        <v>0</v>
      </c>
      <c r="DO12" s="427" t="b">
        <f t="shared" si="17"/>
        <v>0</v>
      </c>
      <c r="DP12" s="427" t="b">
        <f t="shared" si="18"/>
        <v>0</v>
      </c>
      <c r="DQ12" s="427" t="b">
        <f t="shared" si="19"/>
        <v>0</v>
      </c>
      <c r="DR12" s="427" t="b">
        <f t="shared" si="20"/>
        <v>0</v>
      </c>
      <c r="DS12" s="427" t="b">
        <f t="shared" si="21"/>
        <v>0</v>
      </c>
      <c r="DT12" s="427" t="b">
        <f t="shared" si="22"/>
        <v>0</v>
      </c>
      <c r="DU12" s="427" t="b">
        <f t="shared" si="23"/>
        <v>0</v>
      </c>
      <c r="DV12" s="427" t="b">
        <f t="shared" si="24"/>
        <v>0</v>
      </c>
      <c r="DW12" s="427" t="b">
        <f t="shared" si="25"/>
        <v>0</v>
      </c>
      <c r="DX12" s="427" t="b">
        <f t="shared" si="26"/>
        <v>0</v>
      </c>
      <c r="DY12" s="427" t="b">
        <f t="shared" si="27"/>
        <v>0</v>
      </c>
      <c r="DZ12" s="427" t="b">
        <f t="shared" si="28"/>
        <v>0</v>
      </c>
      <c r="EA12" s="427" t="b">
        <f t="shared" si="29"/>
        <v>0</v>
      </c>
      <c r="EB12" s="427" t="b">
        <f t="shared" si="35"/>
        <v>0</v>
      </c>
      <c r="EC12" s="244">
        <f>SUM(BV12:CL12)</f>
        <v>517265.2242170372</v>
      </c>
      <c r="ED12" s="223">
        <f>'ФинРез Кампус'!F7</f>
        <v>0</v>
      </c>
      <c r="EE12" s="223">
        <f>'ФинРез Кампус'!G7</f>
        <v>0</v>
      </c>
      <c r="EF12" s="223">
        <f>'ФинРез Кампус'!H7</f>
        <v>0</v>
      </c>
      <c r="EG12" s="223">
        <f>'ФинРез Кампус'!I7</f>
        <v>0</v>
      </c>
      <c r="EH12" s="223">
        <f>'ФинРез Кампус'!J7</f>
        <v>0</v>
      </c>
      <c r="EI12" s="223">
        <f>'ФинРез Кампус'!K7</f>
        <v>0</v>
      </c>
      <c r="EJ12" s="223">
        <f>'ФинРез Кампус'!L7</f>
        <v>0</v>
      </c>
      <c r="EK12" s="223">
        <f>'ФинРез Кампус'!M7</f>
        <v>0</v>
      </c>
      <c r="EL12" s="223">
        <f>'ФинРез Кампус'!N7</f>
        <v>0</v>
      </c>
      <c r="EM12" s="223">
        <f>'ФинРез Кампус'!O7</f>
        <v>0</v>
      </c>
      <c r="EN12" s="223">
        <f>'ФинРез Кампус'!P7</f>
        <v>0</v>
      </c>
      <c r="EO12" s="223">
        <f>'ФинРез Кампус'!Q7</f>
        <v>0</v>
      </c>
      <c r="EP12" s="223">
        <f>'ФинРез Кампус'!R7</f>
        <v>0</v>
      </c>
      <c r="EQ12" s="223">
        <f>'ФинРез Кампус'!S7</f>
        <v>161921.10571155106</v>
      </c>
      <c r="ER12" s="223">
        <f>'ФинРез Кампус'!T7</f>
        <v>355344.11850548617</v>
      </c>
      <c r="ES12" s="223">
        <f>'ФинРез Кампус'!U7</f>
        <v>363596.45706658973</v>
      </c>
      <c r="ET12" s="223">
        <f>'ФинРез Кампус'!V7</f>
        <v>372229.99572428886</v>
      </c>
      <c r="EU12" s="223">
        <f>'ФинРез Кампус'!W7</f>
        <v>276074.40623358486</v>
      </c>
      <c r="EV12" s="223">
        <f>'ФинРез Кампус'!X7</f>
        <v>390714.48502148531</v>
      </c>
      <c r="EW12" s="223">
        <f>'ФинРез Кампус'!Y7</f>
        <v>400604.64371631207</v>
      </c>
      <c r="EX12" s="223">
        <f>'ФинРез Кампус'!Z7</f>
        <v>410954.51338118414</v>
      </c>
      <c r="EY12" s="244">
        <f>SUM(EH12:EX12)</f>
        <v>2731439.7253604825</v>
      </c>
    </row>
    <row r="13" spans="1:156" s="235" customFormat="1" ht="20.25" customHeight="1" x14ac:dyDescent="0.3">
      <c r="A13" s="221"/>
      <c r="B13" s="222"/>
      <c r="C13" s="233"/>
      <c r="D13" s="234" t="s">
        <v>11</v>
      </c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9"/>
      <c r="S13" s="219"/>
      <c r="T13" s="219"/>
      <c r="U13" s="219"/>
      <c r="V13" s="219"/>
      <c r="W13" s="219"/>
      <c r="X13" s="219"/>
      <c r="Y13" s="219"/>
      <c r="Z13" s="219"/>
      <c r="AA13" s="428"/>
      <c r="AB13" s="428"/>
      <c r="AC13" s="428"/>
      <c r="AD13" s="428"/>
      <c r="AE13" s="428"/>
      <c r="AF13" s="428"/>
      <c r="AG13" s="428"/>
      <c r="AH13" s="428"/>
      <c r="AI13" s="428"/>
      <c r="AJ13" s="428"/>
      <c r="AK13" s="428"/>
      <c r="AL13" s="428"/>
      <c r="AM13" s="428"/>
      <c r="AN13" s="428"/>
      <c r="AO13" s="428"/>
      <c r="AP13" s="428"/>
      <c r="AQ13" s="428"/>
      <c r="AR13" s="428"/>
      <c r="AS13" s="428"/>
      <c r="AT13" s="428"/>
      <c r="AU13" s="428"/>
      <c r="AV13" s="424" t="b">
        <f t="shared" si="32"/>
        <v>1</v>
      </c>
      <c r="AW13" s="424" t="b">
        <f t="shared" si="8"/>
        <v>1</v>
      </c>
      <c r="AX13" s="424" t="b">
        <f t="shared" si="8"/>
        <v>1</v>
      </c>
      <c r="AY13" s="424" t="b">
        <f t="shared" si="8"/>
        <v>1</v>
      </c>
      <c r="AZ13" s="424" t="b">
        <f t="shared" si="8"/>
        <v>1</v>
      </c>
      <c r="BA13" s="424" t="b">
        <f t="shared" si="8"/>
        <v>1</v>
      </c>
      <c r="BB13" s="424" t="b">
        <f t="shared" si="8"/>
        <v>1</v>
      </c>
      <c r="BC13" s="424" t="b">
        <f t="shared" si="8"/>
        <v>1</v>
      </c>
      <c r="BD13" s="424" t="b">
        <f t="shared" si="8"/>
        <v>1</v>
      </c>
      <c r="BE13" s="424" t="b">
        <f t="shared" si="8"/>
        <v>1</v>
      </c>
      <c r="BF13" s="424" t="b">
        <f t="shared" si="8"/>
        <v>1</v>
      </c>
      <c r="BG13" s="424" t="b">
        <f t="shared" si="8"/>
        <v>1</v>
      </c>
      <c r="BH13" s="429" t="b">
        <f t="shared" si="8"/>
        <v>1</v>
      </c>
      <c r="BI13" s="429" t="b">
        <f t="shared" si="8"/>
        <v>1</v>
      </c>
      <c r="BJ13" s="429" t="b">
        <f t="shared" si="8"/>
        <v>1</v>
      </c>
      <c r="BK13" s="429" t="b">
        <f t="shared" si="8"/>
        <v>1</v>
      </c>
      <c r="BL13" s="429" t="b">
        <f t="shared" si="8"/>
        <v>1</v>
      </c>
      <c r="BM13" s="429" t="b">
        <f t="shared" si="9"/>
        <v>1</v>
      </c>
      <c r="BN13" s="429" t="b">
        <f t="shared" si="9"/>
        <v>1</v>
      </c>
      <c r="BO13" s="429" t="b">
        <f t="shared" si="9"/>
        <v>1</v>
      </c>
      <c r="BP13" s="429" t="b">
        <f t="shared" si="9"/>
        <v>1</v>
      </c>
      <c r="BQ13" s="217"/>
      <c r="BR13" s="216"/>
      <c r="BS13" s="216"/>
      <c r="BT13" s="216"/>
      <c r="BU13" s="216"/>
      <c r="BV13" s="216"/>
      <c r="BW13" s="216"/>
      <c r="BX13" s="216"/>
      <c r="BY13" s="216"/>
      <c r="BZ13" s="216"/>
      <c r="CA13" s="216"/>
      <c r="CB13" s="216"/>
      <c r="CC13" s="216"/>
      <c r="CD13" s="219"/>
      <c r="CE13" s="219"/>
      <c r="CF13" s="219"/>
      <c r="CG13" s="219"/>
      <c r="CH13" s="219"/>
      <c r="CI13" s="219"/>
      <c r="CJ13" s="219"/>
      <c r="CK13" s="219"/>
      <c r="CL13" s="219"/>
      <c r="CM13" s="428"/>
      <c r="CN13" s="428"/>
      <c r="CO13" s="428"/>
      <c r="CP13" s="428"/>
      <c r="CQ13" s="428"/>
      <c r="CR13" s="428"/>
      <c r="CS13" s="428"/>
      <c r="CT13" s="428"/>
      <c r="CU13" s="428"/>
      <c r="CV13" s="428"/>
      <c r="CW13" s="428"/>
      <c r="CX13" s="428"/>
      <c r="CY13" s="428"/>
      <c r="CZ13" s="428"/>
      <c r="DA13" s="428"/>
      <c r="DB13" s="428"/>
      <c r="DC13" s="428"/>
      <c r="DD13" s="428"/>
      <c r="DE13" s="428"/>
      <c r="DF13" s="428"/>
      <c r="DG13" s="428"/>
      <c r="DH13" s="424" t="b">
        <f t="shared" si="34"/>
        <v>1</v>
      </c>
      <c r="DI13" s="424" t="b">
        <f t="shared" si="11"/>
        <v>1</v>
      </c>
      <c r="DJ13" s="424" t="b">
        <f t="shared" si="12"/>
        <v>1</v>
      </c>
      <c r="DK13" s="424" t="b">
        <f t="shared" si="13"/>
        <v>1</v>
      </c>
      <c r="DL13" s="424" t="b">
        <f t="shared" si="14"/>
        <v>1</v>
      </c>
      <c r="DM13" s="424" t="b">
        <f t="shared" si="15"/>
        <v>1</v>
      </c>
      <c r="DN13" s="424" t="b">
        <f t="shared" si="16"/>
        <v>1</v>
      </c>
      <c r="DO13" s="424" t="b">
        <f t="shared" si="17"/>
        <v>1</v>
      </c>
      <c r="DP13" s="424" t="b">
        <f t="shared" si="18"/>
        <v>1</v>
      </c>
      <c r="DQ13" s="424" t="b">
        <f t="shared" si="19"/>
        <v>1</v>
      </c>
      <c r="DR13" s="424" t="b">
        <f t="shared" si="20"/>
        <v>1</v>
      </c>
      <c r="DS13" s="424" t="b">
        <f t="shared" si="21"/>
        <v>1</v>
      </c>
      <c r="DT13" s="429" t="b">
        <f t="shared" si="22"/>
        <v>1</v>
      </c>
      <c r="DU13" s="429" t="b">
        <f t="shared" si="23"/>
        <v>1</v>
      </c>
      <c r="DV13" s="429" t="b">
        <f t="shared" si="24"/>
        <v>1</v>
      </c>
      <c r="DW13" s="429" t="b">
        <f t="shared" si="25"/>
        <v>1</v>
      </c>
      <c r="DX13" s="429" t="b">
        <f t="shared" si="26"/>
        <v>1</v>
      </c>
      <c r="DY13" s="429" t="b">
        <f t="shared" si="27"/>
        <v>1</v>
      </c>
      <c r="DZ13" s="429" t="b">
        <f t="shared" si="28"/>
        <v>1</v>
      </c>
      <c r="EA13" s="429" t="b">
        <f t="shared" si="29"/>
        <v>1</v>
      </c>
      <c r="EB13" s="429" t="b">
        <f t="shared" si="35"/>
        <v>1</v>
      </c>
      <c r="EC13" s="217"/>
      <c r="ED13" s="239">
        <f>ED14-ED15-ED16</f>
        <v>0</v>
      </c>
      <c r="EE13" s="239">
        <f>EE14-EE15-EE16</f>
        <v>0</v>
      </c>
      <c r="EF13" s="239">
        <f t="shared" ref="EF13:EO13" si="46">EF14-EF15-EF16</f>
        <v>0</v>
      </c>
      <c r="EG13" s="239">
        <f t="shared" si="46"/>
        <v>367011.76363090891</v>
      </c>
      <c r="EH13" s="239">
        <f t="shared" si="46"/>
        <v>782713.72045873664</v>
      </c>
      <c r="EI13" s="239">
        <f t="shared" si="46"/>
        <v>1143020.3095474653</v>
      </c>
      <c r="EJ13" s="239">
        <f t="shared" si="46"/>
        <v>1469945.1591069223</v>
      </c>
      <c r="EK13" s="239">
        <f t="shared" si="46"/>
        <v>1636817.1479217559</v>
      </c>
      <c r="EL13" s="239">
        <f t="shared" si="46"/>
        <v>1676597.5273645977</v>
      </c>
      <c r="EM13" s="239">
        <f t="shared" si="46"/>
        <v>1705453.3163538901</v>
      </c>
      <c r="EN13" s="239">
        <f t="shared" si="46"/>
        <v>1731919.0309565049</v>
      </c>
      <c r="EO13" s="239">
        <f t="shared" si="46"/>
        <v>1758626.2220438384</v>
      </c>
      <c r="EP13" s="245">
        <f>EP14-EP15-EP16</f>
        <v>1785973.4780147951</v>
      </c>
      <c r="EQ13" s="245">
        <f t="shared" ref="EQ13:EX13" si="47">EQ14-EQ15-EQ16</f>
        <v>1812179.2490672246</v>
      </c>
      <c r="ER13" s="245">
        <f t="shared" si="47"/>
        <v>1838164.12360451</v>
      </c>
      <c r="ES13" s="245">
        <f t="shared" si="47"/>
        <v>1874174.3409543689</v>
      </c>
      <c r="ET13" s="245">
        <f t="shared" si="47"/>
        <v>1902564.5062688757</v>
      </c>
      <c r="EU13" s="245">
        <f t="shared" si="47"/>
        <v>1930005.6663574316</v>
      </c>
      <c r="EV13" s="245">
        <f t="shared" si="47"/>
        <v>1960380.797951702</v>
      </c>
      <c r="EW13" s="245">
        <f t="shared" si="47"/>
        <v>1986075.7209795956</v>
      </c>
      <c r="EX13" s="245">
        <f t="shared" si="47"/>
        <v>2016698.9836370684</v>
      </c>
      <c r="EY13" s="217"/>
    </row>
    <row r="14" spans="1:156" s="235" customFormat="1" x14ac:dyDescent="0.35">
      <c r="A14" s="221"/>
      <c r="B14" s="222"/>
      <c r="C14" s="246">
        <v>6</v>
      </c>
      <c r="D14" s="242" t="s">
        <v>12</v>
      </c>
      <c r="E14" s="243" t="s">
        <v>13</v>
      </c>
      <c r="F14" s="384">
        <f>'[10]Данные для переноса'!F14</f>
        <v>8984824.3588300012</v>
      </c>
      <c r="G14" s="384">
        <f>'[10]Данные для переноса'!G14</f>
        <v>10045646.31136</v>
      </c>
      <c r="H14" s="384">
        <f>'[10]Данные для переноса'!H14</f>
        <v>11942290.913460001</v>
      </c>
      <c r="I14" s="384">
        <f>'[10]Данные для переноса'!I14</f>
        <v>12450116.129874505</v>
      </c>
      <c r="J14" s="384">
        <f>'[10]Данные для переноса'!J14</f>
        <v>13279851.713060172</v>
      </c>
      <c r="K14" s="384">
        <f>'[10]Данные для переноса'!K14</f>
        <v>14178366.194344884</v>
      </c>
      <c r="L14" s="384">
        <f>'[10]Данные для переноса'!L14</f>
        <v>14869020.883454613</v>
      </c>
      <c r="M14" s="384">
        <f>'[10]Данные для переноса'!M14</f>
        <v>15559123.736314911</v>
      </c>
      <c r="N14" s="384">
        <f>'[10]Данные для переноса'!N14</f>
        <v>16308489.519377897</v>
      </c>
      <c r="O14" s="384">
        <f>'[10]Данные для переноса'!O14</f>
        <v>17093186.819815457</v>
      </c>
      <c r="P14" s="384">
        <f>'[10]Данные для переноса'!P14</f>
        <v>17922048.745011102</v>
      </c>
      <c r="Q14" s="384">
        <f>'[10]Данные для переноса'!Q14</f>
        <v>18794252.965788174</v>
      </c>
      <c r="R14" s="384">
        <f>'[10]Данные для переноса'!R14</f>
        <v>19710688.870307457</v>
      </c>
      <c r="S14" s="384">
        <f>'[10]Данные для переноса'!S14</f>
        <v>20680801.685983498</v>
      </c>
      <c r="T14" s="384">
        <f>'[10]Данные для переноса'!T14</f>
        <v>21697375.270085476</v>
      </c>
      <c r="U14" s="384">
        <f>'[10]Данные для переноса'!U14</f>
        <v>22771345.673121054</v>
      </c>
      <c r="V14" s="384">
        <f>'[10]Данные для переноса'!V14</f>
        <v>23901377.169964299</v>
      </c>
      <c r="W14" s="384">
        <f>'[10]Данные для переноса'!W14</f>
        <v>25093528.20555212</v>
      </c>
      <c r="X14" s="384">
        <f>'[10]Данные для переноса'!X14</f>
        <v>26352731.52328404</v>
      </c>
      <c r="Y14" s="384">
        <f>'[10]Данные для переноса'!Y14</f>
        <v>27678550.949102364</v>
      </c>
      <c r="Z14" s="384">
        <f>'[10]Данные для переноса'!Z14</f>
        <v>29076363.696474291</v>
      </c>
      <c r="AA14" s="426">
        <v>8984824.3588300012</v>
      </c>
      <c r="AB14" s="426">
        <v>10045646.31136</v>
      </c>
      <c r="AC14" s="426">
        <v>11942290.913460001</v>
      </c>
      <c r="AD14" s="426">
        <v>12450116.129874505</v>
      </c>
      <c r="AE14" s="426">
        <v>13279851.713060172</v>
      </c>
      <c r="AF14" s="426">
        <v>14178366.194344884</v>
      </c>
      <c r="AG14" s="426">
        <v>14869020.883454613</v>
      </c>
      <c r="AH14" s="426">
        <v>15559123.736314911</v>
      </c>
      <c r="AI14" s="426">
        <v>16308489.519377897</v>
      </c>
      <c r="AJ14" s="426">
        <v>17093186.819815457</v>
      </c>
      <c r="AK14" s="426">
        <v>17922048.745011102</v>
      </c>
      <c r="AL14" s="426">
        <v>18794252.965788174</v>
      </c>
      <c r="AM14" s="426">
        <v>19710688.870307457</v>
      </c>
      <c r="AN14" s="426">
        <v>20680801.685983498</v>
      </c>
      <c r="AO14" s="426">
        <v>21697375.270085476</v>
      </c>
      <c r="AP14" s="426">
        <v>22771345.673121054</v>
      </c>
      <c r="AQ14" s="426">
        <v>23901377.169964299</v>
      </c>
      <c r="AR14" s="426">
        <v>25093528.20555212</v>
      </c>
      <c r="AS14" s="426">
        <v>26352731.52328404</v>
      </c>
      <c r="AT14" s="426">
        <v>27678550.949102364</v>
      </c>
      <c r="AU14" s="426">
        <v>29076363.696474291</v>
      </c>
      <c r="AV14" s="430" t="b">
        <f t="shared" si="32"/>
        <v>1</v>
      </c>
      <c r="AW14" s="430" t="b">
        <f t="shared" si="8"/>
        <v>1</v>
      </c>
      <c r="AX14" s="430" t="b">
        <f t="shared" si="8"/>
        <v>1</v>
      </c>
      <c r="AY14" s="430" t="b">
        <f t="shared" si="8"/>
        <v>1</v>
      </c>
      <c r="AZ14" s="430" t="b">
        <f t="shared" si="8"/>
        <v>1</v>
      </c>
      <c r="BA14" s="430" t="b">
        <f t="shared" si="8"/>
        <v>1</v>
      </c>
      <c r="BB14" s="430" t="b">
        <f t="shared" si="8"/>
        <v>1</v>
      </c>
      <c r="BC14" s="430" t="b">
        <f t="shared" si="8"/>
        <v>1</v>
      </c>
      <c r="BD14" s="430" t="b">
        <f t="shared" si="8"/>
        <v>1</v>
      </c>
      <c r="BE14" s="430" t="b">
        <f t="shared" si="8"/>
        <v>1</v>
      </c>
      <c r="BF14" s="430" t="b">
        <f t="shared" si="8"/>
        <v>1</v>
      </c>
      <c r="BG14" s="430" t="b">
        <f t="shared" si="8"/>
        <v>1</v>
      </c>
      <c r="BH14" s="430" t="b">
        <f t="shared" si="8"/>
        <v>1</v>
      </c>
      <c r="BI14" s="430" t="b">
        <f t="shared" si="8"/>
        <v>1</v>
      </c>
      <c r="BJ14" s="430" t="b">
        <f t="shared" si="8"/>
        <v>1</v>
      </c>
      <c r="BK14" s="430" t="b">
        <f t="shared" si="8"/>
        <v>1</v>
      </c>
      <c r="BL14" s="430" t="b">
        <f t="shared" si="8"/>
        <v>1</v>
      </c>
      <c r="BM14" s="430" t="b">
        <f t="shared" si="9"/>
        <v>1</v>
      </c>
      <c r="BN14" s="430" t="b">
        <f t="shared" si="9"/>
        <v>1</v>
      </c>
      <c r="BO14" s="430" t="b">
        <f t="shared" si="9"/>
        <v>1</v>
      </c>
      <c r="BP14" s="430" t="b">
        <f t="shared" si="9"/>
        <v>1</v>
      </c>
      <c r="BQ14" s="244">
        <f>SUM(J14:Z14)</f>
        <v>344967103.62104183</v>
      </c>
      <c r="BR14" s="384">
        <f>'[10]Данные для переноса'!AB14</f>
        <v>8984824.3588300012</v>
      </c>
      <c r="BS14" s="384">
        <f>'[10]Данные для переноса'!AC14</f>
        <v>10045646.31136</v>
      </c>
      <c r="BT14" s="384">
        <f>'[10]Данные для переноса'!AD14</f>
        <v>11942290.913460001</v>
      </c>
      <c r="BU14" s="384">
        <f>'[10]Данные для переноса'!AE14</f>
        <v>13217204.731477184</v>
      </c>
      <c r="BV14" s="384">
        <f>'[10]Данные для переноса'!AF14</f>
        <v>14560925.170433652</v>
      </c>
      <c r="BW14" s="384">
        <f>'[10]Данные для переноса'!AG14</f>
        <v>15940939.817253288</v>
      </c>
      <c r="BX14" s="384">
        <f>'[10]Данные для переноса'!AH14</f>
        <v>17053901.638805319</v>
      </c>
      <c r="BY14" s="384">
        <f>'[10]Данные для переноса'!AI14</f>
        <v>17983197.408661183</v>
      </c>
      <c r="BZ14" s="384">
        <f>'[10]Данные для переноса'!AJ14</f>
        <v>18827670.212069444</v>
      </c>
      <c r="CA14" s="384">
        <f>'[10]Данные для переноса'!AK14</f>
        <v>19698716.873105943</v>
      </c>
      <c r="CB14" s="384">
        <f>'[10]Данные для переноса'!AL14</f>
        <v>20615205.266670477</v>
      </c>
      <c r="CC14" s="384">
        <f>'[10]Данные для переноса'!AM14</f>
        <v>21579162.632495426</v>
      </c>
      <c r="CD14" s="384">
        <f>'[10]Данные для переноса'!AN14</f>
        <v>22592107.204456881</v>
      </c>
      <c r="CE14" s="384">
        <f>'[10]Данные для переноса'!AO14</f>
        <v>23658905.428119186</v>
      </c>
      <c r="CF14" s="384">
        <f>'[10]Данные для переноса'!AP14</f>
        <v>24775829.182877172</v>
      </c>
      <c r="CG14" s="384">
        <f>'[10]Данные для переноса'!AQ14</f>
        <v>25975642.047455009</v>
      </c>
      <c r="CH14" s="384">
        <f>'[10]Данные для переноса'!AR14</f>
        <v>27220942.636717938</v>
      </c>
      <c r="CI14" s="384">
        <f>'[10]Данные для переноса'!AS14</f>
        <v>28528405.455708157</v>
      </c>
      <c r="CJ14" s="384">
        <f>'[10]Данные для переноса'!AT14</f>
        <v>29914885.161977869</v>
      </c>
      <c r="CK14" s="384">
        <f>'[10]Данные для переноса'!AU14</f>
        <v>31362726.523504484</v>
      </c>
      <c r="CL14" s="384">
        <f>'[10]Данные для переноса'!AV14</f>
        <v>32897557.10452025</v>
      </c>
      <c r="CM14" s="426">
        <v>8984824.3588300012</v>
      </c>
      <c r="CN14" s="426">
        <v>10045646.31136</v>
      </c>
      <c r="CO14" s="426">
        <v>11942290.913460001</v>
      </c>
      <c r="CP14" s="426">
        <v>13217204.731477184</v>
      </c>
      <c r="CQ14" s="426">
        <v>14560925.170433652</v>
      </c>
      <c r="CR14" s="426">
        <v>15940939.817253288</v>
      </c>
      <c r="CS14" s="426">
        <v>17053901.638805319</v>
      </c>
      <c r="CT14" s="426">
        <v>17983197.408661183</v>
      </c>
      <c r="CU14" s="426">
        <v>18827670.212069444</v>
      </c>
      <c r="CV14" s="426">
        <v>19698716.873105943</v>
      </c>
      <c r="CW14" s="426">
        <v>20615205.266670477</v>
      </c>
      <c r="CX14" s="426">
        <v>21579162.632495426</v>
      </c>
      <c r="CY14" s="426">
        <v>22592107.204456881</v>
      </c>
      <c r="CZ14" s="426">
        <v>23658905.428119186</v>
      </c>
      <c r="DA14" s="426">
        <v>24775829.182877172</v>
      </c>
      <c r="DB14" s="426">
        <v>25975642.047455009</v>
      </c>
      <c r="DC14" s="426">
        <v>27220942.636717938</v>
      </c>
      <c r="DD14" s="426">
        <v>28528405.455708157</v>
      </c>
      <c r="DE14" s="426">
        <v>29914885.161977869</v>
      </c>
      <c r="DF14" s="426">
        <v>31362726.523504484</v>
      </c>
      <c r="DG14" s="426">
        <v>32897557.10452025</v>
      </c>
      <c r="DH14" s="430" t="b">
        <f t="shared" si="34"/>
        <v>1</v>
      </c>
      <c r="DI14" s="430" t="b">
        <f t="shared" si="11"/>
        <v>1</v>
      </c>
      <c r="DJ14" s="430" t="b">
        <f t="shared" si="12"/>
        <v>1</v>
      </c>
      <c r="DK14" s="430" t="b">
        <f t="shared" si="13"/>
        <v>1</v>
      </c>
      <c r="DL14" s="430" t="b">
        <f t="shared" si="14"/>
        <v>1</v>
      </c>
      <c r="DM14" s="430" t="b">
        <f t="shared" si="15"/>
        <v>1</v>
      </c>
      <c r="DN14" s="430" t="b">
        <f t="shared" si="16"/>
        <v>1</v>
      </c>
      <c r="DO14" s="430" t="b">
        <f t="shared" si="17"/>
        <v>1</v>
      </c>
      <c r="DP14" s="430" t="b">
        <f t="shared" si="18"/>
        <v>1</v>
      </c>
      <c r="DQ14" s="430" t="b">
        <f t="shared" si="19"/>
        <v>1</v>
      </c>
      <c r="DR14" s="430" t="b">
        <f t="shared" si="20"/>
        <v>1</v>
      </c>
      <c r="DS14" s="430" t="b">
        <f t="shared" si="21"/>
        <v>1</v>
      </c>
      <c r="DT14" s="430" t="b">
        <f t="shared" si="22"/>
        <v>1</v>
      </c>
      <c r="DU14" s="430" t="b">
        <f t="shared" si="23"/>
        <v>1</v>
      </c>
      <c r="DV14" s="430" t="b">
        <f t="shared" si="24"/>
        <v>1</v>
      </c>
      <c r="DW14" s="430" t="b">
        <f t="shared" si="25"/>
        <v>1</v>
      </c>
      <c r="DX14" s="430" t="b">
        <f t="shared" si="26"/>
        <v>1</v>
      </c>
      <c r="DY14" s="430" t="b">
        <f t="shared" si="27"/>
        <v>1</v>
      </c>
      <c r="DZ14" s="430" t="b">
        <f t="shared" si="28"/>
        <v>1</v>
      </c>
      <c r="EA14" s="430" t="b">
        <f t="shared" si="29"/>
        <v>1</v>
      </c>
      <c r="EB14" s="430" t="b">
        <f t="shared" si="35"/>
        <v>1</v>
      </c>
      <c r="EC14" s="244">
        <f>SUM(BV14:CL14)</f>
        <v>393186719.76483172</v>
      </c>
      <c r="ED14" s="223">
        <f>BR14-F14</f>
        <v>0</v>
      </c>
      <c r="EE14" s="223">
        <f>BS14-G14</f>
        <v>0</v>
      </c>
      <c r="EF14" s="223">
        <f>BT14-H14</f>
        <v>0</v>
      </c>
      <c r="EG14" s="223">
        <f>BU14-I14</f>
        <v>767088.60160267912</v>
      </c>
      <c r="EH14" s="223">
        <f>BV14-J14</f>
        <v>1281073.4573734794</v>
      </c>
      <c r="EI14" s="223">
        <f>BW14-K14</f>
        <v>1762573.6229084041</v>
      </c>
      <c r="EJ14" s="223">
        <f>BX14-L14</f>
        <v>2184880.7553507052</v>
      </c>
      <c r="EK14" s="223">
        <f>BY14-M14</f>
        <v>2424073.6723462716</v>
      </c>
      <c r="EL14" s="223">
        <f>BZ14-N14</f>
        <v>2519180.6926915478</v>
      </c>
      <c r="EM14" s="223">
        <f>CA14-O14</f>
        <v>2605530.0532904863</v>
      </c>
      <c r="EN14" s="223">
        <f>CB14-P14</f>
        <v>2693156.5216593742</v>
      </c>
      <c r="EO14" s="223">
        <f>CC14-Q14</f>
        <v>2784909.6667072512</v>
      </c>
      <c r="EP14" s="223">
        <f>CD14-R14</f>
        <v>2881418.334149424</v>
      </c>
      <c r="EQ14" s="223">
        <f>CE14-S14</f>
        <v>2978103.7421356887</v>
      </c>
      <c r="ER14" s="223">
        <f>CF14-T14</f>
        <v>3078453.9127916954</v>
      </c>
      <c r="ES14" s="223">
        <f>CG14-U14</f>
        <v>3204296.3743339553</v>
      </c>
      <c r="ET14" s="223">
        <f>CH14-V14</f>
        <v>3319565.4667536393</v>
      </c>
      <c r="EU14" s="223">
        <f>CI14-W14</f>
        <v>3434877.2501560375</v>
      </c>
      <c r="EV14" s="223">
        <f>CJ14-X14</f>
        <v>3562153.6386938281</v>
      </c>
      <c r="EW14" s="223">
        <f>CK14-Y14</f>
        <v>3684175.57440212</v>
      </c>
      <c r="EX14" s="223">
        <f>CL14-Z14</f>
        <v>3821193.4080459587</v>
      </c>
      <c r="EY14" s="244">
        <f>SUM(EH14:EX14)</f>
        <v>48219616.143789873</v>
      </c>
    </row>
    <row r="15" spans="1:156" s="235" customFormat="1" ht="26" x14ac:dyDescent="0.35">
      <c r="A15" s="221"/>
      <c r="B15" s="222"/>
      <c r="C15" s="248">
        <v>7</v>
      </c>
      <c r="D15" s="249" t="s">
        <v>14</v>
      </c>
      <c r="E15" s="250" t="s">
        <v>13</v>
      </c>
      <c r="F15" s="384">
        <f>'[10]Данные для переноса'!F15</f>
        <v>3882674.3204200002</v>
      </c>
      <c r="G15" s="384">
        <f>'[10]Данные для переноса'!G15</f>
        <v>4550089.5086500002</v>
      </c>
      <c r="H15" s="384">
        <f>'[10]Данные для переноса'!H15</f>
        <v>5312139.1717299987</v>
      </c>
      <c r="I15" s="384">
        <f>'[10]Данные для переноса'!I15</f>
        <v>5811953.797961886</v>
      </c>
      <c r="J15" s="384">
        <f>'[10]Данные для переноса'!J15</f>
        <v>6316299.0956771383</v>
      </c>
      <c r="K15" s="384">
        <f>'[10]Данные для переноса'!K15</f>
        <v>6822832.9419123679</v>
      </c>
      <c r="L15" s="384">
        <f>'[10]Данные для переноса'!L15</f>
        <v>7094131.7540041925</v>
      </c>
      <c r="M15" s="384">
        <f>'[10]Данные для переноса'!M15</f>
        <v>7374917.1520422623</v>
      </c>
      <c r="N15" s="384">
        <f>'[10]Данные для переноса'!N15</f>
        <v>7669950.4898722814</v>
      </c>
      <c r="O15" s="384">
        <f>'[10]Данные для переноса'!O15</f>
        <v>7976788.1519981632</v>
      </c>
      <c r="P15" s="384">
        <f>'[10]Данные для переноса'!P15</f>
        <v>8295902.55543961</v>
      </c>
      <c r="Q15" s="384">
        <f>'[10]Данные для переноса'!Q15</f>
        <v>8627785.0338114146</v>
      </c>
      <c r="R15" s="384">
        <f>'[10]Данные для переноса'!R15</f>
        <v>8972946.5956122763</v>
      </c>
      <c r="S15" s="384">
        <f>'[10]Данные для переноса'!S15</f>
        <v>9331918.7129777614</v>
      </c>
      <c r="T15" s="384">
        <f>'[10]Данные для переноса'!T15</f>
        <v>9705254.1421268135</v>
      </c>
      <c r="U15" s="384">
        <f>'[10]Данные для переноса'!U15</f>
        <v>10093527.776781227</v>
      </c>
      <c r="V15" s="384">
        <f>'[10]Данные для переноса'!V15</f>
        <v>10497337.535889715</v>
      </c>
      <c r="W15" s="384">
        <f>'[10]Данные для переноса'!W15</f>
        <v>10917305.287042383</v>
      </c>
      <c r="X15" s="384">
        <f>'[10]Данные для переноса'!X15</f>
        <v>11354077.807018073</v>
      </c>
      <c r="Y15" s="384">
        <f>'[10]Данные для переноса'!Y15</f>
        <v>11808327.780965898</v>
      </c>
      <c r="Z15" s="384">
        <f>'[10]Данные для переноса'!Z15</f>
        <v>12280754.841783674</v>
      </c>
      <c r="AA15" s="426">
        <v>3882674.3204200002</v>
      </c>
      <c r="AB15" s="426">
        <v>4550089.5086500002</v>
      </c>
      <c r="AC15" s="426">
        <v>5312139.1717299987</v>
      </c>
      <c r="AD15" s="426">
        <v>5811953.797961886</v>
      </c>
      <c r="AE15" s="426">
        <v>6316299.0956771383</v>
      </c>
      <c r="AF15" s="426">
        <v>6822832.9419123679</v>
      </c>
      <c r="AG15" s="426">
        <v>7094131.7540041925</v>
      </c>
      <c r="AH15" s="426">
        <v>7374917.1520422623</v>
      </c>
      <c r="AI15" s="426">
        <v>7669950.4898722814</v>
      </c>
      <c r="AJ15" s="426">
        <v>7976788.1519981632</v>
      </c>
      <c r="AK15" s="426">
        <v>8295902.55543961</v>
      </c>
      <c r="AL15" s="426">
        <v>8627785.0338114146</v>
      </c>
      <c r="AM15" s="426">
        <v>8972946.5956122763</v>
      </c>
      <c r="AN15" s="426">
        <v>9331918.7129777614</v>
      </c>
      <c r="AO15" s="426">
        <v>9705254.1421268135</v>
      </c>
      <c r="AP15" s="426">
        <v>10093527.776781227</v>
      </c>
      <c r="AQ15" s="426">
        <v>10497337.535889715</v>
      </c>
      <c r="AR15" s="426">
        <v>10917305.287042383</v>
      </c>
      <c r="AS15" s="426">
        <v>11354077.807018073</v>
      </c>
      <c r="AT15" s="426">
        <v>11808327.780965898</v>
      </c>
      <c r="AU15" s="426">
        <v>12280754.841783674</v>
      </c>
      <c r="AV15" s="430" t="b">
        <f t="shared" si="32"/>
        <v>1</v>
      </c>
      <c r="AW15" s="430" t="b">
        <f t="shared" si="8"/>
        <v>1</v>
      </c>
      <c r="AX15" s="430" t="b">
        <f t="shared" si="8"/>
        <v>1</v>
      </c>
      <c r="AY15" s="430" t="b">
        <f t="shared" si="8"/>
        <v>1</v>
      </c>
      <c r="AZ15" s="430" t="b">
        <f t="shared" si="8"/>
        <v>1</v>
      </c>
      <c r="BA15" s="430" t="b">
        <f t="shared" si="8"/>
        <v>1</v>
      </c>
      <c r="BB15" s="430" t="b">
        <f t="shared" si="8"/>
        <v>1</v>
      </c>
      <c r="BC15" s="430" t="b">
        <f t="shared" si="8"/>
        <v>1</v>
      </c>
      <c r="BD15" s="430" t="b">
        <f t="shared" si="8"/>
        <v>1</v>
      </c>
      <c r="BE15" s="430" t="b">
        <f t="shared" si="8"/>
        <v>1</v>
      </c>
      <c r="BF15" s="430" t="b">
        <f t="shared" si="8"/>
        <v>1</v>
      </c>
      <c r="BG15" s="430" t="b">
        <f t="shared" si="8"/>
        <v>1</v>
      </c>
      <c r="BH15" s="430" t="b">
        <f t="shared" si="8"/>
        <v>1</v>
      </c>
      <c r="BI15" s="430" t="b">
        <f t="shared" si="8"/>
        <v>1</v>
      </c>
      <c r="BJ15" s="430" t="b">
        <f t="shared" si="8"/>
        <v>1</v>
      </c>
      <c r="BK15" s="430" t="b">
        <f t="shared" si="8"/>
        <v>1</v>
      </c>
      <c r="BL15" s="430" t="b">
        <f t="shared" si="8"/>
        <v>1</v>
      </c>
      <c r="BM15" s="430" t="b">
        <f t="shared" si="9"/>
        <v>1</v>
      </c>
      <c r="BN15" s="430" t="b">
        <f t="shared" si="9"/>
        <v>1</v>
      </c>
      <c r="BO15" s="430" t="b">
        <f t="shared" si="9"/>
        <v>1</v>
      </c>
      <c r="BP15" s="430" t="b">
        <f t="shared" si="9"/>
        <v>1</v>
      </c>
      <c r="BQ15" s="244">
        <f t="shared" ref="BQ15:BQ17" si="48">SUM(J15:Z15)</f>
        <v>155140057.65495527</v>
      </c>
      <c r="BR15" s="247">
        <f>'[10]Данные для переноса'!AB15</f>
        <v>3882674.3204200002</v>
      </c>
      <c r="BS15" s="247">
        <f>'[10]Данные для переноса'!AC15</f>
        <v>4550089.5086500002</v>
      </c>
      <c r="BT15" s="247">
        <f>'[10]Данные для переноса'!AD15</f>
        <v>5312139.1717299987</v>
      </c>
      <c r="BU15" s="247">
        <f>'[10]Данные для переноса'!AE15</f>
        <v>6212030.6359336562</v>
      </c>
      <c r="BV15" s="247">
        <f>'[10]Данные для переноса'!AF15</f>
        <v>6814658.832591881</v>
      </c>
      <c r="BW15" s="247">
        <f>'[10]Данные для переноса'!AG15</f>
        <v>7442386.2552733067</v>
      </c>
      <c r="BX15" s="247">
        <f>'[10]Данные для переноса'!AH15</f>
        <v>7809067.3502479754</v>
      </c>
      <c r="BY15" s="247">
        <f>'[10]Данные для переноса'!AI15</f>
        <v>8162173.6764667779</v>
      </c>
      <c r="BZ15" s="247">
        <f>'[10]Данные для переноса'!AJ15</f>
        <v>8512533.6551992316</v>
      </c>
      <c r="CA15" s="247">
        <f>'[10]Данные для переноса'!AK15</f>
        <v>8876864.8889347594</v>
      </c>
      <c r="CB15" s="247">
        <f>'[10]Данные для переноса'!AL15</f>
        <v>9257140.0461424794</v>
      </c>
      <c r="CC15" s="247">
        <f>'[10]Данные для переноса'!AM15</f>
        <v>9654068.4784748275</v>
      </c>
      <c r="CD15" s="247">
        <f>'[10]Данные для переноса'!AN15</f>
        <v>10068391.451746905</v>
      </c>
      <c r="CE15" s="247">
        <f>'[10]Данные для переноса'!AO15</f>
        <v>10497843.206046226</v>
      </c>
      <c r="CF15" s="247">
        <f>'[10]Данные для переноса'!AP15</f>
        <v>10945543.931313999</v>
      </c>
      <c r="CG15" s="247">
        <f>'[10]Данные для переноса'!AQ15</f>
        <v>11423649.810160814</v>
      </c>
      <c r="CH15" s="247">
        <f>'[10]Данные для переноса'!AR15</f>
        <v>11914338.496374479</v>
      </c>
      <c r="CI15" s="247">
        <f>'[10]Данные для переноса'!AS15</f>
        <v>12422176.870840989</v>
      </c>
      <c r="CJ15" s="247">
        <f>'[10]Данные для переноса'!AT15</f>
        <v>12955850.647760199</v>
      </c>
      <c r="CK15" s="247">
        <f>'[10]Данные для переноса'!AU15</f>
        <v>13506427.634388423</v>
      </c>
      <c r="CL15" s="247">
        <f>'[10]Данные для переноса'!AV15</f>
        <v>14085249.266192565</v>
      </c>
      <c r="CM15" s="426">
        <v>3882674.3204200002</v>
      </c>
      <c r="CN15" s="426">
        <v>4550089.5086500002</v>
      </c>
      <c r="CO15" s="426">
        <v>5312139.1717299987</v>
      </c>
      <c r="CP15" s="426">
        <v>6212030.6359336562</v>
      </c>
      <c r="CQ15" s="426">
        <v>6814658.832591881</v>
      </c>
      <c r="CR15" s="426">
        <v>7442386.2552733067</v>
      </c>
      <c r="CS15" s="426">
        <v>7809067.3502479754</v>
      </c>
      <c r="CT15" s="426">
        <v>8162173.6764667779</v>
      </c>
      <c r="CU15" s="426">
        <v>8512533.6551992316</v>
      </c>
      <c r="CV15" s="426">
        <v>8876864.8889347594</v>
      </c>
      <c r="CW15" s="426">
        <v>9257140.0461424794</v>
      </c>
      <c r="CX15" s="426">
        <v>9654068.4784748275</v>
      </c>
      <c r="CY15" s="426">
        <v>10068391.451746905</v>
      </c>
      <c r="CZ15" s="426">
        <v>10497843.206046226</v>
      </c>
      <c r="DA15" s="426">
        <v>10945543.931313999</v>
      </c>
      <c r="DB15" s="426">
        <v>11423649.810160814</v>
      </c>
      <c r="DC15" s="426">
        <v>11914338.496374479</v>
      </c>
      <c r="DD15" s="426">
        <v>12422176.870840989</v>
      </c>
      <c r="DE15" s="426">
        <v>12955850.647760199</v>
      </c>
      <c r="DF15" s="426">
        <v>13506427.634388423</v>
      </c>
      <c r="DG15" s="426">
        <v>14085249.266192565</v>
      </c>
      <c r="DH15" s="430" t="b">
        <f t="shared" si="34"/>
        <v>1</v>
      </c>
      <c r="DI15" s="430" t="b">
        <f t="shared" si="11"/>
        <v>1</v>
      </c>
      <c r="DJ15" s="430" t="b">
        <f t="shared" si="12"/>
        <v>1</v>
      </c>
      <c r="DK15" s="430" t="b">
        <f t="shared" si="13"/>
        <v>1</v>
      </c>
      <c r="DL15" s="430" t="b">
        <f t="shared" si="14"/>
        <v>1</v>
      </c>
      <c r="DM15" s="430" t="b">
        <f t="shared" si="15"/>
        <v>1</v>
      </c>
      <c r="DN15" s="430" t="b">
        <f t="shared" si="16"/>
        <v>1</v>
      </c>
      <c r="DO15" s="430" t="b">
        <f t="shared" si="17"/>
        <v>1</v>
      </c>
      <c r="DP15" s="430" t="b">
        <f t="shared" si="18"/>
        <v>1</v>
      </c>
      <c r="DQ15" s="430" t="b">
        <f t="shared" si="19"/>
        <v>1</v>
      </c>
      <c r="DR15" s="430" t="b">
        <f t="shared" si="20"/>
        <v>1</v>
      </c>
      <c r="DS15" s="430" t="b">
        <f t="shared" si="21"/>
        <v>1</v>
      </c>
      <c r="DT15" s="430" t="b">
        <f t="shared" si="22"/>
        <v>1</v>
      </c>
      <c r="DU15" s="430" t="b">
        <f t="shared" si="23"/>
        <v>1</v>
      </c>
      <c r="DV15" s="430" t="b">
        <f t="shared" si="24"/>
        <v>1</v>
      </c>
      <c r="DW15" s="430" t="b">
        <f t="shared" si="25"/>
        <v>1</v>
      </c>
      <c r="DX15" s="430" t="b">
        <f t="shared" si="26"/>
        <v>1</v>
      </c>
      <c r="DY15" s="430" t="b">
        <f t="shared" si="27"/>
        <v>1</v>
      </c>
      <c r="DZ15" s="430" t="b">
        <f t="shared" si="28"/>
        <v>1</v>
      </c>
      <c r="EA15" s="430" t="b">
        <f t="shared" si="29"/>
        <v>1</v>
      </c>
      <c r="EB15" s="430" t="b">
        <f t="shared" si="35"/>
        <v>1</v>
      </c>
      <c r="EC15" s="244">
        <f t="shared" ref="EC15:EC17" si="49">SUM(BV15:CL15)</f>
        <v>174348364.49815583</v>
      </c>
      <c r="ED15" s="223">
        <f>BR15-F15</f>
        <v>0</v>
      </c>
      <c r="EE15" s="223">
        <f>BS15-G15</f>
        <v>0</v>
      </c>
      <c r="EF15" s="223">
        <f>BT15-H15</f>
        <v>0</v>
      </c>
      <c r="EG15" s="223">
        <f>BU15-I15</f>
        <v>400076.8379717702</v>
      </c>
      <c r="EH15" s="223">
        <f>BV15-J15</f>
        <v>498359.73691474274</v>
      </c>
      <c r="EI15" s="223">
        <f>BW15-K15</f>
        <v>619553.3133609388</v>
      </c>
      <c r="EJ15" s="223">
        <f>BX15-L15</f>
        <v>714935.5962437829</v>
      </c>
      <c r="EK15" s="223">
        <f>BY15-M15</f>
        <v>787256.52442451566</v>
      </c>
      <c r="EL15" s="223">
        <f>BZ15-N15</f>
        <v>842583.16532695014</v>
      </c>
      <c r="EM15" s="223">
        <f>CA15-O15</f>
        <v>900076.73693659622</v>
      </c>
      <c r="EN15" s="223">
        <f>CB15-P15</f>
        <v>961237.49070286937</v>
      </c>
      <c r="EO15" s="223">
        <f>CC15-Q15</f>
        <v>1026283.4446634129</v>
      </c>
      <c r="EP15" s="223">
        <f>CD15-R15</f>
        <v>1095444.8561346289</v>
      </c>
      <c r="EQ15" s="223">
        <f>CE15-S15</f>
        <v>1165924.4930684641</v>
      </c>
      <c r="ER15" s="223">
        <f>CF15-T15</f>
        <v>1240289.7891871855</v>
      </c>
      <c r="ES15" s="223">
        <f>CG15-U15</f>
        <v>1330122.0333795864</v>
      </c>
      <c r="ET15" s="223">
        <f>CH15-V15</f>
        <v>1417000.9604847636</v>
      </c>
      <c r="EU15" s="223">
        <f>CI15-W15</f>
        <v>1504871.5837986059</v>
      </c>
      <c r="EV15" s="223">
        <f>CJ15-X15</f>
        <v>1601772.8407421261</v>
      </c>
      <c r="EW15" s="223">
        <f>CK15-Y15</f>
        <v>1698099.8534225244</v>
      </c>
      <c r="EX15" s="223">
        <f>CL15-Z15</f>
        <v>1804494.4244088903</v>
      </c>
      <c r="EY15" s="244">
        <f t="shared" ref="EY15:EY17" si="50">SUM(EH15:EX15)</f>
        <v>19208306.843200587</v>
      </c>
    </row>
    <row r="16" spans="1:156" s="235" customFormat="1" x14ac:dyDescent="0.35">
      <c r="A16" s="221"/>
      <c r="B16" s="222"/>
      <c r="C16" s="251">
        <v>8</v>
      </c>
      <c r="D16" s="249" t="s">
        <v>97</v>
      </c>
      <c r="E16" s="250" t="s">
        <v>13</v>
      </c>
      <c r="F16" s="252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  <c r="AA16" s="431"/>
      <c r="AB16" s="431"/>
      <c r="AC16" s="431"/>
      <c r="AD16" s="431"/>
      <c r="AE16" s="431"/>
      <c r="AF16" s="431"/>
      <c r="AG16" s="431"/>
      <c r="AH16" s="431"/>
      <c r="AI16" s="431"/>
      <c r="AJ16" s="431"/>
      <c r="AK16" s="431"/>
      <c r="AL16" s="431"/>
      <c r="AM16" s="431"/>
      <c r="AN16" s="431"/>
      <c r="AO16" s="431"/>
      <c r="AP16" s="431"/>
      <c r="AQ16" s="431"/>
      <c r="AR16" s="431"/>
      <c r="AS16" s="431"/>
      <c r="AT16" s="431"/>
      <c r="AU16" s="431"/>
      <c r="AV16" s="431" t="b">
        <f t="shared" si="32"/>
        <v>1</v>
      </c>
      <c r="AW16" s="431" t="b">
        <f t="shared" si="8"/>
        <v>1</v>
      </c>
      <c r="AX16" s="431" t="b">
        <f t="shared" si="8"/>
        <v>1</v>
      </c>
      <c r="AY16" s="431" t="b">
        <f t="shared" si="8"/>
        <v>1</v>
      </c>
      <c r="AZ16" s="431" t="b">
        <f t="shared" si="8"/>
        <v>1</v>
      </c>
      <c r="BA16" s="431" t="b">
        <f t="shared" si="8"/>
        <v>1</v>
      </c>
      <c r="BB16" s="431" t="b">
        <f t="shared" si="8"/>
        <v>1</v>
      </c>
      <c r="BC16" s="431" t="b">
        <f t="shared" si="8"/>
        <v>1</v>
      </c>
      <c r="BD16" s="431" t="b">
        <f t="shared" si="8"/>
        <v>1</v>
      </c>
      <c r="BE16" s="431" t="b">
        <f t="shared" si="8"/>
        <v>1</v>
      </c>
      <c r="BF16" s="431" t="b">
        <f t="shared" si="8"/>
        <v>1</v>
      </c>
      <c r="BG16" s="431" t="b">
        <f t="shared" si="8"/>
        <v>1</v>
      </c>
      <c r="BH16" s="431" t="b">
        <f t="shared" si="8"/>
        <v>1</v>
      </c>
      <c r="BI16" s="431" t="b">
        <f t="shared" si="8"/>
        <v>1</v>
      </c>
      <c r="BJ16" s="431" t="b">
        <f t="shared" si="8"/>
        <v>1</v>
      </c>
      <c r="BK16" s="431" t="b">
        <f t="shared" si="8"/>
        <v>1</v>
      </c>
      <c r="BL16" s="431" t="b">
        <f t="shared" si="8"/>
        <v>1</v>
      </c>
      <c r="BM16" s="431" t="b">
        <f t="shared" si="9"/>
        <v>1</v>
      </c>
      <c r="BN16" s="431" t="b">
        <f t="shared" si="9"/>
        <v>1</v>
      </c>
      <c r="BO16" s="431" t="b">
        <f t="shared" si="9"/>
        <v>1</v>
      </c>
      <c r="BP16" s="431" t="b">
        <f t="shared" si="9"/>
        <v>1</v>
      </c>
      <c r="BQ16" s="244"/>
      <c r="BR16" s="252"/>
      <c r="BS16" s="252"/>
      <c r="BT16" s="252"/>
      <c r="BU16" s="252"/>
      <c r="BV16" s="252"/>
      <c r="BW16" s="252"/>
      <c r="BX16" s="252"/>
      <c r="BY16" s="252"/>
      <c r="BZ16" s="252"/>
      <c r="CA16" s="252"/>
      <c r="CB16" s="252"/>
      <c r="CC16" s="252"/>
      <c r="CD16" s="252"/>
      <c r="CE16" s="252"/>
      <c r="CF16" s="252"/>
      <c r="CG16" s="252"/>
      <c r="CH16" s="252"/>
      <c r="CI16" s="252"/>
      <c r="CJ16" s="252"/>
      <c r="CK16" s="252"/>
      <c r="CL16" s="252"/>
      <c r="CM16" s="431"/>
      <c r="CN16" s="431"/>
      <c r="CO16" s="431"/>
      <c r="CP16" s="431"/>
      <c r="CQ16" s="431"/>
      <c r="CR16" s="431"/>
      <c r="CS16" s="431"/>
      <c r="CT16" s="431"/>
      <c r="CU16" s="431"/>
      <c r="CV16" s="431"/>
      <c r="CW16" s="431"/>
      <c r="CX16" s="431"/>
      <c r="CY16" s="431"/>
      <c r="CZ16" s="431"/>
      <c r="DA16" s="431"/>
      <c r="DB16" s="431"/>
      <c r="DC16" s="431"/>
      <c r="DD16" s="431"/>
      <c r="DE16" s="431"/>
      <c r="DF16" s="431"/>
      <c r="DG16" s="431"/>
      <c r="DH16" s="431" t="b">
        <f t="shared" si="34"/>
        <v>1</v>
      </c>
      <c r="DI16" s="431" t="b">
        <f t="shared" si="11"/>
        <v>1</v>
      </c>
      <c r="DJ16" s="431" t="b">
        <f t="shared" si="12"/>
        <v>1</v>
      </c>
      <c r="DK16" s="431" t="b">
        <f t="shared" si="13"/>
        <v>1</v>
      </c>
      <c r="DL16" s="431" t="b">
        <f t="shared" si="14"/>
        <v>1</v>
      </c>
      <c r="DM16" s="431" t="b">
        <f t="shared" si="15"/>
        <v>1</v>
      </c>
      <c r="DN16" s="431" t="b">
        <f t="shared" si="16"/>
        <v>1</v>
      </c>
      <c r="DO16" s="431" t="b">
        <f t="shared" si="17"/>
        <v>1</v>
      </c>
      <c r="DP16" s="431" t="b">
        <f t="shared" si="18"/>
        <v>1</v>
      </c>
      <c r="DQ16" s="431" t="b">
        <f t="shared" si="19"/>
        <v>1</v>
      </c>
      <c r="DR16" s="431" t="b">
        <f t="shared" si="20"/>
        <v>1</v>
      </c>
      <c r="DS16" s="431" t="b">
        <f t="shared" si="21"/>
        <v>1</v>
      </c>
      <c r="DT16" s="431" t="b">
        <f t="shared" si="22"/>
        <v>1</v>
      </c>
      <c r="DU16" s="431" t="b">
        <f t="shared" si="23"/>
        <v>1</v>
      </c>
      <c r="DV16" s="431" t="b">
        <f t="shared" si="24"/>
        <v>1</v>
      </c>
      <c r="DW16" s="431" t="b">
        <f t="shared" si="25"/>
        <v>1</v>
      </c>
      <c r="DX16" s="431" t="b">
        <f t="shared" si="26"/>
        <v>1</v>
      </c>
      <c r="DY16" s="431" t="b">
        <f t="shared" si="27"/>
        <v>1</v>
      </c>
      <c r="DZ16" s="431" t="b">
        <f t="shared" si="28"/>
        <v>1</v>
      </c>
      <c r="EA16" s="431" t="b">
        <f t="shared" si="29"/>
        <v>1</v>
      </c>
      <c r="EB16" s="431" t="b">
        <f t="shared" si="35"/>
        <v>1</v>
      </c>
      <c r="EC16" s="244"/>
      <c r="ED16" s="252">
        <f>'ФинРез Кампус'!F23</f>
        <v>0</v>
      </c>
      <c r="EE16" s="252">
        <f>'ФинРез Кампус'!G23</f>
        <v>0</v>
      </c>
      <c r="EF16" s="252">
        <f>'ФинРез Кампус'!H23</f>
        <v>0</v>
      </c>
      <c r="EG16" s="252">
        <f>'ФинРез Кампус'!I23</f>
        <v>0</v>
      </c>
      <c r="EH16" s="252">
        <f>'ФинРез Кампус'!J23</f>
        <v>0</v>
      </c>
      <c r="EI16" s="252">
        <f>'ФинРез Кампус'!K23</f>
        <v>0</v>
      </c>
      <c r="EJ16" s="252">
        <f>'ФинРез Кампус'!L23</f>
        <v>0</v>
      </c>
      <c r="EK16" s="252">
        <f>'ФинРез Кампус'!M23</f>
        <v>0</v>
      </c>
      <c r="EL16" s="252">
        <f>'ФинРез Кампус'!N23</f>
        <v>0</v>
      </c>
      <c r="EM16" s="252">
        <f>'ФинРез Кампус'!O23</f>
        <v>0</v>
      </c>
      <c r="EN16" s="252">
        <f>'ФинРез Кампус'!P23</f>
        <v>0</v>
      </c>
      <c r="EO16" s="252">
        <f>'ФинРез Кампус'!Q23</f>
        <v>0</v>
      </c>
      <c r="EP16" s="252">
        <f>'ФинРез Кампус'!R23</f>
        <v>0</v>
      </c>
      <c r="EQ16" s="252">
        <f>'ФинРез Кампус'!S23</f>
        <v>0</v>
      </c>
      <c r="ER16" s="252">
        <f>'ФинРез Кампус'!T23</f>
        <v>0</v>
      </c>
      <c r="ES16" s="252">
        <f>'ФинРез Кампус'!U23</f>
        <v>0</v>
      </c>
      <c r="ET16" s="252">
        <f>'ФинРез Кампус'!V23</f>
        <v>0</v>
      </c>
      <c r="EU16" s="252">
        <f>'ФинРез Кампус'!W23</f>
        <v>0</v>
      </c>
      <c r="EV16" s="252">
        <f>'ФинРез Кампус'!X23</f>
        <v>0</v>
      </c>
      <c r="EW16" s="252">
        <f>'ФинРез Кампус'!Y23</f>
        <v>0</v>
      </c>
      <c r="EX16" s="252">
        <f>'ФинРез Кампус'!Z23</f>
        <v>0</v>
      </c>
      <c r="EY16" s="244"/>
    </row>
    <row r="17" spans="1:155" s="235" customFormat="1" x14ac:dyDescent="0.35">
      <c r="A17" s="221"/>
      <c r="B17" s="222"/>
      <c r="C17" s="246">
        <v>9</v>
      </c>
      <c r="D17" s="242" t="s">
        <v>15</v>
      </c>
      <c r="E17" s="243" t="s">
        <v>13</v>
      </c>
      <c r="F17" s="384">
        <f>'[10]Данные для переноса'!F16</f>
        <v>481773.371689416</v>
      </c>
      <c r="G17" s="384">
        <f>'[10]Данные для переноса'!G16</f>
        <v>580219.15749883105</v>
      </c>
      <c r="H17" s="384">
        <f>'[10]Данные для переноса'!H16</f>
        <v>873016.360835384</v>
      </c>
      <c r="I17" s="384">
        <f>'[10]Данные для переноса'!I16</f>
        <v>912302.09707297629</v>
      </c>
      <c r="J17" s="384">
        <f>'[10]Данные для переноса'!J16</f>
        <v>948794.18095589534</v>
      </c>
      <c r="K17" s="384">
        <f>'[10]Данные для переноса'!K16</f>
        <v>986745.94819413114</v>
      </c>
      <c r="L17" s="384">
        <f>'[10]Данные для переноса'!L16</f>
        <v>1026215.7861218964</v>
      </c>
      <c r="M17" s="384">
        <f>'[10]Данные для переноса'!M16</f>
        <v>1067264.4175667723</v>
      </c>
      <c r="N17" s="384">
        <f>'[10]Данные для переноса'!N16</f>
        <v>1109954.9942694432</v>
      </c>
      <c r="O17" s="384">
        <f>'[10]Данные для переноса'!O16</f>
        <v>1154353.1940402209</v>
      </c>
      <c r="P17" s="384">
        <f>'[10]Данные для переноса'!P16</f>
        <v>1200527.3218018299</v>
      </c>
      <c r="Q17" s="384">
        <f>'[10]Данные для переноса'!Q16</f>
        <v>1248548.414673903</v>
      </c>
      <c r="R17" s="384">
        <f>'[10]Данные для переноса'!R16</f>
        <v>1298490.3512608593</v>
      </c>
      <c r="S17" s="384">
        <f>'[10]Данные для переноса'!S16</f>
        <v>1350429.9653112937</v>
      </c>
      <c r="T17" s="384">
        <f>'[10]Данные для переноса'!T16</f>
        <v>1404447.1639237455</v>
      </c>
      <c r="U17" s="384">
        <f>'[10]Данные для переноса'!U16</f>
        <v>1460625.0504806954</v>
      </c>
      <c r="V17" s="384">
        <f>'[10]Данные для переноса'!V16</f>
        <v>1519050.0524999232</v>
      </c>
      <c r="W17" s="384">
        <f>'[10]Данные для переноса'!W16</f>
        <v>1579812.0545999201</v>
      </c>
      <c r="X17" s="384">
        <f>'[10]Данные для переноса'!X16</f>
        <v>1643004.5367839169</v>
      </c>
      <c r="Y17" s="384">
        <f>'[10]Данные для переноса'!Y16</f>
        <v>1708724.7182552735</v>
      </c>
      <c r="Z17" s="384">
        <f>'[10]Данные для переноса'!Z16</f>
        <v>1777073.7069854846</v>
      </c>
      <c r="AA17" s="426">
        <v>481773.371689416</v>
      </c>
      <c r="AB17" s="426">
        <v>580219.15749883105</v>
      </c>
      <c r="AC17" s="426">
        <v>873016.360835384</v>
      </c>
      <c r="AD17" s="426">
        <v>912302.09707297629</v>
      </c>
      <c r="AE17" s="426">
        <v>948794.18095589534</v>
      </c>
      <c r="AF17" s="426">
        <v>986745.94819413114</v>
      </c>
      <c r="AG17" s="426">
        <v>1026215.7861218964</v>
      </c>
      <c r="AH17" s="426">
        <v>1067264.4175667723</v>
      </c>
      <c r="AI17" s="426">
        <v>1109954.9942694432</v>
      </c>
      <c r="AJ17" s="426">
        <v>1154353.1940402209</v>
      </c>
      <c r="AK17" s="426">
        <v>1200527.3218018299</v>
      </c>
      <c r="AL17" s="426">
        <v>1248548.414673903</v>
      </c>
      <c r="AM17" s="426">
        <v>1298490.3512608593</v>
      </c>
      <c r="AN17" s="426">
        <v>1350429.9653112937</v>
      </c>
      <c r="AO17" s="426">
        <v>1404447.1639237455</v>
      </c>
      <c r="AP17" s="426">
        <v>1460625.0504806954</v>
      </c>
      <c r="AQ17" s="426">
        <v>1519050.0524999232</v>
      </c>
      <c r="AR17" s="426">
        <v>1579812.0545999201</v>
      </c>
      <c r="AS17" s="426">
        <v>1643004.5367839169</v>
      </c>
      <c r="AT17" s="426">
        <v>1708724.7182552735</v>
      </c>
      <c r="AU17" s="426">
        <v>1777073.7069854846</v>
      </c>
      <c r="AV17" s="430" t="b">
        <f t="shared" si="32"/>
        <v>1</v>
      </c>
      <c r="AW17" s="430" t="b">
        <f t="shared" si="8"/>
        <v>1</v>
      </c>
      <c r="AX17" s="430" t="b">
        <f t="shared" si="8"/>
        <v>1</v>
      </c>
      <c r="AY17" s="430" t="b">
        <f t="shared" si="8"/>
        <v>1</v>
      </c>
      <c r="AZ17" s="430" t="b">
        <f t="shared" si="8"/>
        <v>1</v>
      </c>
      <c r="BA17" s="430" t="b">
        <f t="shared" si="8"/>
        <v>1</v>
      </c>
      <c r="BB17" s="430" t="b">
        <f t="shared" si="8"/>
        <v>1</v>
      </c>
      <c r="BC17" s="430" t="b">
        <f t="shared" si="8"/>
        <v>1</v>
      </c>
      <c r="BD17" s="430" t="b">
        <f t="shared" si="8"/>
        <v>1</v>
      </c>
      <c r="BE17" s="430" t="b">
        <f t="shared" si="8"/>
        <v>1</v>
      </c>
      <c r="BF17" s="430" t="b">
        <f t="shared" si="8"/>
        <v>1</v>
      </c>
      <c r="BG17" s="430" t="b">
        <f t="shared" si="8"/>
        <v>1</v>
      </c>
      <c r="BH17" s="430" t="b">
        <f t="shared" si="8"/>
        <v>1</v>
      </c>
      <c r="BI17" s="430" t="b">
        <f t="shared" si="8"/>
        <v>1</v>
      </c>
      <c r="BJ17" s="430" t="b">
        <f t="shared" si="8"/>
        <v>1</v>
      </c>
      <c r="BK17" s="430" t="b">
        <f t="shared" si="8"/>
        <v>1</v>
      </c>
      <c r="BL17" s="430" t="b">
        <f t="shared" si="8"/>
        <v>1</v>
      </c>
      <c r="BM17" s="430" t="b">
        <f t="shared" si="9"/>
        <v>1</v>
      </c>
      <c r="BN17" s="430" t="b">
        <f t="shared" si="9"/>
        <v>1</v>
      </c>
      <c r="BO17" s="430" t="b">
        <f t="shared" si="9"/>
        <v>1</v>
      </c>
      <c r="BP17" s="430" t="b">
        <f t="shared" si="9"/>
        <v>1</v>
      </c>
      <c r="BQ17" s="244">
        <f t="shared" si="48"/>
        <v>22484061.857725207</v>
      </c>
      <c r="BR17" s="247">
        <f>'[10]Данные для переноса'!AB16</f>
        <v>481773.371689416</v>
      </c>
      <c r="BS17" s="247">
        <f>'[10]Данные для переноса'!AC16</f>
        <v>580219.15749883105</v>
      </c>
      <c r="BT17" s="247">
        <f>'[10]Данные для переноса'!AD16</f>
        <v>873016.360835384</v>
      </c>
      <c r="BU17" s="247">
        <f>'[10]Данные для переноса'!AE16</f>
        <v>912302.09707297629</v>
      </c>
      <c r="BV17" s="247">
        <f>'[10]Данные для переноса'!AF16</f>
        <v>948794.18095589534</v>
      </c>
      <c r="BW17" s="247">
        <f>'[10]Данные для переноса'!AG16</f>
        <v>986745.94819413114</v>
      </c>
      <c r="BX17" s="247">
        <f>'[10]Данные для переноса'!AH16</f>
        <v>1026215.7861218964</v>
      </c>
      <c r="BY17" s="247">
        <f>'[10]Данные для переноса'!AI16</f>
        <v>1067264.4175667723</v>
      </c>
      <c r="BZ17" s="247">
        <f>'[10]Данные для переноса'!AJ16</f>
        <v>1109954.9942694432</v>
      </c>
      <c r="CA17" s="247">
        <f>'[10]Данные для переноса'!AK16</f>
        <v>1154353.1940402209</v>
      </c>
      <c r="CB17" s="247">
        <f>'[10]Данные для переноса'!AL16</f>
        <v>1200527.3218018299</v>
      </c>
      <c r="CC17" s="247">
        <f>'[10]Данные для переноса'!AM16</f>
        <v>1248548.414673903</v>
      </c>
      <c r="CD17" s="247">
        <f>'[10]Данные для переноса'!AN16</f>
        <v>1298490.3512608593</v>
      </c>
      <c r="CE17" s="247">
        <f>'[10]Данные для переноса'!AO16</f>
        <v>1350429.9653112937</v>
      </c>
      <c r="CF17" s="247">
        <f>'[10]Данные для переноса'!AP16</f>
        <v>1404447.1639237455</v>
      </c>
      <c r="CG17" s="247">
        <f>'[10]Данные для переноса'!AQ16</f>
        <v>1460625.0504806954</v>
      </c>
      <c r="CH17" s="247">
        <f>'[10]Данные для переноса'!AR16</f>
        <v>1519050.0524999232</v>
      </c>
      <c r="CI17" s="247">
        <f>'[10]Данные для переноса'!AS16</f>
        <v>1579812.0545999201</v>
      </c>
      <c r="CJ17" s="247">
        <f>'[10]Данные для переноса'!AT16</f>
        <v>1643004.5367839169</v>
      </c>
      <c r="CK17" s="247">
        <f>'[10]Данные для переноса'!AU16</f>
        <v>1708724.7182552735</v>
      </c>
      <c r="CL17" s="247">
        <f>'[10]Данные для переноса'!AV16</f>
        <v>1777073.7069854846</v>
      </c>
      <c r="CM17" s="426">
        <v>481773.371689416</v>
      </c>
      <c r="CN17" s="426">
        <v>580219.15749883105</v>
      </c>
      <c r="CO17" s="426">
        <v>873016.360835384</v>
      </c>
      <c r="CP17" s="426">
        <v>912302.09707297629</v>
      </c>
      <c r="CQ17" s="426">
        <v>948794.18095589534</v>
      </c>
      <c r="CR17" s="426">
        <v>986745.94819413114</v>
      </c>
      <c r="CS17" s="426">
        <v>1026215.7861218964</v>
      </c>
      <c r="CT17" s="426">
        <v>1067264.4175667723</v>
      </c>
      <c r="CU17" s="426">
        <v>1109954.9942694432</v>
      </c>
      <c r="CV17" s="426">
        <v>1154353.1940402209</v>
      </c>
      <c r="CW17" s="426">
        <v>1200527.3218018299</v>
      </c>
      <c r="CX17" s="426">
        <v>1248548.414673903</v>
      </c>
      <c r="CY17" s="426">
        <v>1298490.3512608593</v>
      </c>
      <c r="CZ17" s="426">
        <v>1350429.9653112937</v>
      </c>
      <c r="DA17" s="426">
        <v>1404447.1639237455</v>
      </c>
      <c r="DB17" s="426">
        <v>1460625.0504806954</v>
      </c>
      <c r="DC17" s="426">
        <v>1519050.0524999232</v>
      </c>
      <c r="DD17" s="426">
        <v>1579812.0545999201</v>
      </c>
      <c r="DE17" s="426">
        <v>1643004.5367839169</v>
      </c>
      <c r="DF17" s="426">
        <v>1708724.7182552735</v>
      </c>
      <c r="DG17" s="426">
        <v>1777073.7069854846</v>
      </c>
      <c r="DH17" s="430" t="b">
        <f t="shared" si="34"/>
        <v>1</v>
      </c>
      <c r="DI17" s="430" t="b">
        <f t="shared" si="11"/>
        <v>1</v>
      </c>
      <c r="DJ17" s="430" t="b">
        <f t="shared" si="12"/>
        <v>1</v>
      </c>
      <c r="DK17" s="430" t="b">
        <f t="shared" si="13"/>
        <v>1</v>
      </c>
      <c r="DL17" s="430" t="b">
        <f t="shared" si="14"/>
        <v>1</v>
      </c>
      <c r="DM17" s="430" t="b">
        <f t="shared" si="15"/>
        <v>1</v>
      </c>
      <c r="DN17" s="430" t="b">
        <f t="shared" si="16"/>
        <v>1</v>
      </c>
      <c r="DO17" s="430" t="b">
        <f t="shared" si="17"/>
        <v>1</v>
      </c>
      <c r="DP17" s="430" t="b">
        <f t="shared" si="18"/>
        <v>1</v>
      </c>
      <c r="DQ17" s="430" t="b">
        <f t="shared" si="19"/>
        <v>1</v>
      </c>
      <c r="DR17" s="430" t="b">
        <f t="shared" si="20"/>
        <v>1</v>
      </c>
      <c r="DS17" s="430" t="b">
        <f t="shared" si="21"/>
        <v>1</v>
      </c>
      <c r="DT17" s="430" t="b">
        <f t="shared" si="22"/>
        <v>1</v>
      </c>
      <c r="DU17" s="430" t="b">
        <f t="shared" si="23"/>
        <v>1</v>
      </c>
      <c r="DV17" s="430" t="b">
        <f t="shared" si="24"/>
        <v>1</v>
      </c>
      <c r="DW17" s="430" t="b">
        <f t="shared" si="25"/>
        <v>1</v>
      </c>
      <c r="DX17" s="430" t="b">
        <f t="shared" si="26"/>
        <v>1</v>
      </c>
      <c r="DY17" s="430" t="b">
        <f t="shared" si="27"/>
        <v>1</v>
      </c>
      <c r="DZ17" s="430" t="b">
        <f t="shared" si="28"/>
        <v>1</v>
      </c>
      <c r="EA17" s="430" t="b">
        <f t="shared" si="29"/>
        <v>1</v>
      </c>
      <c r="EB17" s="430" t="b">
        <f t="shared" si="35"/>
        <v>1</v>
      </c>
      <c r="EC17" s="244">
        <f t="shared" si="49"/>
        <v>22484061.857725207</v>
      </c>
      <c r="ED17" s="223">
        <f>BR17-F17</f>
        <v>0</v>
      </c>
      <c r="EE17" s="223">
        <f>BS17-G17</f>
        <v>0</v>
      </c>
      <c r="EF17" s="223">
        <f>BT17-H17</f>
        <v>0</v>
      </c>
      <c r="EG17" s="223">
        <f>BU17-I17</f>
        <v>0</v>
      </c>
      <c r="EH17" s="223">
        <f>BV17-J17</f>
        <v>0</v>
      </c>
      <c r="EI17" s="223">
        <f>BW17-K17</f>
        <v>0</v>
      </c>
      <c r="EJ17" s="223">
        <f>BX17-L17</f>
        <v>0</v>
      </c>
      <c r="EK17" s="223">
        <f>BY17-M17</f>
        <v>0</v>
      </c>
      <c r="EL17" s="223">
        <f>BZ17-N17</f>
        <v>0</v>
      </c>
      <c r="EM17" s="223">
        <f>CA17-O17</f>
        <v>0</v>
      </c>
      <c r="EN17" s="223">
        <f>CB17-P17</f>
        <v>0</v>
      </c>
      <c r="EO17" s="223">
        <f>CC17-Q17</f>
        <v>0</v>
      </c>
      <c r="EP17" s="223">
        <f>CD17-R17</f>
        <v>0</v>
      </c>
      <c r="EQ17" s="223">
        <f>CE17-S17</f>
        <v>0</v>
      </c>
      <c r="ER17" s="223">
        <f>CF17-T17</f>
        <v>0</v>
      </c>
      <c r="ES17" s="223">
        <f>CG17-U17</f>
        <v>0</v>
      </c>
      <c r="ET17" s="223">
        <f>CH17-V17</f>
        <v>0</v>
      </c>
      <c r="EU17" s="223">
        <f>CI17-W17</f>
        <v>0</v>
      </c>
      <c r="EV17" s="223">
        <f>CJ17-X17</f>
        <v>0</v>
      </c>
      <c r="EW17" s="223">
        <f>CK17-Y17</f>
        <v>0</v>
      </c>
      <c r="EX17" s="223">
        <f>CL17-Z17</f>
        <v>0</v>
      </c>
      <c r="EY17" s="244">
        <f t="shared" si="50"/>
        <v>0</v>
      </c>
    </row>
    <row r="18" spans="1:155" s="235" customFormat="1" ht="13" x14ac:dyDescent="0.3">
      <c r="A18" s="221"/>
      <c r="B18" s="222"/>
      <c r="C18" s="233"/>
      <c r="D18" s="234" t="s">
        <v>16</v>
      </c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  <c r="AA18" s="428"/>
      <c r="AB18" s="428"/>
      <c r="AC18" s="428"/>
      <c r="AD18" s="428"/>
      <c r="AE18" s="428"/>
      <c r="AF18" s="428"/>
      <c r="AG18" s="428"/>
      <c r="AH18" s="428"/>
      <c r="AI18" s="428"/>
      <c r="AJ18" s="428"/>
      <c r="AK18" s="428"/>
      <c r="AL18" s="428"/>
      <c r="AM18" s="428"/>
      <c r="AN18" s="428"/>
      <c r="AO18" s="428"/>
      <c r="AP18" s="428"/>
      <c r="AQ18" s="428"/>
      <c r="AR18" s="428"/>
      <c r="AS18" s="428"/>
      <c r="AT18" s="428"/>
      <c r="AU18" s="428"/>
      <c r="AV18" s="424" t="b">
        <f t="shared" si="32"/>
        <v>1</v>
      </c>
      <c r="AW18" s="424" t="b">
        <f t="shared" si="8"/>
        <v>1</v>
      </c>
      <c r="AX18" s="424" t="b">
        <f t="shared" si="8"/>
        <v>1</v>
      </c>
      <c r="AY18" s="424" t="b">
        <f t="shared" si="8"/>
        <v>1</v>
      </c>
      <c r="AZ18" s="424" t="b">
        <f t="shared" si="8"/>
        <v>1</v>
      </c>
      <c r="BA18" s="424" t="b">
        <f t="shared" si="8"/>
        <v>1</v>
      </c>
      <c r="BB18" s="424" t="b">
        <f t="shared" si="8"/>
        <v>1</v>
      </c>
      <c r="BC18" s="424" t="b">
        <f t="shared" si="8"/>
        <v>1</v>
      </c>
      <c r="BD18" s="424" t="b">
        <f t="shared" si="8"/>
        <v>1</v>
      </c>
      <c r="BE18" s="424" t="b">
        <f t="shared" si="8"/>
        <v>1</v>
      </c>
      <c r="BF18" s="424" t="b">
        <f t="shared" si="8"/>
        <v>1</v>
      </c>
      <c r="BG18" s="424" t="b">
        <f t="shared" si="8"/>
        <v>1</v>
      </c>
      <c r="BH18" s="424" t="b">
        <f t="shared" si="8"/>
        <v>1</v>
      </c>
      <c r="BI18" s="424" t="b">
        <f t="shared" si="8"/>
        <v>1</v>
      </c>
      <c r="BJ18" s="424" t="b">
        <f t="shared" si="8"/>
        <v>1</v>
      </c>
      <c r="BK18" s="424" t="b">
        <f t="shared" si="8"/>
        <v>1</v>
      </c>
      <c r="BL18" s="424" t="b">
        <f t="shared" si="8"/>
        <v>1</v>
      </c>
      <c r="BM18" s="424" t="b">
        <f t="shared" si="9"/>
        <v>1</v>
      </c>
      <c r="BN18" s="424" t="b">
        <f t="shared" si="9"/>
        <v>1</v>
      </c>
      <c r="BO18" s="424" t="b">
        <f t="shared" si="9"/>
        <v>1</v>
      </c>
      <c r="BP18" s="424" t="b">
        <f t="shared" si="9"/>
        <v>1</v>
      </c>
      <c r="BQ18" s="217"/>
      <c r="BR18" s="216"/>
      <c r="BS18" s="216"/>
      <c r="BT18" s="216"/>
      <c r="BU18" s="216"/>
      <c r="BV18" s="216"/>
      <c r="BW18" s="216"/>
      <c r="BX18" s="216"/>
      <c r="BY18" s="216"/>
      <c r="BZ18" s="216"/>
      <c r="CA18" s="216"/>
      <c r="CB18" s="216"/>
      <c r="CC18" s="216"/>
      <c r="CD18" s="216"/>
      <c r="CE18" s="216"/>
      <c r="CF18" s="216"/>
      <c r="CG18" s="216"/>
      <c r="CH18" s="216"/>
      <c r="CI18" s="216"/>
      <c r="CJ18" s="216"/>
      <c r="CK18" s="216"/>
      <c r="CL18" s="216"/>
      <c r="CM18" s="428"/>
      <c r="CN18" s="428"/>
      <c r="CO18" s="428"/>
      <c r="CP18" s="428"/>
      <c r="CQ18" s="428"/>
      <c r="CR18" s="428"/>
      <c r="CS18" s="428"/>
      <c r="CT18" s="428"/>
      <c r="CU18" s="428"/>
      <c r="CV18" s="428"/>
      <c r="CW18" s="428"/>
      <c r="CX18" s="428"/>
      <c r="CY18" s="428"/>
      <c r="CZ18" s="428"/>
      <c r="DA18" s="428"/>
      <c r="DB18" s="428"/>
      <c r="DC18" s="428"/>
      <c r="DD18" s="428"/>
      <c r="DE18" s="428"/>
      <c r="DF18" s="428"/>
      <c r="DG18" s="428"/>
      <c r="DH18" s="424" t="b">
        <f t="shared" si="34"/>
        <v>1</v>
      </c>
      <c r="DI18" s="424" t="b">
        <f t="shared" si="11"/>
        <v>1</v>
      </c>
      <c r="DJ18" s="424" t="b">
        <f t="shared" si="12"/>
        <v>1</v>
      </c>
      <c r="DK18" s="424" t="b">
        <f t="shared" si="13"/>
        <v>1</v>
      </c>
      <c r="DL18" s="424" t="b">
        <f t="shared" si="14"/>
        <v>1</v>
      </c>
      <c r="DM18" s="424" t="b">
        <f t="shared" si="15"/>
        <v>1</v>
      </c>
      <c r="DN18" s="424" t="b">
        <f t="shared" si="16"/>
        <v>1</v>
      </c>
      <c r="DO18" s="424" t="b">
        <f t="shared" si="17"/>
        <v>1</v>
      </c>
      <c r="DP18" s="424" t="b">
        <f t="shared" si="18"/>
        <v>1</v>
      </c>
      <c r="DQ18" s="424" t="b">
        <f t="shared" si="19"/>
        <v>1</v>
      </c>
      <c r="DR18" s="424" t="b">
        <f t="shared" si="20"/>
        <v>1</v>
      </c>
      <c r="DS18" s="424" t="b">
        <f t="shared" si="21"/>
        <v>1</v>
      </c>
      <c r="DT18" s="424" t="b">
        <f t="shared" si="22"/>
        <v>1</v>
      </c>
      <c r="DU18" s="424" t="b">
        <f t="shared" si="23"/>
        <v>1</v>
      </c>
      <c r="DV18" s="424" t="b">
        <f t="shared" si="24"/>
        <v>1</v>
      </c>
      <c r="DW18" s="424" t="b">
        <f t="shared" si="25"/>
        <v>1</v>
      </c>
      <c r="DX18" s="424" t="b">
        <f t="shared" si="26"/>
        <v>1</v>
      </c>
      <c r="DY18" s="424" t="b">
        <f t="shared" si="27"/>
        <v>1</v>
      </c>
      <c r="DZ18" s="424" t="b">
        <f t="shared" si="28"/>
        <v>1</v>
      </c>
      <c r="EA18" s="424" t="b">
        <f t="shared" si="29"/>
        <v>1</v>
      </c>
      <c r="EB18" s="424" t="b">
        <f t="shared" si="35"/>
        <v>1</v>
      </c>
      <c r="EC18" s="217"/>
      <c r="ED18" s="239">
        <f>ED19-ED20-ED21</f>
        <v>0</v>
      </c>
      <c r="EE18" s="239">
        <f>EE19-EE20-EE21</f>
        <v>0</v>
      </c>
      <c r="EF18" s="239">
        <f t="shared" ref="EF18:EO18" si="51">EF19-EF20-EF21</f>
        <v>0</v>
      </c>
      <c r="EG18" s="239">
        <f t="shared" si="51"/>
        <v>612.27064426010475</v>
      </c>
      <c r="EH18" s="239">
        <f t="shared" si="51"/>
        <v>39956.646090863273</v>
      </c>
      <c r="EI18" s="239">
        <f t="shared" si="51"/>
        <v>40584.153134496417</v>
      </c>
      <c r="EJ18" s="239">
        <f t="shared" si="51"/>
        <v>45016.417368846945</v>
      </c>
      <c r="EK18" s="239">
        <f t="shared" si="51"/>
        <v>45807.096608080436</v>
      </c>
      <c r="EL18" s="239">
        <f t="shared" si="51"/>
        <v>46609.203467773739</v>
      </c>
      <c r="EM18" s="239">
        <f t="shared" si="51"/>
        <v>47422.791061761789</v>
      </c>
      <c r="EN18" s="239">
        <f t="shared" si="51"/>
        <v>48247.906548615079</v>
      </c>
      <c r="EO18" s="239">
        <f t="shared" si="51"/>
        <v>49084.59073182987</v>
      </c>
      <c r="EP18" s="245">
        <f>EP19-EP20-EP21</f>
        <v>49932.877640798222</v>
      </c>
      <c r="EQ18" s="245">
        <f t="shared" ref="EQ18:EX18" si="52">EQ19-EQ20-EQ21</f>
        <v>50792.7940917206</v>
      </c>
      <c r="ER18" s="245">
        <f t="shared" si="52"/>
        <v>51664.359227584209</v>
      </c>
      <c r="ES18" s="245">
        <f t="shared" si="52"/>
        <v>52547.584036326502</v>
      </c>
      <c r="ET18" s="245">
        <f t="shared" si="52"/>
        <v>53442.470846211538</v>
      </c>
      <c r="EU18" s="245">
        <f t="shared" si="52"/>
        <v>54349.012797460891</v>
      </c>
      <c r="EV18" s="245">
        <f t="shared" si="52"/>
        <v>55267.193289107643</v>
      </c>
      <c r="EW18" s="245">
        <f t="shared" si="52"/>
        <v>56196.985400014557</v>
      </c>
      <c r="EX18" s="245">
        <f t="shared" si="52"/>
        <v>57138.351282946765</v>
      </c>
      <c r="EY18" s="217"/>
    </row>
    <row r="19" spans="1:155" s="235" customFormat="1" x14ac:dyDescent="0.35">
      <c r="A19" s="221"/>
      <c r="B19" s="222"/>
      <c r="C19" s="246">
        <v>9</v>
      </c>
      <c r="D19" s="242" t="s">
        <v>12</v>
      </c>
      <c r="E19" s="243" t="s">
        <v>13</v>
      </c>
      <c r="F19" s="384">
        <f>'[10]Данные для переноса'!F18</f>
        <v>1171701.4212100001</v>
      </c>
      <c r="G19" s="384">
        <f>'[10]Данные для переноса'!G18</f>
        <v>1960113.8964400003</v>
      </c>
      <c r="H19" s="384">
        <f>'[10]Данные для переноса'!H18</f>
        <v>2636185.0259199999</v>
      </c>
      <c r="I19" s="384">
        <f>'[10]Данные для переноса'!I18</f>
        <v>2854380.6628930988</v>
      </c>
      <c r="J19" s="384">
        <f>'[10]Данные для переноса'!J18</f>
        <v>2934600.2180014509</v>
      </c>
      <c r="K19" s="384">
        <f>'[10]Данные для переноса'!K18</f>
        <v>3027858.1916865562</v>
      </c>
      <c r="L19" s="384">
        <f>'[10]Данные для переноса'!L18</f>
        <v>3148972.5193540184</v>
      </c>
      <c r="M19" s="384">
        <f>'[10]Данные для переноса'!M18</f>
        <v>3274931.4201281788</v>
      </c>
      <c r="N19" s="384">
        <f>'[10]Данные для переноса'!N18</f>
        <v>3405928.6769333067</v>
      </c>
      <c r="O19" s="384">
        <f>'[10]Данные для переноса'!O18</f>
        <v>3542165.8240106385</v>
      </c>
      <c r="P19" s="384">
        <f>'[10]Данные для переноса'!P18</f>
        <v>3683852.4569710642</v>
      </c>
      <c r="Q19" s="384">
        <f>'[10]Данные для переноса'!Q18</f>
        <v>3831206.5552499071</v>
      </c>
      <c r="R19" s="384">
        <f>'[10]Данные для переноса'!R18</f>
        <v>3984454.8174599032</v>
      </c>
      <c r="S19" s="384">
        <f>'[10]Данные для переноса'!S18</f>
        <v>4143833.0101582995</v>
      </c>
      <c r="T19" s="384">
        <f>'[10]Данные для переноса'!T18</f>
        <v>4309586.3305646311</v>
      </c>
      <c r="U19" s="384">
        <f>'[10]Данные для переноса'!U18</f>
        <v>4481969.783787217</v>
      </c>
      <c r="V19" s="384">
        <f>'[10]Данные для переноса'!V18</f>
        <v>4661248.5751387058</v>
      </c>
      <c r="W19" s="384">
        <f>'[10]Данные для переноса'!W18</f>
        <v>4847698.5181442546</v>
      </c>
      <c r="X19" s="384">
        <f>'[10]Данные для переноса'!X18</f>
        <v>5041606.4588700244</v>
      </c>
      <c r="Y19" s="384">
        <f>'[10]Данные для переноса'!Y18</f>
        <v>5243270.7172248261</v>
      </c>
      <c r="Z19" s="384">
        <f>'[10]Данные для переноса'!Z18</f>
        <v>5453001.5459138192</v>
      </c>
      <c r="AA19" s="426">
        <v>1171701.4212100001</v>
      </c>
      <c r="AB19" s="426">
        <v>1960113.8964400003</v>
      </c>
      <c r="AC19" s="426">
        <v>2636185.0259199999</v>
      </c>
      <c r="AD19" s="426">
        <v>2854380.6628930988</v>
      </c>
      <c r="AE19" s="426">
        <v>2934600.2180014509</v>
      </c>
      <c r="AF19" s="426">
        <v>3027858.1916865562</v>
      </c>
      <c r="AG19" s="426">
        <v>3148972.5193540184</v>
      </c>
      <c r="AH19" s="426">
        <v>3274931.4201281788</v>
      </c>
      <c r="AI19" s="426">
        <v>3405928.6769333067</v>
      </c>
      <c r="AJ19" s="426">
        <v>3542165.8240106385</v>
      </c>
      <c r="AK19" s="426">
        <v>3683852.4569710642</v>
      </c>
      <c r="AL19" s="426">
        <v>3831206.5552499071</v>
      </c>
      <c r="AM19" s="426">
        <v>3984454.8174599032</v>
      </c>
      <c r="AN19" s="426">
        <v>4143833.0101582995</v>
      </c>
      <c r="AO19" s="426">
        <v>4309586.3305646311</v>
      </c>
      <c r="AP19" s="426">
        <v>4481969.783787217</v>
      </c>
      <c r="AQ19" s="426">
        <v>4661248.5751387058</v>
      </c>
      <c r="AR19" s="426">
        <v>4847698.5181442546</v>
      </c>
      <c r="AS19" s="426">
        <v>5041606.4588700244</v>
      </c>
      <c r="AT19" s="426">
        <v>5243270.7172248261</v>
      </c>
      <c r="AU19" s="426">
        <v>5453001.5459138192</v>
      </c>
      <c r="AV19" s="430" t="b">
        <f t="shared" si="32"/>
        <v>1</v>
      </c>
      <c r="AW19" s="430" t="b">
        <f t="shared" si="8"/>
        <v>1</v>
      </c>
      <c r="AX19" s="430" t="b">
        <f t="shared" si="8"/>
        <v>1</v>
      </c>
      <c r="AY19" s="430" t="b">
        <f t="shared" si="8"/>
        <v>1</v>
      </c>
      <c r="AZ19" s="430" t="b">
        <f t="shared" si="8"/>
        <v>1</v>
      </c>
      <c r="BA19" s="430" t="b">
        <f t="shared" si="8"/>
        <v>1</v>
      </c>
      <c r="BB19" s="430" t="b">
        <f t="shared" si="8"/>
        <v>1</v>
      </c>
      <c r="BC19" s="430" t="b">
        <f t="shared" si="8"/>
        <v>1</v>
      </c>
      <c r="BD19" s="430" t="b">
        <f t="shared" si="8"/>
        <v>1</v>
      </c>
      <c r="BE19" s="430" t="b">
        <f t="shared" si="8"/>
        <v>1</v>
      </c>
      <c r="BF19" s="430" t="b">
        <f t="shared" si="8"/>
        <v>1</v>
      </c>
      <c r="BG19" s="430" t="b">
        <f t="shared" si="8"/>
        <v>1</v>
      </c>
      <c r="BH19" s="430" t="b">
        <f t="shared" si="8"/>
        <v>1</v>
      </c>
      <c r="BI19" s="430" t="b">
        <f t="shared" si="8"/>
        <v>1</v>
      </c>
      <c r="BJ19" s="430" t="b">
        <f t="shared" si="8"/>
        <v>1</v>
      </c>
      <c r="BK19" s="430" t="b">
        <f t="shared" si="8"/>
        <v>1</v>
      </c>
      <c r="BL19" s="430" t="b">
        <f t="shared" si="8"/>
        <v>1</v>
      </c>
      <c r="BM19" s="430" t="b">
        <f t="shared" si="9"/>
        <v>1</v>
      </c>
      <c r="BN19" s="430" t="b">
        <f t="shared" si="9"/>
        <v>1</v>
      </c>
      <c r="BO19" s="430" t="b">
        <f t="shared" si="9"/>
        <v>1</v>
      </c>
      <c r="BP19" s="430" t="b">
        <f t="shared" si="9"/>
        <v>1</v>
      </c>
      <c r="BQ19" s="244">
        <f>SUM(J19:Z19)</f>
        <v>69016185.619596809</v>
      </c>
      <c r="BR19" s="247">
        <f>'[10]Данные для переноса'!AB18</f>
        <v>1171701.4212100001</v>
      </c>
      <c r="BS19" s="247">
        <f>'[10]Данные для переноса'!AC18</f>
        <v>1960113.8964400003</v>
      </c>
      <c r="BT19" s="247">
        <f>'[10]Данные для переноса'!AD18</f>
        <v>2636185.0259199999</v>
      </c>
      <c r="BU19" s="247">
        <f>'[10]Данные для переноса'!AE18</f>
        <v>2862034.0459463499</v>
      </c>
      <c r="BV19" s="247">
        <f>'[10]Данные для переноса'!AF18</f>
        <v>3434058.294137232</v>
      </c>
      <c r="BW19" s="247">
        <f>'[10]Данные для переноса'!AG18</f>
        <v>3535160.1058677677</v>
      </c>
      <c r="BX19" s="247">
        <f>'[10]Данные для переноса'!AH18</f>
        <v>3711677.7364646061</v>
      </c>
      <c r="BY19" s="247">
        <f>'[10]Данные для переноса'!AI18</f>
        <v>3847520.1277291905</v>
      </c>
      <c r="BZ19" s="247">
        <f>'[10]Данные для переноса'!AJ18</f>
        <v>3988543.7202804787</v>
      </c>
      <c r="CA19" s="247">
        <f>'[10]Данные для переноса'!AK18</f>
        <v>4134950.7122826604</v>
      </c>
      <c r="CB19" s="247">
        <f>'[10]Данные для переноса'!AL18</f>
        <v>4286951.2888287483</v>
      </c>
      <c r="CC19" s="247">
        <f>'[10]Данные для переноса'!AM18</f>
        <v>4444763.9393977756</v>
      </c>
      <c r="CD19" s="247">
        <f>'[10]Данные для переноса'!AN18</f>
        <v>4608615.7879698817</v>
      </c>
      <c r="CE19" s="247">
        <f>'[10]Данные для переноса'!AO18</f>
        <v>4778742.9363047956</v>
      </c>
      <c r="CF19" s="247">
        <f>'[10]Данные для переноса'!AP18</f>
        <v>4955390.8209094293</v>
      </c>
      <c r="CG19" s="247">
        <f>'[10]Данные для переноса'!AQ18</f>
        <v>5138814.5842412971</v>
      </c>
      <c r="CH19" s="247">
        <f>'[10]Данные для переноса'!AR18</f>
        <v>5329279.4607163491</v>
      </c>
      <c r="CI19" s="247">
        <f>'[10]Данные для переноса'!AS18</f>
        <v>5527061.1781125097</v>
      </c>
      <c r="CJ19" s="247">
        <f>'[10]Данные для переноса'!AT18</f>
        <v>5732446.3749838686</v>
      </c>
      <c r="CK19" s="247">
        <f>'[10]Данные для переноса'!AU18</f>
        <v>5945733.0347250188</v>
      </c>
      <c r="CL19" s="247">
        <f>'[10]Данные для переноса'!AV18</f>
        <v>6167230.936950651</v>
      </c>
      <c r="CM19" s="426">
        <v>1171701.4212100001</v>
      </c>
      <c r="CN19" s="426">
        <v>1960113.8964400003</v>
      </c>
      <c r="CO19" s="426">
        <v>2636185.0259199999</v>
      </c>
      <c r="CP19" s="426">
        <v>2862034.0459463499</v>
      </c>
      <c r="CQ19" s="426">
        <v>3434058.294137232</v>
      </c>
      <c r="CR19" s="426">
        <v>3535160.1058677677</v>
      </c>
      <c r="CS19" s="426">
        <v>3711677.7364646061</v>
      </c>
      <c r="CT19" s="426">
        <v>3847520.1277291905</v>
      </c>
      <c r="CU19" s="426">
        <v>3988543.7202804787</v>
      </c>
      <c r="CV19" s="426">
        <v>4134950.7122826604</v>
      </c>
      <c r="CW19" s="426">
        <v>4286951.2888287483</v>
      </c>
      <c r="CX19" s="426">
        <v>4444763.9393977756</v>
      </c>
      <c r="CY19" s="426">
        <v>4608615.7879698817</v>
      </c>
      <c r="CZ19" s="426">
        <v>4778742.9363047956</v>
      </c>
      <c r="DA19" s="426">
        <v>4955390.8209094293</v>
      </c>
      <c r="DB19" s="426">
        <v>5138814.5842412971</v>
      </c>
      <c r="DC19" s="426">
        <v>5329279.4607163491</v>
      </c>
      <c r="DD19" s="426">
        <v>5527061.1781125097</v>
      </c>
      <c r="DE19" s="426">
        <v>5732446.3749838686</v>
      </c>
      <c r="DF19" s="426">
        <v>5945733.0347250188</v>
      </c>
      <c r="DG19" s="426">
        <v>6167230.936950651</v>
      </c>
      <c r="DH19" s="430" t="b">
        <f t="shared" si="34"/>
        <v>1</v>
      </c>
      <c r="DI19" s="430" t="b">
        <f t="shared" si="11"/>
        <v>1</v>
      </c>
      <c r="DJ19" s="430" t="b">
        <f t="shared" si="12"/>
        <v>1</v>
      </c>
      <c r="DK19" s="430" t="b">
        <f t="shared" si="13"/>
        <v>1</v>
      </c>
      <c r="DL19" s="430" t="b">
        <f t="shared" si="14"/>
        <v>1</v>
      </c>
      <c r="DM19" s="430" t="b">
        <f t="shared" si="15"/>
        <v>1</v>
      </c>
      <c r="DN19" s="430" t="b">
        <f t="shared" si="16"/>
        <v>1</v>
      </c>
      <c r="DO19" s="430" t="b">
        <f t="shared" si="17"/>
        <v>1</v>
      </c>
      <c r="DP19" s="430" t="b">
        <f t="shared" si="18"/>
        <v>1</v>
      </c>
      <c r="DQ19" s="430" t="b">
        <f t="shared" si="19"/>
        <v>1</v>
      </c>
      <c r="DR19" s="430" t="b">
        <f t="shared" si="20"/>
        <v>1</v>
      </c>
      <c r="DS19" s="430" t="b">
        <f t="shared" si="21"/>
        <v>1</v>
      </c>
      <c r="DT19" s="430" t="b">
        <f t="shared" si="22"/>
        <v>1</v>
      </c>
      <c r="DU19" s="430" t="b">
        <f t="shared" si="23"/>
        <v>1</v>
      </c>
      <c r="DV19" s="430" t="b">
        <f t="shared" si="24"/>
        <v>1</v>
      </c>
      <c r="DW19" s="430" t="b">
        <f t="shared" si="25"/>
        <v>1</v>
      </c>
      <c r="DX19" s="430" t="b">
        <f t="shared" si="26"/>
        <v>1</v>
      </c>
      <c r="DY19" s="430" t="b">
        <f t="shared" si="27"/>
        <v>1</v>
      </c>
      <c r="DZ19" s="430" t="b">
        <f t="shared" si="28"/>
        <v>1</v>
      </c>
      <c r="EA19" s="430" t="b">
        <f t="shared" si="29"/>
        <v>1</v>
      </c>
      <c r="EB19" s="430" t="b">
        <f t="shared" si="35"/>
        <v>1</v>
      </c>
      <c r="EC19" s="244">
        <f>SUM(BV19:CL19)</f>
        <v>79566941.03990227</v>
      </c>
      <c r="ED19" s="223">
        <f>BR19-F19</f>
        <v>0</v>
      </c>
      <c r="EE19" s="223">
        <f>BS19-G19</f>
        <v>0</v>
      </c>
      <c r="EF19" s="223">
        <f>BT19-H19</f>
        <v>0</v>
      </c>
      <c r="EG19" s="223">
        <f>BU19-I19</f>
        <v>7653.3830532510765</v>
      </c>
      <c r="EH19" s="223">
        <f>BV19-J19</f>
        <v>499458.07613578113</v>
      </c>
      <c r="EI19" s="223">
        <f>BW19-K19</f>
        <v>507301.9141812115</v>
      </c>
      <c r="EJ19" s="223">
        <f>BX19-L19</f>
        <v>562705.21711058775</v>
      </c>
      <c r="EK19" s="223">
        <f>BY19-M19</f>
        <v>572588.70760101173</v>
      </c>
      <c r="EL19" s="223">
        <f>BZ19-N19</f>
        <v>582615.04334717197</v>
      </c>
      <c r="EM19" s="223">
        <f>CA19-O19</f>
        <v>592784.8882720219</v>
      </c>
      <c r="EN19" s="223">
        <f>CB19-P19</f>
        <v>603098.83185768407</v>
      </c>
      <c r="EO19" s="223">
        <f>CC19-Q19</f>
        <v>613557.38414786849</v>
      </c>
      <c r="EP19" s="223">
        <f>CD19-R19</f>
        <v>624160.97050997848</v>
      </c>
      <c r="EQ19" s="223">
        <f>CE19-S19</f>
        <v>634909.92614649609</v>
      </c>
      <c r="ER19" s="223">
        <f>CF19-T19</f>
        <v>645804.49034479819</v>
      </c>
      <c r="ES19" s="223">
        <f>CG19-U19</f>
        <v>656844.8004540801</v>
      </c>
      <c r="ET19" s="223">
        <f>CH19-V19</f>
        <v>668030.88557764329</v>
      </c>
      <c r="EU19" s="223">
        <f>CI19-W19</f>
        <v>679362.65996825509</v>
      </c>
      <c r="EV19" s="223">
        <f>CJ19-X19</f>
        <v>690839.91611384414</v>
      </c>
      <c r="EW19" s="223">
        <f>CK19-Y19</f>
        <v>702462.31750019267</v>
      </c>
      <c r="EX19" s="223">
        <f>CL19-Z19</f>
        <v>714229.39103683177</v>
      </c>
      <c r="EY19" s="244">
        <f>SUM(EH19:EX19)</f>
        <v>10550755.420305457</v>
      </c>
    </row>
    <row r="20" spans="1:155" s="235" customFormat="1" ht="26" x14ac:dyDescent="0.35">
      <c r="A20" s="221"/>
      <c r="B20" s="222"/>
      <c r="C20" s="246">
        <v>10</v>
      </c>
      <c r="D20" s="253" t="s">
        <v>14</v>
      </c>
      <c r="E20" s="243" t="s">
        <v>13</v>
      </c>
      <c r="F20" s="384">
        <f>'[10]Данные для переноса'!F19</f>
        <v>1068943.206569883</v>
      </c>
      <c r="G20" s="384">
        <f>'[10]Данные для переноса'!G19</f>
        <v>1505563.4838555639</v>
      </c>
      <c r="H20" s="384">
        <f>'[10]Данные для переноса'!H19</f>
        <v>2404991.5991468155</v>
      </c>
      <c r="I20" s="384">
        <f>'[10]Данные для переноса'!I19</f>
        <v>2626030.2098616511</v>
      </c>
      <c r="J20" s="384">
        <f>'[10]Данные для переноса'!J19</f>
        <v>2699832.2005613353</v>
      </c>
      <c r="K20" s="384">
        <f>'[10]Данные для переноса'!K19</f>
        <v>2785629.5363516319</v>
      </c>
      <c r="L20" s="384">
        <f>'[10]Данные для переноса'!L19</f>
        <v>2897054.7178056971</v>
      </c>
      <c r="M20" s="384">
        <f>'[10]Данные для переноса'!M19</f>
        <v>3012936.9065179243</v>
      </c>
      <c r="N20" s="384">
        <f>'[10]Данные для переноса'!N19</f>
        <v>3133454.3827786422</v>
      </c>
      <c r="O20" s="384">
        <f>'[10]Данные для переноса'!O19</f>
        <v>3258792.5580897871</v>
      </c>
      <c r="P20" s="384">
        <f>'[10]Данные для переноса'!P19</f>
        <v>3389144.2604133789</v>
      </c>
      <c r="Q20" s="384">
        <f>'[10]Данные для переноса'!Q19</f>
        <v>3524710.0308299144</v>
      </c>
      <c r="R20" s="384">
        <f>'[10]Данные для переноса'!R19</f>
        <v>3665698.4320631111</v>
      </c>
      <c r="S20" s="384">
        <f>'[10]Данные для переноса'!S19</f>
        <v>3812326.3693456356</v>
      </c>
      <c r="T20" s="384">
        <f>'[10]Данные для переноса'!T19</f>
        <v>3964819.4241194609</v>
      </c>
      <c r="U20" s="384">
        <f>'[10]Данные для переноса'!U19</f>
        <v>4123412.2010842399</v>
      </c>
      <c r="V20" s="384">
        <f>'[10]Данные для переноса'!V19</f>
        <v>4288348.6891276091</v>
      </c>
      <c r="W20" s="384">
        <f>'[10]Данные для переноса'!W19</f>
        <v>4459882.6366927139</v>
      </c>
      <c r="X20" s="384">
        <f>'[10]Данные для переноса'!X19</f>
        <v>4638277.942160422</v>
      </c>
      <c r="Y20" s="384">
        <f>'[10]Данные для переноса'!Y19</f>
        <v>4823809.0598468399</v>
      </c>
      <c r="Z20" s="384">
        <f>'[10]Данные для переноса'!Z19</f>
        <v>5016761.4222407145</v>
      </c>
      <c r="AA20" s="426">
        <v>1068943.206569883</v>
      </c>
      <c r="AB20" s="426">
        <v>1505563.4838555639</v>
      </c>
      <c r="AC20" s="426">
        <v>2404991.5991468155</v>
      </c>
      <c r="AD20" s="426">
        <v>2626030.2098616511</v>
      </c>
      <c r="AE20" s="426">
        <v>2699832.2005613353</v>
      </c>
      <c r="AF20" s="426">
        <v>2785629.5363516319</v>
      </c>
      <c r="AG20" s="426">
        <v>2897054.7178056971</v>
      </c>
      <c r="AH20" s="426">
        <v>3012936.9065179243</v>
      </c>
      <c r="AI20" s="426">
        <v>3133454.3827786422</v>
      </c>
      <c r="AJ20" s="426">
        <v>3258792.5580897871</v>
      </c>
      <c r="AK20" s="426">
        <v>3389144.2604133789</v>
      </c>
      <c r="AL20" s="426">
        <v>3524710.0308299144</v>
      </c>
      <c r="AM20" s="426">
        <v>3665698.4320631111</v>
      </c>
      <c r="AN20" s="426">
        <v>3812326.3693456356</v>
      </c>
      <c r="AO20" s="426">
        <v>3964819.4241194609</v>
      </c>
      <c r="AP20" s="426">
        <v>4123412.2010842399</v>
      </c>
      <c r="AQ20" s="426">
        <v>4288348.6891276091</v>
      </c>
      <c r="AR20" s="426">
        <v>4459882.6366927139</v>
      </c>
      <c r="AS20" s="426">
        <v>4638277.942160422</v>
      </c>
      <c r="AT20" s="426">
        <v>4823809.0598468399</v>
      </c>
      <c r="AU20" s="426">
        <v>5016761.4222407145</v>
      </c>
      <c r="AV20" s="430" t="b">
        <f t="shared" si="32"/>
        <v>1</v>
      </c>
      <c r="AW20" s="430" t="b">
        <f t="shared" si="8"/>
        <v>1</v>
      </c>
      <c r="AX20" s="430" t="b">
        <f t="shared" si="8"/>
        <v>1</v>
      </c>
      <c r="AY20" s="430" t="b">
        <f t="shared" si="8"/>
        <v>1</v>
      </c>
      <c r="AZ20" s="430" t="b">
        <f t="shared" si="8"/>
        <v>1</v>
      </c>
      <c r="BA20" s="430" t="b">
        <f t="shared" si="8"/>
        <v>1</v>
      </c>
      <c r="BB20" s="430" t="b">
        <f t="shared" si="8"/>
        <v>1</v>
      </c>
      <c r="BC20" s="430" t="b">
        <f t="shared" si="8"/>
        <v>1</v>
      </c>
      <c r="BD20" s="430" t="b">
        <f t="shared" si="8"/>
        <v>1</v>
      </c>
      <c r="BE20" s="430" t="b">
        <f t="shared" si="8"/>
        <v>1</v>
      </c>
      <c r="BF20" s="430" t="b">
        <f t="shared" si="8"/>
        <v>1</v>
      </c>
      <c r="BG20" s="430" t="b">
        <f t="shared" si="8"/>
        <v>1</v>
      </c>
      <c r="BH20" s="430" t="b">
        <f t="shared" si="8"/>
        <v>1</v>
      </c>
      <c r="BI20" s="430" t="b">
        <f t="shared" si="8"/>
        <v>1</v>
      </c>
      <c r="BJ20" s="430" t="b">
        <f t="shared" si="8"/>
        <v>1</v>
      </c>
      <c r="BK20" s="430" t="b">
        <f t="shared" si="8"/>
        <v>1</v>
      </c>
      <c r="BL20" s="430" t="b">
        <f t="shared" si="8"/>
        <v>1</v>
      </c>
      <c r="BM20" s="430" t="b">
        <f t="shared" si="9"/>
        <v>1</v>
      </c>
      <c r="BN20" s="430" t="b">
        <f t="shared" si="9"/>
        <v>1</v>
      </c>
      <c r="BO20" s="430" t="b">
        <f t="shared" si="9"/>
        <v>1</v>
      </c>
      <c r="BP20" s="430" t="b">
        <f t="shared" si="9"/>
        <v>1</v>
      </c>
      <c r="BQ20" s="244">
        <f t="shared" ref="BQ20:BQ22" si="53">SUM(J20:Z20)</f>
        <v>63494890.770029046</v>
      </c>
      <c r="BR20" s="247">
        <f>'[10]Данные для переноса'!AB19</f>
        <v>1068943.206569883</v>
      </c>
      <c r="BS20" s="247">
        <f>'[10]Данные для переноса'!AC19</f>
        <v>1505563.4838555639</v>
      </c>
      <c r="BT20" s="247">
        <f>'[10]Данные для переноса'!AD19</f>
        <v>2404991.5991468155</v>
      </c>
      <c r="BU20" s="247">
        <f>'[10]Данные для переноса'!AE19</f>
        <v>2633071.322270642</v>
      </c>
      <c r="BV20" s="247">
        <f>'[10]Данные для переноса'!AF19</f>
        <v>3159333.6306062532</v>
      </c>
      <c r="BW20" s="247">
        <f>'[10]Данные для переноса'!AG19</f>
        <v>3252347.2973983469</v>
      </c>
      <c r="BX20" s="247">
        <f>'[10]Данные для переноса'!AH19</f>
        <v>3414743.5175474379</v>
      </c>
      <c r="BY20" s="247">
        <f>'[10]Данные для переноса'!AI19</f>
        <v>3539718.5175108556</v>
      </c>
      <c r="BZ20" s="247">
        <f>'[10]Данные для переноса'!AJ19</f>
        <v>3669460.2226580405</v>
      </c>
      <c r="CA20" s="247">
        <f>'[10]Данные для переноса'!AK19</f>
        <v>3804154.6553000472</v>
      </c>
      <c r="CB20" s="247">
        <f>'[10]Данные для переноса'!AL19</f>
        <v>3943995.1857224479</v>
      </c>
      <c r="CC20" s="247">
        <f>'[10]Данные для переноса'!AM19</f>
        <v>4089182.824245953</v>
      </c>
      <c r="CD20" s="247">
        <f>'[10]Данные для переноса'!AN19</f>
        <v>4239926.5249322914</v>
      </c>
      <c r="CE20" s="247">
        <f>'[10]Данные для переноса'!AO19</f>
        <v>4396443.5014004111</v>
      </c>
      <c r="CF20" s="247">
        <f>'[10]Данные для переноса'!AP19</f>
        <v>4558959.5552366748</v>
      </c>
      <c r="CG20" s="247">
        <f>'[10]Данные для переноса'!AQ19</f>
        <v>4727709.4175019935</v>
      </c>
      <c r="CH20" s="247">
        <f>'[10]Данные для переноса'!AR19</f>
        <v>4902937.1038590409</v>
      </c>
      <c r="CI20" s="247">
        <f>'[10]Данные для переноса'!AS19</f>
        <v>5084896.2838635081</v>
      </c>
      <c r="CJ20" s="247">
        <f>'[10]Данные для переноса'!AT19</f>
        <v>5273850.6649851585</v>
      </c>
      <c r="CK20" s="247">
        <f>'[10]Данные для переноса'!AU19</f>
        <v>5470074.391947018</v>
      </c>
      <c r="CL20" s="247">
        <f>'[10]Данные для переноса'!AV19</f>
        <v>5673852.4619945996</v>
      </c>
      <c r="CM20" s="426">
        <v>1068943.206569883</v>
      </c>
      <c r="CN20" s="426">
        <v>1505563.4838555639</v>
      </c>
      <c r="CO20" s="426">
        <v>2404991.5991468155</v>
      </c>
      <c r="CP20" s="426">
        <v>2633071.322270642</v>
      </c>
      <c r="CQ20" s="426">
        <v>3159333.6306062532</v>
      </c>
      <c r="CR20" s="426">
        <v>3252347.2973983469</v>
      </c>
      <c r="CS20" s="426">
        <v>3414743.5175474379</v>
      </c>
      <c r="CT20" s="426">
        <v>3539718.5175108556</v>
      </c>
      <c r="CU20" s="426">
        <v>3669460.2226580405</v>
      </c>
      <c r="CV20" s="426">
        <v>3804154.6553000472</v>
      </c>
      <c r="CW20" s="426">
        <v>3943995.1857224479</v>
      </c>
      <c r="CX20" s="426">
        <v>4089182.824245953</v>
      </c>
      <c r="CY20" s="426">
        <v>4239926.5249322914</v>
      </c>
      <c r="CZ20" s="426">
        <v>4396443.5014004111</v>
      </c>
      <c r="DA20" s="426">
        <v>4558959.5552366748</v>
      </c>
      <c r="DB20" s="426">
        <v>4727709.4175019935</v>
      </c>
      <c r="DC20" s="426">
        <v>4902937.1038590409</v>
      </c>
      <c r="DD20" s="426">
        <v>5084896.2838635081</v>
      </c>
      <c r="DE20" s="426">
        <v>5273850.6649851585</v>
      </c>
      <c r="DF20" s="426">
        <v>5470074.391947018</v>
      </c>
      <c r="DG20" s="426">
        <v>5673852.4619945996</v>
      </c>
      <c r="DH20" s="430" t="b">
        <f t="shared" si="34"/>
        <v>1</v>
      </c>
      <c r="DI20" s="430" t="b">
        <f t="shared" si="11"/>
        <v>1</v>
      </c>
      <c r="DJ20" s="430" t="b">
        <f t="shared" si="12"/>
        <v>1</v>
      </c>
      <c r="DK20" s="430" t="b">
        <f t="shared" si="13"/>
        <v>1</v>
      </c>
      <c r="DL20" s="430" t="b">
        <f t="shared" si="14"/>
        <v>1</v>
      </c>
      <c r="DM20" s="430" t="b">
        <f t="shared" si="15"/>
        <v>1</v>
      </c>
      <c r="DN20" s="430" t="b">
        <f t="shared" si="16"/>
        <v>1</v>
      </c>
      <c r="DO20" s="430" t="b">
        <f t="shared" si="17"/>
        <v>1</v>
      </c>
      <c r="DP20" s="430" t="b">
        <f t="shared" si="18"/>
        <v>1</v>
      </c>
      <c r="DQ20" s="430" t="b">
        <f t="shared" si="19"/>
        <v>1</v>
      </c>
      <c r="DR20" s="430" t="b">
        <f t="shared" si="20"/>
        <v>1</v>
      </c>
      <c r="DS20" s="430" t="b">
        <f t="shared" si="21"/>
        <v>1</v>
      </c>
      <c r="DT20" s="430" t="b">
        <f t="shared" si="22"/>
        <v>1</v>
      </c>
      <c r="DU20" s="430" t="b">
        <f t="shared" si="23"/>
        <v>1</v>
      </c>
      <c r="DV20" s="430" t="b">
        <f t="shared" si="24"/>
        <v>1</v>
      </c>
      <c r="DW20" s="430" t="b">
        <f t="shared" si="25"/>
        <v>1</v>
      </c>
      <c r="DX20" s="430" t="b">
        <f t="shared" si="26"/>
        <v>1</v>
      </c>
      <c r="DY20" s="430" t="b">
        <f t="shared" si="27"/>
        <v>1</v>
      </c>
      <c r="DZ20" s="430" t="b">
        <f t="shared" si="28"/>
        <v>1</v>
      </c>
      <c r="EA20" s="430" t="b">
        <f t="shared" si="29"/>
        <v>1</v>
      </c>
      <c r="EB20" s="430" t="b">
        <f t="shared" si="35"/>
        <v>1</v>
      </c>
      <c r="EC20" s="244">
        <f t="shared" ref="EC20:EC22" si="54">SUM(BV20:CL20)</f>
        <v>73201585.756710082</v>
      </c>
      <c r="ED20" s="223">
        <f>BR20-F20</f>
        <v>0</v>
      </c>
      <c r="EE20" s="223">
        <f>BS20-G20</f>
        <v>0</v>
      </c>
      <c r="EF20" s="223">
        <f>BT20-H20</f>
        <v>0</v>
      </c>
      <c r="EG20" s="223">
        <f>BU20-I20</f>
        <v>7041.1124089909717</v>
      </c>
      <c r="EH20" s="223">
        <f>BV20-J20</f>
        <v>459501.43004491786</v>
      </c>
      <c r="EI20" s="223">
        <f>BW20-K20</f>
        <v>466717.76104671508</v>
      </c>
      <c r="EJ20" s="223">
        <f>BX20-L20</f>
        <v>517688.7997417408</v>
      </c>
      <c r="EK20" s="223">
        <f>BY20-M20</f>
        <v>526781.6109929313</v>
      </c>
      <c r="EL20" s="223">
        <f>BZ20-N20</f>
        <v>536005.83987939823</v>
      </c>
      <c r="EM20" s="223">
        <f>CA20-O20</f>
        <v>545362.09721026011</v>
      </c>
      <c r="EN20" s="223">
        <f>CB20-P20</f>
        <v>554850.92530906899</v>
      </c>
      <c r="EO20" s="223">
        <f>CC20-Q20</f>
        <v>564472.79341603862</v>
      </c>
      <c r="EP20" s="223">
        <f>CD20-R20</f>
        <v>574228.09286918025</v>
      </c>
      <c r="EQ20" s="223">
        <f>CE20-S20</f>
        <v>584117.13205477549</v>
      </c>
      <c r="ER20" s="223">
        <f>CF20-T20</f>
        <v>594140.13111721398</v>
      </c>
      <c r="ES20" s="223">
        <f>CG20-U20</f>
        <v>604297.2164177536</v>
      </c>
      <c r="ET20" s="223">
        <f>CH20-V20</f>
        <v>614588.41473143175</v>
      </c>
      <c r="EU20" s="223">
        <f>CI20-W20</f>
        <v>625013.6471707942</v>
      </c>
      <c r="EV20" s="223">
        <f>CJ20-X20</f>
        <v>635572.7228247365</v>
      </c>
      <c r="EW20" s="223">
        <f>CK20-Y20</f>
        <v>646265.33210017812</v>
      </c>
      <c r="EX20" s="223">
        <f>CL20-Z20</f>
        <v>657091.03975388501</v>
      </c>
      <c r="EY20" s="244">
        <f t="shared" ref="EY20:EY22" si="55">SUM(EH20:EX20)</f>
        <v>9706694.986681018</v>
      </c>
    </row>
    <row r="21" spans="1:155" s="235" customFormat="1" x14ac:dyDescent="0.35">
      <c r="A21" s="221"/>
      <c r="B21" s="222"/>
      <c r="C21" s="251">
        <v>12</v>
      </c>
      <c r="D21" s="249" t="s">
        <v>97</v>
      </c>
      <c r="E21" s="250" t="s">
        <v>13</v>
      </c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  <c r="AA21" s="431"/>
      <c r="AB21" s="431"/>
      <c r="AC21" s="431"/>
      <c r="AD21" s="431"/>
      <c r="AE21" s="431"/>
      <c r="AF21" s="431"/>
      <c r="AG21" s="431"/>
      <c r="AH21" s="431"/>
      <c r="AI21" s="431"/>
      <c r="AJ21" s="431"/>
      <c r="AK21" s="431"/>
      <c r="AL21" s="431"/>
      <c r="AM21" s="431"/>
      <c r="AN21" s="431"/>
      <c r="AO21" s="431"/>
      <c r="AP21" s="431"/>
      <c r="AQ21" s="431"/>
      <c r="AR21" s="431"/>
      <c r="AS21" s="431"/>
      <c r="AT21" s="431"/>
      <c r="AU21" s="431"/>
      <c r="AV21" s="431" t="b">
        <f t="shared" si="32"/>
        <v>1</v>
      </c>
      <c r="AW21" s="431" t="b">
        <f t="shared" si="8"/>
        <v>1</v>
      </c>
      <c r="AX21" s="431" t="b">
        <f t="shared" si="8"/>
        <v>1</v>
      </c>
      <c r="AY21" s="431" t="b">
        <f t="shared" si="8"/>
        <v>1</v>
      </c>
      <c r="AZ21" s="431" t="b">
        <f t="shared" si="8"/>
        <v>1</v>
      </c>
      <c r="BA21" s="431" t="b">
        <f t="shared" si="8"/>
        <v>1</v>
      </c>
      <c r="BB21" s="431" t="b">
        <f t="shared" si="8"/>
        <v>1</v>
      </c>
      <c r="BC21" s="431" t="b">
        <f t="shared" si="8"/>
        <v>1</v>
      </c>
      <c r="BD21" s="431" t="b">
        <f t="shared" si="8"/>
        <v>1</v>
      </c>
      <c r="BE21" s="431" t="b">
        <f t="shared" si="8"/>
        <v>1</v>
      </c>
      <c r="BF21" s="431" t="b">
        <f t="shared" si="8"/>
        <v>1</v>
      </c>
      <c r="BG21" s="431" t="b">
        <f t="shared" si="8"/>
        <v>1</v>
      </c>
      <c r="BH21" s="431" t="b">
        <f t="shared" si="8"/>
        <v>1</v>
      </c>
      <c r="BI21" s="431" t="b">
        <f t="shared" si="8"/>
        <v>1</v>
      </c>
      <c r="BJ21" s="431" t="b">
        <f t="shared" si="8"/>
        <v>1</v>
      </c>
      <c r="BK21" s="431" t="b">
        <f t="shared" si="8"/>
        <v>1</v>
      </c>
      <c r="BL21" s="431" t="b">
        <f t="shared" si="8"/>
        <v>1</v>
      </c>
      <c r="BM21" s="431" t="b">
        <f t="shared" si="9"/>
        <v>1</v>
      </c>
      <c r="BN21" s="431" t="b">
        <f t="shared" si="9"/>
        <v>1</v>
      </c>
      <c r="BO21" s="431" t="b">
        <f t="shared" si="9"/>
        <v>1</v>
      </c>
      <c r="BP21" s="431" t="b">
        <f t="shared" si="9"/>
        <v>1</v>
      </c>
      <c r="BQ21" s="244">
        <f t="shared" si="53"/>
        <v>0</v>
      </c>
      <c r="BR21" s="252"/>
      <c r="BS21" s="252"/>
      <c r="BT21" s="252"/>
      <c r="BU21" s="252"/>
      <c r="BV21" s="252"/>
      <c r="BW21" s="252"/>
      <c r="BX21" s="252"/>
      <c r="BY21" s="252"/>
      <c r="BZ21" s="252"/>
      <c r="CA21" s="252"/>
      <c r="CB21" s="252"/>
      <c r="CC21" s="252"/>
      <c r="CD21" s="252"/>
      <c r="CE21" s="252"/>
      <c r="CF21" s="252"/>
      <c r="CG21" s="252"/>
      <c r="CH21" s="252"/>
      <c r="CI21" s="252"/>
      <c r="CJ21" s="252"/>
      <c r="CK21" s="252"/>
      <c r="CL21" s="252"/>
      <c r="CM21" s="431"/>
      <c r="CN21" s="431"/>
      <c r="CO21" s="431"/>
      <c r="CP21" s="431"/>
      <c r="CQ21" s="431"/>
      <c r="CR21" s="431"/>
      <c r="CS21" s="431"/>
      <c r="CT21" s="431"/>
      <c r="CU21" s="431"/>
      <c r="CV21" s="431"/>
      <c r="CW21" s="431"/>
      <c r="CX21" s="431"/>
      <c r="CY21" s="431"/>
      <c r="CZ21" s="431"/>
      <c r="DA21" s="431"/>
      <c r="DB21" s="431"/>
      <c r="DC21" s="431"/>
      <c r="DD21" s="431"/>
      <c r="DE21" s="431"/>
      <c r="DF21" s="431"/>
      <c r="DG21" s="431"/>
      <c r="DH21" s="431" t="b">
        <f t="shared" si="34"/>
        <v>1</v>
      </c>
      <c r="DI21" s="431" t="b">
        <f t="shared" si="11"/>
        <v>1</v>
      </c>
      <c r="DJ21" s="431" t="b">
        <f t="shared" si="12"/>
        <v>1</v>
      </c>
      <c r="DK21" s="431" t="b">
        <f t="shared" si="13"/>
        <v>1</v>
      </c>
      <c r="DL21" s="431" t="b">
        <f t="shared" si="14"/>
        <v>1</v>
      </c>
      <c r="DM21" s="431" t="b">
        <f t="shared" si="15"/>
        <v>1</v>
      </c>
      <c r="DN21" s="431" t="b">
        <f t="shared" si="16"/>
        <v>1</v>
      </c>
      <c r="DO21" s="431" t="b">
        <f t="shared" si="17"/>
        <v>1</v>
      </c>
      <c r="DP21" s="431" t="b">
        <f t="shared" si="18"/>
        <v>1</v>
      </c>
      <c r="DQ21" s="431" t="b">
        <f t="shared" si="19"/>
        <v>1</v>
      </c>
      <c r="DR21" s="431" t="b">
        <f t="shared" si="20"/>
        <v>1</v>
      </c>
      <c r="DS21" s="431" t="b">
        <f t="shared" si="21"/>
        <v>1</v>
      </c>
      <c r="DT21" s="431" t="b">
        <f t="shared" si="22"/>
        <v>1</v>
      </c>
      <c r="DU21" s="431" t="b">
        <f t="shared" si="23"/>
        <v>1</v>
      </c>
      <c r="DV21" s="431" t="b">
        <f t="shared" si="24"/>
        <v>1</v>
      </c>
      <c r="DW21" s="431" t="b">
        <f t="shared" si="25"/>
        <v>1</v>
      </c>
      <c r="DX21" s="431" t="b">
        <f t="shared" si="26"/>
        <v>1</v>
      </c>
      <c r="DY21" s="431" t="b">
        <f t="shared" si="27"/>
        <v>1</v>
      </c>
      <c r="DZ21" s="431" t="b">
        <f t="shared" si="28"/>
        <v>1</v>
      </c>
      <c r="EA21" s="431" t="b">
        <f t="shared" si="29"/>
        <v>1</v>
      </c>
      <c r="EB21" s="431" t="b">
        <f t="shared" si="35"/>
        <v>1</v>
      </c>
      <c r="EC21" s="244">
        <f t="shared" si="54"/>
        <v>0</v>
      </c>
      <c r="ED21" s="252">
        <f>'ФинРез Кампус'!F90</f>
        <v>0</v>
      </c>
      <c r="EE21" s="252">
        <f>'ФинРез Кампус'!G90</f>
        <v>0</v>
      </c>
      <c r="EF21" s="252">
        <f>'ФинРез Кампус'!H90</f>
        <v>0</v>
      </c>
      <c r="EG21" s="252">
        <f>'ФинРез Кампус'!I90</f>
        <v>0</v>
      </c>
      <c r="EH21" s="252">
        <f>'ФинРез Кампус'!J90</f>
        <v>0</v>
      </c>
      <c r="EI21" s="252">
        <f>'ФинРез Кампус'!K90</f>
        <v>0</v>
      </c>
      <c r="EJ21" s="252">
        <f>'ФинРез Кампус'!L90</f>
        <v>0</v>
      </c>
      <c r="EK21" s="252">
        <f>'ФинРез Кампус'!M90</f>
        <v>0</v>
      </c>
      <c r="EL21" s="252">
        <f>'ФинРез Кампус'!N90</f>
        <v>0</v>
      </c>
      <c r="EM21" s="252">
        <f>'ФинРез Кампус'!O90</f>
        <v>0</v>
      </c>
      <c r="EN21" s="252">
        <f>'ФинРез Кампус'!P90</f>
        <v>0</v>
      </c>
      <c r="EO21" s="252">
        <f>'ФинРез Кампус'!Q90</f>
        <v>0</v>
      </c>
      <c r="EP21" s="252">
        <f>'ФинРез Кампус'!R90</f>
        <v>0</v>
      </c>
      <c r="EQ21" s="252">
        <f>'ФинРез Кампус'!S90</f>
        <v>0</v>
      </c>
      <c r="ER21" s="252">
        <f>'ФинРез Кампус'!T90</f>
        <v>0</v>
      </c>
      <c r="ES21" s="252">
        <f>'ФинРез Кампус'!U90</f>
        <v>0</v>
      </c>
      <c r="ET21" s="252">
        <f>'ФинРез Кампус'!V90</f>
        <v>0</v>
      </c>
      <c r="EU21" s="252">
        <f>'ФинРез Кампус'!W90</f>
        <v>0</v>
      </c>
      <c r="EV21" s="252">
        <f>'ФинРез Кампус'!X90</f>
        <v>0</v>
      </c>
      <c r="EW21" s="252">
        <f>'ФинРез Кампус'!Y90</f>
        <v>0</v>
      </c>
      <c r="EX21" s="252">
        <f>'ФинРез Кампус'!Z90</f>
        <v>0</v>
      </c>
      <c r="EY21" s="244">
        <f t="shared" si="55"/>
        <v>0</v>
      </c>
    </row>
    <row r="22" spans="1:155" s="235" customFormat="1" x14ac:dyDescent="0.35">
      <c r="A22" s="221"/>
      <c r="B22" s="222"/>
      <c r="C22" s="241">
        <v>11</v>
      </c>
      <c r="D22" s="242" t="s">
        <v>15</v>
      </c>
      <c r="E22" s="243" t="s">
        <v>13</v>
      </c>
      <c r="F22" s="384">
        <f>'[10]Данные для переноса'!F20</f>
        <v>124641.60042158401</v>
      </c>
      <c r="G22" s="384">
        <f>'[10]Данные для переноса'!G20</f>
        <v>143386.88433170598</v>
      </c>
      <c r="H22" s="384">
        <f>'[10]Данные для переноса'!H20</f>
        <v>63284.984475200014</v>
      </c>
      <c r="I22" s="384">
        <f>'[10]Данные для переноса'!I20</f>
        <v>66132.808776584003</v>
      </c>
      <c r="J22" s="384">
        <f>'[10]Данные для переноса'!J20</f>
        <v>68778.121127647362</v>
      </c>
      <c r="K22" s="384">
        <f>'[10]Данные для переноса'!K20</f>
        <v>71529.245972753255</v>
      </c>
      <c r="L22" s="384">
        <f>'[10]Данные для переноса'!L20</f>
        <v>74390.415811663392</v>
      </c>
      <c r="M22" s="384">
        <f>'[10]Данные для переноса'!M20</f>
        <v>77366.032444129931</v>
      </c>
      <c r="N22" s="384">
        <f>'[10]Данные для переноса'!N20</f>
        <v>80460.673741895123</v>
      </c>
      <c r="O22" s="384">
        <f>'[10]Данные для переноса'!O20</f>
        <v>83679.100691570944</v>
      </c>
      <c r="P22" s="384">
        <f>'[10]Данные для переноса'!P20</f>
        <v>87026.264719233775</v>
      </c>
      <c r="Q22" s="384">
        <f>'[10]Данные для переноса'!Q20</f>
        <v>90507.315308003133</v>
      </c>
      <c r="R22" s="384">
        <f>'[10]Данные для переноса'!R20</f>
        <v>94127.607920323251</v>
      </c>
      <c r="S22" s="384">
        <f>'[10]Данные для переноса'!S20</f>
        <v>97892.712237136206</v>
      </c>
      <c r="T22" s="384">
        <f>'[10]Данные для переноса'!T20</f>
        <v>101808.42072662165</v>
      </c>
      <c r="U22" s="384">
        <f>'[10]Данные для переноса'!U20</f>
        <v>105880.75755568652</v>
      </c>
      <c r="V22" s="384">
        <f>'[10]Данные для переноса'!V20</f>
        <v>110115.98785791398</v>
      </c>
      <c r="W22" s="384">
        <f>'[10]Данные для переноса'!W20</f>
        <v>114520.62737223053</v>
      </c>
      <c r="X22" s="384">
        <f>'[10]Данные для переноса'!X20</f>
        <v>119101.45246711976</v>
      </c>
      <c r="Y22" s="384">
        <f>'[10]Данные для переноса'!Y20</f>
        <v>123865.51056580455</v>
      </c>
      <c r="Z22" s="384">
        <f>'[10]Данные для переноса'!Z20</f>
        <v>128820.13098843674</v>
      </c>
      <c r="AA22" s="426">
        <v>124641.60042158401</v>
      </c>
      <c r="AB22" s="426">
        <v>143386.88433170598</v>
      </c>
      <c r="AC22" s="426">
        <v>63284.984475200014</v>
      </c>
      <c r="AD22" s="426">
        <v>66132.808776584003</v>
      </c>
      <c r="AE22" s="426">
        <v>68778.121127647362</v>
      </c>
      <c r="AF22" s="426">
        <v>71529.245972753255</v>
      </c>
      <c r="AG22" s="426">
        <v>74390.415811663392</v>
      </c>
      <c r="AH22" s="426">
        <v>77366.032444129931</v>
      </c>
      <c r="AI22" s="426">
        <v>80460.673741895123</v>
      </c>
      <c r="AJ22" s="426">
        <v>83679.100691570944</v>
      </c>
      <c r="AK22" s="426">
        <v>87026.264719233775</v>
      </c>
      <c r="AL22" s="426">
        <v>90507.315308003133</v>
      </c>
      <c r="AM22" s="426">
        <v>94127.607920323251</v>
      </c>
      <c r="AN22" s="426">
        <v>97892.712237136206</v>
      </c>
      <c r="AO22" s="426">
        <v>101808.42072662165</v>
      </c>
      <c r="AP22" s="426">
        <v>105880.75755568652</v>
      </c>
      <c r="AQ22" s="426">
        <v>110115.98785791398</v>
      </c>
      <c r="AR22" s="426">
        <v>114520.62737223053</v>
      </c>
      <c r="AS22" s="426">
        <v>119101.45246711976</v>
      </c>
      <c r="AT22" s="426">
        <v>123865.51056580455</v>
      </c>
      <c r="AU22" s="426">
        <v>128820.13098843674</v>
      </c>
      <c r="AV22" s="430" t="b">
        <f t="shared" si="32"/>
        <v>1</v>
      </c>
      <c r="AW22" s="430" t="b">
        <f t="shared" si="8"/>
        <v>1</v>
      </c>
      <c r="AX22" s="430" t="b">
        <f t="shared" si="8"/>
        <v>1</v>
      </c>
      <c r="AY22" s="430" t="b">
        <f t="shared" si="8"/>
        <v>1</v>
      </c>
      <c r="AZ22" s="430" t="b">
        <f t="shared" si="8"/>
        <v>1</v>
      </c>
      <c r="BA22" s="430" t="b">
        <f t="shared" si="8"/>
        <v>1</v>
      </c>
      <c r="BB22" s="430" t="b">
        <f t="shared" si="8"/>
        <v>1</v>
      </c>
      <c r="BC22" s="430" t="b">
        <f t="shared" si="8"/>
        <v>1</v>
      </c>
      <c r="BD22" s="430" t="b">
        <f t="shared" si="8"/>
        <v>1</v>
      </c>
      <c r="BE22" s="430" t="b">
        <f t="shared" si="8"/>
        <v>1</v>
      </c>
      <c r="BF22" s="430" t="b">
        <f t="shared" si="8"/>
        <v>1</v>
      </c>
      <c r="BG22" s="430" t="b">
        <f t="shared" si="8"/>
        <v>1</v>
      </c>
      <c r="BH22" s="430" t="b">
        <f t="shared" si="8"/>
        <v>1</v>
      </c>
      <c r="BI22" s="430" t="b">
        <f t="shared" si="8"/>
        <v>1</v>
      </c>
      <c r="BJ22" s="430" t="b">
        <f t="shared" si="8"/>
        <v>1</v>
      </c>
      <c r="BK22" s="430" t="b">
        <f t="shared" si="8"/>
        <v>1</v>
      </c>
      <c r="BL22" s="430" t="b">
        <f t="shared" si="8"/>
        <v>1</v>
      </c>
      <c r="BM22" s="430" t="b">
        <f t="shared" si="9"/>
        <v>1</v>
      </c>
      <c r="BN22" s="430" t="b">
        <f t="shared" si="9"/>
        <v>1</v>
      </c>
      <c r="BO22" s="430" t="b">
        <f t="shared" si="9"/>
        <v>1</v>
      </c>
      <c r="BP22" s="430" t="b">
        <f t="shared" si="9"/>
        <v>1</v>
      </c>
      <c r="BQ22" s="244">
        <f t="shared" si="53"/>
        <v>1629870.3775081702</v>
      </c>
      <c r="BR22" s="247">
        <f>'[10]Данные для переноса'!AB20</f>
        <v>124641.60042158401</v>
      </c>
      <c r="BS22" s="247">
        <f>'[10]Данные для переноса'!AC20</f>
        <v>143386.88433170598</v>
      </c>
      <c r="BT22" s="247">
        <f>'[10]Данные для переноса'!AD20</f>
        <v>63284.984475200014</v>
      </c>
      <c r="BU22" s="247">
        <f>'[10]Данные для переноса'!AE20</f>
        <v>66132.808776584003</v>
      </c>
      <c r="BV22" s="247">
        <f>'[10]Данные для переноса'!AF20</f>
        <v>68778.121127647362</v>
      </c>
      <c r="BW22" s="247">
        <f>'[10]Данные для переноса'!AG20</f>
        <v>71529.245972753255</v>
      </c>
      <c r="BX22" s="247">
        <f>'[10]Данные для переноса'!AH20</f>
        <v>74390.415811663392</v>
      </c>
      <c r="BY22" s="247">
        <f>'[10]Данные для переноса'!AI20</f>
        <v>77366.032444129931</v>
      </c>
      <c r="BZ22" s="247">
        <f>'[10]Данные для переноса'!AJ20</f>
        <v>80460.673741895123</v>
      </c>
      <c r="CA22" s="247">
        <f>'[10]Данные для переноса'!AK20</f>
        <v>83679.100691570944</v>
      </c>
      <c r="CB22" s="247">
        <f>'[10]Данные для переноса'!AL20</f>
        <v>87026.264719233775</v>
      </c>
      <c r="CC22" s="247">
        <f>'[10]Данные для переноса'!AM20</f>
        <v>90507.315308003133</v>
      </c>
      <c r="CD22" s="247">
        <f>'[10]Данные для переноса'!AN20</f>
        <v>94127.607920323251</v>
      </c>
      <c r="CE22" s="247">
        <f>'[10]Данные для переноса'!AO20</f>
        <v>97892.712237136206</v>
      </c>
      <c r="CF22" s="247">
        <f>'[10]Данные для переноса'!AP20</f>
        <v>101808.42072662165</v>
      </c>
      <c r="CG22" s="247">
        <f>'[10]Данные для переноса'!AQ20</f>
        <v>105880.75755568652</v>
      </c>
      <c r="CH22" s="247">
        <f>'[10]Данные для переноса'!AR20</f>
        <v>110115.98785791398</v>
      </c>
      <c r="CI22" s="247">
        <f>'[10]Данные для переноса'!AS20</f>
        <v>114520.62737223053</v>
      </c>
      <c r="CJ22" s="247">
        <f>'[10]Данные для переноса'!AT20</f>
        <v>119101.45246711976</v>
      </c>
      <c r="CK22" s="247">
        <f>'[10]Данные для переноса'!AU20</f>
        <v>123865.51056580455</v>
      </c>
      <c r="CL22" s="247">
        <f>'[10]Данные для переноса'!AV20</f>
        <v>128820.13098843674</v>
      </c>
      <c r="CM22" s="426">
        <v>124641.60042158401</v>
      </c>
      <c r="CN22" s="426">
        <v>143386.88433170598</v>
      </c>
      <c r="CO22" s="426">
        <v>63284.984475200014</v>
      </c>
      <c r="CP22" s="426">
        <v>66132.808776584003</v>
      </c>
      <c r="CQ22" s="426">
        <v>68778.121127647362</v>
      </c>
      <c r="CR22" s="426">
        <v>71529.245972753255</v>
      </c>
      <c r="CS22" s="426">
        <v>74390.415811663392</v>
      </c>
      <c r="CT22" s="426">
        <v>77366.032444129931</v>
      </c>
      <c r="CU22" s="426">
        <v>80460.673741895123</v>
      </c>
      <c r="CV22" s="426">
        <v>83679.100691570944</v>
      </c>
      <c r="CW22" s="426">
        <v>87026.264719233775</v>
      </c>
      <c r="CX22" s="426">
        <v>90507.315308003133</v>
      </c>
      <c r="CY22" s="426">
        <v>94127.607920323251</v>
      </c>
      <c r="CZ22" s="426">
        <v>97892.712237136206</v>
      </c>
      <c r="DA22" s="426">
        <v>101808.42072662165</v>
      </c>
      <c r="DB22" s="426">
        <v>105880.75755568652</v>
      </c>
      <c r="DC22" s="426">
        <v>110115.98785791398</v>
      </c>
      <c r="DD22" s="426">
        <v>114520.62737223053</v>
      </c>
      <c r="DE22" s="426">
        <v>119101.45246711976</v>
      </c>
      <c r="DF22" s="426">
        <v>123865.51056580455</v>
      </c>
      <c r="DG22" s="426">
        <v>128820.13098843674</v>
      </c>
      <c r="DH22" s="430" t="b">
        <f t="shared" si="34"/>
        <v>1</v>
      </c>
      <c r="DI22" s="430" t="b">
        <f t="shared" si="11"/>
        <v>1</v>
      </c>
      <c r="DJ22" s="430" t="b">
        <f t="shared" si="12"/>
        <v>1</v>
      </c>
      <c r="DK22" s="430" t="b">
        <f t="shared" si="13"/>
        <v>1</v>
      </c>
      <c r="DL22" s="430" t="b">
        <f t="shared" si="14"/>
        <v>1</v>
      </c>
      <c r="DM22" s="430" t="b">
        <f t="shared" si="15"/>
        <v>1</v>
      </c>
      <c r="DN22" s="430" t="b">
        <f t="shared" si="16"/>
        <v>1</v>
      </c>
      <c r="DO22" s="430" t="b">
        <f t="shared" si="17"/>
        <v>1</v>
      </c>
      <c r="DP22" s="430" t="b">
        <f t="shared" si="18"/>
        <v>1</v>
      </c>
      <c r="DQ22" s="430" t="b">
        <f t="shared" si="19"/>
        <v>1</v>
      </c>
      <c r="DR22" s="430" t="b">
        <f t="shared" si="20"/>
        <v>1</v>
      </c>
      <c r="DS22" s="430" t="b">
        <f t="shared" si="21"/>
        <v>1</v>
      </c>
      <c r="DT22" s="430" t="b">
        <f t="shared" si="22"/>
        <v>1</v>
      </c>
      <c r="DU22" s="430" t="b">
        <f t="shared" si="23"/>
        <v>1</v>
      </c>
      <c r="DV22" s="430" t="b">
        <f t="shared" si="24"/>
        <v>1</v>
      </c>
      <c r="DW22" s="430" t="b">
        <f t="shared" si="25"/>
        <v>1</v>
      </c>
      <c r="DX22" s="430" t="b">
        <f t="shared" si="26"/>
        <v>1</v>
      </c>
      <c r="DY22" s="430" t="b">
        <f t="shared" si="27"/>
        <v>1</v>
      </c>
      <c r="DZ22" s="430" t="b">
        <f t="shared" si="28"/>
        <v>1</v>
      </c>
      <c r="EA22" s="430" t="b">
        <f t="shared" si="29"/>
        <v>1</v>
      </c>
      <c r="EB22" s="430" t="b">
        <f t="shared" si="35"/>
        <v>1</v>
      </c>
      <c r="EC22" s="244">
        <f t="shared" si="54"/>
        <v>1629870.3775081702</v>
      </c>
      <c r="ED22" s="223">
        <f>BR22-F22</f>
        <v>0</v>
      </c>
      <c r="EE22" s="223">
        <f>BS22-G22</f>
        <v>0</v>
      </c>
      <c r="EF22" s="223">
        <f>BT22-H22</f>
        <v>0</v>
      </c>
      <c r="EG22" s="223">
        <f>BU22-I22</f>
        <v>0</v>
      </c>
      <c r="EH22" s="223">
        <f>BV22-J22</f>
        <v>0</v>
      </c>
      <c r="EI22" s="223">
        <f>BW22-K22</f>
        <v>0</v>
      </c>
      <c r="EJ22" s="223">
        <f>BX22-L22</f>
        <v>0</v>
      </c>
      <c r="EK22" s="223">
        <f>BY22-M22</f>
        <v>0</v>
      </c>
      <c r="EL22" s="223">
        <f>BZ22-N22</f>
        <v>0</v>
      </c>
      <c r="EM22" s="223">
        <f>CA22-O22</f>
        <v>0</v>
      </c>
      <c r="EN22" s="223">
        <f>CB22-P22</f>
        <v>0</v>
      </c>
      <c r="EO22" s="223">
        <f>CC22-Q22</f>
        <v>0</v>
      </c>
      <c r="EP22" s="223">
        <f>CD22-R22</f>
        <v>0</v>
      </c>
      <c r="EQ22" s="223">
        <f>CE22-S22</f>
        <v>0</v>
      </c>
      <c r="ER22" s="223">
        <f>CF22-T22</f>
        <v>0</v>
      </c>
      <c r="ES22" s="223">
        <f>CG22-U22</f>
        <v>0</v>
      </c>
      <c r="ET22" s="223">
        <f>CH22-V22</f>
        <v>0</v>
      </c>
      <c r="EU22" s="223">
        <f>CI22-W22</f>
        <v>0</v>
      </c>
      <c r="EV22" s="223">
        <f>CJ22-X22</f>
        <v>0</v>
      </c>
      <c r="EW22" s="223">
        <f>CK22-Y22</f>
        <v>0</v>
      </c>
      <c r="EX22" s="223">
        <f>CL22-Z22</f>
        <v>0</v>
      </c>
      <c r="EY22" s="244">
        <f t="shared" si="55"/>
        <v>0</v>
      </c>
    </row>
    <row r="23" spans="1:155" s="235" customFormat="1" x14ac:dyDescent="0.35">
      <c r="A23" s="221"/>
      <c r="B23" s="222"/>
      <c r="C23" s="236">
        <v>12</v>
      </c>
      <c r="D23" s="254" t="s">
        <v>17</v>
      </c>
      <c r="E23" s="255" t="s">
        <v>10</v>
      </c>
      <c r="F23" s="256">
        <f t="shared" ref="F23" si="56">F24+F28</f>
        <v>0</v>
      </c>
      <c r="G23" s="256">
        <f t="shared" ref="G23" si="57">G24+G28</f>
        <v>0</v>
      </c>
      <c r="H23" s="256">
        <f t="shared" ref="H23" si="58">H24+H28</f>
        <v>0</v>
      </c>
      <c r="I23" s="256">
        <f t="shared" ref="I23" si="59">I24+I28</f>
        <v>0</v>
      </c>
      <c r="J23" s="256">
        <f t="shared" ref="J23" si="60">J24+J28</f>
        <v>0</v>
      </c>
      <c r="K23" s="256">
        <f t="shared" ref="K23" si="61">K24+K28</f>
        <v>0</v>
      </c>
      <c r="L23" s="256">
        <f t="shared" ref="L23:R23" si="62">L24+L28</f>
        <v>0</v>
      </c>
      <c r="M23" s="256">
        <f t="shared" si="62"/>
        <v>0</v>
      </c>
      <c r="N23" s="256">
        <f t="shared" si="62"/>
        <v>0</v>
      </c>
      <c r="O23" s="256">
        <f t="shared" si="62"/>
        <v>0</v>
      </c>
      <c r="P23" s="256">
        <f t="shared" si="62"/>
        <v>0</v>
      </c>
      <c r="Q23" s="256">
        <f t="shared" si="62"/>
        <v>0</v>
      </c>
      <c r="R23" s="256">
        <f t="shared" si="62"/>
        <v>0</v>
      </c>
      <c r="S23" s="256">
        <f t="shared" ref="S23:Z23" si="63">S24+S28</f>
        <v>0</v>
      </c>
      <c r="T23" s="256">
        <f t="shared" si="63"/>
        <v>0</v>
      </c>
      <c r="U23" s="256">
        <f t="shared" si="63"/>
        <v>0</v>
      </c>
      <c r="V23" s="256">
        <f t="shared" si="63"/>
        <v>0</v>
      </c>
      <c r="W23" s="256">
        <f t="shared" si="63"/>
        <v>0</v>
      </c>
      <c r="X23" s="256">
        <f t="shared" si="63"/>
        <v>0</v>
      </c>
      <c r="Y23" s="256">
        <f t="shared" si="63"/>
        <v>0</v>
      </c>
      <c r="Z23" s="256">
        <f t="shared" si="63"/>
        <v>0</v>
      </c>
      <c r="AA23" s="432">
        <v>0</v>
      </c>
      <c r="AB23" s="432">
        <v>0</v>
      </c>
      <c r="AC23" s="432">
        <v>0</v>
      </c>
      <c r="AD23" s="432">
        <v>0</v>
      </c>
      <c r="AE23" s="432">
        <v>0</v>
      </c>
      <c r="AF23" s="432">
        <v>0</v>
      </c>
      <c r="AG23" s="432">
        <v>0</v>
      </c>
      <c r="AH23" s="432">
        <v>0</v>
      </c>
      <c r="AI23" s="432">
        <v>0</v>
      </c>
      <c r="AJ23" s="432">
        <v>0</v>
      </c>
      <c r="AK23" s="432">
        <v>0</v>
      </c>
      <c r="AL23" s="432">
        <v>0</v>
      </c>
      <c r="AM23" s="432">
        <v>0</v>
      </c>
      <c r="AN23" s="432">
        <v>0</v>
      </c>
      <c r="AO23" s="432">
        <v>0</v>
      </c>
      <c r="AP23" s="432">
        <v>0</v>
      </c>
      <c r="AQ23" s="432">
        <v>0</v>
      </c>
      <c r="AR23" s="432">
        <v>0</v>
      </c>
      <c r="AS23" s="432">
        <v>0</v>
      </c>
      <c r="AT23" s="432">
        <v>0</v>
      </c>
      <c r="AU23" s="432">
        <v>0</v>
      </c>
      <c r="AV23" s="433" t="b">
        <f t="shared" si="32"/>
        <v>1</v>
      </c>
      <c r="AW23" s="433" t="b">
        <f t="shared" si="8"/>
        <v>1</v>
      </c>
      <c r="AX23" s="433" t="b">
        <f t="shared" si="8"/>
        <v>1</v>
      </c>
      <c r="AY23" s="433" t="b">
        <f t="shared" si="8"/>
        <v>1</v>
      </c>
      <c r="AZ23" s="433" t="b">
        <f t="shared" si="8"/>
        <v>1</v>
      </c>
      <c r="BA23" s="433" t="b">
        <f t="shared" si="8"/>
        <v>1</v>
      </c>
      <c r="BB23" s="433" t="b">
        <f t="shared" si="8"/>
        <v>1</v>
      </c>
      <c r="BC23" s="433" t="b">
        <f t="shared" si="8"/>
        <v>1</v>
      </c>
      <c r="BD23" s="433" t="b">
        <f t="shared" si="8"/>
        <v>1</v>
      </c>
      <c r="BE23" s="433" t="b">
        <f t="shared" si="8"/>
        <v>1</v>
      </c>
      <c r="BF23" s="433" t="b">
        <f t="shared" si="8"/>
        <v>1</v>
      </c>
      <c r="BG23" s="433" t="b">
        <f t="shared" si="8"/>
        <v>1</v>
      </c>
      <c r="BH23" s="433" t="b">
        <f t="shared" si="8"/>
        <v>1</v>
      </c>
      <c r="BI23" s="433" t="b">
        <f t="shared" si="8"/>
        <v>1</v>
      </c>
      <c r="BJ23" s="433" t="b">
        <f t="shared" si="8"/>
        <v>1</v>
      </c>
      <c r="BK23" s="433" t="b">
        <f t="shared" si="8"/>
        <v>1</v>
      </c>
      <c r="BL23" s="433" t="b">
        <f t="shared" si="8"/>
        <v>1</v>
      </c>
      <c r="BM23" s="433" t="b">
        <f t="shared" si="9"/>
        <v>1</v>
      </c>
      <c r="BN23" s="433" t="b">
        <f t="shared" si="9"/>
        <v>1</v>
      </c>
      <c r="BO23" s="433" t="b">
        <f t="shared" si="9"/>
        <v>1</v>
      </c>
      <c r="BP23" s="433" t="b">
        <f t="shared" si="9"/>
        <v>1</v>
      </c>
      <c r="BQ23" s="257">
        <f>SUM(J23:Z23)</f>
        <v>0</v>
      </c>
      <c r="BR23" s="256">
        <f t="shared" ref="BR23:CL23" si="64">BR24+BR28</f>
        <v>0</v>
      </c>
      <c r="BS23" s="256">
        <f t="shared" si="64"/>
        <v>0</v>
      </c>
      <c r="BT23" s="256">
        <f t="shared" si="64"/>
        <v>0</v>
      </c>
      <c r="BU23" s="256">
        <f t="shared" si="64"/>
        <v>0</v>
      </c>
      <c r="BV23" s="256">
        <f t="shared" si="64"/>
        <v>0</v>
      </c>
      <c r="BW23" s="256">
        <f t="shared" si="64"/>
        <v>0</v>
      </c>
      <c r="BX23" s="256">
        <f t="shared" si="64"/>
        <v>0</v>
      </c>
      <c r="BY23" s="256">
        <f t="shared" ca="1" si="64"/>
        <v>124377.90687059746</v>
      </c>
      <c r="BZ23" s="256">
        <f t="shared" si="64"/>
        <v>0</v>
      </c>
      <c r="CA23" s="256">
        <f t="shared" si="64"/>
        <v>0</v>
      </c>
      <c r="CB23" s="256">
        <f t="shared" si="64"/>
        <v>0</v>
      </c>
      <c r="CC23" s="256">
        <f t="shared" si="64"/>
        <v>1.6393139958381653E-4</v>
      </c>
      <c r="CD23" s="256">
        <f t="shared" si="64"/>
        <v>0</v>
      </c>
      <c r="CE23" s="256">
        <f t="shared" ca="1" si="64"/>
        <v>541439.27104442997</v>
      </c>
      <c r="CF23" s="256">
        <f t="shared" si="64"/>
        <v>984759.65641614958</v>
      </c>
      <c r="CG23" s="256">
        <f t="shared" si="64"/>
        <v>989732.14962283941</v>
      </c>
      <c r="CH23" s="256">
        <f t="shared" si="64"/>
        <v>988200.82279409701</v>
      </c>
      <c r="CI23" s="256">
        <f t="shared" si="64"/>
        <v>694786.3498000463</v>
      </c>
      <c r="CJ23" s="256">
        <f t="shared" si="64"/>
        <v>984797.44737647939</v>
      </c>
      <c r="CK23" s="256">
        <f t="shared" si="64"/>
        <v>982910.2796701605</v>
      </c>
      <c r="CL23" s="256">
        <f t="shared" si="64"/>
        <v>980888.58440361987</v>
      </c>
      <c r="CM23" s="432">
        <v>0</v>
      </c>
      <c r="CN23" s="432">
        <v>0</v>
      </c>
      <c r="CO23" s="432">
        <v>0</v>
      </c>
      <c r="CP23" s="432">
        <v>0</v>
      </c>
      <c r="CQ23" s="432">
        <v>0</v>
      </c>
      <c r="CR23" s="432">
        <v>0</v>
      </c>
      <c r="CS23" s="432">
        <v>0</v>
      </c>
      <c r="CT23" s="432">
        <v>124377.90687059746</v>
      </c>
      <c r="CU23" s="432">
        <v>124377.90687059746</v>
      </c>
      <c r="CV23" s="432">
        <v>0</v>
      </c>
      <c r="CW23" s="432">
        <v>0</v>
      </c>
      <c r="CX23" s="432">
        <v>1.6393139958381653E-4</v>
      </c>
      <c r="CY23" s="432">
        <v>1.6393046826124191E-4</v>
      </c>
      <c r="CZ23" s="432">
        <v>541439.27104442997</v>
      </c>
      <c r="DA23" s="432">
        <v>1109137.5634506776</v>
      </c>
      <c r="DB23" s="432">
        <v>989732.14962283941</v>
      </c>
      <c r="DC23" s="432">
        <v>988200.82279409701</v>
      </c>
      <c r="DD23" s="432">
        <v>694786.3498000463</v>
      </c>
      <c r="DE23" s="432">
        <v>984797.44737647939</v>
      </c>
      <c r="DF23" s="432">
        <v>982910.2796701605</v>
      </c>
      <c r="DG23" s="432">
        <v>980888.58440361987</v>
      </c>
      <c r="DH23" s="433" t="b">
        <f t="shared" si="34"/>
        <v>1</v>
      </c>
      <c r="DI23" s="433" t="b">
        <f t="shared" si="11"/>
        <v>1</v>
      </c>
      <c r="DJ23" s="433" t="b">
        <f t="shared" si="12"/>
        <v>1</v>
      </c>
      <c r="DK23" s="433" t="b">
        <f t="shared" si="13"/>
        <v>1</v>
      </c>
      <c r="DL23" s="433" t="b">
        <f t="shared" si="14"/>
        <v>1</v>
      </c>
      <c r="DM23" s="433" t="b">
        <f t="shared" si="15"/>
        <v>1</v>
      </c>
      <c r="DN23" s="433" t="b">
        <f t="shared" si="16"/>
        <v>1</v>
      </c>
      <c r="DO23" s="433" t="b">
        <f t="shared" ca="1" si="17"/>
        <v>1</v>
      </c>
      <c r="DP23" s="433" t="b">
        <f t="shared" si="18"/>
        <v>0</v>
      </c>
      <c r="DQ23" s="433" t="b">
        <f t="shared" si="19"/>
        <v>1</v>
      </c>
      <c r="DR23" s="433" t="b">
        <f t="shared" si="20"/>
        <v>1</v>
      </c>
      <c r="DS23" s="433" t="b">
        <f t="shared" si="21"/>
        <v>1</v>
      </c>
      <c r="DT23" s="433" t="b">
        <f t="shared" si="22"/>
        <v>0</v>
      </c>
      <c r="DU23" s="433" t="b">
        <f t="shared" ca="1" si="23"/>
        <v>1</v>
      </c>
      <c r="DV23" s="433" t="b">
        <f t="shared" si="24"/>
        <v>0</v>
      </c>
      <c r="DW23" s="433" t="b">
        <f t="shared" si="25"/>
        <v>1</v>
      </c>
      <c r="DX23" s="433" t="b">
        <f t="shared" si="26"/>
        <v>1</v>
      </c>
      <c r="DY23" s="433" t="b">
        <f t="shared" si="27"/>
        <v>1</v>
      </c>
      <c r="DZ23" s="433" t="b">
        <f t="shared" si="28"/>
        <v>1</v>
      </c>
      <c r="EA23" s="433" t="b">
        <f t="shared" si="29"/>
        <v>1</v>
      </c>
      <c r="EB23" s="433" t="b">
        <f t="shared" si="35"/>
        <v>1</v>
      </c>
      <c r="EC23" s="257">
        <f ca="1">SUM(BV23:CL23)</f>
        <v>7271892.4681623513</v>
      </c>
      <c r="ED23" s="256">
        <f t="shared" ref="ED23:ED32" si="65">BR23</f>
        <v>0</v>
      </c>
      <c r="EE23" s="256">
        <f t="shared" ref="EE23:EE32" si="66">BS23</f>
        <v>0</v>
      </c>
      <c r="EF23" s="256">
        <f t="shared" ref="EF23:EF32" si="67">BT23</f>
        <v>0</v>
      </c>
      <c r="EG23" s="256">
        <f t="shared" ref="EG23:EG32" si="68">BU23</f>
        <v>0</v>
      </c>
      <c r="EH23" s="256">
        <f t="shared" ref="EH23:EH32" si="69">BV23</f>
        <v>0</v>
      </c>
      <c r="EI23" s="256">
        <f t="shared" ref="EI23:EI32" si="70">BW23</f>
        <v>0</v>
      </c>
      <c r="EJ23" s="256">
        <f t="shared" ref="EJ23:EJ32" si="71">BX23</f>
        <v>0</v>
      </c>
      <c r="EK23" s="256">
        <f t="shared" ref="EK23:EK32" ca="1" si="72">BY23</f>
        <v>124377.90687059746</v>
      </c>
      <c r="EL23" s="256">
        <f t="shared" ref="EL23:EL32" si="73">BZ23</f>
        <v>0</v>
      </c>
      <c r="EM23" s="256">
        <f t="shared" ref="EM23:EM32" si="74">CA23</f>
        <v>0</v>
      </c>
      <c r="EN23" s="256">
        <f t="shared" ref="EN23:EN32" si="75">CB23</f>
        <v>0</v>
      </c>
      <c r="EO23" s="256">
        <f t="shared" ref="EO23:EO32" si="76">CC23</f>
        <v>1.6393139958381653E-4</v>
      </c>
      <c r="EP23" s="256">
        <f t="shared" ref="EP23:EP32" si="77">CD23</f>
        <v>0</v>
      </c>
      <c r="EQ23" s="256">
        <f ca="1">CE23</f>
        <v>541439.27104442997</v>
      </c>
      <c r="ER23" s="256">
        <f>CF23</f>
        <v>984759.65641614958</v>
      </c>
      <c r="ES23" s="256">
        <f>CG23</f>
        <v>989732.14962283941</v>
      </c>
      <c r="ET23" s="256">
        <f>CH23</f>
        <v>988200.82279409701</v>
      </c>
      <c r="EU23" s="256">
        <f>CI23</f>
        <v>694786.3498000463</v>
      </c>
      <c r="EV23" s="256">
        <f>CJ23</f>
        <v>984797.44737647939</v>
      </c>
      <c r="EW23" s="256">
        <f>CK23</f>
        <v>982910.2796701605</v>
      </c>
      <c r="EX23" s="256">
        <f>CL23</f>
        <v>980888.58440361987</v>
      </c>
      <c r="EY23" s="257">
        <f ca="1">SUM(EH23:EX23)</f>
        <v>7271892.4681623513</v>
      </c>
    </row>
    <row r="24" spans="1:155" s="235" customFormat="1" ht="26" x14ac:dyDescent="0.35">
      <c r="A24" s="221"/>
      <c r="B24" s="222"/>
      <c r="C24" s="246">
        <v>13</v>
      </c>
      <c r="D24" s="253" t="s">
        <v>18</v>
      </c>
      <c r="E24" s="243" t="s">
        <v>13</v>
      </c>
      <c r="F24" s="247">
        <f>'[10]Данные для переноса'!F22</f>
        <v>0</v>
      </c>
      <c r="G24" s="247">
        <f>'[10]Данные для переноса'!G22</f>
        <v>0</v>
      </c>
      <c r="H24" s="247">
        <f>'[10]Данные для переноса'!H22</f>
        <v>0</v>
      </c>
      <c r="I24" s="247">
        <f>'[10]Данные для переноса'!I22</f>
        <v>0</v>
      </c>
      <c r="J24" s="247">
        <f>'[10]Данные для переноса'!J22</f>
        <v>0</v>
      </c>
      <c r="K24" s="247">
        <f>'[10]Данные для переноса'!K22</f>
        <v>0</v>
      </c>
      <c r="L24" s="247">
        <f>'[10]Данные для переноса'!L22</f>
        <v>0</v>
      </c>
      <c r="M24" s="247">
        <f>'[10]Данные для переноса'!M22</f>
        <v>0</v>
      </c>
      <c r="N24" s="247">
        <f>'[10]Данные для переноса'!N22</f>
        <v>0</v>
      </c>
      <c r="O24" s="247">
        <f>'[10]Данные для переноса'!O22</f>
        <v>0</v>
      </c>
      <c r="P24" s="247">
        <f>'[10]Данные для переноса'!P22</f>
        <v>0</v>
      </c>
      <c r="Q24" s="247">
        <f>'[10]Данные для переноса'!Q22</f>
        <v>0</v>
      </c>
      <c r="R24" s="247">
        <f>'[10]Данные для переноса'!R22</f>
        <v>0</v>
      </c>
      <c r="S24" s="247">
        <f>'[10]Данные для переноса'!S22</f>
        <v>0</v>
      </c>
      <c r="T24" s="247">
        <f>'[10]Данные для переноса'!T22</f>
        <v>0</v>
      </c>
      <c r="U24" s="247">
        <f>'[10]Данные для переноса'!U22</f>
        <v>0</v>
      </c>
      <c r="V24" s="247">
        <f>'[10]Данные для переноса'!V22</f>
        <v>0</v>
      </c>
      <c r="W24" s="247">
        <f>'[10]Данные для переноса'!W22</f>
        <v>0</v>
      </c>
      <c r="X24" s="247">
        <f>'[10]Данные для переноса'!X22</f>
        <v>0</v>
      </c>
      <c r="Y24" s="247">
        <f>'[10]Данные для переноса'!Y22</f>
        <v>0</v>
      </c>
      <c r="Z24" s="247">
        <f>'[10]Данные для переноса'!Z22</f>
        <v>0</v>
      </c>
      <c r="AA24" s="426"/>
      <c r="AB24" s="426"/>
      <c r="AC24" s="426"/>
      <c r="AD24" s="426"/>
      <c r="AE24" s="426"/>
      <c r="AF24" s="426"/>
      <c r="AG24" s="426"/>
      <c r="AH24" s="426"/>
      <c r="AI24" s="426"/>
      <c r="AJ24" s="426"/>
      <c r="AK24" s="426"/>
      <c r="AL24" s="426"/>
      <c r="AM24" s="426"/>
      <c r="AN24" s="426"/>
      <c r="AO24" s="426"/>
      <c r="AP24" s="426"/>
      <c r="AQ24" s="426"/>
      <c r="AR24" s="426"/>
      <c r="AS24" s="426"/>
      <c r="AT24" s="426"/>
      <c r="AU24" s="426"/>
      <c r="AV24" s="430" t="b">
        <f t="shared" si="32"/>
        <v>1</v>
      </c>
      <c r="AW24" s="430" t="b">
        <f t="shared" si="32"/>
        <v>1</v>
      </c>
      <c r="AX24" s="430" t="b">
        <f t="shared" si="32"/>
        <v>1</v>
      </c>
      <c r="AY24" s="430" t="b">
        <f t="shared" si="32"/>
        <v>1</v>
      </c>
      <c r="AZ24" s="430" t="b">
        <f t="shared" si="32"/>
        <v>1</v>
      </c>
      <c r="BA24" s="430" t="b">
        <f t="shared" si="32"/>
        <v>1</v>
      </c>
      <c r="BB24" s="430" t="b">
        <f t="shared" si="32"/>
        <v>1</v>
      </c>
      <c r="BC24" s="430" t="b">
        <f t="shared" si="32"/>
        <v>1</v>
      </c>
      <c r="BD24" s="430" t="b">
        <f t="shared" si="32"/>
        <v>1</v>
      </c>
      <c r="BE24" s="430" t="b">
        <f t="shared" si="9"/>
        <v>1</v>
      </c>
      <c r="BF24" s="430" t="b">
        <f t="shared" si="9"/>
        <v>1</v>
      </c>
      <c r="BG24" s="430" t="b">
        <f t="shared" si="9"/>
        <v>1</v>
      </c>
      <c r="BH24" s="430" t="b">
        <f t="shared" si="9"/>
        <v>1</v>
      </c>
      <c r="BI24" s="430" t="b">
        <f t="shared" si="9"/>
        <v>1</v>
      </c>
      <c r="BJ24" s="430" t="b">
        <f t="shared" si="9"/>
        <v>1</v>
      </c>
      <c r="BK24" s="430" t="b">
        <f t="shared" si="9"/>
        <v>1</v>
      </c>
      <c r="BL24" s="430" t="b">
        <f t="shared" si="9"/>
        <v>1</v>
      </c>
      <c r="BM24" s="430" t="b">
        <f t="shared" si="9"/>
        <v>1</v>
      </c>
      <c r="BN24" s="430" t="b">
        <f t="shared" si="9"/>
        <v>1</v>
      </c>
      <c r="BO24" s="430" t="b">
        <f t="shared" si="9"/>
        <v>1</v>
      </c>
      <c r="BP24" s="430" t="b">
        <f t="shared" si="9"/>
        <v>1</v>
      </c>
      <c r="BQ24" s="244">
        <f>SUM(J24:Z24)</f>
        <v>0</v>
      </c>
      <c r="BR24" s="247">
        <f>'[10]Данные для переноса'!AB22</f>
        <v>0</v>
      </c>
      <c r="BS24" s="247">
        <f>'[10]Данные для переноса'!AC22</f>
        <v>0</v>
      </c>
      <c r="BT24" s="247">
        <f>'[10]Данные для переноса'!AD22</f>
        <v>0</v>
      </c>
      <c r="BU24" s="247">
        <f>'[10]Данные для переноса'!AE22</f>
        <v>0</v>
      </c>
      <c r="BV24" s="247">
        <f>'[10]Данные для переноса'!AF22</f>
        <v>0</v>
      </c>
      <c r="BW24" s="247">
        <f>'[10]Данные для переноса'!AG22</f>
        <v>0</v>
      </c>
      <c r="BX24" s="247">
        <f>'[10]Данные для переноса'!AH22</f>
        <v>0</v>
      </c>
      <c r="BY24" s="247">
        <f ca="1">'[10]Данные для переноса'!AI22</f>
        <v>124377.90687059746</v>
      </c>
      <c r="BZ24" s="247">
        <f>'[10]Данные для переноса'!AJ22</f>
        <v>0</v>
      </c>
      <c r="CA24" s="247">
        <f>'[10]Данные для переноса'!AK22</f>
        <v>0</v>
      </c>
      <c r="CB24" s="247">
        <f>'[10]Данные для переноса'!AL22</f>
        <v>0</v>
      </c>
      <c r="CC24" s="247">
        <f>'[10]Данные для переноса'!AM22</f>
        <v>1.6393139958381653E-4</v>
      </c>
      <c r="CD24" s="247">
        <f>'[10]Данные для переноса'!AN22</f>
        <v>0</v>
      </c>
      <c r="CE24" s="247">
        <f ca="1">'[10]Данные для переноса'!AO22</f>
        <v>124377.90703452886</v>
      </c>
      <c r="CF24" s="247">
        <f>'[10]Данные для переноса'!AP22</f>
        <v>0</v>
      </c>
      <c r="CG24" s="247">
        <f>'[10]Данные для переноса'!AQ22</f>
        <v>0</v>
      </c>
      <c r="CH24" s="247">
        <f>'[10]Данные для переноса'!AR22</f>
        <v>0</v>
      </c>
      <c r="CI24" s="247">
        <f>'[10]Данные для переноса'!AS22</f>
        <v>0</v>
      </c>
      <c r="CJ24" s="247">
        <f>'[10]Данные для переноса'!AT22</f>
        <v>0</v>
      </c>
      <c r="CK24" s="247">
        <f>'[10]Данные для переноса'!AU22</f>
        <v>0</v>
      </c>
      <c r="CL24" s="247">
        <f>'[10]Данные для переноса'!AV22</f>
        <v>0</v>
      </c>
      <c r="CM24" s="426">
        <v>0</v>
      </c>
      <c r="CN24" s="426">
        <v>0</v>
      </c>
      <c r="CO24" s="426">
        <v>0</v>
      </c>
      <c r="CP24" s="426">
        <v>0</v>
      </c>
      <c r="CQ24" s="426">
        <v>0</v>
      </c>
      <c r="CR24" s="426">
        <v>0</v>
      </c>
      <c r="CS24" s="426">
        <v>0</v>
      </c>
      <c r="CT24" s="426">
        <v>124377.90687059746</v>
      </c>
      <c r="CU24" s="426">
        <v>0</v>
      </c>
      <c r="CV24" s="426">
        <v>0</v>
      </c>
      <c r="CW24" s="426">
        <v>0</v>
      </c>
      <c r="CX24" s="426">
        <v>1.6393139958381653E-4</v>
      </c>
      <c r="CY24" s="426">
        <v>0</v>
      </c>
      <c r="CZ24" s="426">
        <v>124377.90703452886</v>
      </c>
      <c r="DA24" s="426">
        <v>0</v>
      </c>
      <c r="DB24" s="426">
        <v>0</v>
      </c>
      <c r="DC24" s="426">
        <v>0</v>
      </c>
      <c r="DD24" s="426">
        <v>0</v>
      </c>
      <c r="DE24" s="426">
        <v>0</v>
      </c>
      <c r="DF24" s="426">
        <v>0</v>
      </c>
      <c r="DG24" s="426">
        <v>0</v>
      </c>
      <c r="DH24" s="430" t="b">
        <f t="shared" si="34"/>
        <v>1</v>
      </c>
      <c r="DI24" s="430" t="b">
        <f t="shared" si="34"/>
        <v>1</v>
      </c>
      <c r="DJ24" s="430" t="b">
        <f t="shared" si="34"/>
        <v>1</v>
      </c>
      <c r="DK24" s="430" t="b">
        <f t="shared" si="34"/>
        <v>1</v>
      </c>
      <c r="DL24" s="430" t="b">
        <f t="shared" si="34"/>
        <v>1</v>
      </c>
      <c r="DM24" s="430" t="b">
        <f t="shared" si="34"/>
        <v>1</v>
      </c>
      <c r="DN24" s="430" t="b">
        <f t="shared" si="34"/>
        <v>1</v>
      </c>
      <c r="DO24" s="430" t="b">
        <f t="shared" ca="1" si="34"/>
        <v>1</v>
      </c>
      <c r="DP24" s="430" t="b">
        <f t="shared" si="34"/>
        <v>1</v>
      </c>
      <c r="DQ24" s="430" t="b">
        <f t="shared" si="19"/>
        <v>1</v>
      </c>
      <c r="DR24" s="430" t="b">
        <f t="shared" si="20"/>
        <v>1</v>
      </c>
      <c r="DS24" s="430" t="b">
        <f t="shared" si="21"/>
        <v>1</v>
      </c>
      <c r="DT24" s="430" t="b">
        <f t="shared" si="22"/>
        <v>1</v>
      </c>
      <c r="DU24" s="430" t="b">
        <f t="shared" ca="1" si="23"/>
        <v>1</v>
      </c>
      <c r="DV24" s="430" t="b">
        <f t="shared" si="24"/>
        <v>1</v>
      </c>
      <c r="DW24" s="430" t="b">
        <f t="shared" si="25"/>
        <v>1</v>
      </c>
      <c r="DX24" s="430" t="b">
        <f t="shared" si="26"/>
        <v>1</v>
      </c>
      <c r="DY24" s="430" t="b">
        <f t="shared" si="27"/>
        <v>1</v>
      </c>
      <c r="DZ24" s="430" t="b">
        <f t="shared" si="28"/>
        <v>1</v>
      </c>
      <c r="EA24" s="430" t="b">
        <f t="shared" si="29"/>
        <v>1</v>
      </c>
      <c r="EB24" s="430" t="b">
        <f t="shared" si="35"/>
        <v>1</v>
      </c>
      <c r="EC24" s="244">
        <f ca="1">SUM(BV24:CL24)</f>
        <v>248755.81406905773</v>
      </c>
      <c r="ED24" s="223">
        <f t="shared" si="65"/>
        <v>0</v>
      </c>
      <c r="EE24" s="223">
        <f t="shared" si="66"/>
        <v>0</v>
      </c>
      <c r="EF24" s="223">
        <f t="shared" si="67"/>
        <v>0</v>
      </c>
      <c r="EG24" s="223">
        <f t="shared" si="68"/>
        <v>0</v>
      </c>
      <c r="EH24" s="223">
        <f t="shared" si="69"/>
        <v>0</v>
      </c>
      <c r="EI24" s="223">
        <f t="shared" si="70"/>
        <v>0</v>
      </c>
      <c r="EJ24" s="223">
        <f t="shared" si="71"/>
        <v>0</v>
      </c>
      <c r="EK24" s="223">
        <f t="shared" ca="1" si="72"/>
        <v>124377.90687059746</v>
      </c>
      <c r="EL24" s="223">
        <f t="shared" si="73"/>
        <v>0</v>
      </c>
      <c r="EM24" s="223">
        <f t="shared" si="74"/>
        <v>0</v>
      </c>
      <c r="EN24" s="223">
        <f t="shared" si="75"/>
        <v>0</v>
      </c>
      <c r="EO24" s="223">
        <f t="shared" si="76"/>
        <v>1.6393139958381653E-4</v>
      </c>
      <c r="EP24" s="223">
        <f t="shared" si="77"/>
        <v>0</v>
      </c>
      <c r="EQ24" s="223">
        <f ca="1">CE24</f>
        <v>124377.90703452886</v>
      </c>
      <c r="ER24" s="223">
        <f>CF24</f>
        <v>0</v>
      </c>
      <c r="ES24" s="223">
        <f>CG24</f>
        <v>0</v>
      </c>
      <c r="ET24" s="223">
        <f>CH24</f>
        <v>0</v>
      </c>
      <c r="EU24" s="223">
        <f>CI24</f>
        <v>0</v>
      </c>
      <c r="EV24" s="223">
        <f>CJ24</f>
        <v>0</v>
      </c>
      <c r="EW24" s="223">
        <f>CK24</f>
        <v>0</v>
      </c>
      <c r="EX24" s="223">
        <f>CL24</f>
        <v>0</v>
      </c>
      <c r="EY24" s="244">
        <f ca="1">SUM(EH24:EX24)</f>
        <v>248755.81406905773</v>
      </c>
    </row>
    <row r="25" spans="1:155" s="235" customFormat="1" outlineLevel="1" x14ac:dyDescent="0.35">
      <c r="A25" s="221"/>
      <c r="B25" s="222"/>
      <c r="C25" s="246"/>
      <c r="D25" s="258" t="s">
        <v>19</v>
      </c>
      <c r="E25" s="243" t="s">
        <v>13</v>
      </c>
      <c r="F25" s="247">
        <f>'[10]Данные для переноса'!F23</f>
        <v>0</v>
      </c>
      <c r="G25" s="247">
        <f>'[10]Данные для переноса'!G23</f>
        <v>0</v>
      </c>
      <c r="H25" s="247">
        <f>'[10]Данные для переноса'!H23</f>
        <v>0</v>
      </c>
      <c r="I25" s="247">
        <f>'[10]Данные для переноса'!I23</f>
        <v>0</v>
      </c>
      <c r="J25" s="247">
        <f>'[10]Данные для переноса'!J23</f>
        <v>0</v>
      </c>
      <c r="K25" s="247">
        <f>'[10]Данные для переноса'!K23</f>
        <v>0</v>
      </c>
      <c r="L25" s="247">
        <f>'[10]Данные для переноса'!L23</f>
        <v>0</v>
      </c>
      <c r="M25" s="247">
        <f>'[10]Данные для переноса'!M23</f>
        <v>0</v>
      </c>
      <c r="N25" s="247">
        <f>'[10]Данные для переноса'!N23</f>
        <v>0</v>
      </c>
      <c r="O25" s="247">
        <f>'[10]Данные для переноса'!O23</f>
        <v>0</v>
      </c>
      <c r="P25" s="247">
        <f>'[10]Данные для переноса'!P23</f>
        <v>0</v>
      </c>
      <c r="Q25" s="247">
        <f>'[10]Данные для переноса'!Q23</f>
        <v>0</v>
      </c>
      <c r="R25" s="247">
        <f>'[10]Данные для переноса'!R23</f>
        <v>0</v>
      </c>
      <c r="S25" s="247">
        <f>'[10]Данные для переноса'!S23</f>
        <v>0</v>
      </c>
      <c r="T25" s="247">
        <f>'[10]Данные для переноса'!T23</f>
        <v>0</v>
      </c>
      <c r="U25" s="247">
        <f>'[10]Данные для переноса'!U23</f>
        <v>0</v>
      </c>
      <c r="V25" s="247">
        <f>'[10]Данные для переноса'!V23</f>
        <v>0</v>
      </c>
      <c r="W25" s="247">
        <f>'[10]Данные для переноса'!W23</f>
        <v>0</v>
      </c>
      <c r="X25" s="247">
        <f>'[10]Данные для переноса'!X23</f>
        <v>0</v>
      </c>
      <c r="Y25" s="247">
        <f>'[10]Данные для переноса'!Y23</f>
        <v>0</v>
      </c>
      <c r="Z25" s="247">
        <f>'[10]Данные для переноса'!Z23</f>
        <v>0</v>
      </c>
      <c r="AA25" s="426"/>
      <c r="AB25" s="426"/>
      <c r="AC25" s="426"/>
      <c r="AD25" s="426"/>
      <c r="AE25" s="426"/>
      <c r="AF25" s="426"/>
      <c r="AG25" s="426"/>
      <c r="AH25" s="426"/>
      <c r="AI25" s="426"/>
      <c r="AJ25" s="426"/>
      <c r="AK25" s="426"/>
      <c r="AL25" s="426"/>
      <c r="AM25" s="426"/>
      <c r="AN25" s="426"/>
      <c r="AO25" s="426"/>
      <c r="AP25" s="426"/>
      <c r="AQ25" s="426"/>
      <c r="AR25" s="426"/>
      <c r="AS25" s="426"/>
      <c r="AT25" s="426"/>
      <c r="AU25" s="426"/>
      <c r="AV25" s="430" t="b">
        <f t="shared" si="32"/>
        <v>1</v>
      </c>
      <c r="AW25" s="430" t="b">
        <f t="shared" si="32"/>
        <v>1</v>
      </c>
      <c r="AX25" s="430" t="b">
        <f t="shared" si="32"/>
        <v>1</v>
      </c>
      <c r="AY25" s="430" t="b">
        <f t="shared" si="32"/>
        <v>1</v>
      </c>
      <c r="AZ25" s="430" t="b">
        <f t="shared" si="32"/>
        <v>1</v>
      </c>
      <c r="BA25" s="430" t="b">
        <f t="shared" si="32"/>
        <v>1</v>
      </c>
      <c r="BB25" s="430" t="b">
        <f t="shared" si="32"/>
        <v>1</v>
      </c>
      <c r="BC25" s="430" t="b">
        <f t="shared" si="32"/>
        <v>1</v>
      </c>
      <c r="BD25" s="430" t="b">
        <f t="shared" si="32"/>
        <v>1</v>
      </c>
      <c r="BE25" s="430" t="b">
        <f t="shared" si="9"/>
        <v>1</v>
      </c>
      <c r="BF25" s="430" t="b">
        <f t="shared" si="9"/>
        <v>1</v>
      </c>
      <c r="BG25" s="430" t="b">
        <f t="shared" si="9"/>
        <v>1</v>
      </c>
      <c r="BH25" s="430" t="b">
        <f t="shared" si="9"/>
        <v>1</v>
      </c>
      <c r="BI25" s="430" t="b">
        <f t="shared" si="9"/>
        <v>1</v>
      </c>
      <c r="BJ25" s="430" t="b">
        <f t="shared" si="9"/>
        <v>1</v>
      </c>
      <c r="BK25" s="430" t="b">
        <f t="shared" si="9"/>
        <v>1</v>
      </c>
      <c r="BL25" s="430" t="b">
        <f t="shared" si="9"/>
        <v>1</v>
      </c>
      <c r="BM25" s="430" t="b">
        <f t="shared" si="9"/>
        <v>1</v>
      </c>
      <c r="BN25" s="430" t="b">
        <f t="shared" si="9"/>
        <v>1</v>
      </c>
      <c r="BO25" s="430" t="b">
        <f t="shared" si="9"/>
        <v>1</v>
      </c>
      <c r="BP25" s="430" t="b">
        <f t="shared" si="9"/>
        <v>1</v>
      </c>
      <c r="BQ25" s="244">
        <f t="shared" ref="BQ25:BQ32" si="78">SUM(J25:Z25)</f>
        <v>0</v>
      </c>
      <c r="BR25" s="247">
        <f>'[10]Данные для переноса'!AB23</f>
        <v>0</v>
      </c>
      <c r="BS25" s="247">
        <f>'[10]Данные для переноса'!AC23</f>
        <v>0</v>
      </c>
      <c r="BT25" s="247">
        <f>'[10]Данные для переноса'!AD23</f>
        <v>0</v>
      </c>
      <c r="BU25" s="247">
        <f>'[10]Данные для переноса'!AE23</f>
        <v>0</v>
      </c>
      <c r="BV25" s="247">
        <f>'[10]Данные для переноса'!AF23</f>
        <v>0</v>
      </c>
      <c r="BW25" s="247">
        <f>'[10]Данные для переноса'!AG23</f>
        <v>0</v>
      </c>
      <c r="BX25" s="247">
        <f>'[10]Данные для переноса'!AH23</f>
        <v>0</v>
      </c>
      <c r="BY25" s="247">
        <f>'[10]Данные для переноса'!AI23</f>
        <v>0</v>
      </c>
      <c r="BZ25" s="247">
        <f>'[10]Данные для переноса'!AJ23</f>
        <v>6651958.6703004111</v>
      </c>
      <c r="CA25" s="247">
        <f>'[10]Данные для переноса'!AK23</f>
        <v>6918037.017112432</v>
      </c>
      <c r="CB25" s="247">
        <f>'[10]Данные для переноса'!AL23</f>
        <v>4796505.6651979517</v>
      </c>
      <c r="CC25" s="247">
        <f>'[10]Данные для переноса'!AM23</f>
        <v>4988365.8918058695</v>
      </c>
      <c r="CD25" s="247">
        <f>'[10]Данные для переноса'!AN23</f>
        <v>0</v>
      </c>
      <c r="CE25" s="247">
        <f>'[10]Данные для переноса'!AO23</f>
        <v>0</v>
      </c>
      <c r="CF25" s="247">
        <f>'[10]Данные для переноса'!AP23</f>
        <v>0</v>
      </c>
      <c r="CG25" s="247">
        <f>'[10]Данные для переноса'!AQ23</f>
        <v>0</v>
      </c>
      <c r="CH25" s="247">
        <f>'[10]Данные для переноса'!AR23</f>
        <v>0</v>
      </c>
      <c r="CI25" s="247">
        <f>'[10]Данные для переноса'!AS23</f>
        <v>0</v>
      </c>
      <c r="CJ25" s="247">
        <f>'[10]Данные для переноса'!AT23</f>
        <v>0</v>
      </c>
      <c r="CK25" s="247">
        <f>'[10]Данные для переноса'!AU23</f>
        <v>0</v>
      </c>
      <c r="CL25" s="247">
        <f>'[10]Данные для переноса'!AV23</f>
        <v>0</v>
      </c>
      <c r="CM25" s="426">
        <v>0</v>
      </c>
      <c r="CN25" s="426">
        <v>0</v>
      </c>
      <c r="CO25" s="426">
        <v>0</v>
      </c>
      <c r="CP25" s="426">
        <v>0</v>
      </c>
      <c r="CQ25" s="426">
        <v>0</v>
      </c>
      <c r="CR25" s="426">
        <v>0</v>
      </c>
      <c r="CS25" s="426">
        <v>0</v>
      </c>
      <c r="CT25" s="426">
        <v>0</v>
      </c>
      <c r="CU25" s="426">
        <v>6651958.6703004111</v>
      </c>
      <c r="CV25" s="426">
        <v>6918037.017112432</v>
      </c>
      <c r="CW25" s="426">
        <v>4796505.6651979517</v>
      </c>
      <c r="CX25" s="426">
        <v>4988365.8918058695</v>
      </c>
      <c r="CY25" s="426">
        <v>0</v>
      </c>
      <c r="CZ25" s="426">
        <v>0</v>
      </c>
      <c r="DA25" s="426">
        <v>0</v>
      </c>
      <c r="DB25" s="426">
        <v>0</v>
      </c>
      <c r="DC25" s="426">
        <v>0</v>
      </c>
      <c r="DD25" s="426">
        <v>0</v>
      </c>
      <c r="DE25" s="426">
        <v>0</v>
      </c>
      <c r="DF25" s="426">
        <v>0</v>
      </c>
      <c r="DG25" s="426">
        <v>0</v>
      </c>
      <c r="DH25" s="430" t="b">
        <f t="shared" si="34"/>
        <v>1</v>
      </c>
      <c r="DI25" s="430" t="b">
        <f t="shared" si="34"/>
        <v>1</v>
      </c>
      <c r="DJ25" s="430" t="b">
        <f t="shared" si="34"/>
        <v>1</v>
      </c>
      <c r="DK25" s="430" t="b">
        <f t="shared" si="34"/>
        <v>1</v>
      </c>
      <c r="DL25" s="430" t="b">
        <f t="shared" si="34"/>
        <v>1</v>
      </c>
      <c r="DM25" s="430" t="b">
        <f t="shared" si="34"/>
        <v>1</v>
      </c>
      <c r="DN25" s="430" t="b">
        <f t="shared" si="34"/>
        <v>1</v>
      </c>
      <c r="DO25" s="430" t="b">
        <f t="shared" si="34"/>
        <v>1</v>
      </c>
      <c r="DP25" s="430" t="b">
        <f t="shared" si="34"/>
        <v>1</v>
      </c>
      <c r="DQ25" s="430" t="b">
        <f t="shared" si="19"/>
        <v>1</v>
      </c>
      <c r="DR25" s="430" t="b">
        <f t="shared" si="20"/>
        <v>1</v>
      </c>
      <c r="DS25" s="430" t="b">
        <f t="shared" si="21"/>
        <v>1</v>
      </c>
      <c r="DT25" s="430" t="b">
        <f t="shared" si="22"/>
        <v>1</v>
      </c>
      <c r="DU25" s="430" t="b">
        <f t="shared" si="23"/>
        <v>1</v>
      </c>
      <c r="DV25" s="430" t="b">
        <f t="shared" si="24"/>
        <v>1</v>
      </c>
      <c r="DW25" s="430" t="b">
        <f t="shared" si="25"/>
        <v>1</v>
      </c>
      <c r="DX25" s="430" t="b">
        <f t="shared" si="26"/>
        <v>1</v>
      </c>
      <c r="DY25" s="430" t="b">
        <f t="shared" si="27"/>
        <v>1</v>
      </c>
      <c r="DZ25" s="430" t="b">
        <f t="shared" si="28"/>
        <v>1</v>
      </c>
      <c r="EA25" s="430" t="b">
        <f t="shared" si="29"/>
        <v>1</v>
      </c>
      <c r="EB25" s="430" t="b">
        <f t="shared" si="35"/>
        <v>1</v>
      </c>
      <c r="EC25" s="244">
        <f t="shared" ref="EC25:EC32" si="79">SUM(BV25:CL25)</f>
        <v>23354867.244416665</v>
      </c>
      <c r="ED25" s="223">
        <f t="shared" si="65"/>
        <v>0</v>
      </c>
      <c r="EE25" s="223">
        <f t="shared" si="66"/>
        <v>0</v>
      </c>
      <c r="EF25" s="223">
        <f t="shared" si="67"/>
        <v>0</v>
      </c>
      <c r="EG25" s="223">
        <f t="shared" si="68"/>
        <v>0</v>
      </c>
      <c r="EH25" s="223">
        <f t="shared" si="69"/>
        <v>0</v>
      </c>
      <c r="EI25" s="223">
        <f t="shared" si="70"/>
        <v>0</v>
      </c>
      <c r="EJ25" s="223">
        <f t="shared" si="71"/>
        <v>0</v>
      </c>
      <c r="EK25" s="223">
        <f t="shared" si="72"/>
        <v>0</v>
      </c>
      <c r="EL25" s="223">
        <f t="shared" si="73"/>
        <v>6651958.6703004111</v>
      </c>
      <c r="EM25" s="223">
        <f t="shared" si="74"/>
        <v>6918037.017112432</v>
      </c>
      <c r="EN25" s="223">
        <f t="shared" si="75"/>
        <v>4796505.6651979517</v>
      </c>
      <c r="EO25" s="223">
        <f t="shared" si="76"/>
        <v>4988365.8918058695</v>
      </c>
      <c r="EP25" s="223">
        <f t="shared" si="77"/>
        <v>0</v>
      </c>
      <c r="EQ25" s="223">
        <f>CE25</f>
        <v>0</v>
      </c>
      <c r="ER25" s="223">
        <f>CF25</f>
        <v>0</v>
      </c>
      <c r="ES25" s="223">
        <f>CG25</f>
        <v>0</v>
      </c>
      <c r="ET25" s="223">
        <f>CH25</f>
        <v>0</v>
      </c>
      <c r="EU25" s="223">
        <f>CI25</f>
        <v>0</v>
      </c>
      <c r="EV25" s="223">
        <f>CJ25</f>
        <v>0</v>
      </c>
      <c r="EW25" s="223">
        <f>CK25</f>
        <v>0</v>
      </c>
      <c r="EX25" s="223">
        <f>CL25</f>
        <v>0</v>
      </c>
      <c r="EY25" s="244">
        <f t="shared" ref="EY25:EY32" si="80">SUM(EH25:EX25)</f>
        <v>23354867.244416665</v>
      </c>
    </row>
    <row r="26" spans="1:155" s="235" customFormat="1" outlineLevel="1" x14ac:dyDescent="0.35">
      <c r="A26" s="221"/>
      <c r="B26" s="222"/>
      <c r="C26" s="246"/>
      <c r="D26" s="258" t="s">
        <v>20</v>
      </c>
      <c r="E26" s="243" t="s">
        <v>13</v>
      </c>
      <c r="F26" s="247">
        <f>'[10]Данные для переноса'!F24</f>
        <v>0</v>
      </c>
      <c r="G26" s="247">
        <f>'[10]Данные для переноса'!G24</f>
        <v>0</v>
      </c>
      <c r="H26" s="247">
        <f>'[10]Данные для переноса'!H24</f>
        <v>0</v>
      </c>
      <c r="I26" s="247">
        <f>'[10]Данные для переноса'!I24</f>
        <v>0</v>
      </c>
      <c r="J26" s="247">
        <f>'[10]Данные для переноса'!J24</f>
        <v>0</v>
      </c>
      <c r="K26" s="247">
        <f>'[10]Данные для переноса'!K24</f>
        <v>0</v>
      </c>
      <c r="L26" s="247">
        <f>'[10]Данные для переноса'!L24</f>
        <v>0</v>
      </c>
      <c r="M26" s="247">
        <f>'[10]Данные для переноса'!M24</f>
        <v>0</v>
      </c>
      <c r="N26" s="247">
        <f>'[10]Данные для переноса'!N24</f>
        <v>0</v>
      </c>
      <c r="O26" s="247">
        <f>'[10]Данные для переноса'!O24</f>
        <v>0</v>
      </c>
      <c r="P26" s="247">
        <f>'[10]Данные для переноса'!P24</f>
        <v>0</v>
      </c>
      <c r="Q26" s="247">
        <f>'[10]Данные для переноса'!Q24</f>
        <v>0</v>
      </c>
      <c r="R26" s="247">
        <f>'[10]Данные для переноса'!R24</f>
        <v>0</v>
      </c>
      <c r="S26" s="247">
        <f>'[10]Данные для переноса'!S24</f>
        <v>0</v>
      </c>
      <c r="T26" s="247">
        <f>'[10]Данные для переноса'!T24</f>
        <v>0</v>
      </c>
      <c r="U26" s="247">
        <f>'[10]Данные для переноса'!U24</f>
        <v>0</v>
      </c>
      <c r="V26" s="247">
        <f>'[10]Данные для переноса'!V24</f>
        <v>0</v>
      </c>
      <c r="W26" s="247">
        <f>'[10]Данные для переноса'!W24</f>
        <v>0</v>
      </c>
      <c r="X26" s="247">
        <f>'[10]Данные для переноса'!X24</f>
        <v>0</v>
      </c>
      <c r="Y26" s="247">
        <f>'[10]Данные для переноса'!Y24</f>
        <v>0</v>
      </c>
      <c r="Z26" s="247">
        <f>'[10]Данные для переноса'!Z24</f>
        <v>0</v>
      </c>
      <c r="AA26" s="426"/>
      <c r="AB26" s="426"/>
      <c r="AC26" s="426"/>
      <c r="AD26" s="426"/>
      <c r="AE26" s="426"/>
      <c r="AF26" s="426"/>
      <c r="AG26" s="426"/>
      <c r="AH26" s="426"/>
      <c r="AI26" s="426"/>
      <c r="AJ26" s="426"/>
      <c r="AK26" s="426"/>
      <c r="AL26" s="426"/>
      <c r="AM26" s="426"/>
      <c r="AN26" s="426"/>
      <c r="AO26" s="426"/>
      <c r="AP26" s="426"/>
      <c r="AQ26" s="426"/>
      <c r="AR26" s="426"/>
      <c r="AS26" s="426"/>
      <c r="AT26" s="426"/>
      <c r="AU26" s="426"/>
      <c r="AV26" s="430" t="b">
        <f t="shared" si="32"/>
        <v>1</v>
      </c>
      <c r="AW26" s="430" t="b">
        <f t="shared" si="32"/>
        <v>1</v>
      </c>
      <c r="AX26" s="430" t="b">
        <f t="shared" si="32"/>
        <v>1</v>
      </c>
      <c r="AY26" s="430" t="b">
        <f t="shared" si="32"/>
        <v>1</v>
      </c>
      <c r="AZ26" s="430" t="b">
        <f t="shared" si="32"/>
        <v>1</v>
      </c>
      <c r="BA26" s="430" t="b">
        <f t="shared" si="32"/>
        <v>1</v>
      </c>
      <c r="BB26" s="430" t="b">
        <f t="shared" si="32"/>
        <v>1</v>
      </c>
      <c r="BC26" s="430" t="b">
        <f t="shared" si="32"/>
        <v>1</v>
      </c>
      <c r="BD26" s="430" t="b">
        <f t="shared" si="32"/>
        <v>1</v>
      </c>
      <c r="BE26" s="430" t="b">
        <f t="shared" si="32"/>
        <v>1</v>
      </c>
      <c r="BF26" s="430" t="b">
        <f t="shared" si="32"/>
        <v>1</v>
      </c>
      <c r="BG26" s="430" t="b">
        <f t="shared" si="32"/>
        <v>1</v>
      </c>
      <c r="BH26" s="430" t="b">
        <f t="shared" si="32"/>
        <v>1</v>
      </c>
      <c r="BI26" s="430" t="b">
        <f t="shared" si="32"/>
        <v>1</v>
      </c>
      <c r="BJ26" s="430" t="b">
        <f t="shared" si="32"/>
        <v>1</v>
      </c>
      <c r="BK26" s="430" t="b">
        <f t="shared" si="32"/>
        <v>1</v>
      </c>
      <c r="BL26" s="430" t="b">
        <f t="shared" ref="BE26:BP49" si="81">AQ26=V26</f>
        <v>1</v>
      </c>
      <c r="BM26" s="430" t="b">
        <f t="shared" si="81"/>
        <v>1</v>
      </c>
      <c r="BN26" s="430" t="b">
        <f t="shared" si="81"/>
        <v>1</v>
      </c>
      <c r="BO26" s="430" t="b">
        <f t="shared" si="81"/>
        <v>1</v>
      </c>
      <c r="BP26" s="430" t="b">
        <f t="shared" si="81"/>
        <v>1</v>
      </c>
      <c r="BQ26" s="244">
        <f t="shared" si="78"/>
        <v>0</v>
      </c>
      <c r="BR26" s="247">
        <f>'[10]Данные для переноса'!AB24</f>
        <v>0</v>
      </c>
      <c r="BS26" s="247">
        <f>'[10]Данные для переноса'!AC24</f>
        <v>0</v>
      </c>
      <c r="BT26" s="247">
        <f>'[10]Данные для переноса'!AD24</f>
        <v>0</v>
      </c>
      <c r="BU26" s="247">
        <f>'[10]Данные для переноса'!AE24</f>
        <v>0</v>
      </c>
      <c r="BV26" s="247">
        <f>'[10]Данные для переноса'!AF24</f>
        <v>0</v>
      </c>
      <c r="BW26" s="247">
        <f>'[10]Данные для переноса'!AG24</f>
        <v>0</v>
      </c>
      <c r="BX26" s="247">
        <f>'[10]Данные для переноса'!AH24</f>
        <v>0</v>
      </c>
      <c r="BY26" s="247">
        <f>'[10]Данные для переноса'!AI24</f>
        <v>0</v>
      </c>
      <c r="BZ26" s="247">
        <f>'[10]Данные для переноса'!AJ24</f>
        <v>0</v>
      </c>
      <c r="CA26" s="247">
        <f>'[10]Данные для переноса'!AK24</f>
        <v>0</v>
      </c>
      <c r="CB26" s="247">
        <f>'[10]Данные для переноса'!AL24</f>
        <v>0</v>
      </c>
      <c r="CC26" s="247">
        <f>'[10]Данные для переноса'!AM24</f>
        <v>0</v>
      </c>
      <c r="CD26" s="247">
        <f>'[10]Данные для переноса'!AN24</f>
        <v>1100000</v>
      </c>
      <c r="CE26" s="247">
        <f>'[10]Данные для переноса'!AO24</f>
        <v>0</v>
      </c>
      <c r="CF26" s="247">
        <f>'[10]Данные для переноса'!AP24</f>
        <v>0</v>
      </c>
      <c r="CG26" s="247">
        <f>'[10]Данные для переноса'!AQ24</f>
        <v>0</v>
      </c>
      <c r="CH26" s="247">
        <f>'[10]Данные для переноса'!AR24</f>
        <v>0</v>
      </c>
      <c r="CI26" s="247">
        <f>'[10]Данные для переноса'!AS24</f>
        <v>0</v>
      </c>
      <c r="CJ26" s="247">
        <f>'[10]Данные для переноса'!AT24</f>
        <v>0</v>
      </c>
      <c r="CK26" s="247">
        <f>'[10]Данные для переноса'!AU24</f>
        <v>0</v>
      </c>
      <c r="CL26" s="247">
        <f>'[10]Данные для переноса'!AV24</f>
        <v>0</v>
      </c>
      <c r="CM26" s="426">
        <v>0</v>
      </c>
      <c r="CN26" s="426">
        <v>0</v>
      </c>
      <c r="CO26" s="426">
        <v>0</v>
      </c>
      <c r="CP26" s="426">
        <v>0</v>
      </c>
      <c r="CQ26" s="426">
        <v>0</v>
      </c>
      <c r="CR26" s="426">
        <v>0</v>
      </c>
      <c r="CS26" s="426">
        <v>0</v>
      </c>
      <c r="CT26" s="426">
        <v>0</v>
      </c>
      <c r="CU26" s="426">
        <v>0</v>
      </c>
      <c r="CV26" s="426">
        <v>0</v>
      </c>
      <c r="CW26" s="426">
        <v>0</v>
      </c>
      <c r="CX26" s="426">
        <v>0</v>
      </c>
      <c r="CY26" s="426">
        <v>1100000</v>
      </c>
      <c r="CZ26" s="426">
        <v>0</v>
      </c>
      <c r="DA26" s="426">
        <v>0</v>
      </c>
      <c r="DB26" s="426">
        <v>0</v>
      </c>
      <c r="DC26" s="426">
        <v>0</v>
      </c>
      <c r="DD26" s="426">
        <v>0</v>
      </c>
      <c r="DE26" s="426">
        <v>0</v>
      </c>
      <c r="DF26" s="426">
        <v>0</v>
      </c>
      <c r="DG26" s="426">
        <v>0</v>
      </c>
      <c r="DH26" s="430" t="b">
        <f t="shared" si="34"/>
        <v>1</v>
      </c>
      <c r="DI26" s="430" t="b">
        <f t="shared" si="34"/>
        <v>1</v>
      </c>
      <c r="DJ26" s="430" t="b">
        <f t="shared" si="34"/>
        <v>1</v>
      </c>
      <c r="DK26" s="430" t="b">
        <f t="shared" si="34"/>
        <v>1</v>
      </c>
      <c r="DL26" s="430" t="b">
        <f t="shared" si="34"/>
        <v>1</v>
      </c>
      <c r="DM26" s="430" t="b">
        <f t="shared" si="34"/>
        <v>1</v>
      </c>
      <c r="DN26" s="430" t="b">
        <f t="shared" si="34"/>
        <v>1</v>
      </c>
      <c r="DO26" s="430" t="b">
        <f t="shared" si="34"/>
        <v>1</v>
      </c>
      <c r="DP26" s="430" t="b">
        <f t="shared" si="34"/>
        <v>1</v>
      </c>
      <c r="DQ26" s="430" t="b">
        <f t="shared" si="34"/>
        <v>1</v>
      </c>
      <c r="DR26" s="430" t="b">
        <f t="shared" si="34"/>
        <v>1</v>
      </c>
      <c r="DS26" s="430" t="b">
        <f t="shared" si="34"/>
        <v>1</v>
      </c>
      <c r="DT26" s="430" t="b">
        <f t="shared" si="34"/>
        <v>1</v>
      </c>
      <c r="DU26" s="430" t="b">
        <f t="shared" si="34"/>
        <v>1</v>
      </c>
      <c r="DV26" s="430" t="b">
        <f t="shared" si="34"/>
        <v>1</v>
      </c>
      <c r="DW26" s="430" t="b">
        <f t="shared" si="34"/>
        <v>1</v>
      </c>
      <c r="DX26" s="430" t="b">
        <f t="shared" si="26"/>
        <v>1</v>
      </c>
      <c r="DY26" s="430" t="b">
        <f t="shared" si="26"/>
        <v>1</v>
      </c>
      <c r="DZ26" s="430" t="b">
        <f t="shared" si="26"/>
        <v>1</v>
      </c>
      <c r="EA26" s="430" t="b">
        <f t="shared" si="26"/>
        <v>1</v>
      </c>
      <c r="EB26" s="430" t="b">
        <f t="shared" si="26"/>
        <v>1</v>
      </c>
      <c r="EC26" s="244">
        <f t="shared" si="79"/>
        <v>1100000</v>
      </c>
      <c r="ED26" s="223">
        <f t="shared" si="65"/>
        <v>0</v>
      </c>
      <c r="EE26" s="223">
        <f t="shared" si="66"/>
        <v>0</v>
      </c>
      <c r="EF26" s="223">
        <f t="shared" si="67"/>
        <v>0</v>
      </c>
      <c r="EG26" s="223">
        <f t="shared" si="68"/>
        <v>0</v>
      </c>
      <c r="EH26" s="223">
        <f t="shared" si="69"/>
        <v>0</v>
      </c>
      <c r="EI26" s="223">
        <f t="shared" si="70"/>
        <v>0</v>
      </c>
      <c r="EJ26" s="223">
        <f t="shared" si="71"/>
        <v>0</v>
      </c>
      <c r="EK26" s="223">
        <f t="shared" si="72"/>
        <v>0</v>
      </c>
      <c r="EL26" s="223">
        <f t="shared" si="73"/>
        <v>0</v>
      </c>
      <c r="EM26" s="223">
        <f t="shared" si="74"/>
        <v>0</v>
      </c>
      <c r="EN26" s="223">
        <f t="shared" si="75"/>
        <v>0</v>
      </c>
      <c r="EO26" s="223">
        <f t="shared" si="76"/>
        <v>0</v>
      </c>
      <c r="EP26" s="223">
        <f t="shared" si="77"/>
        <v>1100000</v>
      </c>
      <c r="EQ26" s="223">
        <f>CE26</f>
        <v>0</v>
      </c>
      <c r="ER26" s="223">
        <f>CF26</f>
        <v>0</v>
      </c>
      <c r="ES26" s="223">
        <f>CG26</f>
        <v>0</v>
      </c>
      <c r="ET26" s="223">
        <f>CH26</f>
        <v>0</v>
      </c>
      <c r="EU26" s="223">
        <f>CI26</f>
        <v>0</v>
      </c>
      <c r="EV26" s="223">
        <f>CJ26</f>
        <v>0</v>
      </c>
      <c r="EW26" s="223">
        <f>CK26</f>
        <v>0</v>
      </c>
      <c r="EX26" s="223">
        <f>CL26</f>
        <v>0</v>
      </c>
      <c r="EY26" s="244">
        <f t="shared" si="80"/>
        <v>1100000</v>
      </c>
    </row>
    <row r="27" spans="1:155" s="235" customFormat="1" outlineLevel="1" x14ac:dyDescent="0.35">
      <c r="A27" s="221"/>
      <c r="B27" s="222"/>
      <c r="C27" s="246"/>
      <c r="D27" s="258" t="s">
        <v>21</v>
      </c>
      <c r="E27" s="243" t="s">
        <v>13</v>
      </c>
      <c r="F27" s="247">
        <f>'[10]Данные для переноса'!F25</f>
        <v>0</v>
      </c>
      <c r="G27" s="247">
        <f>'[10]Данные для переноса'!G25</f>
        <v>0</v>
      </c>
      <c r="H27" s="247">
        <f>'[10]Данные для переноса'!H25</f>
        <v>0</v>
      </c>
      <c r="I27" s="247">
        <f>'[10]Данные для переноса'!I25</f>
        <v>0</v>
      </c>
      <c r="J27" s="247">
        <f>'[10]Данные для переноса'!J25</f>
        <v>0</v>
      </c>
      <c r="K27" s="247">
        <f>'[10]Данные для переноса'!K25</f>
        <v>0</v>
      </c>
      <c r="L27" s="247">
        <f>'[10]Данные для переноса'!L25</f>
        <v>0</v>
      </c>
      <c r="M27" s="247">
        <f>'[10]Данные для переноса'!M25</f>
        <v>0</v>
      </c>
      <c r="N27" s="247">
        <f>'[10]Данные для переноса'!N25</f>
        <v>0</v>
      </c>
      <c r="O27" s="247">
        <f>'[10]Данные для переноса'!O25</f>
        <v>0</v>
      </c>
      <c r="P27" s="247">
        <f>'[10]Данные для переноса'!P25</f>
        <v>0</v>
      </c>
      <c r="Q27" s="247">
        <f>'[10]Данные для переноса'!Q25</f>
        <v>0</v>
      </c>
      <c r="R27" s="247">
        <f>'[10]Данные для переноса'!R25</f>
        <v>0</v>
      </c>
      <c r="S27" s="247">
        <f>'[10]Данные для переноса'!S25</f>
        <v>0</v>
      </c>
      <c r="T27" s="247">
        <f>'[10]Данные для переноса'!T25</f>
        <v>0</v>
      </c>
      <c r="U27" s="247">
        <f>'[10]Данные для переноса'!U25</f>
        <v>0</v>
      </c>
      <c r="V27" s="247">
        <f>'[10]Данные для переноса'!V25</f>
        <v>0</v>
      </c>
      <c r="W27" s="247">
        <f>'[10]Данные для переноса'!W25</f>
        <v>0</v>
      </c>
      <c r="X27" s="247">
        <f>'[10]Данные для переноса'!X25</f>
        <v>0</v>
      </c>
      <c r="Y27" s="247">
        <f>'[10]Данные для переноса'!Y25</f>
        <v>0</v>
      </c>
      <c r="Z27" s="247">
        <f>'[10]Данные для переноса'!Z25</f>
        <v>0</v>
      </c>
      <c r="AA27" s="426"/>
      <c r="AB27" s="426"/>
      <c r="AC27" s="426"/>
      <c r="AD27" s="426"/>
      <c r="AE27" s="426"/>
      <c r="AF27" s="426"/>
      <c r="AG27" s="426"/>
      <c r="AH27" s="426"/>
      <c r="AI27" s="426"/>
      <c r="AJ27" s="426"/>
      <c r="AK27" s="426"/>
      <c r="AL27" s="426"/>
      <c r="AM27" s="426"/>
      <c r="AN27" s="426"/>
      <c r="AO27" s="426"/>
      <c r="AP27" s="426"/>
      <c r="AQ27" s="426"/>
      <c r="AR27" s="426"/>
      <c r="AS27" s="426"/>
      <c r="AT27" s="426"/>
      <c r="AU27" s="426"/>
      <c r="AV27" s="430" t="b">
        <f t="shared" si="32"/>
        <v>1</v>
      </c>
      <c r="AW27" s="430" t="b">
        <f t="shared" si="32"/>
        <v>1</v>
      </c>
      <c r="AX27" s="430" t="b">
        <f t="shared" si="32"/>
        <v>1</v>
      </c>
      <c r="AY27" s="430" t="b">
        <f t="shared" si="32"/>
        <v>1</v>
      </c>
      <c r="AZ27" s="430" t="b">
        <f t="shared" si="32"/>
        <v>1</v>
      </c>
      <c r="BA27" s="430" t="b">
        <f t="shared" si="32"/>
        <v>1</v>
      </c>
      <c r="BB27" s="430" t="b">
        <f t="shared" si="32"/>
        <v>1</v>
      </c>
      <c r="BC27" s="430" t="b">
        <f t="shared" si="32"/>
        <v>1</v>
      </c>
      <c r="BD27" s="430" t="b">
        <f t="shared" si="32"/>
        <v>1</v>
      </c>
      <c r="BE27" s="430" t="b">
        <f t="shared" si="81"/>
        <v>1</v>
      </c>
      <c r="BF27" s="430" t="b">
        <f t="shared" si="81"/>
        <v>1</v>
      </c>
      <c r="BG27" s="430" t="b">
        <f t="shared" si="81"/>
        <v>1</v>
      </c>
      <c r="BH27" s="430" t="b">
        <f t="shared" si="81"/>
        <v>1</v>
      </c>
      <c r="BI27" s="430" t="b">
        <f t="shared" si="81"/>
        <v>1</v>
      </c>
      <c r="BJ27" s="430" t="b">
        <f t="shared" si="81"/>
        <v>1</v>
      </c>
      <c r="BK27" s="430" t="b">
        <f t="shared" si="81"/>
        <v>1</v>
      </c>
      <c r="BL27" s="430" t="b">
        <f t="shared" si="81"/>
        <v>1</v>
      </c>
      <c r="BM27" s="430" t="b">
        <f t="shared" si="81"/>
        <v>1</v>
      </c>
      <c r="BN27" s="430" t="b">
        <f t="shared" si="81"/>
        <v>1</v>
      </c>
      <c r="BO27" s="430" t="b">
        <f t="shared" si="81"/>
        <v>1</v>
      </c>
      <c r="BP27" s="430" t="b">
        <f t="shared" si="81"/>
        <v>1</v>
      </c>
      <c r="BQ27" s="244">
        <f t="shared" si="78"/>
        <v>0</v>
      </c>
      <c r="BR27" s="247">
        <f>'[10]Данные для переноса'!AB25</f>
        <v>0</v>
      </c>
      <c r="BS27" s="247">
        <f>'[10]Данные для переноса'!AC25</f>
        <v>0</v>
      </c>
      <c r="BT27" s="247">
        <f>'[10]Данные для переноса'!AD25</f>
        <v>0</v>
      </c>
      <c r="BU27" s="247">
        <f>'[10]Данные для переноса'!AE25</f>
        <v>0</v>
      </c>
      <c r="BV27" s="247">
        <f>'[10]Данные для переноса'!AF25</f>
        <v>0</v>
      </c>
      <c r="BW27" s="247">
        <f>'[10]Данные для переноса'!AG25</f>
        <v>1146128.08277774</v>
      </c>
      <c r="BX27" s="247">
        <f>'[10]Данные для переноса'!AH25</f>
        <v>598568.67681474925</v>
      </c>
      <c r="BY27" s="247">
        <f ca="1">'[10]Данные для переноса'!AI25</f>
        <v>248880.19164806535</v>
      </c>
      <c r="BZ27" s="247">
        <f>'[10]Данные для переноса'!AJ25</f>
        <v>134307.13875493722</v>
      </c>
      <c r="CA27" s="247">
        <f>'[10]Данные для переноса'!AK25</f>
        <v>139679.42430513774</v>
      </c>
      <c r="CB27" s="247">
        <f>'[10]Данные для переноса'!AL25</f>
        <v>1081434.5647859864</v>
      </c>
      <c r="CC27" s="247">
        <f>'[10]Данные для переноса'!AM25</f>
        <v>1413505.062295458</v>
      </c>
      <c r="CD27" s="247">
        <f>'[10]Данные для переноса'!AN25</f>
        <v>1449678.2785244263</v>
      </c>
      <c r="CE27" s="247">
        <f>'[10]Данные для переноса'!AO25</f>
        <v>0</v>
      </c>
      <c r="CF27" s="247">
        <f>'[10]Данные для переноса'!AP25</f>
        <v>0</v>
      </c>
      <c r="CG27" s="247">
        <f>'[10]Данные для переноса'!AQ25</f>
        <v>0</v>
      </c>
      <c r="CH27" s="247">
        <f>'[10]Данные для переноса'!AR25</f>
        <v>0</v>
      </c>
      <c r="CI27" s="247">
        <f>'[10]Данные для переноса'!AS25</f>
        <v>0</v>
      </c>
      <c r="CJ27" s="247">
        <f>'[10]Данные для переноса'!AT25</f>
        <v>0</v>
      </c>
      <c r="CK27" s="247">
        <f>'[10]Данные для переноса'!AU25</f>
        <v>0</v>
      </c>
      <c r="CL27" s="247">
        <f>'[10]Данные для переноса'!AV25</f>
        <v>0</v>
      </c>
      <c r="CM27" s="426">
        <v>0</v>
      </c>
      <c r="CN27" s="426">
        <v>0</v>
      </c>
      <c r="CO27" s="426">
        <v>0</v>
      </c>
      <c r="CP27" s="426">
        <v>0</v>
      </c>
      <c r="CQ27" s="426">
        <v>0</v>
      </c>
      <c r="CR27" s="426">
        <v>1146128.08277774</v>
      </c>
      <c r="CS27" s="426">
        <v>598568.67681474925</v>
      </c>
      <c r="CT27" s="426">
        <v>248880.19164806535</v>
      </c>
      <c r="CU27" s="426">
        <v>134307.13875493722</v>
      </c>
      <c r="CV27" s="426">
        <v>139679.42430513774</v>
      </c>
      <c r="CW27" s="426">
        <v>1081434.5647859864</v>
      </c>
      <c r="CX27" s="426">
        <v>1413505.062295458</v>
      </c>
      <c r="CY27" s="426">
        <v>1449678.2785244263</v>
      </c>
      <c r="CZ27" s="426">
        <v>0</v>
      </c>
      <c r="DA27" s="426">
        <v>0</v>
      </c>
      <c r="DB27" s="426">
        <v>0</v>
      </c>
      <c r="DC27" s="426">
        <v>0</v>
      </c>
      <c r="DD27" s="426">
        <v>0</v>
      </c>
      <c r="DE27" s="426">
        <v>0</v>
      </c>
      <c r="DF27" s="426">
        <v>0</v>
      </c>
      <c r="DG27" s="426">
        <v>0</v>
      </c>
      <c r="DH27" s="430" t="b">
        <f t="shared" si="34"/>
        <v>1</v>
      </c>
      <c r="DI27" s="430" t="b">
        <f t="shared" si="34"/>
        <v>1</v>
      </c>
      <c r="DJ27" s="430" t="b">
        <f t="shared" si="34"/>
        <v>1</v>
      </c>
      <c r="DK27" s="430" t="b">
        <f t="shared" si="34"/>
        <v>1</v>
      </c>
      <c r="DL27" s="430" t="b">
        <f t="shared" si="34"/>
        <v>1</v>
      </c>
      <c r="DM27" s="430" t="b">
        <f t="shared" si="34"/>
        <v>1</v>
      </c>
      <c r="DN27" s="430" t="b">
        <f t="shared" si="34"/>
        <v>1</v>
      </c>
      <c r="DO27" s="430" t="b">
        <f t="shared" ca="1" si="34"/>
        <v>1</v>
      </c>
      <c r="DP27" s="430" t="b">
        <f t="shared" si="34"/>
        <v>1</v>
      </c>
      <c r="DQ27" s="430" t="b">
        <f t="shared" si="34"/>
        <v>1</v>
      </c>
      <c r="DR27" s="430" t="b">
        <f t="shared" si="34"/>
        <v>1</v>
      </c>
      <c r="DS27" s="430" t="b">
        <f t="shared" si="34"/>
        <v>1</v>
      </c>
      <c r="DT27" s="430" t="b">
        <f t="shared" si="34"/>
        <v>1</v>
      </c>
      <c r="DU27" s="430" t="b">
        <f t="shared" si="34"/>
        <v>1</v>
      </c>
      <c r="DV27" s="430" t="b">
        <f t="shared" si="34"/>
        <v>1</v>
      </c>
      <c r="DW27" s="430" t="b">
        <f t="shared" si="34"/>
        <v>1</v>
      </c>
      <c r="DX27" s="430" t="b">
        <f t="shared" ref="DQ27:EB50" si="82">DC27=CH27</f>
        <v>1</v>
      </c>
      <c r="DY27" s="430" t="b">
        <f t="shared" si="82"/>
        <v>1</v>
      </c>
      <c r="DZ27" s="430" t="b">
        <f t="shared" si="82"/>
        <v>1</v>
      </c>
      <c r="EA27" s="430" t="b">
        <f t="shared" si="82"/>
        <v>1</v>
      </c>
      <c r="EB27" s="430" t="b">
        <f t="shared" si="82"/>
        <v>1</v>
      </c>
      <c r="EC27" s="244">
        <f t="shared" ca="1" si="79"/>
        <v>6212181.4199065007</v>
      </c>
      <c r="ED27" s="223">
        <f t="shared" si="65"/>
        <v>0</v>
      </c>
      <c r="EE27" s="223">
        <f t="shared" si="66"/>
        <v>0</v>
      </c>
      <c r="EF27" s="223">
        <f t="shared" si="67"/>
        <v>0</v>
      </c>
      <c r="EG27" s="223">
        <f t="shared" si="68"/>
        <v>0</v>
      </c>
      <c r="EH27" s="223">
        <f t="shared" si="69"/>
        <v>0</v>
      </c>
      <c r="EI27" s="223">
        <f t="shared" si="70"/>
        <v>1146128.08277774</v>
      </c>
      <c r="EJ27" s="223">
        <f t="shared" si="71"/>
        <v>598568.67681474925</v>
      </c>
      <c r="EK27" s="223">
        <f t="shared" ca="1" si="72"/>
        <v>248880.19164806535</v>
      </c>
      <c r="EL27" s="223">
        <f t="shared" si="73"/>
        <v>134307.13875493722</v>
      </c>
      <c r="EM27" s="223">
        <f t="shared" si="74"/>
        <v>139679.42430513774</v>
      </c>
      <c r="EN27" s="223">
        <f t="shared" si="75"/>
        <v>1081434.5647859864</v>
      </c>
      <c r="EO27" s="223">
        <f t="shared" si="76"/>
        <v>1413505.062295458</v>
      </c>
      <c r="EP27" s="223">
        <f t="shared" si="77"/>
        <v>1449678.2785244263</v>
      </c>
      <c r="EQ27" s="223">
        <f>CE27</f>
        <v>0</v>
      </c>
      <c r="ER27" s="223">
        <f>CF27</f>
        <v>0</v>
      </c>
      <c r="ES27" s="223">
        <f>CG27</f>
        <v>0</v>
      </c>
      <c r="ET27" s="223">
        <f>CH27</f>
        <v>0</v>
      </c>
      <c r="EU27" s="223">
        <f>CI27</f>
        <v>0</v>
      </c>
      <c r="EV27" s="223">
        <f>CJ27</f>
        <v>0</v>
      </c>
      <c r="EW27" s="223">
        <f>CK27</f>
        <v>0</v>
      </c>
      <c r="EX27" s="223">
        <f>CL27</f>
        <v>0</v>
      </c>
      <c r="EY27" s="244">
        <f t="shared" ca="1" si="80"/>
        <v>6212181.4199065007</v>
      </c>
    </row>
    <row r="28" spans="1:155" s="235" customFormat="1" ht="26" x14ac:dyDescent="0.35">
      <c r="A28" s="221"/>
      <c r="B28" s="222"/>
      <c r="C28" s="246">
        <v>14</v>
      </c>
      <c r="D28" s="253" t="s">
        <v>22</v>
      </c>
      <c r="E28" s="243" t="s">
        <v>13</v>
      </c>
      <c r="F28" s="247">
        <f>'[10]Данные для переноса'!F26</f>
        <v>0</v>
      </c>
      <c r="G28" s="247">
        <f>'[10]Данные для переноса'!G26</f>
        <v>0</v>
      </c>
      <c r="H28" s="247">
        <f>'[10]Данные для переноса'!H26</f>
        <v>0</v>
      </c>
      <c r="I28" s="247">
        <f>'[10]Данные для переноса'!I26</f>
        <v>0</v>
      </c>
      <c r="J28" s="247">
        <f>'[10]Данные для переноса'!J26</f>
        <v>0</v>
      </c>
      <c r="K28" s="247">
        <f>'[10]Данные для переноса'!K26</f>
        <v>0</v>
      </c>
      <c r="L28" s="247">
        <f>'[10]Данные для переноса'!L26</f>
        <v>0</v>
      </c>
      <c r="M28" s="247">
        <f>'[10]Данные для переноса'!M26</f>
        <v>0</v>
      </c>
      <c r="N28" s="247">
        <f>'[10]Данные для переноса'!N26</f>
        <v>0</v>
      </c>
      <c r="O28" s="247">
        <f>'[10]Данные для переноса'!O26</f>
        <v>0</v>
      </c>
      <c r="P28" s="247">
        <f>'[10]Данные для переноса'!P26</f>
        <v>0</v>
      </c>
      <c r="Q28" s="247">
        <f>'[10]Данные для переноса'!Q26</f>
        <v>0</v>
      </c>
      <c r="R28" s="247">
        <f>'[10]Данные для переноса'!R26</f>
        <v>0</v>
      </c>
      <c r="S28" s="247">
        <f>'[10]Данные для переноса'!S26</f>
        <v>0</v>
      </c>
      <c r="T28" s="247">
        <f>'[10]Данные для переноса'!T26</f>
        <v>0</v>
      </c>
      <c r="U28" s="247">
        <f>'[10]Данные для переноса'!U26</f>
        <v>0</v>
      </c>
      <c r="V28" s="247">
        <f>'[10]Данные для переноса'!V26</f>
        <v>0</v>
      </c>
      <c r="W28" s="247">
        <f>'[10]Данные для переноса'!W26</f>
        <v>0</v>
      </c>
      <c r="X28" s="247">
        <f>'[10]Данные для переноса'!X26</f>
        <v>0</v>
      </c>
      <c r="Y28" s="247">
        <f>'[10]Данные для переноса'!Y26</f>
        <v>0</v>
      </c>
      <c r="Z28" s="247">
        <f>'[10]Данные для переноса'!Z26</f>
        <v>0</v>
      </c>
      <c r="AA28" s="426"/>
      <c r="AB28" s="426"/>
      <c r="AC28" s="426"/>
      <c r="AD28" s="426"/>
      <c r="AE28" s="426"/>
      <c r="AF28" s="426"/>
      <c r="AG28" s="426"/>
      <c r="AH28" s="426"/>
      <c r="AI28" s="426"/>
      <c r="AJ28" s="426"/>
      <c r="AK28" s="426"/>
      <c r="AL28" s="426"/>
      <c r="AM28" s="426"/>
      <c r="AN28" s="426"/>
      <c r="AO28" s="426"/>
      <c r="AP28" s="426"/>
      <c r="AQ28" s="426"/>
      <c r="AR28" s="426"/>
      <c r="AS28" s="426"/>
      <c r="AT28" s="426"/>
      <c r="AU28" s="426"/>
      <c r="AV28" s="430" t="b">
        <f t="shared" si="32"/>
        <v>1</v>
      </c>
      <c r="AW28" s="430" t="b">
        <f t="shared" si="32"/>
        <v>1</v>
      </c>
      <c r="AX28" s="430" t="b">
        <f t="shared" si="32"/>
        <v>1</v>
      </c>
      <c r="AY28" s="430" t="b">
        <f t="shared" si="32"/>
        <v>1</v>
      </c>
      <c r="AZ28" s="430" t="b">
        <f t="shared" si="32"/>
        <v>1</v>
      </c>
      <c r="BA28" s="430" t="b">
        <f t="shared" si="32"/>
        <v>1</v>
      </c>
      <c r="BB28" s="430" t="b">
        <f t="shared" si="32"/>
        <v>1</v>
      </c>
      <c r="BC28" s="430" t="b">
        <f t="shared" si="32"/>
        <v>1</v>
      </c>
      <c r="BD28" s="430" t="b">
        <f t="shared" si="32"/>
        <v>1</v>
      </c>
      <c r="BE28" s="430" t="b">
        <f t="shared" si="81"/>
        <v>1</v>
      </c>
      <c r="BF28" s="430" t="b">
        <f t="shared" si="81"/>
        <v>1</v>
      </c>
      <c r="BG28" s="430" t="b">
        <f t="shared" si="81"/>
        <v>1</v>
      </c>
      <c r="BH28" s="430" t="b">
        <f t="shared" si="81"/>
        <v>1</v>
      </c>
      <c r="BI28" s="430" t="b">
        <f t="shared" si="81"/>
        <v>1</v>
      </c>
      <c r="BJ28" s="430" t="b">
        <f t="shared" si="81"/>
        <v>1</v>
      </c>
      <c r="BK28" s="430" t="b">
        <f t="shared" si="81"/>
        <v>1</v>
      </c>
      <c r="BL28" s="430" t="b">
        <f t="shared" si="81"/>
        <v>1</v>
      </c>
      <c r="BM28" s="430" t="b">
        <f t="shared" si="81"/>
        <v>1</v>
      </c>
      <c r="BN28" s="430" t="b">
        <f t="shared" si="81"/>
        <v>1</v>
      </c>
      <c r="BO28" s="430" t="b">
        <f t="shared" si="81"/>
        <v>1</v>
      </c>
      <c r="BP28" s="430" t="b">
        <f t="shared" si="81"/>
        <v>1</v>
      </c>
      <c r="BQ28" s="244">
        <f t="shared" si="78"/>
        <v>0</v>
      </c>
      <c r="BR28" s="247">
        <f>'[10]Данные для переноса'!AB26</f>
        <v>0</v>
      </c>
      <c r="BS28" s="247">
        <f>'[10]Данные для переноса'!AC26</f>
        <v>0</v>
      </c>
      <c r="BT28" s="247">
        <f>'[10]Данные для переноса'!AD26</f>
        <v>0</v>
      </c>
      <c r="BU28" s="247">
        <f>'[10]Данные для переноса'!AE26</f>
        <v>0</v>
      </c>
      <c r="BV28" s="247">
        <f>'[10]Данные для переноса'!AF26</f>
        <v>0</v>
      </c>
      <c r="BW28" s="247">
        <f>'[10]Данные для переноса'!AG26</f>
        <v>0</v>
      </c>
      <c r="BX28" s="247">
        <f>'[10]Данные для переноса'!AH26</f>
        <v>0</v>
      </c>
      <c r="BY28" s="247">
        <f>'[10]Данные для переноса'!AI26</f>
        <v>0</v>
      </c>
      <c r="BZ28" s="247">
        <f>'[10]Данные для переноса'!AJ26</f>
        <v>0</v>
      </c>
      <c r="CA28" s="247">
        <f>'[10]Данные для переноса'!AK26</f>
        <v>0</v>
      </c>
      <c r="CB28" s="247">
        <f>'[10]Данные для переноса'!AL26</f>
        <v>0</v>
      </c>
      <c r="CC28" s="247">
        <f>'[10]Данные для переноса'!AM26</f>
        <v>0</v>
      </c>
      <c r="CD28" s="247">
        <f>'[10]Данные для переноса'!AN26</f>
        <v>0</v>
      </c>
      <c r="CE28" s="247">
        <f>'[10]Данные для переноса'!AO26</f>
        <v>417061.36400990107</v>
      </c>
      <c r="CF28" s="247">
        <f>'[10]Данные для переноса'!AP26</f>
        <v>984759.65641614958</v>
      </c>
      <c r="CG28" s="247">
        <f>'[10]Данные для переноса'!AQ26</f>
        <v>989732.14962283941</v>
      </c>
      <c r="CH28" s="247">
        <f>'[10]Данные для переноса'!AR26</f>
        <v>988200.82279409701</v>
      </c>
      <c r="CI28" s="247">
        <f>'[10]Данные для переноса'!AS26</f>
        <v>694786.3498000463</v>
      </c>
      <c r="CJ28" s="247">
        <f>'[10]Данные для переноса'!AT26</f>
        <v>984797.44737647939</v>
      </c>
      <c r="CK28" s="247">
        <f>'[10]Данные для переноса'!AU26</f>
        <v>982910.2796701605</v>
      </c>
      <c r="CL28" s="247">
        <f>'[10]Данные для переноса'!AV26</f>
        <v>980888.58440361987</v>
      </c>
      <c r="CM28" s="426">
        <v>0</v>
      </c>
      <c r="CN28" s="426">
        <v>0</v>
      </c>
      <c r="CO28" s="426">
        <v>0</v>
      </c>
      <c r="CP28" s="426">
        <v>0</v>
      </c>
      <c r="CQ28" s="426">
        <v>0</v>
      </c>
      <c r="CR28" s="426">
        <v>0</v>
      </c>
      <c r="CS28" s="426">
        <v>0</v>
      </c>
      <c r="CT28" s="426">
        <v>0</v>
      </c>
      <c r="CU28" s="426">
        <v>0</v>
      </c>
      <c r="CV28" s="426">
        <v>0</v>
      </c>
      <c r="CW28" s="426">
        <v>0</v>
      </c>
      <c r="CX28" s="426">
        <v>0</v>
      </c>
      <c r="CY28" s="426">
        <v>0</v>
      </c>
      <c r="CZ28" s="426">
        <v>417061.36400990107</v>
      </c>
      <c r="DA28" s="426">
        <v>984759.65641614958</v>
      </c>
      <c r="DB28" s="426">
        <v>989732.14962283941</v>
      </c>
      <c r="DC28" s="426">
        <v>988200.82279409701</v>
      </c>
      <c r="DD28" s="426">
        <v>694786.3498000463</v>
      </c>
      <c r="DE28" s="426">
        <v>984797.44737647939</v>
      </c>
      <c r="DF28" s="426">
        <v>982910.2796701605</v>
      </c>
      <c r="DG28" s="426">
        <v>980888.58440361987</v>
      </c>
      <c r="DH28" s="430" t="b">
        <f t="shared" si="34"/>
        <v>1</v>
      </c>
      <c r="DI28" s="430" t="b">
        <f t="shared" si="34"/>
        <v>1</v>
      </c>
      <c r="DJ28" s="430" t="b">
        <f t="shared" si="34"/>
        <v>1</v>
      </c>
      <c r="DK28" s="430" t="b">
        <f t="shared" si="34"/>
        <v>1</v>
      </c>
      <c r="DL28" s="430" t="b">
        <f t="shared" si="34"/>
        <v>1</v>
      </c>
      <c r="DM28" s="430" t="b">
        <f t="shared" si="34"/>
        <v>1</v>
      </c>
      <c r="DN28" s="430" t="b">
        <f t="shared" si="34"/>
        <v>1</v>
      </c>
      <c r="DO28" s="430" t="b">
        <f t="shared" si="34"/>
        <v>1</v>
      </c>
      <c r="DP28" s="430" t="b">
        <f t="shared" si="34"/>
        <v>1</v>
      </c>
      <c r="DQ28" s="430" t="b">
        <f t="shared" si="82"/>
        <v>1</v>
      </c>
      <c r="DR28" s="430" t="b">
        <f t="shared" si="82"/>
        <v>1</v>
      </c>
      <c r="DS28" s="430" t="b">
        <f t="shared" si="82"/>
        <v>1</v>
      </c>
      <c r="DT28" s="430" t="b">
        <f t="shared" si="82"/>
        <v>1</v>
      </c>
      <c r="DU28" s="430" t="b">
        <f t="shared" si="82"/>
        <v>1</v>
      </c>
      <c r="DV28" s="430" t="b">
        <f t="shared" si="82"/>
        <v>1</v>
      </c>
      <c r="DW28" s="430" t="b">
        <f t="shared" si="82"/>
        <v>1</v>
      </c>
      <c r="DX28" s="430" t="b">
        <f t="shared" si="82"/>
        <v>1</v>
      </c>
      <c r="DY28" s="430" t="b">
        <f t="shared" si="82"/>
        <v>1</v>
      </c>
      <c r="DZ28" s="430" t="b">
        <f t="shared" si="82"/>
        <v>1</v>
      </c>
      <c r="EA28" s="430" t="b">
        <f t="shared" si="82"/>
        <v>1</v>
      </c>
      <c r="EB28" s="430" t="b">
        <f t="shared" si="82"/>
        <v>1</v>
      </c>
      <c r="EC28" s="244">
        <f t="shared" si="79"/>
        <v>7023136.6540932935</v>
      </c>
      <c r="ED28" s="223">
        <f t="shared" si="65"/>
        <v>0</v>
      </c>
      <c r="EE28" s="223">
        <f t="shared" si="66"/>
        <v>0</v>
      </c>
      <c r="EF28" s="223">
        <f t="shared" si="67"/>
        <v>0</v>
      </c>
      <c r="EG28" s="223">
        <f t="shared" si="68"/>
        <v>0</v>
      </c>
      <c r="EH28" s="223">
        <f t="shared" si="69"/>
        <v>0</v>
      </c>
      <c r="EI28" s="223">
        <f t="shared" si="70"/>
        <v>0</v>
      </c>
      <c r="EJ28" s="223">
        <f t="shared" si="71"/>
        <v>0</v>
      </c>
      <c r="EK28" s="223">
        <f t="shared" si="72"/>
        <v>0</v>
      </c>
      <c r="EL28" s="223">
        <f t="shared" si="73"/>
        <v>0</v>
      </c>
      <c r="EM28" s="223">
        <f t="shared" si="74"/>
        <v>0</v>
      </c>
      <c r="EN28" s="223">
        <f t="shared" si="75"/>
        <v>0</v>
      </c>
      <c r="EO28" s="223">
        <f t="shared" si="76"/>
        <v>0</v>
      </c>
      <c r="EP28" s="223">
        <f t="shared" si="77"/>
        <v>0</v>
      </c>
      <c r="EQ28" s="223">
        <f>CE28</f>
        <v>417061.36400990107</v>
      </c>
      <c r="ER28" s="223">
        <f>CF28</f>
        <v>984759.65641614958</v>
      </c>
      <c r="ES28" s="223">
        <f>CG28</f>
        <v>989732.14962283941</v>
      </c>
      <c r="ET28" s="223">
        <f>CH28</f>
        <v>988200.82279409701</v>
      </c>
      <c r="EU28" s="223">
        <f>CI28</f>
        <v>694786.3498000463</v>
      </c>
      <c r="EV28" s="223">
        <f>CJ28</f>
        <v>984797.44737647939</v>
      </c>
      <c r="EW28" s="223">
        <f>CK28</f>
        <v>982910.2796701605</v>
      </c>
      <c r="EX28" s="223">
        <f>CL28</f>
        <v>980888.58440361987</v>
      </c>
      <c r="EY28" s="244">
        <f t="shared" si="80"/>
        <v>7023136.6540932935</v>
      </c>
    </row>
    <row r="29" spans="1:155" s="235" customFormat="1" outlineLevel="1" x14ac:dyDescent="0.35">
      <c r="A29" s="221"/>
      <c r="B29" s="222"/>
      <c r="C29" s="241"/>
      <c r="D29" s="258" t="s">
        <v>19</v>
      </c>
      <c r="E29" s="243" t="s">
        <v>13</v>
      </c>
      <c r="F29" s="247">
        <f>'[10]Данные для переноса'!F27</f>
        <v>0</v>
      </c>
      <c r="G29" s="247">
        <f>'[10]Данные для переноса'!G27</f>
        <v>0</v>
      </c>
      <c r="H29" s="247">
        <f>'[10]Данные для переноса'!H27</f>
        <v>0</v>
      </c>
      <c r="I29" s="247">
        <f>'[10]Данные для переноса'!I27</f>
        <v>0</v>
      </c>
      <c r="J29" s="247">
        <f>'[10]Данные для переноса'!J27</f>
        <v>0</v>
      </c>
      <c r="K29" s="247">
        <f>'[10]Данные для переноса'!K27</f>
        <v>0</v>
      </c>
      <c r="L29" s="247">
        <f>'[10]Данные для переноса'!L27</f>
        <v>0</v>
      </c>
      <c r="M29" s="247">
        <f>'[10]Данные для переноса'!M27</f>
        <v>0</v>
      </c>
      <c r="N29" s="247">
        <f>'[10]Данные для переноса'!N27</f>
        <v>0</v>
      </c>
      <c r="O29" s="247">
        <f>'[10]Данные для переноса'!O27</f>
        <v>0</v>
      </c>
      <c r="P29" s="247">
        <f>'[10]Данные для переноса'!P27</f>
        <v>0</v>
      </c>
      <c r="Q29" s="247">
        <f>'[10]Данные для переноса'!Q27</f>
        <v>0</v>
      </c>
      <c r="R29" s="247">
        <f>'[10]Данные для переноса'!R27</f>
        <v>0</v>
      </c>
      <c r="S29" s="247">
        <f>'[10]Данные для переноса'!S27</f>
        <v>0</v>
      </c>
      <c r="T29" s="247">
        <f>'[10]Данные для переноса'!T27</f>
        <v>0</v>
      </c>
      <c r="U29" s="247">
        <f>'[10]Данные для переноса'!U27</f>
        <v>0</v>
      </c>
      <c r="V29" s="247">
        <f>'[10]Данные для переноса'!V27</f>
        <v>0</v>
      </c>
      <c r="W29" s="247">
        <f>'[10]Данные для переноса'!W27</f>
        <v>0</v>
      </c>
      <c r="X29" s="247">
        <f>'[10]Данные для переноса'!X27</f>
        <v>0</v>
      </c>
      <c r="Y29" s="247">
        <f>'[10]Данные для переноса'!Y27</f>
        <v>0</v>
      </c>
      <c r="Z29" s="247">
        <f>'[10]Данные для переноса'!Z27</f>
        <v>0</v>
      </c>
      <c r="AA29" s="426"/>
      <c r="AB29" s="426"/>
      <c r="AC29" s="426"/>
      <c r="AD29" s="426"/>
      <c r="AE29" s="426"/>
      <c r="AF29" s="426"/>
      <c r="AG29" s="426"/>
      <c r="AH29" s="426"/>
      <c r="AI29" s="426"/>
      <c r="AJ29" s="426"/>
      <c r="AK29" s="426"/>
      <c r="AL29" s="426"/>
      <c r="AM29" s="426"/>
      <c r="AN29" s="426"/>
      <c r="AO29" s="426"/>
      <c r="AP29" s="426"/>
      <c r="AQ29" s="426"/>
      <c r="AR29" s="426"/>
      <c r="AS29" s="426"/>
      <c r="AT29" s="426"/>
      <c r="AU29" s="426"/>
      <c r="AV29" s="430" t="b">
        <f t="shared" si="32"/>
        <v>1</v>
      </c>
      <c r="AW29" s="430" t="b">
        <f t="shared" si="32"/>
        <v>1</v>
      </c>
      <c r="AX29" s="430" t="b">
        <f t="shared" si="32"/>
        <v>1</v>
      </c>
      <c r="AY29" s="430" t="b">
        <f t="shared" si="32"/>
        <v>1</v>
      </c>
      <c r="AZ29" s="430" t="b">
        <f t="shared" si="32"/>
        <v>1</v>
      </c>
      <c r="BA29" s="430" t="b">
        <f t="shared" si="32"/>
        <v>1</v>
      </c>
      <c r="BB29" s="430" t="b">
        <f t="shared" si="32"/>
        <v>1</v>
      </c>
      <c r="BC29" s="430" t="b">
        <f t="shared" si="32"/>
        <v>1</v>
      </c>
      <c r="BD29" s="430" t="b">
        <f t="shared" si="32"/>
        <v>1</v>
      </c>
      <c r="BE29" s="430" t="b">
        <f t="shared" si="81"/>
        <v>1</v>
      </c>
      <c r="BF29" s="430" t="b">
        <f t="shared" si="81"/>
        <v>1</v>
      </c>
      <c r="BG29" s="430" t="b">
        <f t="shared" si="81"/>
        <v>1</v>
      </c>
      <c r="BH29" s="430" t="b">
        <f t="shared" si="81"/>
        <v>1</v>
      </c>
      <c r="BI29" s="430" t="b">
        <f t="shared" si="81"/>
        <v>1</v>
      </c>
      <c r="BJ29" s="430" t="b">
        <f t="shared" si="81"/>
        <v>1</v>
      </c>
      <c r="BK29" s="430" t="b">
        <f t="shared" si="81"/>
        <v>1</v>
      </c>
      <c r="BL29" s="430" t="b">
        <f t="shared" si="81"/>
        <v>1</v>
      </c>
      <c r="BM29" s="430" t="b">
        <f t="shared" si="81"/>
        <v>1</v>
      </c>
      <c r="BN29" s="430" t="b">
        <f t="shared" si="81"/>
        <v>1</v>
      </c>
      <c r="BO29" s="430" t="b">
        <f t="shared" si="81"/>
        <v>1</v>
      </c>
      <c r="BP29" s="430" t="b">
        <f t="shared" si="81"/>
        <v>1</v>
      </c>
      <c r="BQ29" s="244">
        <f t="shared" si="78"/>
        <v>0</v>
      </c>
      <c r="BR29" s="247">
        <f>'[10]Данные для переноса'!AB27</f>
        <v>0</v>
      </c>
      <c r="BS29" s="247">
        <f>'[10]Данные для переноса'!AC27</f>
        <v>0</v>
      </c>
      <c r="BT29" s="247">
        <f>'[10]Данные для переноса'!AD27</f>
        <v>0</v>
      </c>
      <c r="BU29" s="247">
        <f>'[10]Данные для переноса'!AE27</f>
        <v>0</v>
      </c>
      <c r="BV29" s="247">
        <f>'[10]Данные для переноса'!AF27</f>
        <v>0</v>
      </c>
      <c r="BW29" s="247">
        <f>'[10]Данные для переноса'!AG27</f>
        <v>0</v>
      </c>
      <c r="BX29" s="247">
        <f>'[10]Данные для переноса'!AH27</f>
        <v>0</v>
      </c>
      <c r="BY29" s="247">
        <f>'[10]Данные для переноса'!AI27</f>
        <v>0</v>
      </c>
      <c r="BZ29" s="247">
        <f>'[10]Данные для переноса'!AJ27</f>
        <v>0</v>
      </c>
      <c r="CA29" s="247">
        <f>'[10]Данные для переноса'!AK27</f>
        <v>0</v>
      </c>
      <c r="CB29" s="247">
        <f>'[10]Данные для переноса'!AL27</f>
        <v>0</v>
      </c>
      <c r="CC29" s="247">
        <f>'[10]Данные для переноса'!AM27</f>
        <v>0</v>
      </c>
      <c r="CD29" s="247">
        <f>'[10]Данные для переноса'!AN27</f>
        <v>0</v>
      </c>
      <c r="CE29" s="247">
        <f>'[10]Данные для переноса'!AO27</f>
        <v>0</v>
      </c>
      <c r="CF29" s="247">
        <f>'[10]Данные для переноса'!AP27</f>
        <v>0</v>
      </c>
      <c r="CG29" s="247">
        <f>'[10]Данные для переноса'!AQ27</f>
        <v>0</v>
      </c>
      <c r="CH29" s="247">
        <f>'[10]Данные для переноса'!AR27</f>
        <v>0</v>
      </c>
      <c r="CI29" s="247">
        <f>'[10]Данные для переноса'!AS27</f>
        <v>0</v>
      </c>
      <c r="CJ29" s="247">
        <f>'[10]Данные для переноса'!AT27</f>
        <v>0</v>
      </c>
      <c r="CK29" s="247">
        <f>'[10]Данные для переноса'!AU27</f>
        <v>0</v>
      </c>
      <c r="CL29" s="247">
        <f>'[10]Данные для переноса'!AV27</f>
        <v>0</v>
      </c>
      <c r="CM29" s="426">
        <v>0</v>
      </c>
      <c r="CN29" s="426">
        <v>0</v>
      </c>
      <c r="CO29" s="426">
        <v>0</v>
      </c>
      <c r="CP29" s="426">
        <v>0</v>
      </c>
      <c r="CQ29" s="426">
        <v>0</v>
      </c>
      <c r="CR29" s="426">
        <v>0</v>
      </c>
      <c r="CS29" s="426">
        <v>0</v>
      </c>
      <c r="CT29" s="426">
        <v>0</v>
      </c>
      <c r="CU29" s="426">
        <v>0</v>
      </c>
      <c r="CV29" s="426">
        <v>0</v>
      </c>
      <c r="CW29" s="426">
        <v>0</v>
      </c>
      <c r="CX29" s="426">
        <v>0</v>
      </c>
      <c r="CY29" s="426">
        <v>0</v>
      </c>
      <c r="CZ29" s="426">
        <v>0</v>
      </c>
      <c r="DA29" s="426">
        <v>0</v>
      </c>
      <c r="DB29" s="426">
        <v>0</v>
      </c>
      <c r="DC29" s="426">
        <v>0</v>
      </c>
      <c r="DD29" s="426">
        <v>0</v>
      </c>
      <c r="DE29" s="426">
        <v>0</v>
      </c>
      <c r="DF29" s="426">
        <v>0</v>
      </c>
      <c r="DG29" s="426">
        <v>0</v>
      </c>
      <c r="DH29" s="430" t="b">
        <f t="shared" si="34"/>
        <v>1</v>
      </c>
      <c r="DI29" s="430" t="b">
        <f t="shared" si="34"/>
        <v>1</v>
      </c>
      <c r="DJ29" s="430" t="b">
        <f t="shared" si="34"/>
        <v>1</v>
      </c>
      <c r="DK29" s="430" t="b">
        <f t="shared" si="34"/>
        <v>1</v>
      </c>
      <c r="DL29" s="430" t="b">
        <f t="shared" si="34"/>
        <v>1</v>
      </c>
      <c r="DM29" s="430" t="b">
        <f t="shared" si="34"/>
        <v>1</v>
      </c>
      <c r="DN29" s="430" t="b">
        <f t="shared" si="34"/>
        <v>1</v>
      </c>
      <c r="DO29" s="430" t="b">
        <f t="shared" si="34"/>
        <v>1</v>
      </c>
      <c r="DP29" s="430" t="b">
        <f t="shared" si="34"/>
        <v>1</v>
      </c>
      <c r="DQ29" s="430" t="b">
        <f t="shared" si="82"/>
        <v>1</v>
      </c>
      <c r="DR29" s="430" t="b">
        <f t="shared" si="82"/>
        <v>1</v>
      </c>
      <c r="DS29" s="430" t="b">
        <f t="shared" si="82"/>
        <v>1</v>
      </c>
      <c r="DT29" s="430" t="b">
        <f t="shared" si="82"/>
        <v>1</v>
      </c>
      <c r="DU29" s="430" t="b">
        <f t="shared" si="82"/>
        <v>1</v>
      </c>
      <c r="DV29" s="430" t="b">
        <f t="shared" si="82"/>
        <v>1</v>
      </c>
      <c r="DW29" s="430" t="b">
        <f t="shared" si="82"/>
        <v>1</v>
      </c>
      <c r="DX29" s="430" t="b">
        <f t="shared" si="82"/>
        <v>1</v>
      </c>
      <c r="DY29" s="430" t="b">
        <f t="shared" si="82"/>
        <v>1</v>
      </c>
      <c r="DZ29" s="430" t="b">
        <f t="shared" si="82"/>
        <v>1</v>
      </c>
      <c r="EA29" s="430" t="b">
        <f t="shared" si="82"/>
        <v>1</v>
      </c>
      <c r="EB29" s="430" t="b">
        <f t="shared" si="82"/>
        <v>1</v>
      </c>
      <c r="EC29" s="244">
        <f t="shared" si="79"/>
        <v>0</v>
      </c>
      <c r="ED29" s="223">
        <f t="shared" si="65"/>
        <v>0</v>
      </c>
      <c r="EE29" s="223">
        <f t="shared" si="66"/>
        <v>0</v>
      </c>
      <c r="EF29" s="223">
        <f t="shared" si="67"/>
        <v>0</v>
      </c>
      <c r="EG29" s="223">
        <f t="shared" si="68"/>
        <v>0</v>
      </c>
      <c r="EH29" s="223">
        <f t="shared" si="69"/>
        <v>0</v>
      </c>
      <c r="EI29" s="223">
        <f t="shared" si="70"/>
        <v>0</v>
      </c>
      <c r="EJ29" s="223">
        <f t="shared" si="71"/>
        <v>0</v>
      </c>
      <c r="EK29" s="223">
        <f t="shared" si="72"/>
        <v>0</v>
      </c>
      <c r="EL29" s="223">
        <f t="shared" si="73"/>
        <v>0</v>
      </c>
      <c r="EM29" s="223">
        <f t="shared" si="74"/>
        <v>0</v>
      </c>
      <c r="EN29" s="223">
        <f t="shared" si="75"/>
        <v>0</v>
      </c>
      <c r="EO29" s="223">
        <f t="shared" si="76"/>
        <v>0</v>
      </c>
      <c r="EP29" s="223">
        <f t="shared" si="77"/>
        <v>0</v>
      </c>
      <c r="EQ29" s="223">
        <f>CE29</f>
        <v>0</v>
      </c>
      <c r="ER29" s="223">
        <f>CF29</f>
        <v>0</v>
      </c>
      <c r="ES29" s="223">
        <f>CG29</f>
        <v>0</v>
      </c>
      <c r="ET29" s="223">
        <f>CH29</f>
        <v>0</v>
      </c>
      <c r="EU29" s="223">
        <f>CI29</f>
        <v>0</v>
      </c>
      <c r="EV29" s="223">
        <f>CJ29</f>
        <v>0</v>
      </c>
      <c r="EW29" s="223">
        <f>CK29</f>
        <v>0</v>
      </c>
      <c r="EX29" s="223">
        <f>CL29</f>
        <v>0</v>
      </c>
      <c r="EY29" s="244">
        <f t="shared" si="80"/>
        <v>0</v>
      </c>
    </row>
    <row r="30" spans="1:155" s="235" customFormat="1" outlineLevel="1" x14ac:dyDescent="0.35">
      <c r="A30" s="221"/>
      <c r="B30" s="222"/>
      <c r="C30" s="241"/>
      <c r="D30" s="258" t="s">
        <v>20</v>
      </c>
      <c r="E30" s="243" t="s">
        <v>13</v>
      </c>
      <c r="F30" s="247">
        <f>'[10]Данные для переноса'!F28</f>
        <v>0</v>
      </c>
      <c r="G30" s="247">
        <f>'[10]Данные для переноса'!G28</f>
        <v>0</v>
      </c>
      <c r="H30" s="247">
        <f>'[10]Данные для переноса'!H28</f>
        <v>0</v>
      </c>
      <c r="I30" s="247">
        <f>'[10]Данные для переноса'!I28</f>
        <v>0</v>
      </c>
      <c r="J30" s="247">
        <f>'[10]Данные для переноса'!J28</f>
        <v>0</v>
      </c>
      <c r="K30" s="247">
        <f>'[10]Данные для переноса'!K28</f>
        <v>0</v>
      </c>
      <c r="L30" s="247">
        <f>'[10]Данные для переноса'!L28</f>
        <v>0</v>
      </c>
      <c r="M30" s="247">
        <f>'[10]Данные для переноса'!M28</f>
        <v>0</v>
      </c>
      <c r="N30" s="247">
        <f>'[10]Данные для переноса'!N28</f>
        <v>0</v>
      </c>
      <c r="O30" s="247">
        <f>'[10]Данные для переноса'!O28</f>
        <v>0</v>
      </c>
      <c r="P30" s="247">
        <f>'[10]Данные для переноса'!P28</f>
        <v>0</v>
      </c>
      <c r="Q30" s="247">
        <f>'[10]Данные для переноса'!Q28</f>
        <v>0</v>
      </c>
      <c r="R30" s="247">
        <f>'[10]Данные для переноса'!R28</f>
        <v>0</v>
      </c>
      <c r="S30" s="247">
        <f>'[10]Данные для переноса'!S28</f>
        <v>0</v>
      </c>
      <c r="T30" s="247">
        <f>'[10]Данные для переноса'!T28</f>
        <v>0</v>
      </c>
      <c r="U30" s="247">
        <f>'[10]Данные для переноса'!U28</f>
        <v>0</v>
      </c>
      <c r="V30" s="247">
        <f>'[10]Данные для переноса'!V28</f>
        <v>0</v>
      </c>
      <c r="W30" s="247">
        <f>'[10]Данные для переноса'!W28</f>
        <v>0</v>
      </c>
      <c r="X30" s="247">
        <f>'[10]Данные для переноса'!X28</f>
        <v>0</v>
      </c>
      <c r="Y30" s="247">
        <f>'[10]Данные для переноса'!Y28</f>
        <v>0</v>
      </c>
      <c r="Z30" s="247">
        <f>'[10]Данные для переноса'!Z28</f>
        <v>0</v>
      </c>
      <c r="AA30" s="426"/>
      <c r="AB30" s="426"/>
      <c r="AC30" s="426"/>
      <c r="AD30" s="426"/>
      <c r="AE30" s="426"/>
      <c r="AF30" s="426"/>
      <c r="AG30" s="426"/>
      <c r="AH30" s="426"/>
      <c r="AI30" s="426"/>
      <c r="AJ30" s="426"/>
      <c r="AK30" s="426"/>
      <c r="AL30" s="426"/>
      <c r="AM30" s="426"/>
      <c r="AN30" s="426"/>
      <c r="AO30" s="426"/>
      <c r="AP30" s="426"/>
      <c r="AQ30" s="426"/>
      <c r="AR30" s="426"/>
      <c r="AS30" s="426"/>
      <c r="AT30" s="426"/>
      <c r="AU30" s="426"/>
      <c r="AV30" s="430" t="b">
        <f t="shared" si="32"/>
        <v>1</v>
      </c>
      <c r="AW30" s="430" t="b">
        <f t="shared" si="32"/>
        <v>1</v>
      </c>
      <c r="AX30" s="430" t="b">
        <f t="shared" si="32"/>
        <v>1</v>
      </c>
      <c r="AY30" s="430" t="b">
        <f t="shared" si="32"/>
        <v>1</v>
      </c>
      <c r="AZ30" s="430" t="b">
        <f t="shared" si="32"/>
        <v>1</v>
      </c>
      <c r="BA30" s="430" t="b">
        <f t="shared" si="32"/>
        <v>1</v>
      </c>
      <c r="BB30" s="430" t="b">
        <f t="shared" si="32"/>
        <v>1</v>
      </c>
      <c r="BC30" s="430" t="b">
        <f t="shared" si="32"/>
        <v>1</v>
      </c>
      <c r="BD30" s="430" t="b">
        <f t="shared" si="32"/>
        <v>1</v>
      </c>
      <c r="BE30" s="430" t="b">
        <f t="shared" si="81"/>
        <v>1</v>
      </c>
      <c r="BF30" s="430" t="b">
        <f t="shared" si="81"/>
        <v>1</v>
      </c>
      <c r="BG30" s="430" t="b">
        <f t="shared" si="81"/>
        <v>1</v>
      </c>
      <c r="BH30" s="430" t="b">
        <f t="shared" si="81"/>
        <v>1</v>
      </c>
      <c r="BI30" s="430" t="b">
        <f t="shared" si="81"/>
        <v>1</v>
      </c>
      <c r="BJ30" s="430" t="b">
        <f t="shared" si="81"/>
        <v>1</v>
      </c>
      <c r="BK30" s="430" t="b">
        <f t="shared" si="81"/>
        <v>1</v>
      </c>
      <c r="BL30" s="430" t="b">
        <f t="shared" si="81"/>
        <v>1</v>
      </c>
      <c r="BM30" s="430" t="b">
        <f t="shared" si="81"/>
        <v>1</v>
      </c>
      <c r="BN30" s="430" t="b">
        <f t="shared" si="81"/>
        <v>1</v>
      </c>
      <c r="BO30" s="430" t="b">
        <f t="shared" si="81"/>
        <v>1</v>
      </c>
      <c r="BP30" s="430" t="b">
        <f t="shared" si="81"/>
        <v>1</v>
      </c>
      <c r="BQ30" s="244">
        <f t="shared" si="78"/>
        <v>0</v>
      </c>
      <c r="BR30" s="247">
        <f>'[10]Данные для переноса'!AB28</f>
        <v>0</v>
      </c>
      <c r="BS30" s="247">
        <f>'[10]Данные для переноса'!AC28</f>
        <v>0</v>
      </c>
      <c r="BT30" s="247">
        <f>'[10]Данные для переноса'!AD28</f>
        <v>0</v>
      </c>
      <c r="BU30" s="247">
        <f>'[10]Данные для переноса'!AE28</f>
        <v>0</v>
      </c>
      <c r="BV30" s="247">
        <f>'[10]Данные для переноса'!AF28</f>
        <v>0</v>
      </c>
      <c r="BW30" s="247">
        <f>'[10]Данные для переноса'!AG28</f>
        <v>0</v>
      </c>
      <c r="BX30" s="247">
        <f>'[10]Данные для переноса'!AH28</f>
        <v>0</v>
      </c>
      <c r="BY30" s="247">
        <f>'[10]Данные для переноса'!AI28</f>
        <v>0</v>
      </c>
      <c r="BZ30" s="247">
        <f>'[10]Данные для переноса'!AJ28</f>
        <v>0</v>
      </c>
      <c r="CA30" s="247">
        <f>'[10]Данные для переноса'!AK28</f>
        <v>0</v>
      </c>
      <c r="CB30" s="247">
        <f>'[10]Данные для переноса'!AL28</f>
        <v>0</v>
      </c>
      <c r="CC30" s="247">
        <f>'[10]Данные для переноса'!AM28</f>
        <v>0</v>
      </c>
      <c r="CD30" s="247">
        <f>'[10]Данные для переноса'!AN28</f>
        <v>0</v>
      </c>
      <c r="CE30" s="247">
        <f>'[10]Данные для переноса'!AO28</f>
        <v>0</v>
      </c>
      <c r="CF30" s="247">
        <f>'[10]Данные для переноса'!AP28</f>
        <v>0</v>
      </c>
      <c r="CG30" s="247">
        <f>'[10]Данные для переноса'!AQ28</f>
        <v>0</v>
      </c>
      <c r="CH30" s="247">
        <f>'[10]Данные для переноса'!AR28</f>
        <v>0</v>
      </c>
      <c r="CI30" s="247">
        <f>'[10]Данные для переноса'!AS28</f>
        <v>0</v>
      </c>
      <c r="CJ30" s="247">
        <f>'[10]Данные для переноса'!AT28</f>
        <v>0</v>
      </c>
      <c r="CK30" s="247">
        <f>'[10]Данные для переноса'!AU28</f>
        <v>0</v>
      </c>
      <c r="CL30" s="247">
        <f>'[10]Данные для переноса'!AV28</f>
        <v>0</v>
      </c>
      <c r="CM30" s="426">
        <v>0</v>
      </c>
      <c r="CN30" s="426">
        <v>0</v>
      </c>
      <c r="CO30" s="426">
        <v>0</v>
      </c>
      <c r="CP30" s="426">
        <v>0</v>
      </c>
      <c r="CQ30" s="426">
        <v>0</v>
      </c>
      <c r="CR30" s="426">
        <v>0</v>
      </c>
      <c r="CS30" s="426">
        <v>0</v>
      </c>
      <c r="CT30" s="426">
        <v>0</v>
      </c>
      <c r="CU30" s="426">
        <v>0</v>
      </c>
      <c r="CV30" s="426">
        <v>0</v>
      </c>
      <c r="CW30" s="426">
        <v>0</v>
      </c>
      <c r="CX30" s="426">
        <v>0</v>
      </c>
      <c r="CY30" s="426">
        <v>0</v>
      </c>
      <c r="CZ30" s="426">
        <v>0</v>
      </c>
      <c r="DA30" s="426">
        <v>0</v>
      </c>
      <c r="DB30" s="426">
        <v>0</v>
      </c>
      <c r="DC30" s="426">
        <v>0</v>
      </c>
      <c r="DD30" s="426">
        <v>0</v>
      </c>
      <c r="DE30" s="426">
        <v>0</v>
      </c>
      <c r="DF30" s="426">
        <v>0</v>
      </c>
      <c r="DG30" s="426">
        <v>0</v>
      </c>
      <c r="DH30" s="430" t="b">
        <f t="shared" si="34"/>
        <v>1</v>
      </c>
      <c r="DI30" s="430" t="b">
        <f t="shared" si="34"/>
        <v>1</v>
      </c>
      <c r="DJ30" s="430" t="b">
        <f t="shared" si="34"/>
        <v>1</v>
      </c>
      <c r="DK30" s="430" t="b">
        <f t="shared" si="34"/>
        <v>1</v>
      </c>
      <c r="DL30" s="430" t="b">
        <f t="shared" si="34"/>
        <v>1</v>
      </c>
      <c r="DM30" s="430" t="b">
        <f t="shared" si="34"/>
        <v>1</v>
      </c>
      <c r="DN30" s="430" t="b">
        <f t="shared" si="34"/>
        <v>1</v>
      </c>
      <c r="DO30" s="430" t="b">
        <f t="shared" si="34"/>
        <v>1</v>
      </c>
      <c r="DP30" s="430" t="b">
        <f t="shared" si="34"/>
        <v>1</v>
      </c>
      <c r="DQ30" s="430" t="b">
        <f t="shared" si="82"/>
        <v>1</v>
      </c>
      <c r="DR30" s="430" t="b">
        <f t="shared" si="82"/>
        <v>1</v>
      </c>
      <c r="DS30" s="430" t="b">
        <f t="shared" si="82"/>
        <v>1</v>
      </c>
      <c r="DT30" s="430" t="b">
        <f t="shared" si="82"/>
        <v>1</v>
      </c>
      <c r="DU30" s="430" t="b">
        <f t="shared" si="82"/>
        <v>1</v>
      </c>
      <c r="DV30" s="430" t="b">
        <f t="shared" si="82"/>
        <v>1</v>
      </c>
      <c r="DW30" s="430" t="b">
        <f t="shared" si="82"/>
        <v>1</v>
      </c>
      <c r="DX30" s="430" t="b">
        <f t="shared" si="82"/>
        <v>1</v>
      </c>
      <c r="DY30" s="430" t="b">
        <f t="shared" si="82"/>
        <v>1</v>
      </c>
      <c r="DZ30" s="430" t="b">
        <f t="shared" si="82"/>
        <v>1</v>
      </c>
      <c r="EA30" s="430" t="b">
        <f t="shared" si="82"/>
        <v>1</v>
      </c>
      <c r="EB30" s="430" t="b">
        <f t="shared" si="82"/>
        <v>1</v>
      </c>
      <c r="EC30" s="244">
        <f t="shared" si="79"/>
        <v>0</v>
      </c>
      <c r="ED30" s="223">
        <f t="shared" si="65"/>
        <v>0</v>
      </c>
      <c r="EE30" s="223">
        <f t="shared" si="66"/>
        <v>0</v>
      </c>
      <c r="EF30" s="223">
        <f t="shared" si="67"/>
        <v>0</v>
      </c>
      <c r="EG30" s="223">
        <f t="shared" si="68"/>
        <v>0</v>
      </c>
      <c r="EH30" s="223">
        <f t="shared" si="69"/>
        <v>0</v>
      </c>
      <c r="EI30" s="223">
        <f t="shared" si="70"/>
        <v>0</v>
      </c>
      <c r="EJ30" s="223">
        <f t="shared" si="71"/>
        <v>0</v>
      </c>
      <c r="EK30" s="223">
        <f t="shared" si="72"/>
        <v>0</v>
      </c>
      <c r="EL30" s="223">
        <f t="shared" si="73"/>
        <v>0</v>
      </c>
      <c r="EM30" s="223">
        <f t="shared" si="74"/>
        <v>0</v>
      </c>
      <c r="EN30" s="223">
        <f t="shared" si="75"/>
        <v>0</v>
      </c>
      <c r="EO30" s="223">
        <f t="shared" si="76"/>
        <v>0</v>
      </c>
      <c r="EP30" s="223">
        <f t="shared" si="77"/>
        <v>0</v>
      </c>
      <c r="EQ30" s="223">
        <f>CE30</f>
        <v>0</v>
      </c>
      <c r="ER30" s="223">
        <f>CF30</f>
        <v>0</v>
      </c>
      <c r="ES30" s="223">
        <f>CG30</f>
        <v>0</v>
      </c>
      <c r="ET30" s="223">
        <f>CH30</f>
        <v>0</v>
      </c>
      <c r="EU30" s="223">
        <f>CI30</f>
        <v>0</v>
      </c>
      <c r="EV30" s="223">
        <f>CJ30</f>
        <v>0</v>
      </c>
      <c r="EW30" s="223">
        <f>CK30</f>
        <v>0</v>
      </c>
      <c r="EX30" s="223">
        <f>CL30</f>
        <v>0</v>
      </c>
      <c r="EY30" s="244">
        <f t="shared" si="80"/>
        <v>0</v>
      </c>
    </row>
    <row r="31" spans="1:155" s="235" customFormat="1" outlineLevel="1" x14ac:dyDescent="0.35">
      <c r="A31" s="221"/>
      <c r="B31" s="222"/>
      <c r="C31" s="241"/>
      <c r="D31" s="258" t="s">
        <v>21</v>
      </c>
      <c r="E31" s="243" t="s">
        <v>13</v>
      </c>
      <c r="F31" s="247">
        <f>'[10]Данные для переноса'!F29</f>
        <v>0</v>
      </c>
      <c r="G31" s="247">
        <f>'[10]Данные для переноса'!G29</f>
        <v>0</v>
      </c>
      <c r="H31" s="247">
        <f>'[10]Данные для переноса'!H29</f>
        <v>0</v>
      </c>
      <c r="I31" s="247">
        <f>'[10]Данные для переноса'!I29</f>
        <v>0</v>
      </c>
      <c r="J31" s="247">
        <f>'[10]Данные для переноса'!J29</f>
        <v>0</v>
      </c>
      <c r="K31" s="247">
        <f>'[10]Данные для переноса'!K29</f>
        <v>0</v>
      </c>
      <c r="L31" s="247">
        <f>'[10]Данные для переноса'!L29</f>
        <v>0</v>
      </c>
      <c r="M31" s="247">
        <f>'[10]Данные для переноса'!M29</f>
        <v>0</v>
      </c>
      <c r="N31" s="247">
        <f>'[10]Данные для переноса'!N29</f>
        <v>0</v>
      </c>
      <c r="O31" s="247">
        <f>'[10]Данные для переноса'!O29</f>
        <v>0</v>
      </c>
      <c r="P31" s="247">
        <f>'[10]Данные для переноса'!P29</f>
        <v>0</v>
      </c>
      <c r="Q31" s="247">
        <f>'[10]Данные для переноса'!Q29</f>
        <v>0</v>
      </c>
      <c r="R31" s="247">
        <f>'[10]Данные для переноса'!R29</f>
        <v>0</v>
      </c>
      <c r="S31" s="247">
        <f>'[10]Данные для переноса'!S29</f>
        <v>0</v>
      </c>
      <c r="T31" s="247">
        <f>'[10]Данные для переноса'!T29</f>
        <v>0</v>
      </c>
      <c r="U31" s="247">
        <f>'[10]Данные для переноса'!U29</f>
        <v>0</v>
      </c>
      <c r="V31" s="247">
        <f>'[10]Данные для переноса'!V29</f>
        <v>0</v>
      </c>
      <c r="W31" s="247">
        <f>'[10]Данные для переноса'!W29</f>
        <v>0</v>
      </c>
      <c r="X31" s="247">
        <f>'[10]Данные для переноса'!X29</f>
        <v>0</v>
      </c>
      <c r="Y31" s="247">
        <f>'[10]Данные для переноса'!Y29</f>
        <v>0</v>
      </c>
      <c r="Z31" s="247">
        <f>'[10]Данные для переноса'!Z29</f>
        <v>0</v>
      </c>
      <c r="AA31" s="426"/>
      <c r="AB31" s="426"/>
      <c r="AC31" s="426"/>
      <c r="AD31" s="426"/>
      <c r="AE31" s="426"/>
      <c r="AF31" s="426"/>
      <c r="AG31" s="426"/>
      <c r="AH31" s="426"/>
      <c r="AI31" s="426"/>
      <c r="AJ31" s="426"/>
      <c r="AK31" s="426"/>
      <c r="AL31" s="426"/>
      <c r="AM31" s="426"/>
      <c r="AN31" s="426"/>
      <c r="AO31" s="426"/>
      <c r="AP31" s="426"/>
      <c r="AQ31" s="426"/>
      <c r="AR31" s="426"/>
      <c r="AS31" s="426"/>
      <c r="AT31" s="426"/>
      <c r="AU31" s="426"/>
      <c r="AV31" s="430" t="b">
        <f t="shared" si="32"/>
        <v>1</v>
      </c>
      <c r="AW31" s="430" t="b">
        <f t="shared" si="32"/>
        <v>1</v>
      </c>
      <c r="AX31" s="430" t="b">
        <f t="shared" si="32"/>
        <v>1</v>
      </c>
      <c r="AY31" s="430" t="b">
        <f t="shared" si="32"/>
        <v>1</v>
      </c>
      <c r="AZ31" s="430" t="b">
        <f t="shared" si="32"/>
        <v>1</v>
      </c>
      <c r="BA31" s="430" t="b">
        <f t="shared" si="32"/>
        <v>1</v>
      </c>
      <c r="BB31" s="430" t="b">
        <f t="shared" si="32"/>
        <v>1</v>
      </c>
      <c r="BC31" s="430" t="b">
        <f t="shared" si="32"/>
        <v>1</v>
      </c>
      <c r="BD31" s="430" t="b">
        <f t="shared" si="32"/>
        <v>1</v>
      </c>
      <c r="BE31" s="430" t="b">
        <f t="shared" si="81"/>
        <v>1</v>
      </c>
      <c r="BF31" s="430" t="b">
        <f t="shared" si="81"/>
        <v>1</v>
      </c>
      <c r="BG31" s="430" t="b">
        <f t="shared" si="81"/>
        <v>1</v>
      </c>
      <c r="BH31" s="430" t="b">
        <f t="shared" si="81"/>
        <v>1</v>
      </c>
      <c r="BI31" s="430" t="b">
        <f t="shared" si="81"/>
        <v>1</v>
      </c>
      <c r="BJ31" s="430" t="b">
        <f t="shared" si="81"/>
        <v>1</v>
      </c>
      <c r="BK31" s="430" t="b">
        <f t="shared" si="81"/>
        <v>1</v>
      </c>
      <c r="BL31" s="430" t="b">
        <f t="shared" si="81"/>
        <v>1</v>
      </c>
      <c r="BM31" s="430" t="b">
        <f t="shared" si="81"/>
        <v>1</v>
      </c>
      <c r="BN31" s="430" t="b">
        <f t="shared" si="81"/>
        <v>1</v>
      </c>
      <c r="BO31" s="430" t="b">
        <f t="shared" si="81"/>
        <v>1</v>
      </c>
      <c r="BP31" s="430" t="b">
        <f t="shared" si="81"/>
        <v>1</v>
      </c>
      <c r="BQ31" s="244">
        <f t="shared" si="78"/>
        <v>0</v>
      </c>
      <c r="BR31" s="247">
        <f>'[10]Данные для переноса'!AB29</f>
        <v>0</v>
      </c>
      <c r="BS31" s="247">
        <f>'[10]Данные для переноса'!AC29</f>
        <v>0</v>
      </c>
      <c r="BT31" s="247">
        <f>'[10]Данные для переноса'!AD29</f>
        <v>0</v>
      </c>
      <c r="BU31" s="247">
        <f>'[10]Данные для переноса'!AE29</f>
        <v>0</v>
      </c>
      <c r="BV31" s="247">
        <f>'[10]Данные для переноса'!AF29</f>
        <v>0</v>
      </c>
      <c r="BW31" s="247">
        <f>'[10]Данные для переноса'!AG29</f>
        <v>0</v>
      </c>
      <c r="BX31" s="247">
        <f>'[10]Данные для переноса'!AH29</f>
        <v>0</v>
      </c>
      <c r="BY31" s="247">
        <f>'[10]Данные для переноса'!AI29</f>
        <v>0</v>
      </c>
      <c r="BZ31" s="247">
        <f>'[10]Данные для переноса'!AJ29</f>
        <v>0</v>
      </c>
      <c r="CA31" s="247">
        <f>'[10]Данные для переноса'!AK29</f>
        <v>0</v>
      </c>
      <c r="CB31" s="247">
        <f>'[10]Данные для переноса'!AL29</f>
        <v>0</v>
      </c>
      <c r="CC31" s="247">
        <f>'[10]Данные для переноса'!AM29</f>
        <v>0</v>
      </c>
      <c r="CD31" s="247">
        <f>'[10]Данные для переноса'!AN29</f>
        <v>0</v>
      </c>
      <c r="CE31" s="247">
        <f>'[10]Данные для переноса'!AO29</f>
        <v>417061.36400990107</v>
      </c>
      <c r="CF31" s="247">
        <f>'[10]Данные для переноса'!AP29</f>
        <v>984759.65641614958</v>
      </c>
      <c r="CG31" s="247">
        <f>'[10]Данные для переноса'!AQ29</f>
        <v>989732.14962283941</v>
      </c>
      <c r="CH31" s="247">
        <f>'[10]Данные для переноса'!AR29</f>
        <v>988200.82279409701</v>
      </c>
      <c r="CI31" s="247">
        <f>'[10]Данные для переноса'!AS29</f>
        <v>694786.3498000463</v>
      </c>
      <c r="CJ31" s="247">
        <f>'[10]Данные для переноса'!AT29</f>
        <v>984797.44737647939</v>
      </c>
      <c r="CK31" s="247">
        <f>'[10]Данные для переноса'!AU29</f>
        <v>982910.2796701605</v>
      </c>
      <c r="CL31" s="247">
        <f>'[10]Данные для переноса'!AV29</f>
        <v>980888.58440361987</v>
      </c>
      <c r="CM31" s="426">
        <v>0</v>
      </c>
      <c r="CN31" s="426">
        <v>0</v>
      </c>
      <c r="CO31" s="426">
        <v>0</v>
      </c>
      <c r="CP31" s="426">
        <v>0</v>
      </c>
      <c r="CQ31" s="426">
        <v>0</v>
      </c>
      <c r="CR31" s="426">
        <v>0</v>
      </c>
      <c r="CS31" s="426">
        <v>0</v>
      </c>
      <c r="CT31" s="426">
        <v>0</v>
      </c>
      <c r="CU31" s="426">
        <v>0</v>
      </c>
      <c r="CV31" s="426">
        <v>0</v>
      </c>
      <c r="CW31" s="426">
        <v>0</v>
      </c>
      <c r="CX31" s="426">
        <v>0</v>
      </c>
      <c r="CY31" s="426">
        <v>0</v>
      </c>
      <c r="CZ31" s="426">
        <v>417061.36400990107</v>
      </c>
      <c r="DA31" s="426">
        <v>984759.65641614958</v>
      </c>
      <c r="DB31" s="426">
        <v>989732.14962283941</v>
      </c>
      <c r="DC31" s="426">
        <v>988200.82279409701</v>
      </c>
      <c r="DD31" s="426">
        <v>694786.3498000463</v>
      </c>
      <c r="DE31" s="426">
        <v>984797.44737647939</v>
      </c>
      <c r="DF31" s="426">
        <v>982910.2796701605</v>
      </c>
      <c r="DG31" s="426">
        <v>980888.58440361987</v>
      </c>
      <c r="DH31" s="430" t="b">
        <f t="shared" si="34"/>
        <v>1</v>
      </c>
      <c r="DI31" s="430" t="b">
        <f t="shared" si="34"/>
        <v>1</v>
      </c>
      <c r="DJ31" s="430" t="b">
        <f t="shared" si="34"/>
        <v>1</v>
      </c>
      <c r="DK31" s="430" t="b">
        <f t="shared" si="34"/>
        <v>1</v>
      </c>
      <c r="DL31" s="430" t="b">
        <f t="shared" si="34"/>
        <v>1</v>
      </c>
      <c r="DM31" s="430" t="b">
        <f t="shared" si="34"/>
        <v>1</v>
      </c>
      <c r="DN31" s="430" t="b">
        <f t="shared" si="34"/>
        <v>1</v>
      </c>
      <c r="DO31" s="430" t="b">
        <f t="shared" si="34"/>
        <v>1</v>
      </c>
      <c r="DP31" s="430" t="b">
        <f t="shared" si="34"/>
        <v>1</v>
      </c>
      <c r="DQ31" s="430" t="b">
        <f t="shared" si="82"/>
        <v>1</v>
      </c>
      <c r="DR31" s="430" t="b">
        <f t="shared" si="82"/>
        <v>1</v>
      </c>
      <c r="DS31" s="430" t="b">
        <f t="shared" si="82"/>
        <v>1</v>
      </c>
      <c r="DT31" s="430" t="b">
        <f t="shared" si="82"/>
        <v>1</v>
      </c>
      <c r="DU31" s="430" t="b">
        <f t="shared" si="82"/>
        <v>1</v>
      </c>
      <c r="DV31" s="430" t="b">
        <f t="shared" si="82"/>
        <v>1</v>
      </c>
      <c r="DW31" s="430" t="b">
        <f t="shared" si="82"/>
        <v>1</v>
      </c>
      <c r="DX31" s="430" t="b">
        <f t="shared" si="82"/>
        <v>1</v>
      </c>
      <c r="DY31" s="430" t="b">
        <f t="shared" si="82"/>
        <v>1</v>
      </c>
      <c r="DZ31" s="430" t="b">
        <f t="shared" si="82"/>
        <v>1</v>
      </c>
      <c r="EA31" s="430" t="b">
        <f t="shared" si="82"/>
        <v>1</v>
      </c>
      <c r="EB31" s="430" t="b">
        <f t="shared" si="82"/>
        <v>1</v>
      </c>
      <c r="EC31" s="244">
        <f t="shared" si="79"/>
        <v>7023136.6540932935</v>
      </c>
      <c r="ED31" s="223">
        <f t="shared" si="65"/>
        <v>0</v>
      </c>
      <c r="EE31" s="223">
        <f t="shared" si="66"/>
        <v>0</v>
      </c>
      <c r="EF31" s="223">
        <f t="shared" si="67"/>
        <v>0</v>
      </c>
      <c r="EG31" s="223">
        <f t="shared" si="68"/>
        <v>0</v>
      </c>
      <c r="EH31" s="223">
        <f t="shared" si="69"/>
        <v>0</v>
      </c>
      <c r="EI31" s="223">
        <f t="shared" si="70"/>
        <v>0</v>
      </c>
      <c r="EJ31" s="223">
        <f t="shared" si="71"/>
        <v>0</v>
      </c>
      <c r="EK31" s="223">
        <f t="shared" si="72"/>
        <v>0</v>
      </c>
      <c r="EL31" s="223">
        <f t="shared" si="73"/>
        <v>0</v>
      </c>
      <c r="EM31" s="223">
        <f t="shared" si="74"/>
        <v>0</v>
      </c>
      <c r="EN31" s="223">
        <f t="shared" si="75"/>
        <v>0</v>
      </c>
      <c r="EO31" s="223">
        <f t="shared" si="76"/>
        <v>0</v>
      </c>
      <c r="EP31" s="223">
        <f t="shared" si="77"/>
        <v>0</v>
      </c>
      <c r="EQ31" s="223">
        <f>CE31</f>
        <v>417061.36400990107</v>
      </c>
      <c r="ER31" s="223">
        <f>CF31</f>
        <v>984759.65641614958</v>
      </c>
      <c r="ES31" s="223">
        <f>CG31</f>
        <v>989732.14962283941</v>
      </c>
      <c r="ET31" s="223">
        <f>CH31</f>
        <v>988200.82279409701</v>
      </c>
      <c r="EU31" s="223">
        <f>CI31</f>
        <v>694786.3498000463</v>
      </c>
      <c r="EV31" s="223">
        <f>CJ31</f>
        <v>984797.44737647939</v>
      </c>
      <c r="EW31" s="223">
        <f>CK31</f>
        <v>982910.2796701605</v>
      </c>
      <c r="EX31" s="223">
        <f>CL31</f>
        <v>980888.58440361987</v>
      </c>
      <c r="EY31" s="244">
        <f t="shared" si="80"/>
        <v>7023136.6540932935</v>
      </c>
    </row>
    <row r="32" spans="1:155" s="235" customFormat="1" x14ac:dyDescent="0.35">
      <c r="A32" s="221"/>
      <c r="B32" s="222"/>
      <c r="C32" s="241">
        <v>15</v>
      </c>
      <c r="D32" s="258" t="s">
        <v>23</v>
      </c>
      <c r="E32" s="243" t="s">
        <v>13</v>
      </c>
      <c r="F32" s="247">
        <f>'[10]Данные для переноса'!F30</f>
        <v>0</v>
      </c>
      <c r="G32" s="247">
        <f>'[10]Данные для переноса'!G30</f>
        <v>0</v>
      </c>
      <c r="H32" s="247">
        <f>'[10]Данные для переноса'!H30</f>
        <v>0</v>
      </c>
      <c r="I32" s="247">
        <f>'[10]Данные для переноса'!I30</f>
        <v>0</v>
      </c>
      <c r="J32" s="247">
        <f>'[10]Данные для переноса'!J30</f>
        <v>0</v>
      </c>
      <c r="K32" s="247">
        <f>'[10]Данные для переноса'!K30</f>
        <v>0</v>
      </c>
      <c r="L32" s="247">
        <f>'[10]Данные для переноса'!L30</f>
        <v>0</v>
      </c>
      <c r="M32" s="247">
        <f>'[10]Данные для переноса'!M30</f>
        <v>0</v>
      </c>
      <c r="N32" s="247">
        <f>'[10]Данные для переноса'!N30</f>
        <v>0</v>
      </c>
      <c r="O32" s="247">
        <f>'[10]Данные для переноса'!O30</f>
        <v>0</v>
      </c>
      <c r="P32" s="247">
        <f>'[10]Данные для переноса'!P30</f>
        <v>0</v>
      </c>
      <c r="Q32" s="247">
        <f>'[10]Данные для переноса'!Q30</f>
        <v>0</v>
      </c>
      <c r="R32" s="247">
        <f>'[10]Данные для переноса'!R30</f>
        <v>0</v>
      </c>
      <c r="S32" s="247">
        <f>'[10]Данные для переноса'!S30</f>
        <v>0</v>
      </c>
      <c r="T32" s="247">
        <f>'[10]Данные для переноса'!T30</f>
        <v>0</v>
      </c>
      <c r="U32" s="247">
        <f>'[10]Данные для переноса'!U30</f>
        <v>0</v>
      </c>
      <c r="V32" s="247">
        <f>'[10]Данные для переноса'!V30</f>
        <v>0</v>
      </c>
      <c r="W32" s="247">
        <f>'[10]Данные для переноса'!W30</f>
        <v>0</v>
      </c>
      <c r="X32" s="247">
        <f>'[10]Данные для переноса'!X30</f>
        <v>0</v>
      </c>
      <c r="Y32" s="247">
        <f>'[10]Данные для переноса'!Y30</f>
        <v>0</v>
      </c>
      <c r="Z32" s="247">
        <f>'[10]Данные для переноса'!Z30</f>
        <v>0</v>
      </c>
      <c r="AA32" s="426"/>
      <c r="AB32" s="426"/>
      <c r="AC32" s="426"/>
      <c r="AD32" s="426"/>
      <c r="AE32" s="426"/>
      <c r="AF32" s="426"/>
      <c r="AG32" s="426"/>
      <c r="AH32" s="426"/>
      <c r="AI32" s="426"/>
      <c r="AJ32" s="426"/>
      <c r="AK32" s="426"/>
      <c r="AL32" s="426"/>
      <c r="AM32" s="426"/>
      <c r="AN32" s="426"/>
      <c r="AO32" s="426"/>
      <c r="AP32" s="426"/>
      <c r="AQ32" s="426"/>
      <c r="AR32" s="426"/>
      <c r="AS32" s="426"/>
      <c r="AT32" s="426"/>
      <c r="AU32" s="426"/>
      <c r="AV32" s="430" t="b">
        <f t="shared" si="32"/>
        <v>1</v>
      </c>
      <c r="AW32" s="430" t="b">
        <f t="shared" si="32"/>
        <v>1</v>
      </c>
      <c r="AX32" s="430" t="b">
        <f t="shared" si="32"/>
        <v>1</v>
      </c>
      <c r="AY32" s="430" t="b">
        <f t="shared" si="32"/>
        <v>1</v>
      </c>
      <c r="AZ32" s="430" t="b">
        <f t="shared" si="32"/>
        <v>1</v>
      </c>
      <c r="BA32" s="430" t="b">
        <f t="shared" si="32"/>
        <v>1</v>
      </c>
      <c r="BB32" s="430" t="b">
        <f t="shared" si="32"/>
        <v>1</v>
      </c>
      <c r="BC32" s="430" t="b">
        <f t="shared" si="32"/>
        <v>1</v>
      </c>
      <c r="BD32" s="430" t="b">
        <f t="shared" si="32"/>
        <v>1</v>
      </c>
      <c r="BE32" s="430" t="b">
        <f t="shared" si="81"/>
        <v>1</v>
      </c>
      <c r="BF32" s="430" t="b">
        <f t="shared" si="81"/>
        <v>1</v>
      </c>
      <c r="BG32" s="430" t="b">
        <f t="shared" si="81"/>
        <v>1</v>
      </c>
      <c r="BH32" s="430" t="b">
        <f t="shared" si="81"/>
        <v>1</v>
      </c>
      <c r="BI32" s="430" t="b">
        <f t="shared" si="81"/>
        <v>1</v>
      </c>
      <c r="BJ32" s="430" t="b">
        <f t="shared" si="81"/>
        <v>1</v>
      </c>
      <c r="BK32" s="430" t="b">
        <f t="shared" si="81"/>
        <v>1</v>
      </c>
      <c r="BL32" s="430" t="b">
        <f t="shared" si="81"/>
        <v>1</v>
      </c>
      <c r="BM32" s="430" t="b">
        <f t="shared" si="81"/>
        <v>1</v>
      </c>
      <c r="BN32" s="430" t="b">
        <f t="shared" si="81"/>
        <v>1</v>
      </c>
      <c r="BO32" s="430" t="b">
        <f t="shared" si="81"/>
        <v>1</v>
      </c>
      <c r="BP32" s="430" t="b">
        <f t="shared" si="81"/>
        <v>1</v>
      </c>
      <c r="BQ32" s="244">
        <f t="shared" si="78"/>
        <v>0</v>
      </c>
      <c r="BR32" s="247">
        <f>'[10]Данные для переноса'!AB30</f>
        <v>0</v>
      </c>
      <c r="BS32" s="247">
        <f>'[10]Данные для переноса'!AC30</f>
        <v>0</v>
      </c>
      <c r="BT32" s="247">
        <f>'[10]Данные для переноса'!AD30</f>
        <v>0</v>
      </c>
      <c r="BU32" s="247">
        <f>'[10]Данные для переноса'!AE30</f>
        <v>0</v>
      </c>
      <c r="BV32" s="247">
        <f>'[10]Данные для переноса'!AF30</f>
        <v>0</v>
      </c>
      <c r="BW32" s="247">
        <f>'[10]Данные для переноса'!AG30</f>
        <v>0</v>
      </c>
      <c r="BX32" s="247">
        <f>'[10]Данные для переноса'!AH30</f>
        <v>0</v>
      </c>
      <c r="BY32" s="247">
        <f>'[10]Данные для переноса'!AI30</f>
        <v>0</v>
      </c>
      <c r="BZ32" s="247">
        <f ca="1">'[10]Данные для переноса'!AJ30</f>
        <v>124377.90687059746</v>
      </c>
      <c r="CA32" s="247">
        <f>'[10]Данные для переноса'!AK30</f>
        <v>0</v>
      </c>
      <c r="CB32" s="247">
        <f>'[10]Данные для переноса'!AL30</f>
        <v>0</v>
      </c>
      <c r="CC32" s="247">
        <f>'[10]Данные для переноса'!AM30</f>
        <v>0</v>
      </c>
      <c r="CD32" s="247">
        <f>'[10]Данные для переноса'!AN30</f>
        <v>1.6393046826124191E-4</v>
      </c>
      <c r="CE32" s="247">
        <f>'[10]Данные для переноса'!AO30</f>
        <v>0</v>
      </c>
      <c r="CF32" s="247">
        <f ca="1">'[10]Данные для переноса'!AP30</f>
        <v>124377.90703452793</v>
      </c>
      <c r="CG32" s="247">
        <f>'[10]Данные для переноса'!AQ30</f>
        <v>0</v>
      </c>
      <c r="CH32" s="247">
        <f>'[10]Данные для переноса'!AR30</f>
        <v>0</v>
      </c>
      <c r="CI32" s="247">
        <f>'[10]Данные для переноса'!AS30</f>
        <v>0</v>
      </c>
      <c r="CJ32" s="247">
        <f>'[10]Данные для переноса'!AT30</f>
        <v>0</v>
      </c>
      <c r="CK32" s="247">
        <f>'[10]Данные для переноса'!AU30</f>
        <v>0</v>
      </c>
      <c r="CL32" s="247">
        <f>'[10]Данные для переноса'!AV30</f>
        <v>0</v>
      </c>
      <c r="CM32" s="426">
        <v>0</v>
      </c>
      <c r="CN32" s="426">
        <v>0</v>
      </c>
      <c r="CO32" s="426">
        <v>0</v>
      </c>
      <c r="CP32" s="426">
        <v>0</v>
      </c>
      <c r="CQ32" s="426">
        <v>0</v>
      </c>
      <c r="CR32" s="426">
        <v>0</v>
      </c>
      <c r="CS32" s="426">
        <v>0</v>
      </c>
      <c r="CT32" s="426">
        <v>0</v>
      </c>
      <c r="CU32" s="426">
        <v>124377.90687059746</v>
      </c>
      <c r="CV32" s="426">
        <v>0</v>
      </c>
      <c r="CW32" s="426">
        <v>0</v>
      </c>
      <c r="CX32" s="426">
        <v>0</v>
      </c>
      <c r="CY32" s="426">
        <v>1.6393046826124191E-4</v>
      </c>
      <c r="CZ32" s="426">
        <v>0</v>
      </c>
      <c r="DA32" s="426">
        <v>124377.90703452793</v>
      </c>
      <c r="DB32" s="426">
        <v>0</v>
      </c>
      <c r="DC32" s="426">
        <v>0</v>
      </c>
      <c r="DD32" s="426">
        <v>0</v>
      </c>
      <c r="DE32" s="426">
        <v>0</v>
      </c>
      <c r="DF32" s="426">
        <v>0</v>
      </c>
      <c r="DG32" s="426">
        <v>0</v>
      </c>
      <c r="DH32" s="430" t="b">
        <f t="shared" si="34"/>
        <v>1</v>
      </c>
      <c r="DI32" s="430" t="b">
        <f t="shared" si="34"/>
        <v>1</v>
      </c>
      <c r="DJ32" s="430" t="b">
        <f t="shared" si="34"/>
        <v>1</v>
      </c>
      <c r="DK32" s="430" t="b">
        <f t="shared" si="34"/>
        <v>1</v>
      </c>
      <c r="DL32" s="430" t="b">
        <f t="shared" si="34"/>
        <v>1</v>
      </c>
      <c r="DM32" s="430" t="b">
        <f t="shared" si="34"/>
        <v>1</v>
      </c>
      <c r="DN32" s="430" t="b">
        <f t="shared" si="34"/>
        <v>1</v>
      </c>
      <c r="DO32" s="430" t="b">
        <f t="shared" si="34"/>
        <v>1</v>
      </c>
      <c r="DP32" s="430" t="b">
        <f t="shared" ca="1" si="34"/>
        <v>1</v>
      </c>
      <c r="DQ32" s="430" t="b">
        <f t="shared" si="82"/>
        <v>1</v>
      </c>
      <c r="DR32" s="430" t="b">
        <f t="shared" si="82"/>
        <v>1</v>
      </c>
      <c r="DS32" s="430" t="b">
        <f t="shared" si="82"/>
        <v>1</v>
      </c>
      <c r="DT32" s="430" t="b">
        <f t="shared" si="82"/>
        <v>1</v>
      </c>
      <c r="DU32" s="430" t="b">
        <f t="shared" si="82"/>
        <v>1</v>
      </c>
      <c r="DV32" s="430" t="b">
        <f t="shared" ca="1" si="82"/>
        <v>1</v>
      </c>
      <c r="DW32" s="430" t="b">
        <f t="shared" si="82"/>
        <v>1</v>
      </c>
      <c r="DX32" s="430" t="b">
        <f t="shared" si="82"/>
        <v>1</v>
      </c>
      <c r="DY32" s="430" t="b">
        <f t="shared" si="82"/>
        <v>1</v>
      </c>
      <c r="DZ32" s="430" t="b">
        <f t="shared" si="82"/>
        <v>1</v>
      </c>
      <c r="EA32" s="430" t="b">
        <f t="shared" si="82"/>
        <v>1</v>
      </c>
      <c r="EB32" s="430" t="b">
        <f t="shared" si="82"/>
        <v>1</v>
      </c>
      <c r="EC32" s="244">
        <f t="shared" ca="1" si="79"/>
        <v>248755.81406905586</v>
      </c>
      <c r="ED32" s="223">
        <f t="shared" si="65"/>
        <v>0</v>
      </c>
      <c r="EE32" s="223">
        <f t="shared" si="66"/>
        <v>0</v>
      </c>
      <c r="EF32" s="223">
        <f t="shared" si="67"/>
        <v>0</v>
      </c>
      <c r="EG32" s="223">
        <f t="shared" si="68"/>
        <v>0</v>
      </c>
      <c r="EH32" s="223">
        <f t="shared" si="69"/>
        <v>0</v>
      </c>
      <c r="EI32" s="223">
        <f t="shared" si="70"/>
        <v>0</v>
      </c>
      <c r="EJ32" s="223">
        <f t="shared" si="71"/>
        <v>0</v>
      </c>
      <c r="EK32" s="223">
        <f t="shared" si="72"/>
        <v>0</v>
      </c>
      <c r="EL32" s="223">
        <f t="shared" ca="1" si="73"/>
        <v>124377.90687059746</v>
      </c>
      <c r="EM32" s="223">
        <f t="shared" si="74"/>
        <v>0</v>
      </c>
      <c r="EN32" s="223">
        <f t="shared" si="75"/>
        <v>0</v>
      </c>
      <c r="EO32" s="223">
        <f t="shared" si="76"/>
        <v>0</v>
      </c>
      <c r="EP32" s="223">
        <f t="shared" si="77"/>
        <v>1.6393046826124191E-4</v>
      </c>
      <c r="EQ32" s="223">
        <f>CE32</f>
        <v>0</v>
      </c>
      <c r="ER32" s="223">
        <f ca="1">CF32</f>
        <v>124377.90703452793</v>
      </c>
      <c r="ES32" s="223">
        <f>CG32</f>
        <v>0</v>
      </c>
      <c r="ET32" s="223">
        <f>CH32</f>
        <v>0</v>
      </c>
      <c r="EU32" s="223">
        <f>CI32</f>
        <v>0</v>
      </c>
      <c r="EV32" s="223">
        <f>CJ32</f>
        <v>0</v>
      </c>
      <c r="EW32" s="223">
        <f>CK32</f>
        <v>0</v>
      </c>
      <c r="EX32" s="223">
        <f>CL32</f>
        <v>0</v>
      </c>
      <c r="EY32" s="244">
        <f t="shared" ca="1" si="80"/>
        <v>248755.81406905586</v>
      </c>
    </row>
    <row r="33" spans="1:155" s="235" customFormat="1" x14ac:dyDescent="0.35">
      <c r="A33" s="221"/>
      <c r="B33" s="222"/>
      <c r="C33" s="236">
        <v>16</v>
      </c>
      <c r="D33" s="254" t="s">
        <v>24</v>
      </c>
      <c r="E33" s="255" t="s">
        <v>10</v>
      </c>
      <c r="F33" s="256">
        <f>SUM(F34:F36)</f>
        <v>10491307.00454</v>
      </c>
      <c r="G33" s="256">
        <f t="shared" ref="G33:Q33" si="83">SUM(G34:G36)</f>
        <v>12413480.746519998</v>
      </c>
      <c r="H33" s="256">
        <f t="shared" si="83"/>
        <v>15281575.363290001</v>
      </c>
      <c r="I33" s="256">
        <f t="shared" si="83"/>
        <v>16541920.360797204</v>
      </c>
      <c r="J33" s="256">
        <f t="shared" si="83"/>
        <v>17535322.193219777</v>
      </c>
      <c r="K33" s="256">
        <f t="shared" si="83"/>
        <v>18604049.573710874</v>
      </c>
      <c r="L33" s="256">
        <f t="shared" si="83"/>
        <v>19471725.677995242</v>
      </c>
      <c r="M33" s="256">
        <f t="shared" si="83"/>
        <v>20345930.802637167</v>
      </c>
      <c r="N33" s="256">
        <f t="shared" si="83"/>
        <v>21286762.948353045</v>
      </c>
      <c r="O33" s="256">
        <f t="shared" si="83"/>
        <v>22270585.265949607</v>
      </c>
      <c r="P33" s="256">
        <f t="shared" si="83"/>
        <v>23306537.208990626</v>
      </c>
      <c r="Q33" s="256">
        <f t="shared" si="83"/>
        <v>24394115.048326876</v>
      </c>
      <c r="R33" s="256">
        <f>SUM(R34:R36)</f>
        <v>25534539.516147703</v>
      </c>
      <c r="S33" s="256">
        <f t="shared" ref="S33:Z33" si="84">SUM(S34:S36)</f>
        <v>26737601.437657356</v>
      </c>
      <c r="T33" s="256">
        <f t="shared" si="84"/>
        <v>27996442.051826291</v>
      </c>
      <c r="U33" s="256">
        <f t="shared" si="84"/>
        <v>29322370.126131497</v>
      </c>
      <c r="V33" s="256">
        <f t="shared" si="84"/>
        <v>30714437.561095163</v>
      </c>
      <c r="W33" s="256">
        <f t="shared" si="84"/>
        <v>32179105.932328217</v>
      </c>
      <c r="X33" s="256">
        <f t="shared" si="84"/>
        <v>33721727.239131182</v>
      </c>
      <c r="Y33" s="256">
        <f t="shared" si="84"/>
        <v>35342301.3335834</v>
      </c>
      <c r="Z33" s="256">
        <f t="shared" si="84"/>
        <v>37046658.896334559</v>
      </c>
      <c r="AA33" s="434">
        <v>10491307.00454</v>
      </c>
      <c r="AB33" s="434">
        <v>12413480.74652</v>
      </c>
      <c r="AC33" s="434">
        <v>15281575.363290001</v>
      </c>
      <c r="AD33" s="434">
        <v>16541920.360797202</v>
      </c>
      <c r="AE33" s="434">
        <v>17535322.193219777</v>
      </c>
      <c r="AF33" s="434">
        <v>18604049.573710874</v>
      </c>
      <c r="AG33" s="434">
        <v>19471725.677995246</v>
      </c>
      <c r="AH33" s="434">
        <v>20345930.802637167</v>
      </c>
      <c r="AI33" s="434">
        <v>21286762.948353045</v>
      </c>
      <c r="AJ33" s="434">
        <v>22270585.265949611</v>
      </c>
      <c r="AK33" s="434">
        <v>23306537.208990622</v>
      </c>
      <c r="AL33" s="434">
        <v>24394115.048326876</v>
      </c>
      <c r="AM33" s="434">
        <v>25534539.516147703</v>
      </c>
      <c r="AN33" s="434">
        <v>26737601.437657353</v>
      </c>
      <c r="AO33" s="434">
        <v>27996442.051826287</v>
      </c>
      <c r="AP33" s="434">
        <v>29322370.126131497</v>
      </c>
      <c r="AQ33" s="434">
        <v>30714437.561095163</v>
      </c>
      <c r="AR33" s="434">
        <v>32179105.932328217</v>
      </c>
      <c r="AS33" s="434">
        <v>33721727.239131182</v>
      </c>
      <c r="AT33" s="434">
        <v>35342301.333583392</v>
      </c>
      <c r="AU33" s="434">
        <v>37046658.896334559</v>
      </c>
      <c r="AV33" s="433" t="b">
        <f t="shared" si="32"/>
        <v>1</v>
      </c>
      <c r="AW33" s="433" t="b">
        <f t="shared" si="32"/>
        <v>1</v>
      </c>
      <c r="AX33" s="433" t="b">
        <f t="shared" si="32"/>
        <v>1</v>
      </c>
      <c r="AY33" s="433" t="b">
        <f t="shared" si="32"/>
        <v>1</v>
      </c>
      <c r="AZ33" s="433" t="b">
        <f t="shared" si="32"/>
        <v>1</v>
      </c>
      <c r="BA33" s="433" t="b">
        <f t="shared" si="32"/>
        <v>1</v>
      </c>
      <c r="BB33" s="433" t="b">
        <f t="shared" si="32"/>
        <v>1</v>
      </c>
      <c r="BC33" s="433" t="b">
        <f t="shared" si="32"/>
        <v>1</v>
      </c>
      <c r="BD33" s="433" t="b">
        <f t="shared" si="32"/>
        <v>1</v>
      </c>
      <c r="BE33" s="433" t="b">
        <f t="shared" si="81"/>
        <v>1</v>
      </c>
      <c r="BF33" s="433" t="b">
        <f t="shared" si="81"/>
        <v>1</v>
      </c>
      <c r="BG33" s="433" t="b">
        <f t="shared" si="81"/>
        <v>1</v>
      </c>
      <c r="BH33" s="433" t="b">
        <f t="shared" si="81"/>
        <v>1</v>
      </c>
      <c r="BI33" s="433" t="b">
        <f t="shared" si="81"/>
        <v>1</v>
      </c>
      <c r="BJ33" s="433" t="b">
        <f t="shared" si="81"/>
        <v>1</v>
      </c>
      <c r="BK33" s="433" t="b">
        <f t="shared" si="81"/>
        <v>1</v>
      </c>
      <c r="BL33" s="433" t="b">
        <f t="shared" si="81"/>
        <v>1</v>
      </c>
      <c r="BM33" s="433" t="b">
        <f t="shared" si="81"/>
        <v>1</v>
      </c>
      <c r="BN33" s="433" t="b">
        <f t="shared" si="81"/>
        <v>1</v>
      </c>
      <c r="BO33" s="433" t="b">
        <f t="shared" si="81"/>
        <v>1</v>
      </c>
      <c r="BP33" s="433" t="b">
        <f t="shared" si="81"/>
        <v>1</v>
      </c>
      <c r="BQ33" s="259">
        <f>SUM(BQ34:BQ36)</f>
        <v>445810212.81341863</v>
      </c>
      <c r="BR33" s="256">
        <f>SUM(BR34:BR36)</f>
        <v>10491307.00454</v>
      </c>
      <c r="BS33" s="256">
        <f t="shared" ref="BS33:CC33" si="85">SUM(BS34:BS36)</f>
        <v>12413480.746519998</v>
      </c>
      <c r="BT33" s="256">
        <f t="shared" si="85"/>
        <v>15281575.363290001</v>
      </c>
      <c r="BU33" s="256">
        <f t="shared" si="85"/>
        <v>16798887.994903535</v>
      </c>
      <c r="BV33" s="256">
        <f t="shared" si="85"/>
        <v>18753446.841582883</v>
      </c>
      <c r="BW33" s="256">
        <f t="shared" si="85"/>
        <v>21410711.87398193</v>
      </c>
      <c r="BX33" s="256">
        <f t="shared" si="85"/>
        <v>22186166.710778818</v>
      </c>
      <c r="BY33" s="256">
        <f t="shared" si="85"/>
        <v>22937048.543784074</v>
      </c>
      <c r="BZ33" s="256">
        <f t="shared" si="85"/>
        <v>30490368.296201304</v>
      </c>
      <c r="CA33" s="256">
        <f t="shared" si="85"/>
        <v>31818409.576441821</v>
      </c>
      <c r="CB33" s="256">
        <f t="shared" si="85"/>
        <v>31750225.156605087</v>
      </c>
      <c r="CC33" s="256">
        <f t="shared" si="85"/>
        <v>33440065.569174431</v>
      </c>
      <c r="CD33" s="256">
        <f>SUM(CD34:CD36)</f>
        <v>30816167.192810193</v>
      </c>
      <c r="CE33" s="256">
        <f t="shared" ref="CE33:CL33" si="86">SUM(CE34:CE36)</f>
        <v>32896868.731493995</v>
      </c>
      <c r="CF33" s="256">
        <f t="shared" si="86"/>
        <v>34995669.636999138</v>
      </c>
      <c r="CG33" s="256">
        <f t="shared" si="86"/>
        <v>36520678.217372186</v>
      </c>
      <c r="CH33" s="256">
        <f t="shared" si="86"/>
        <v>38080609.595554538</v>
      </c>
      <c r="CI33" s="256">
        <f t="shared" si="86"/>
        <v>39003423.851120554</v>
      </c>
      <c r="CJ33" s="256">
        <f t="shared" si="86"/>
        <v>41442267.63940233</v>
      </c>
      <c r="CK33" s="256">
        <f t="shared" si="86"/>
        <v>43244257.36384812</v>
      </c>
      <c r="CL33" s="256">
        <f t="shared" si="86"/>
        <v>45147509.985064805</v>
      </c>
      <c r="CM33" s="434">
        <v>10491307.00454</v>
      </c>
      <c r="CN33" s="434">
        <v>12413480.74652</v>
      </c>
      <c r="CO33" s="434">
        <v>15281575.363290001</v>
      </c>
      <c r="CP33" s="434">
        <v>16798887.994903535</v>
      </c>
      <c r="CQ33" s="434">
        <v>18753446.841582883</v>
      </c>
      <c r="CR33" s="434">
        <v>22555694.973659988</v>
      </c>
      <c r="CS33" s="434">
        <v>22784137.416887462</v>
      </c>
      <c r="CT33" s="434">
        <v>23185804.357525274</v>
      </c>
      <c r="CU33" s="434">
        <v>30617895.948633511</v>
      </c>
      <c r="CV33" s="434">
        <v>31951038.334971327</v>
      </c>
      <c r="CW33" s="434">
        <v>32825787.653229244</v>
      </c>
      <c r="CX33" s="434">
        <v>34847175.155991428</v>
      </c>
      <c r="CY33" s="434">
        <v>32263298.340187248</v>
      </c>
      <c r="CZ33" s="434">
        <v>34612032.66592022</v>
      </c>
      <c r="DA33" s="434">
        <v>34995669.636999138</v>
      </c>
      <c r="DB33" s="434">
        <v>36520678.217372186</v>
      </c>
      <c r="DC33" s="434">
        <v>38080609.595554538</v>
      </c>
      <c r="DD33" s="434">
        <v>39003423.851120554</v>
      </c>
      <c r="DE33" s="434">
        <v>41442267.63940233</v>
      </c>
      <c r="DF33" s="434">
        <v>43244257.36384812</v>
      </c>
      <c r="DG33" s="434">
        <v>45147509.985064812</v>
      </c>
      <c r="DH33" s="433" t="b">
        <f t="shared" si="34"/>
        <v>1</v>
      </c>
      <c r="DI33" s="433" t="b">
        <f t="shared" si="34"/>
        <v>1</v>
      </c>
      <c r="DJ33" s="433" t="b">
        <f t="shared" si="34"/>
        <v>1</v>
      </c>
      <c r="DK33" s="433" t="b">
        <f t="shared" si="34"/>
        <v>1</v>
      </c>
      <c r="DL33" s="433" t="b">
        <f t="shared" si="34"/>
        <v>1</v>
      </c>
      <c r="DM33" s="433" t="b">
        <f t="shared" si="34"/>
        <v>0</v>
      </c>
      <c r="DN33" s="433" t="b">
        <f t="shared" si="34"/>
        <v>0</v>
      </c>
      <c r="DO33" s="433" t="b">
        <f t="shared" si="34"/>
        <v>0</v>
      </c>
      <c r="DP33" s="433" t="b">
        <f t="shared" si="34"/>
        <v>0</v>
      </c>
      <c r="DQ33" s="433" t="b">
        <f t="shared" si="82"/>
        <v>0</v>
      </c>
      <c r="DR33" s="433" t="b">
        <f t="shared" si="82"/>
        <v>0</v>
      </c>
      <c r="DS33" s="433" t="b">
        <f t="shared" si="82"/>
        <v>0</v>
      </c>
      <c r="DT33" s="433" t="b">
        <f t="shared" si="82"/>
        <v>0</v>
      </c>
      <c r="DU33" s="433" t="b">
        <f t="shared" si="82"/>
        <v>0</v>
      </c>
      <c r="DV33" s="433" t="b">
        <f t="shared" si="82"/>
        <v>1</v>
      </c>
      <c r="DW33" s="433" t="b">
        <f t="shared" si="82"/>
        <v>1</v>
      </c>
      <c r="DX33" s="433" t="b">
        <f t="shared" si="82"/>
        <v>1</v>
      </c>
      <c r="DY33" s="433" t="b">
        <f t="shared" si="82"/>
        <v>1</v>
      </c>
      <c r="DZ33" s="433" t="b">
        <f t="shared" si="82"/>
        <v>1</v>
      </c>
      <c r="EA33" s="433" t="b">
        <f t="shared" si="82"/>
        <v>1</v>
      </c>
      <c r="EB33" s="433" t="b">
        <f t="shared" si="82"/>
        <v>1</v>
      </c>
      <c r="EC33" s="259">
        <f>SUM(EC34:EC36)</f>
        <v>554933894.78221619</v>
      </c>
      <c r="ED33" s="256">
        <f>BR33-F33</f>
        <v>0</v>
      </c>
      <c r="EE33" s="256">
        <f>BS33-G33</f>
        <v>0</v>
      </c>
      <c r="EF33" s="256">
        <f>BT33-H33</f>
        <v>0</v>
      </c>
      <c r="EG33" s="256">
        <f>BU33-I33</f>
        <v>256967.63410633057</v>
      </c>
      <c r="EH33" s="256">
        <f>BV33-J33</f>
        <v>1218124.648363106</v>
      </c>
      <c r="EI33" s="256">
        <f>BW33-K33</f>
        <v>2806662.3002710566</v>
      </c>
      <c r="EJ33" s="256">
        <f>BX33-L33</f>
        <v>2714441.0327835754</v>
      </c>
      <c r="EK33" s="256">
        <f>BY33-M33</f>
        <v>2591117.7411469072</v>
      </c>
      <c r="EL33" s="256">
        <f>BZ33-N33</f>
        <v>9203605.3478482589</v>
      </c>
      <c r="EM33" s="256">
        <f>CA33-O33</f>
        <v>9547824.3104922138</v>
      </c>
      <c r="EN33" s="256">
        <f>CB33-P33</f>
        <v>8443687.9476144612</v>
      </c>
      <c r="EO33" s="256">
        <f>CC33-Q33</f>
        <v>9045950.5208475552</v>
      </c>
      <c r="EP33" s="256">
        <f>CD33-R33</f>
        <v>5281627.6766624898</v>
      </c>
      <c r="EQ33" s="256">
        <f>CE33-S33</f>
        <v>6159267.2938366383</v>
      </c>
      <c r="ER33" s="256">
        <f>CF33-T33</f>
        <v>6999227.5851728469</v>
      </c>
      <c r="ES33" s="256">
        <f>CG33-U33</f>
        <v>7198308.0912406892</v>
      </c>
      <c r="ET33" s="256">
        <f>CH33-V33</f>
        <v>7366172.0344593748</v>
      </c>
      <c r="EU33" s="256">
        <f>CI33-W33</f>
        <v>6824317.9187923372</v>
      </c>
      <c r="EV33" s="256">
        <f>CJ33-X33</f>
        <v>7720540.4002711475</v>
      </c>
      <c r="EW33" s="256">
        <f>CK33-Y33</f>
        <v>7901956.0302647203</v>
      </c>
      <c r="EX33" s="256">
        <f>CL33-Z33</f>
        <v>8100851.0887302458</v>
      </c>
      <c r="EY33" s="259">
        <f>SUM(EY34:EY36)</f>
        <v>109123681.96879765</v>
      </c>
    </row>
    <row r="34" spans="1:155" s="235" customFormat="1" x14ac:dyDescent="0.35">
      <c r="A34" s="221"/>
      <c r="B34" s="222"/>
      <c r="C34" s="241">
        <v>17</v>
      </c>
      <c r="D34" s="242" t="s">
        <v>25</v>
      </c>
      <c r="E34" s="243" t="s">
        <v>10</v>
      </c>
      <c r="F34" s="384">
        <f>'[10]Данные для переноса'!F32</f>
        <v>3675606.6999300006</v>
      </c>
      <c r="G34" s="384">
        <f>'[10]Данные для переноса'!G32</f>
        <v>4727319.6055199997</v>
      </c>
      <c r="H34" s="384">
        <f>'[10]Данные для переноса'!H32</f>
        <v>6075733.7092900006</v>
      </c>
      <c r="I34" s="384">
        <f>'[10]Данные для переноса'!I32</f>
        <v>6827688.943518539</v>
      </c>
      <c r="J34" s="384">
        <f>'[10]Данные для переноса'!J32</f>
        <v>7324213.7026117733</v>
      </c>
      <c r="K34" s="384">
        <f>'[10]Данные для переноса'!K32</f>
        <v>7844637.033907447</v>
      </c>
      <c r="L34" s="384">
        <f>'[10]Данные для переноса'!L32</f>
        <v>8182466.3839014629</v>
      </c>
      <c r="M34" s="384">
        <f>'[10]Данные для переноса'!M32</f>
        <v>8506790.4293944705</v>
      </c>
      <c r="N34" s="384">
        <f>'[10]Данные для переноса'!N32</f>
        <v>8847056.0346181281</v>
      </c>
      <c r="O34" s="384">
        <f>'[10]Данные для переноса'!O32</f>
        <v>9200931.1036588475</v>
      </c>
      <c r="P34" s="384">
        <f>'[10]Данные для переноса'!P32</f>
        <v>9568963.0774192698</v>
      </c>
      <c r="Q34" s="384">
        <f>'[10]Данные для переноса'!Q32</f>
        <v>9951716.1914817337</v>
      </c>
      <c r="R34" s="384">
        <f>'[10]Данные для переноса'!R32</f>
        <v>10349779.331602616</v>
      </c>
      <c r="S34" s="384">
        <f>'[10]Данные для переноса'!S32</f>
        <v>10763764.207221141</v>
      </c>
      <c r="T34" s="384">
        <f>'[10]Данные для переноса'!T32</f>
        <v>11194308.474871529</v>
      </c>
      <c r="U34" s="384">
        <f>'[10]Данные для переноса'!U32</f>
        <v>11642075.484533511</v>
      </c>
      <c r="V34" s="384">
        <f>'[10]Данные для переноса'!V32</f>
        <v>12107753.135872822</v>
      </c>
      <c r="W34" s="384">
        <f>'[10]Данные для переноса'!W32</f>
        <v>12592057.087296531</v>
      </c>
      <c r="X34" s="384">
        <f>'[10]Данные для переноса'!X32</f>
        <v>13095732.068970386</v>
      </c>
      <c r="Y34" s="384">
        <f>'[10]Данные для переноса'!Y32</f>
        <v>13619556.764815724</v>
      </c>
      <c r="Z34" s="384">
        <f>'[10]Данные для переноса'!Z32</f>
        <v>14164333.346144514</v>
      </c>
      <c r="AA34" s="435">
        <v>3675606.6999300006</v>
      </c>
      <c r="AB34" s="435">
        <v>4727319.6055199997</v>
      </c>
      <c r="AC34" s="435">
        <v>6075733.7092900006</v>
      </c>
      <c r="AD34" s="435">
        <v>6827688.943518539</v>
      </c>
      <c r="AE34" s="435">
        <v>7324213.7026117733</v>
      </c>
      <c r="AF34" s="435">
        <v>7844637.033907447</v>
      </c>
      <c r="AG34" s="435">
        <v>8182466.3839014629</v>
      </c>
      <c r="AH34" s="435">
        <v>8506790.4293944705</v>
      </c>
      <c r="AI34" s="435">
        <v>8847056.0346181281</v>
      </c>
      <c r="AJ34" s="435">
        <v>9200931.1036588475</v>
      </c>
      <c r="AK34" s="435">
        <v>9568963.0774192698</v>
      </c>
      <c r="AL34" s="435">
        <v>9951716.1914817337</v>
      </c>
      <c r="AM34" s="435">
        <v>10349779.331602616</v>
      </c>
      <c r="AN34" s="435">
        <v>10763764.207221141</v>
      </c>
      <c r="AO34" s="435">
        <v>11194308.474871529</v>
      </c>
      <c r="AP34" s="435">
        <v>11642075.484533511</v>
      </c>
      <c r="AQ34" s="435">
        <v>12107753.135872822</v>
      </c>
      <c r="AR34" s="435">
        <v>12592057.087296531</v>
      </c>
      <c r="AS34" s="435">
        <v>13095732.068970386</v>
      </c>
      <c r="AT34" s="435">
        <v>13619556.764815724</v>
      </c>
      <c r="AU34" s="435">
        <v>14164333.346144514</v>
      </c>
      <c r="AV34" s="430" t="b">
        <f t="shared" si="32"/>
        <v>1</v>
      </c>
      <c r="AW34" s="430" t="b">
        <f t="shared" si="32"/>
        <v>1</v>
      </c>
      <c r="AX34" s="430" t="b">
        <f t="shared" si="32"/>
        <v>1</v>
      </c>
      <c r="AY34" s="430" t="b">
        <f t="shared" si="32"/>
        <v>1</v>
      </c>
      <c r="AZ34" s="430" t="b">
        <f t="shared" si="32"/>
        <v>1</v>
      </c>
      <c r="BA34" s="430" t="b">
        <f t="shared" si="32"/>
        <v>1</v>
      </c>
      <c r="BB34" s="430" t="b">
        <f t="shared" si="32"/>
        <v>1</v>
      </c>
      <c r="BC34" s="430" t="b">
        <f t="shared" si="32"/>
        <v>1</v>
      </c>
      <c r="BD34" s="430" t="b">
        <f t="shared" si="32"/>
        <v>1</v>
      </c>
      <c r="BE34" s="430" t="b">
        <f t="shared" si="81"/>
        <v>1</v>
      </c>
      <c r="BF34" s="430" t="b">
        <f t="shared" si="81"/>
        <v>1</v>
      </c>
      <c r="BG34" s="430" t="b">
        <f t="shared" si="81"/>
        <v>1</v>
      </c>
      <c r="BH34" s="430" t="b">
        <f t="shared" si="81"/>
        <v>1</v>
      </c>
      <c r="BI34" s="430" t="b">
        <f t="shared" si="81"/>
        <v>1</v>
      </c>
      <c r="BJ34" s="430" t="b">
        <f t="shared" si="81"/>
        <v>1</v>
      </c>
      <c r="BK34" s="430" t="b">
        <f t="shared" si="81"/>
        <v>1</v>
      </c>
      <c r="BL34" s="430" t="b">
        <f t="shared" si="81"/>
        <v>1</v>
      </c>
      <c r="BM34" s="430" t="b">
        <f t="shared" si="81"/>
        <v>1</v>
      </c>
      <c r="BN34" s="430" t="b">
        <f t="shared" si="81"/>
        <v>1</v>
      </c>
      <c r="BO34" s="430" t="b">
        <f t="shared" si="81"/>
        <v>1</v>
      </c>
      <c r="BP34" s="430" t="b">
        <f t="shared" si="81"/>
        <v>1</v>
      </c>
      <c r="BQ34" s="244">
        <f>SUM(J34:Z34)</f>
        <v>178956133.85832193</v>
      </c>
      <c r="BR34" s="247">
        <f>'[10]Данные для переноса'!AB32</f>
        <v>3675606.6999300006</v>
      </c>
      <c r="BS34" s="247">
        <f>'[10]Данные для переноса'!AC32</f>
        <v>4727319.6055199997</v>
      </c>
      <c r="BT34" s="247">
        <f>'[10]Данные для переноса'!AD32</f>
        <v>6075733.7092900006</v>
      </c>
      <c r="BU34" s="247">
        <f>'[10]Данные для переноса'!AE32</f>
        <v>7036844.7964735366</v>
      </c>
      <c r="BV34" s="247">
        <f>'[10]Данные для переноса'!AF32</f>
        <v>8448156.1012156866</v>
      </c>
      <c r="BW34" s="247">
        <f>'[10]Данные для переноса'!AG32</f>
        <v>10560531.301000046</v>
      </c>
      <c r="BX34" s="247">
        <f>'[10]Данные для переноса'!AH32</f>
        <v>10810959.233577656</v>
      </c>
      <c r="BY34" s="247">
        <f>'[10]Данные для переноса'!AI32</f>
        <v>11017337.405688867</v>
      </c>
      <c r="BZ34" s="247">
        <f>'[10]Данные для переноса'!AJ32</f>
        <v>11324063.598839758</v>
      </c>
      <c r="CA34" s="247">
        <f>'[10]Данные для переноса'!AK32</f>
        <v>11762484.363994854</v>
      </c>
      <c r="CB34" s="247">
        <f>'[10]Данные для переноса'!AL32</f>
        <v>13154845.30820442</v>
      </c>
      <c r="CC34" s="247">
        <f>'[10]Данные для переноса'!AM32</f>
        <v>13955474.331821866</v>
      </c>
      <c r="CD34" s="247">
        <f>'[10]Данные для переноса'!AN32</f>
        <v>14485614.498445425</v>
      </c>
      <c r="CE34" s="247">
        <f>'[10]Данные для переноса'!AO32</f>
        <v>16885894.972538527</v>
      </c>
      <c r="CF34" s="247">
        <f>'[10]Данные для переноса'!AP32</f>
        <v>18165669.872533012</v>
      </c>
      <c r="CG34" s="247">
        <f>'[10]Данные для переноса'!AQ32</f>
        <v>18822460.687831916</v>
      </c>
      <c r="CH34" s="247">
        <f>'[10]Данные для переноса'!AR32</f>
        <v>19466635.211727262</v>
      </c>
      <c r="CI34" s="247">
        <f>'[10]Данные для переноса'!AS32</f>
        <v>19420449.144972697</v>
      </c>
      <c r="CJ34" s="247">
        <f>'[10]Данные для переноса'!AT32</f>
        <v>20832479.455261704</v>
      </c>
      <c r="CK34" s="247">
        <f>'[10]Данные для переноса'!AU32</f>
        <v>21550645.767600056</v>
      </c>
      <c r="CL34" s="247">
        <f>'[10]Данные для переноса'!AV32</f>
        <v>22308078.168130182</v>
      </c>
      <c r="CM34" s="435">
        <v>3675606.6999300006</v>
      </c>
      <c r="CN34" s="435">
        <v>4727319.6055199997</v>
      </c>
      <c r="CO34" s="435">
        <v>6075733.7092900006</v>
      </c>
      <c r="CP34" s="435">
        <v>7036844.7964735366</v>
      </c>
      <c r="CQ34" s="435">
        <v>8448156.1012156866</v>
      </c>
      <c r="CR34" s="435">
        <v>10560531.301000046</v>
      </c>
      <c r="CS34" s="435">
        <v>10810959.233577656</v>
      </c>
      <c r="CT34" s="435">
        <v>11017337.405688867</v>
      </c>
      <c r="CU34" s="435">
        <v>11324063.598839758</v>
      </c>
      <c r="CV34" s="435">
        <v>11762484.363994854</v>
      </c>
      <c r="CW34" s="435">
        <v>13154845.30820442</v>
      </c>
      <c r="CX34" s="435">
        <v>13955474.331821866</v>
      </c>
      <c r="CY34" s="435">
        <v>14485614.498445425</v>
      </c>
      <c r="CZ34" s="435">
        <v>16885894.972538527</v>
      </c>
      <c r="DA34" s="435">
        <v>18165669.872533012</v>
      </c>
      <c r="DB34" s="435">
        <v>18822460.687831916</v>
      </c>
      <c r="DC34" s="435">
        <v>19466635.211727262</v>
      </c>
      <c r="DD34" s="435">
        <v>19420449.144972697</v>
      </c>
      <c r="DE34" s="435">
        <v>20832479.455261704</v>
      </c>
      <c r="DF34" s="435">
        <v>21550645.767600056</v>
      </c>
      <c r="DG34" s="435">
        <v>22308078.168130182</v>
      </c>
      <c r="DH34" s="430" t="b">
        <f t="shared" si="34"/>
        <v>1</v>
      </c>
      <c r="DI34" s="430" t="b">
        <f t="shared" si="34"/>
        <v>1</v>
      </c>
      <c r="DJ34" s="430" t="b">
        <f t="shared" si="34"/>
        <v>1</v>
      </c>
      <c r="DK34" s="430" t="b">
        <f t="shared" si="34"/>
        <v>1</v>
      </c>
      <c r="DL34" s="430" t="b">
        <f t="shared" si="34"/>
        <v>1</v>
      </c>
      <c r="DM34" s="430" t="b">
        <f t="shared" si="34"/>
        <v>1</v>
      </c>
      <c r="DN34" s="430" t="b">
        <f t="shared" si="34"/>
        <v>1</v>
      </c>
      <c r="DO34" s="430" t="b">
        <f t="shared" si="34"/>
        <v>1</v>
      </c>
      <c r="DP34" s="430" t="b">
        <f t="shared" si="34"/>
        <v>1</v>
      </c>
      <c r="DQ34" s="430" t="b">
        <f t="shared" si="82"/>
        <v>1</v>
      </c>
      <c r="DR34" s="430" t="b">
        <f t="shared" si="82"/>
        <v>1</v>
      </c>
      <c r="DS34" s="430" t="b">
        <f t="shared" si="82"/>
        <v>1</v>
      </c>
      <c r="DT34" s="430" t="b">
        <f t="shared" si="82"/>
        <v>1</v>
      </c>
      <c r="DU34" s="430" t="b">
        <f t="shared" si="82"/>
        <v>1</v>
      </c>
      <c r="DV34" s="430" t="b">
        <f t="shared" si="82"/>
        <v>1</v>
      </c>
      <c r="DW34" s="430" t="b">
        <f t="shared" si="82"/>
        <v>1</v>
      </c>
      <c r="DX34" s="430" t="b">
        <f t="shared" si="82"/>
        <v>1</v>
      </c>
      <c r="DY34" s="430" t="b">
        <f t="shared" si="82"/>
        <v>1</v>
      </c>
      <c r="DZ34" s="430" t="b">
        <f t="shared" si="82"/>
        <v>1</v>
      </c>
      <c r="EA34" s="430" t="b">
        <f t="shared" si="82"/>
        <v>1</v>
      </c>
      <c r="EB34" s="430" t="b">
        <f t="shared" si="82"/>
        <v>1</v>
      </c>
      <c r="EC34" s="244">
        <f>SUM(BV34:CL34)</f>
        <v>262971779.42338392</v>
      </c>
      <c r="ED34" s="223">
        <f>BR34-F34</f>
        <v>0</v>
      </c>
      <c r="EE34" s="223">
        <f>BS34-G34</f>
        <v>0</v>
      </c>
      <c r="EF34" s="223">
        <f>BT34-H34</f>
        <v>0</v>
      </c>
      <c r="EG34" s="223">
        <f>BU34-I34</f>
        <v>209155.85295499768</v>
      </c>
      <c r="EH34" s="223">
        <f>BV34-J34</f>
        <v>1123942.3986039134</v>
      </c>
      <c r="EI34" s="223">
        <f>BW34-K34</f>
        <v>2715894.2670925986</v>
      </c>
      <c r="EJ34" s="223">
        <f>BX34-L34</f>
        <v>2628492.8496761927</v>
      </c>
      <c r="EK34" s="223">
        <f>BY34-M34</f>
        <v>2510546.9762943964</v>
      </c>
      <c r="EL34" s="223">
        <f>BZ34-N34</f>
        <v>2477007.5642216299</v>
      </c>
      <c r="EM34" s="223">
        <f>CA34-O34</f>
        <v>2561553.2603360061</v>
      </c>
      <c r="EN34" s="223">
        <f>CB34-P34</f>
        <v>3585882.2307851501</v>
      </c>
      <c r="EO34" s="223">
        <f>CC34-Q34</f>
        <v>4003758.1403401326</v>
      </c>
      <c r="EP34" s="223">
        <f>CD34-R34</f>
        <v>4135835.1668428089</v>
      </c>
      <c r="EQ34" s="223">
        <f>CE34-S34</f>
        <v>6122130.765317386</v>
      </c>
      <c r="ER34" s="223">
        <f>CF34-T34</f>
        <v>6971361.3976614829</v>
      </c>
      <c r="ES34" s="223">
        <f>CG34-U34</f>
        <v>7180385.2032984048</v>
      </c>
      <c r="ET34" s="223">
        <f>CH34-V34</f>
        <v>7358882.0758544393</v>
      </c>
      <c r="EU34" s="223">
        <f>CI34-W34</f>
        <v>6828392.0576761663</v>
      </c>
      <c r="EV34" s="223">
        <f>CJ34-X34</f>
        <v>7736747.3862913176</v>
      </c>
      <c r="EW34" s="223">
        <f>CK34-Y34</f>
        <v>7931089.0027843323</v>
      </c>
      <c r="EX34" s="223">
        <f>CL34-Z34</f>
        <v>8143744.8219856676</v>
      </c>
      <c r="EY34" s="244">
        <f>SUM(EH34:EX34)</f>
        <v>84015645.565062031</v>
      </c>
    </row>
    <row r="35" spans="1:155" s="235" customFormat="1" x14ac:dyDescent="0.35">
      <c r="A35" s="221"/>
      <c r="B35" s="222"/>
      <c r="C35" s="241">
        <v>18</v>
      </c>
      <c r="D35" s="242" t="s">
        <v>26</v>
      </c>
      <c r="E35" s="243" t="s">
        <v>10</v>
      </c>
      <c r="F35" s="384">
        <f>'[10]Данные для переноса'!F33</f>
        <v>1059741.5046099999</v>
      </c>
      <c r="G35" s="384">
        <f>'[10]Данные для переноса'!G33</f>
        <v>1247103.4409999999</v>
      </c>
      <c r="H35" s="384">
        <f>'[10]Данные для переноса'!H33</f>
        <v>2051791.7539999997</v>
      </c>
      <c r="I35" s="384">
        <f>'[10]Данные для переноса'!I33</f>
        <v>2144122.3829299998</v>
      </c>
      <c r="J35" s="384">
        <f>'[10]Данные для переноса'!J33</f>
        <v>2229887.2782471995</v>
      </c>
      <c r="K35" s="384">
        <f>'[10]Данные для переноса'!K33</f>
        <v>2319082.7693770877</v>
      </c>
      <c r="L35" s="384">
        <f>'[10]Данные для переноса'!L33</f>
        <v>2411846.0801521717</v>
      </c>
      <c r="M35" s="384">
        <f>'[10]Данные для переноса'!M33</f>
        <v>2508319.9233582583</v>
      </c>
      <c r="N35" s="384">
        <f>'[10]Данные для переноса'!N33</f>
        <v>2608652.7202925887</v>
      </c>
      <c r="O35" s="384">
        <f>'[10]Данные для переноса'!O33</f>
        <v>2712998.8291042922</v>
      </c>
      <c r="P35" s="384">
        <f>'[10]Данные для переноса'!P33</f>
        <v>2821518.7822684641</v>
      </c>
      <c r="Q35" s="384">
        <f>'[10]Данные для переноса'!Q33</f>
        <v>2934379.5335592027</v>
      </c>
      <c r="R35" s="384">
        <f>'[10]Данные для переноса'!R33</f>
        <v>3051754.7149015716</v>
      </c>
      <c r="S35" s="384">
        <f>'[10]Данные для переноса'!S33</f>
        <v>3173825.903497634</v>
      </c>
      <c r="T35" s="384">
        <f>'[10]Данные для переноса'!T33</f>
        <v>3300779.8996375399</v>
      </c>
      <c r="U35" s="384">
        <f>'[10]Данные для переноса'!U33</f>
        <v>3432812.015623041</v>
      </c>
      <c r="V35" s="384">
        <f>'[10]Данные для переноса'!V33</f>
        <v>3570125.3762479625</v>
      </c>
      <c r="W35" s="384">
        <f>'[10]Данные для переноса'!W33</f>
        <v>3712931.2312978809</v>
      </c>
      <c r="X35" s="384">
        <f>'[10]Данные для переноса'!X33</f>
        <v>3861449.2805497963</v>
      </c>
      <c r="Y35" s="384">
        <f>'[10]Данные для переноса'!Y33</f>
        <v>4015908.0117717879</v>
      </c>
      <c r="Z35" s="384">
        <f>'[10]Данные для переноса'!Z33</f>
        <v>4176545.05224266</v>
      </c>
      <c r="AA35" s="435">
        <v>1059741.5046099999</v>
      </c>
      <c r="AB35" s="435">
        <v>1247103.4409999999</v>
      </c>
      <c r="AC35" s="435">
        <v>2051791.7539999997</v>
      </c>
      <c r="AD35" s="435">
        <v>2144122.3829299998</v>
      </c>
      <c r="AE35" s="435">
        <v>2229887.2782471995</v>
      </c>
      <c r="AF35" s="435">
        <v>2319082.7693770877</v>
      </c>
      <c r="AG35" s="435">
        <v>2411846.0801521717</v>
      </c>
      <c r="AH35" s="435">
        <v>2508319.9233582583</v>
      </c>
      <c r="AI35" s="435">
        <v>2608652.7202925887</v>
      </c>
      <c r="AJ35" s="435">
        <v>2712998.8291042922</v>
      </c>
      <c r="AK35" s="435">
        <v>2821518.7822684641</v>
      </c>
      <c r="AL35" s="435">
        <v>2934379.5335592027</v>
      </c>
      <c r="AM35" s="435">
        <v>3051754.7149015716</v>
      </c>
      <c r="AN35" s="435">
        <v>3173825.903497634</v>
      </c>
      <c r="AO35" s="435">
        <v>3300779.8996375399</v>
      </c>
      <c r="AP35" s="435">
        <v>3432812.015623041</v>
      </c>
      <c r="AQ35" s="435">
        <v>3570125.3762479625</v>
      </c>
      <c r="AR35" s="435">
        <v>3712931.2312978809</v>
      </c>
      <c r="AS35" s="435">
        <v>3861449.2805497963</v>
      </c>
      <c r="AT35" s="435">
        <v>4015908.0117717879</v>
      </c>
      <c r="AU35" s="435">
        <v>4176545.05224266</v>
      </c>
      <c r="AV35" s="430" t="b">
        <f t="shared" si="32"/>
        <v>1</v>
      </c>
      <c r="AW35" s="430" t="b">
        <f t="shared" si="32"/>
        <v>1</v>
      </c>
      <c r="AX35" s="430" t="b">
        <f t="shared" si="32"/>
        <v>1</v>
      </c>
      <c r="AY35" s="430" t="b">
        <f t="shared" si="32"/>
        <v>1</v>
      </c>
      <c r="AZ35" s="430" t="b">
        <f t="shared" si="32"/>
        <v>1</v>
      </c>
      <c r="BA35" s="430" t="b">
        <f t="shared" si="32"/>
        <v>1</v>
      </c>
      <c r="BB35" s="430" t="b">
        <f t="shared" si="32"/>
        <v>1</v>
      </c>
      <c r="BC35" s="430" t="b">
        <f t="shared" si="32"/>
        <v>1</v>
      </c>
      <c r="BD35" s="430" t="b">
        <f t="shared" si="32"/>
        <v>1</v>
      </c>
      <c r="BE35" s="430" t="b">
        <f t="shared" si="81"/>
        <v>1</v>
      </c>
      <c r="BF35" s="430" t="b">
        <f t="shared" si="81"/>
        <v>1</v>
      </c>
      <c r="BG35" s="430" t="b">
        <f t="shared" si="81"/>
        <v>1</v>
      </c>
      <c r="BH35" s="430" t="b">
        <f t="shared" si="81"/>
        <v>1</v>
      </c>
      <c r="BI35" s="430" t="b">
        <f t="shared" si="81"/>
        <v>1</v>
      </c>
      <c r="BJ35" s="430" t="b">
        <f t="shared" si="81"/>
        <v>1</v>
      </c>
      <c r="BK35" s="430" t="b">
        <f t="shared" si="81"/>
        <v>1</v>
      </c>
      <c r="BL35" s="430" t="b">
        <f t="shared" si="81"/>
        <v>1</v>
      </c>
      <c r="BM35" s="430" t="b">
        <f t="shared" si="81"/>
        <v>1</v>
      </c>
      <c r="BN35" s="430" t="b">
        <f t="shared" si="81"/>
        <v>1</v>
      </c>
      <c r="BO35" s="430" t="b">
        <f t="shared" si="81"/>
        <v>1</v>
      </c>
      <c r="BP35" s="430" t="b">
        <f t="shared" si="81"/>
        <v>1</v>
      </c>
      <c r="BQ35" s="244">
        <f t="shared" ref="BQ35:BQ36" si="87">SUM(J35:Z35)</f>
        <v>52842817.402129136</v>
      </c>
      <c r="BR35" s="247">
        <f>'[10]Данные для переноса'!AB33</f>
        <v>1059741.5046099999</v>
      </c>
      <c r="BS35" s="247">
        <f>'[10]Данные для переноса'!AC33</f>
        <v>1247103.4409999999</v>
      </c>
      <c r="BT35" s="247">
        <f>'[10]Данные для переноса'!AD33</f>
        <v>2051791.7539999997</v>
      </c>
      <c r="BU35" s="247">
        <f>'[10]Данные для переноса'!AE33</f>
        <v>2144122.3829299998</v>
      </c>
      <c r="BV35" s="247">
        <f>'[10]Данные для переноса'!AF33</f>
        <v>2229887.2782471995</v>
      </c>
      <c r="BW35" s="247">
        <f>'[10]Данные для переноса'!AG33</f>
        <v>2319082.7693770877</v>
      </c>
      <c r="BX35" s="247">
        <f>'[10]Данные для переноса'!AH33</f>
        <v>2411846.0801521717</v>
      </c>
      <c r="BY35" s="247">
        <f>'[10]Данные для переноса'!AI33</f>
        <v>2508319.9233582583</v>
      </c>
      <c r="BZ35" s="247">
        <f>'[10]Данные для переноса'!AJ33</f>
        <v>2608652.7202925887</v>
      </c>
      <c r="CA35" s="247">
        <f>'[10]Данные для переноса'!AK33</f>
        <v>2712998.8291042922</v>
      </c>
      <c r="CB35" s="247">
        <f>'[10]Данные для переноса'!AL33</f>
        <v>2821518.7822684641</v>
      </c>
      <c r="CC35" s="247">
        <f>'[10]Данные для переноса'!AM33</f>
        <v>2934379.5335592027</v>
      </c>
      <c r="CD35" s="247">
        <f>'[10]Данные для переноса'!AN33</f>
        <v>4151754.7149015716</v>
      </c>
      <c r="CE35" s="247">
        <f>'[10]Данные для переноса'!AO33</f>
        <v>3173825.903497634</v>
      </c>
      <c r="CF35" s="247">
        <f>'[10]Данные для переноса'!AP33</f>
        <v>3300779.8996375399</v>
      </c>
      <c r="CG35" s="247">
        <f>'[10]Данные для переноса'!AQ33</f>
        <v>3432812.015623041</v>
      </c>
      <c r="CH35" s="247">
        <f>'[10]Данные для переноса'!AR33</f>
        <v>3570125.3762479625</v>
      </c>
      <c r="CI35" s="247">
        <f>'[10]Данные для переноса'!AS33</f>
        <v>3712931.2312978809</v>
      </c>
      <c r="CJ35" s="247">
        <f>'[10]Данные для переноса'!AT33</f>
        <v>3861449.2805497963</v>
      </c>
      <c r="CK35" s="247">
        <f>'[10]Данные для переноса'!AU33</f>
        <v>4015908.0117717879</v>
      </c>
      <c r="CL35" s="247">
        <f>'[10]Данные для переноса'!AV33</f>
        <v>4176545.05224266</v>
      </c>
      <c r="CM35" s="435">
        <v>1059741.5046099999</v>
      </c>
      <c r="CN35" s="435">
        <v>1247103.4409999999</v>
      </c>
      <c r="CO35" s="435">
        <v>2051791.7539999997</v>
      </c>
      <c r="CP35" s="435">
        <v>2144122.3829299998</v>
      </c>
      <c r="CQ35" s="435">
        <v>2229887.2782471995</v>
      </c>
      <c r="CR35" s="435">
        <v>2319082.7693770877</v>
      </c>
      <c r="CS35" s="435">
        <v>2411846.0801521717</v>
      </c>
      <c r="CT35" s="435">
        <v>2508319.9233582583</v>
      </c>
      <c r="CU35" s="435">
        <v>2608652.7202925887</v>
      </c>
      <c r="CV35" s="435">
        <v>2712998.8291042922</v>
      </c>
      <c r="CW35" s="435">
        <v>2821518.7822684641</v>
      </c>
      <c r="CX35" s="435">
        <v>2934379.5335592027</v>
      </c>
      <c r="CY35" s="435">
        <v>4151754.7149015716</v>
      </c>
      <c r="CZ35" s="435">
        <v>3173825.903497634</v>
      </c>
      <c r="DA35" s="435">
        <v>3300779.8996375399</v>
      </c>
      <c r="DB35" s="435">
        <v>3432812.015623041</v>
      </c>
      <c r="DC35" s="435">
        <v>3570125.3762479625</v>
      </c>
      <c r="DD35" s="435">
        <v>3712931.2312978809</v>
      </c>
      <c r="DE35" s="435">
        <v>3861449.2805497963</v>
      </c>
      <c r="DF35" s="435">
        <v>4015908.0117717879</v>
      </c>
      <c r="DG35" s="435">
        <v>4176545.05224266</v>
      </c>
      <c r="DH35" s="430" t="b">
        <f t="shared" si="34"/>
        <v>1</v>
      </c>
      <c r="DI35" s="430" t="b">
        <f t="shared" si="34"/>
        <v>1</v>
      </c>
      <c r="DJ35" s="430" t="b">
        <f t="shared" si="34"/>
        <v>1</v>
      </c>
      <c r="DK35" s="430" t="b">
        <f t="shared" si="34"/>
        <v>1</v>
      </c>
      <c r="DL35" s="430" t="b">
        <f t="shared" si="34"/>
        <v>1</v>
      </c>
      <c r="DM35" s="430" t="b">
        <f t="shared" si="34"/>
        <v>1</v>
      </c>
      <c r="DN35" s="430" t="b">
        <f t="shared" si="34"/>
        <v>1</v>
      </c>
      <c r="DO35" s="430" t="b">
        <f t="shared" si="34"/>
        <v>1</v>
      </c>
      <c r="DP35" s="430" t="b">
        <f t="shared" si="34"/>
        <v>1</v>
      </c>
      <c r="DQ35" s="430" t="b">
        <f t="shared" si="82"/>
        <v>1</v>
      </c>
      <c r="DR35" s="430" t="b">
        <f t="shared" si="82"/>
        <v>1</v>
      </c>
      <c r="DS35" s="430" t="b">
        <f t="shared" si="82"/>
        <v>1</v>
      </c>
      <c r="DT35" s="430" t="b">
        <f t="shared" si="82"/>
        <v>1</v>
      </c>
      <c r="DU35" s="430" t="b">
        <f t="shared" si="82"/>
        <v>1</v>
      </c>
      <c r="DV35" s="430" t="b">
        <f t="shared" si="82"/>
        <v>1</v>
      </c>
      <c r="DW35" s="430" t="b">
        <f t="shared" si="82"/>
        <v>1</v>
      </c>
      <c r="DX35" s="430" t="b">
        <f t="shared" si="82"/>
        <v>1</v>
      </c>
      <c r="DY35" s="430" t="b">
        <f t="shared" si="82"/>
        <v>1</v>
      </c>
      <c r="DZ35" s="430" t="b">
        <f t="shared" si="82"/>
        <v>1</v>
      </c>
      <c r="EA35" s="430" t="b">
        <f t="shared" si="82"/>
        <v>1</v>
      </c>
      <c r="EB35" s="430" t="b">
        <f t="shared" si="82"/>
        <v>1</v>
      </c>
      <c r="EC35" s="244">
        <f t="shared" ref="EC35:EC36" si="88">SUM(BV35:CL35)</f>
        <v>53942817.402129136</v>
      </c>
      <c r="ED35" s="223">
        <f>BR35-F35</f>
        <v>0</v>
      </c>
      <c r="EE35" s="223">
        <f>BS35-G35</f>
        <v>0</v>
      </c>
      <c r="EF35" s="223">
        <f>BT35-H35</f>
        <v>0</v>
      </c>
      <c r="EG35" s="223">
        <f>BU35-I35</f>
        <v>0</v>
      </c>
      <c r="EH35" s="223">
        <f>BV35-J35</f>
        <v>0</v>
      </c>
      <c r="EI35" s="223">
        <f>BW35-K35</f>
        <v>0</v>
      </c>
      <c r="EJ35" s="223">
        <f>BX35-L35</f>
        <v>0</v>
      </c>
      <c r="EK35" s="223">
        <f>BY35-M35</f>
        <v>0</v>
      </c>
      <c r="EL35" s="223">
        <f>BZ35-N35</f>
        <v>0</v>
      </c>
      <c r="EM35" s="223">
        <f>CA35-O35</f>
        <v>0</v>
      </c>
      <c r="EN35" s="223">
        <f>CB35-P35</f>
        <v>0</v>
      </c>
      <c r="EO35" s="223">
        <f>CC35-Q35</f>
        <v>0</v>
      </c>
      <c r="EP35" s="223">
        <f>CD35-R35</f>
        <v>1100000</v>
      </c>
      <c r="EQ35" s="223">
        <f>CE35-S35</f>
        <v>0</v>
      </c>
      <c r="ER35" s="223">
        <f>CF35-T35</f>
        <v>0</v>
      </c>
      <c r="ES35" s="223">
        <f>CG35-U35</f>
        <v>0</v>
      </c>
      <c r="ET35" s="223">
        <f>CH35-V35</f>
        <v>0</v>
      </c>
      <c r="EU35" s="223">
        <f>CI35-W35</f>
        <v>0</v>
      </c>
      <c r="EV35" s="223">
        <f>CJ35-X35</f>
        <v>0</v>
      </c>
      <c r="EW35" s="223">
        <f>CK35-Y35</f>
        <v>0</v>
      </c>
      <c r="EX35" s="223">
        <f>CL35-Z35</f>
        <v>0</v>
      </c>
      <c r="EY35" s="244">
        <f t="shared" ref="EY35:EY36" si="89">SUM(EH35:EX35)</f>
        <v>1100000</v>
      </c>
    </row>
    <row r="36" spans="1:155" s="235" customFormat="1" x14ac:dyDescent="0.35">
      <c r="A36" s="221"/>
      <c r="B36" s="222"/>
      <c r="C36" s="241">
        <v>19</v>
      </c>
      <c r="D36" s="242" t="s">
        <v>27</v>
      </c>
      <c r="E36" s="243" t="s">
        <v>10</v>
      </c>
      <c r="F36" s="384">
        <f>'[10]Данные для переноса'!F34</f>
        <v>5755958.7999999998</v>
      </c>
      <c r="G36" s="384">
        <f>'[10]Данные для переноса'!G34</f>
        <v>6439057.6999999993</v>
      </c>
      <c r="H36" s="384">
        <f>'[10]Данные для переноса'!H34</f>
        <v>7154049.9000000004</v>
      </c>
      <c r="I36" s="384">
        <f>'[10]Данные для переноса'!I34</f>
        <v>7570109.0343486639</v>
      </c>
      <c r="J36" s="384">
        <f>'[10]Данные для переноса'!J34</f>
        <v>7981221.2123608049</v>
      </c>
      <c r="K36" s="384">
        <f>'[10]Данные для переноса'!K34</f>
        <v>8440329.7704263385</v>
      </c>
      <c r="L36" s="384">
        <f>'[10]Данные для переноса'!L34</f>
        <v>8877413.2139416095</v>
      </c>
      <c r="M36" s="384">
        <f>'[10]Данные для переноса'!M34</f>
        <v>9330820.4498844389</v>
      </c>
      <c r="N36" s="384">
        <f>'[10]Данные для переноса'!N34</f>
        <v>9831054.1934423279</v>
      </c>
      <c r="O36" s="384">
        <f>'[10]Данные для переноса'!O34</f>
        <v>10356655.333186468</v>
      </c>
      <c r="P36" s="384">
        <f>'[10]Данные для переноса'!P34</f>
        <v>10916055.34930289</v>
      </c>
      <c r="Q36" s="384">
        <f>'[10]Данные для переноса'!Q34</f>
        <v>11508019.323285939</v>
      </c>
      <c r="R36" s="384">
        <f>'[10]Данные для переноса'!R34</f>
        <v>12133005.469643515</v>
      </c>
      <c r="S36" s="384">
        <f>'[10]Данные для переноса'!S34</f>
        <v>12800011.326938583</v>
      </c>
      <c r="T36" s="384">
        <f>'[10]Данные для переноса'!T34</f>
        <v>13501353.677317219</v>
      </c>
      <c r="U36" s="384">
        <f>'[10]Данные для переноса'!U34</f>
        <v>14247482.625974948</v>
      </c>
      <c r="V36" s="384">
        <f>'[10]Данные для переноса'!V34</f>
        <v>15036559.048974378</v>
      </c>
      <c r="W36" s="384">
        <f>'[10]Данные для переноса'!W34</f>
        <v>15874117.613733806</v>
      </c>
      <c r="X36" s="384">
        <f>'[10]Данные для переноса'!X34</f>
        <v>16764545.889611002</v>
      </c>
      <c r="Y36" s="384">
        <f>'[10]Данные для переноса'!Y34</f>
        <v>17706836.556995884</v>
      </c>
      <c r="Z36" s="384">
        <f>'[10]Данные для переноса'!Z34</f>
        <v>18705780.497947384</v>
      </c>
      <c r="AA36" s="435">
        <v>5755958.7999999998</v>
      </c>
      <c r="AB36" s="435">
        <v>6439057.6999999993</v>
      </c>
      <c r="AC36" s="435">
        <v>7154049.9000000004</v>
      </c>
      <c r="AD36" s="435">
        <v>7570109.0343486639</v>
      </c>
      <c r="AE36" s="435">
        <v>7981221.2123608049</v>
      </c>
      <c r="AF36" s="435">
        <v>8440329.7704263385</v>
      </c>
      <c r="AG36" s="435">
        <v>8877413.2139416095</v>
      </c>
      <c r="AH36" s="435">
        <v>9330820.4498844389</v>
      </c>
      <c r="AI36" s="435">
        <v>9831054.1934423279</v>
      </c>
      <c r="AJ36" s="435">
        <v>10356655.333186468</v>
      </c>
      <c r="AK36" s="435">
        <v>10916055.34930289</v>
      </c>
      <c r="AL36" s="435">
        <v>11508019.323285939</v>
      </c>
      <c r="AM36" s="435">
        <v>12133005.469643515</v>
      </c>
      <c r="AN36" s="435">
        <v>12800011.326938583</v>
      </c>
      <c r="AO36" s="435">
        <v>13501353.677317219</v>
      </c>
      <c r="AP36" s="435">
        <v>14247482.625974948</v>
      </c>
      <c r="AQ36" s="435">
        <v>15036559.048974378</v>
      </c>
      <c r="AR36" s="435">
        <v>15874117.613733806</v>
      </c>
      <c r="AS36" s="435">
        <v>16764545.889611002</v>
      </c>
      <c r="AT36" s="435">
        <v>17706836.556995884</v>
      </c>
      <c r="AU36" s="435">
        <v>18705780.497947384</v>
      </c>
      <c r="AV36" s="430" t="b">
        <f t="shared" si="32"/>
        <v>1</v>
      </c>
      <c r="AW36" s="430" t="b">
        <f t="shared" si="32"/>
        <v>1</v>
      </c>
      <c r="AX36" s="430" t="b">
        <f t="shared" si="32"/>
        <v>1</v>
      </c>
      <c r="AY36" s="430" t="b">
        <f t="shared" si="32"/>
        <v>1</v>
      </c>
      <c r="AZ36" s="430" t="b">
        <f t="shared" si="32"/>
        <v>1</v>
      </c>
      <c r="BA36" s="430" t="b">
        <f t="shared" si="32"/>
        <v>1</v>
      </c>
      <c r="BB36" s="430" t="b">
        <f t="shared" si="32"/>
        <v>1</v>
      </c>
      <c r="BC36" s="430" t="b">
        <f t="shared" si="32"/>
        <v>1</v>
      </c>
      <c r="BD36" s="430" t="b">
        <f t="shared" si="32"/>
        <v>1</v>
      </c>
      <c r="BE36" s="430" t="b">
        <f t="shared" si="81"/>
        <v>1</v>
      </c>
      <c r="BF36" s="430" t="b">
        <f t="shared" si="81"/>
        <v>1</v>
      </c>
      <c r="BG36" s="430" t="b">
        <f t="shared" si="81"/>
        <v>1</v>
      </c>
      <c r="BH36" s="430" t="b">
        <f t="shared" si="81"/>
        <v>1</v>
      </c>
      <c r="BI36" s="430" t="b">
        <f t="shared" si="81"/>
        <v>1</v>
      </c>
      <c r="BJ36" s="430" t="b">
        <f t="shared" si="81"/>
        <v>1</v>
      </c>
      <c r="BK36" s="430" t="b">
        <f t="shared" si="81"/>
        <v>1</v>
      </c>
      <c r="BL36" s="430" t="b">
        <f t="shared" si="81"/>
        <v>1</v>
      </c>
      <c r="BM36" s="430" t="b">
        <f t="shared" si="81"/>
        <v>1</v>
      </c>
      <c r="BN36" s="430" t="b">
        <f t="shared" si="81"/>
        <v>1</v>
      </c>
      <c r="BO36" s="430" t="b">
        <f t="shared" si="81"/>
        <v>1</v>
      </c>
      <c r="BP36" s="430" t="b">
        <f t="shared" si="81"/>
        <v>1</v>
      </c>
      <c r="BQ36" s="244">
        <f t="shared" si="87"/>
        <v>214011261.55296755</v>
      </c>
      <c r="BR36" s="247">
        <f>'[10]Данные для переноса'!AB34</f>
        <v>5755958.7999999998</v>
      </c>
      <c r="BS36" s="247">
        <f>'[10]Данные для переноса'!AC34</f>
        <v>6439057.6999999993</v>
      </c>
      <c r="BT36" s="247">
        <f>'[10]Данные для переноса'!AD34</f>
        <v>7154049.9000000004</v>
      </c>
      <c r="BU36" s="247">
        <f>'[10]Данные для переноса'!AE34</f>
        <v>7617920.8154999986</v>
      </c>
      <c r="BV36" s="247">
        <f>'[10]Данные для переноса'!AF34</f>
        <v>8075403.4621199956</v>
      </c>
      <c r="BW36" s="247">
        <f>'[10]Данные для переноса'!AG34</f>
        <v>8531097.8036047947</v>
      </c>
      <c r="BX36" s="247">
        <f>'[10]Данные для переноса'!AH34</f>
        <v>8963361.397048993</v>
      </c>
      <c r="BY36" s="247">
        <f>'[10]Данные для переноса'!AI34</f>
        <v>9411391.2147369497</v>
      </c>
      <c r="BZ36" s="247">
        <f>'[10]Данные для переноса'!AJ34</f>
        <v>16557651.977068957</v>
      </c>
      <c r="CA36" s="247">
        <f>'[10]Данные для переноса'!AK34</f>
        <v>17342926.383342676</v>
      </c>
      <c r="CB36" s="247">
        <f>'[10]Данные для переноса'!AL34</f>
        <v>15773861.066132201</v>
      </c>
      <c r="CC36" s="247">
        <f>'[10]Данные для переноса'!AM34</f>
        <v>16550211.703793362</v>
      </c>
      <c r="CD36" s="247">
        <f>'[10]Данные для переноса'!AN34</f>
        <v>12178797.979463199</v>
      </c>
      <c r="CE36" s="247">
        <f>'[10]Данные для переноса'!AO34</f>
        <v>12837147.855457833</v>
      </c>
      <c r="CF36" s="247">
        <f>'[10]Данные для переноса'!AP34</f>
        <v>13529219.864828588</v>
      </c>
      <c r="CG36" s="247">
        <f>'[10]Данные для переноса'!AQ34</f>
        <v>14265405.513917228</v>
      </c>
      <c r="CH36" s="247">
        <f>'[10]Данные для переноса'!AR34</f>
        <v>15043849.007579317</v>
      </c>
      <c r="CI36" s="247">
        <f>'[10]Данные для переноса'!AS34</f>
        <v>15870043.474849978</v>
      </c>
      <c r="CJ36" s="247">
        <f>'[10]Данные для переноса'!AT34</f>
        <v>16748338.903590828</v>
      </c>
      <c r="CK36" s="247">
        <f>'[10]Данные для переноса'!AU34</f>
        <v>17677703.584476274</v>
      </c>
      <c r="CL36" s="247">
        <f>'[10]Данные для переноса'!AV34</f>
        <v>18662886.764691968</v>
      </c>
      <c r="CM36" s="435">
        <v>5755958.7999999998</v>
      </c>
      <c r="CN36" s="435">
        <v>6439057.6999999993</v>
      </c>
      <c r="CO36" s="435">
        <v>7154049.9000000004</v>
      </c>
      <c r="CP36" s="435">
        <v>7617920.8154999986</v>
      </c>
      <c r="CQ36" s="435">
        <v>8075403.4621199956</v>
      </c>
      <c r="CR36" s="435">
        <v>8531097.8036047947</v>
      </c>
      <c r="CS36" s="435">
        <v>8963361.397048993</v>
      </c>
      <c r="CT36" s="435">
        <v>9411391.2147369497</v>
      </c>
      <c r="CU36" s="435">
        <v>16557651.977068957</v>
      </c>
      <c r="CV36" s="435">
        <v>17342926.383342676</v>
      </c>
      <c r="CW36" s="435">
        <v>15773861.066132201</v>
      </c>
      <c r="CX36" s="435">
        <v>16550211.703793362</v>
      </c>
      <c r="CY36" s="435">
        <v>12178797.979463199</v>
      </c>
      <c r="CZ36" s="435">
        <v>12837147.855457833</v>
      </c>
      <c r="DA36" s="435">
        <v>13529219.864828588</v>
      </c>
      <c r="DB36" s="435">
        <v>14265405.513917228</v>
      </c>
      <c r="DC36" s="435">
        <v>15043849.007579317</v>
      </c>
      <c r="DD36" s="435">
        <v>15870043.474849978</v>
      </c>
      <c r="DE36" s="435">
        <v>16748338.903590828</v>
      </c>
      <c r="DF36" s="435">
        <v>17677703.584476274</v>
      </c>
      <c r="DG36" s="435">
        <v>18662886.764691968</v>
      </c>
      <c r="DH36" s="430" t="b">
        <f t="shared" si="34"/>
        <v>1</v>
      </c>
      <c r="DI36" s="430" t="b">
        <f t="shared" si="34"/>
        <v>1</v>
      </c>
      <c r="DJ36" s="430" t="b">
        <f t="shared" si="34"/>
        <v>1</v>
      </c>
      <c r="DK36" s="430" t="b">
        <f t="shared" si="34"/>
        <v>1</v>
      </c>
      <c r="DL36" s="430" t="b">
        <f t="shared" si="34"/>
        <v>1</v>
      </c>
      <c r="DM36" s="430" t="b">
        <f t="shared" si="34"/>
        <v>1</v>
      </c>
      <c r="DN36" s="430" t="b">
        <f t="shared" si="34"/>
        <v>1</v>
      </c>
      <c r="DO36" s="430" t="b">
        <f t="shared" si="34"/>
        <v>1</v>
      </c>
      <c r="DP36" s="430" t="b">
        <f t="shared" si="34"/>
        <v>1</v>
      </c>
      <c r="DQ36" s="430" t="b">
        <f t="shared" si="82"/>
        <v>1</v>
      </c>
      <c r="DR36" s="430" t="b">
        <f t="shared" si="82"/>
        <v>1</v>
      </c>
      <c r="DS36" s="430" t="b">
        <f t="shared" si="82"/>
        <v>1</v>
      </c>
      <c r="DT36" s="430" t="b">
        <f t="shared" si="82"/>
        <v>1</v>
      </c>
      <c r="DU36" s="430" t="b">
        <f t="shared" si="82"/>
        <v>1</v>
      </c>
      <c r="DV36" s="430" t="b">
        <f t="shared" si="82"/>
        <v>1</v>
      </c>
      <c r="DW36" s="430" t="b">
        <f t="shared" si="82"/>
        <v>1</v>
      </c>
      <c r="DX36" s="430" t="b">
        <f t="shared" si="82"/>
        <v>1</v>
      </c>
      <c r="DY36" s="430" t="b">
        <f t="shared" si="82"/>
        <v>1</v>
      </c>
      <c r="DZ36" s="430" t="b">
        <f t="shared" si="82"/>
        <v>1</v>
      </c>
      <c r="EA36" s="430" t="b">
        <f t="shared" si="82"/>
        <v>1</v>
      </c>
      <c r="EB36" s="430" t="b">
        <f t="shared" si="82"/>
        <v>1</v>
      </c>
      <c r="EC36" s="244">
        <f t="shared" si="88"/>
        <v>238019297.95670316</v>
      </c>
      <c r="ED36" s="223">
        <f>BR36-F36</f>
        <v>0</v>
      </c>
      <c r="EE36" s="223">
        <f>BS36-G36</f>
        <v>0</v>
      </c>
      <c r="EF36" s="223">
        <f>BT36-H36</f>
        <v>0</v>
      </c>
      <c r="EG36" s="223">
        <f>BU36-I36</f>
        <v>47811.781151334755</v>
      </c>
      <c r="EH36" s="223">
        <f>BV36-J36</f>
        <v>94182.249759190716</v>
      </c>
      <c r="EI36" s="223">
        <f>BW36-K36</f>
        <v>90768.033178456128</v>
      </c>
      <c r="EJ36" s="223">
        <f>BX36-L36</f>
        <v>85948.183107383549</v>
      </c>
      <c r="EK36" s="223">
        <f>BY36-M36</f>
        <v>80570.764852510765</v>
      </c>
      <c r="EL36" s="223">
        <f>BZ36-N36</f>
        <v>6726597.783626629</v>
      </c>
      <c r="EM36" s="223">
        <f>CA36-O36</f>
        <v>6986271.0501562078</v>
      </c>
      <c r="EN36" s="223">
        <f>CB36-P36</f>
        <v>4857805.7168293111</v>
      </c>
      <c r="EO36" s="223">
        <f>CC36-Q36</f>
        <v>5042192.3805074226</v>
      </c>
      <c r="EP36" s="223">
        <f>CD36-R36</f>
        <v>45792.50981968455</v>
      </c>
      <c r="EQ36" s="223">
        <f>CE36-S36</f>
        <v>37136.528519250453</v>
      </c>
      <c r="ER36" s="223">
        <f>CF36-T36</f>
        <v>27866.187511369586</v>
      </c>
      <c r="ES36" s="223">
        <f>CG36-U36</f>
        <v>17922.88794228062</v>
      </c>
      <c r="ET36" s="223">
        <f>CH36-V36</f>
        <v>7289.9586049392819</v>
      </c>
      <c r="EU36" s="223">
        <f>CI36-W36</f>
        <v>-4074.1388838272542</v>
      </c>
      <c r="EV36" s="223">
        <f>CJ36-X36</f>
        <v>-16206.986020173877</v>
      </c>
      <c r="EW36" s="223">
        <f>CK36-Y36</f>
        <v>-29132.972519610077</v>
      </c>
      <c r="EX36" s="223">
        <f>CL36-Z36</f>
        <v>-42893.733255416155</v>
      </c>
      <c r="EY36" s="244">
        <f t="shared" si="89"/>
        <v>24008036.403735615</v>
      </c>
    </row>
    <row r="37" spans="1:155" s="235" customFormat="1" x14ac:dyDescent="0.35">
      <c r="A37" s="221"/>
      <c r="B37" s="222"/>
      <c r="C37" s="241">
        <v>20</v>
      </c>
      <c r="D37" s="242" t="s">
        <v>28</v>
      </c>
      <c r="E37" s="243" t="s">
        <v>29</v>
      </c>
      <c r="F37" s="260">
        <f>IFERROR(F34/F33,0)</f>
        <v>0.35034783543551068</v>
      </c>
      <c r="G37" s="260">
        <f t="shared" ref="G37:BQ37" si="90">IFERROR(G34/G33,0)</f>
        <v>0.3808214393730992</v>
      </c>
      <c r="H37" s="260">
        <f t="shared" si="90"/>
        <v>0.39758556070635009</v>
      </c>
      <c r="I37" s="260">
        <f t="shared" si="90"/>
        <v>0.41275068399552445</v>
      </c>
      <c r="J37" s="260">
        <f t="shared" si="90"/>
        <v>0.41768344042425182</v>
      </c>
      <c r="K37" s="260">
        <f t="shared" si="90"/>
        <v>0.42166287521575924</v>
      </c>
      <c r="L37" s="260">
        <f t="shared" si="90"/>
        <v>0.42022296940781001</v>
      </c>
      <c r="M37" s="260">
        <f t="shared" si="90"/>
        <v>0.41810770477464959</v>
      </c>
      <c r="N37" s="260">
        <f t="shared" si="90"/>
        <v>0.41561302937808231</v>
      </c>
      <c r="O37" s="260">
        <f t="shared" si="90"/>
        <v>0.41314276179919351</v>
      </c>
      <c r="P37" s="260">
        <f t="shared" si="90"/>
        <v>0.41056991828575845</v>
      </c>
      <c r="Q37" s="260">
        <f t="shared" si="90"/>
        <v>0.40795561436709277</v>
      </c>
      <c r="R37" s="260">
        <f t="shared" si="90"/>
        <v>0.40532469070208038</v>
      </c>
      <c r="S37" s="260">
        <f t="shared" si="90"/>
        <v>0.40257029907183101</v>
      </c>
      <c r="T37" s="260">
        <f t="shared" si="90"/>
        <v>0.39984753970339926</v>
      </c>
      <c r="U37" s="260">
        <f t="shared" si="90"/>
        <v>0.39703732796682528</v>
      </c>
      <c r="V37" s="260">
        <f t="shared" si="90"/>
        <v>0.39420396716654393</v>
      </c>
      <c r="W37" s="260">
        <f t="shared" si="90"/>
        <v>0.39131158938279031</v>
      </c>
      <c r="X37" s="260">
        <f t="shared" si="90"/>
        <v>0.38834701366583346</v>
      </c>
      <c r="Y37" s="260">
        <f t="shared" si="90"/>
        <v>0.38536134464661981</v>
      </c>
      <c r="Z37" s="260">
        <f t="shared" si="90"/>
        <v>0.38233767276503172</v>
      </c>
      <c r="AA37" s="436">
        <v>0.35034783543551068</v>
      </c>
      <c r="AB37" s="436">
        <v>0.38082143937309915</v>
      </c>
      <c r="AC37" s="436">
        <v>0.39758556070635009</v>
      </c>
      <c r="AD37" s="436">
        <v>0.4127506839955245</v>
      </c>
      <c r="AE37" s="436">
        <v>0.41768344042425182</v>
      </c>
      <c r="AF37" s="436">
        <v>0.42166287521575924</v>
      </c>
      <c r="AG37" s="436">
        <v>0.4202229694078099</v>
      </c>
      <c r="AH37" s="436">
        <v>0.41810770477464959</v>
      </c>
      <c r="AI37" s="436">
        <v>0.41561302937808231</v>
      </c>
      <c r="AJ37" s="436">
        <v>0.41314276179919346</v>
      </c>
      <c r="AK37" s="436">
        <v>0.41056991828575851</v>
      </c>
      <c r="AL37" s="436">
        <v>0.40795561436709277</v>
      </c>
      <c r="AM37" s="436">
        <v>0.40532469070208038</v>
      </c>
      <c r="AN37" s="436">
        <v>0.40257029907183106</v>
      </c>
      <c r="AO37" s="436">
        <v>0.39984753970339931</v>
      </c>
      <c r="AP37" s="436">
        <v>0.39703732796682528</v>
      </c>
      <c r="AQ37" s="436">
        <v>0.39420396716654393</v>
      </c>
      <c r="AR37" s="436">
        <v>0.39131158938279031</v>
      </c>
      <c r="AS37" s="436">
        <v>0.38834701366583346</v>
      </c>
      <c r="AT37" s="436">
        <v>0.38536134464661992</v>
      </c>
      <c r="AU37" s="436">
        <v>0.38233767276503172</v>
      </c>
      <c r="AV37" s="436" t="b">
        <f t="shared" si="32"/>
        <v>1</v>
      </c>
      <c r="AW37" s="436" t="b">
        <f t="shared" si="32"/>
        <v>1</v>
      </c>
      <c r="AX37" s="436" t="b">
        <f t="shared" si="32"/>
        <v>1</v>
      </c>
      <c r="AY37" s="436" t="b">
        <f t="shared" si="32"/>
        <v>0</v>
      </c>
      <c r="AZ37" s="436" t="b">
        <f t="shared" si="32"/>
        <v>1</v>
      </c>
      <c r="BA37" s="436" t="b">
        <f t="shared" si="32"/>
        <v>1</v>
      </c>
      <c r="BB37" s="436" t="b">
        <f t="shared" si="32"/>
        <v>1</v>
      </c>
      <c r="BC37" s="436" t="b">
        <f t="shared" si="32"/>
        <v>1</v>
      </c>
      <c r="BD37" s="436" t="b">
        <f t="shared" si="32"/>
        <v>1</v>
      </c>
      <c r="BE37" s="436" t="b">
        <f t="shared" si="81"/>
        <v>0</v>
      </c>
      <c r="BF37" s="436" t="b">
        <f t="shared" si="81"/>
        <v>0</v>
      </c>
      <c r="BG37" s="436" t="b">
        <f t="shared" si="81"/>
        <v>1</v>
      </c>
      <c r="BH37" s="436" t="b">
        <f t="shared" si="81"/>
        <v>1</v>
      </c>
      <c r="BI37" s="436" t="b">
        <f t="shared" si="81"/>
        <v>1</v>
      </c>
      <c r="BJ37" s="436" t="b">
        <f t="shared" si="81"/>
        <v>1</v>
      </c>
      <c r="BK37" s="436" t="b">
        <f t="shared" si="81"/>
        <v>1</v>
      </c>
      <c r="BL37" s="436" t="b">
        <f t="shared" si="81"/>
        <v>1</v>
      </c>
      <c r="BM37" s="436" t="b">
        <f t="shared" si="81"/>
        <v>1</v>
      </c>
      <c r="BN37" s="436" t="b">
        <f t="shared" si="81"/>
        <v>1</v>
      </c>
      <c r="BO37" s="436" t="b">
        <f t="shared" si="81"/>
        <v>1</v>
      </c>
      <c r="BP37" s="436" t="b">
        <f t="shared" si="81"/>
        <v>1</v>
      </c>
      <c r="BQ37" s="261">
        <f t="shared" si="90"/>
        <v>0.40141775292442439</v>
      </c>
      <c r="BR37" s="260">
        <f>IFERROR(BR34/BR33,0)</f>
        <v>0.35034783543551068</v>
      </c>
      <c r="BS37" s="260">
        <f t="shared" ref="BS37:CL37" si="91">IFERROR(BS34/BS33,0)</f>
        <v>0.3808214393730992</v>
      </c>
      <c r="BT37" s="260">
        <f t="shared" si="91"/>
        <v>0.39758556070635009</v>
      </c>
      <c r="BU37" s="260">
        <f t="shared" si="91"/>
        <v>0.41888753580644045</v>
      </c>
      <c r="BV37" s="260">
        <f t="shared" si="91"/>
        <v>0.45048551194776632</v>
      </c>
      <c r="BW37" s="260">
        <f t="shared" si="91"/>
        <v>0.49323587945868774</v>
      </c>
      <c r="BX37" s="260">
        <f t="shared" si="91"/>
        <v>0.48728378248078846</v>
      </c>
      <c r="BY37" s="260">
        <f t="shared" si="91"/>
        <v>0.48032934074574118</v>
      </c>
      <c r="BZ37" s="260">
        <f t="shared" si="91"/>
        <v>0.37139805885029559</v>
      </c>
      <c r="CA37" s="260">
        <f t="shared" si="91"/>
        <v>0.36967543383135448</v>
      </c>
      <c r="CB37" s="260">
        <f t="shared" si="91"/>
        <v>0.4143228982887317</v>
      </c>
      <c r="CC37" s="260">
        <f t="shared" si="91"/>
        <v>0.41732795956854335</v>
      </c>
      <c r="CD37" s="260">
        <f t="shared" si="91"/>
        <v>0.47006541753917747</v>
      </c>
      <c r="CE37" s="260">
        <f t="shared" si="91"/>
        <v>0.51329794061441247</v>
      </c>
      <c r="CF37" s="260">
        <f t="shared" si="91"/>
        <v>0.51908336262631116</v>
      </c>
      <c r="CG37" s="260">
        <f t="shared" si="91"/>
        <v>0.51539187130644337</v>
      </c>
      <c r="CH37" s="260">
        <f t="shared" si="91"/>
        <v>0.51119547240650687</v>
      </c>
      <c r="CI37" s="260">
        <f t="shared" si="91"/>
        <v>0.4979165218700346</v>
      </c>
      <c r="CJ37" s="260">
        <f t="shared" si="91"/>
        <v>0.50268676503248755</v>
      </c>
      <c r="CK37" s="260">
        <f t="shared" si="91"/>
        <v>0.49834699637173646</v>
      </c>
      <c r="CL37" s="260">
        <f t="shared" si="91"/>
        <v>0.49411536041544463</v>
      </c>
      <c r="CM37" s="436">
        <v>0.35034783543551068</v>
      </c>
      <c r="CN37" s="436">
        <v>0.38082143937309915</v>
      </c>
      <c r="CO37" s="436">
        <v>0.39758556070635009</v>
      </c>
      <c r="CP37" s="436">
        <v>0.41888753580644045</v>
      </c>
      <c r="CQ37" s="436">
        <v>0.45048551194776632</v>
      </c>
      <c r="CR37" s="436">
        <v>0.46819800114039434</v>
      </c>
      <c r="CS37" s="436">
        <v>0.47449499780336818</v>
      </c>
      <c r="CT37" s="436">
        <v>0.4751759842273075</v>
      </c>
      <c r="CU37" s="436">
        <v>0.36985113601005476</v>
      </c>
      <c r="CV37" s="436">
        <v>0.36814091112402059</v>
      </c>
      <c r="CW37" s="436">
        <v>0.40074728585866271</v>
      </c>
      <c r="CX37" s="436">
        <v>0.40047648824764037</v>
      </c>
      <c r="CY37" s="436">
        <v>0.4489812029045433</v>
      </c>
      <c r="CZ37" s="436">
        <v>0.48786198532525815</v>
      </c>
      <c r="DA37" s="436">
        <v>0.51908336262631116</v>
      </c>
      <c r="DB37" s="436">
        <v>0.51539187130644337</v>
      </c>
      <c r="DC37" s="436">
        <v>0.51119547240650687</v>
      </c>
      <c r="DD37" s="436">
        <v>0.4979165218700346</v>
      </c>
      <c r="DE37" s="436">
        <v>0.50268676503248755</v>
      </c>
      <c r="DF37" s="436">
        <v>0.49834699637173646</v>
      </c>
      <c r="DG37" s="436">
        <v>0.49411536041544457</v>
      </c>
      <c r="DH37" s="436" t="b">
        <f t="shared" si="34"/>
        <v>1</v>
      </c>
      <c r="DI37" s="436" t="b">
        <f t="shared" si="34"/>
        <v>1</v>
      </c>
      <c r="DJ37" s="436" t="b">
        <f t="shared" si="34"/>
        <v>1</v>
      </c>
      <c r="DK37" s="436" t="b">
        <f t="shared" si="34"/>
        <v>1</v>
      </c>
      <c r="DL37" s="436" t="b">
        <f t="shared" si="34"/>
        <v>1</v>
      </c>
      <c r="DM37" s="436" t="b">
        <f t="shared" si="34"/>
        <v>0</v>
      </c>
      <c r="DN37" s="436" t="b">
        <f t="shared" si="34"/>
        <v>0</v>
      </c>
      <c r="DO37" s="436" t="b">
        <f t="shared" si="34"/>
        <v>0</v>
      </c>
      <c r="DP37" s="436" t="b">
        <f t="shared" si="34"/>
        <v>0</v>
      </c>
      <c r="DQ37" s="436" t="b">
        <f t="shared" si="82"/>
        <v>0</v>
      </c>
      <c r="DR37" s="436" t="b">
        <f t="shared" si="82"/>
        <v>0</v>
      </c>
      <c r="DS37" s="436" t="b">
        <f t="shared" si="82"/>
        <v>0</v>
      </c>
      <c r="DT37" s="436" t="b">
        <f t="shared" si="82"/>
        <v>0</v>
      </c>
      <c r="DU37" s="436" t="b">
        <f t="shared" si="82"/>
        <v>0</v>
      </c>
      <c r="DV37" s="436" t="b">
        <f t="shared" si="82"/>
        <v>1</v>
      </c>
      <c r="DW37" s="436" t="b">
        <f t="shared" si="82"/>
        <v>1</v>
      </c>
      <c r="DX37" s="436" t="b">
        <f t="shared" si="82"/>
        <v>1</v>
      </c>
      <c r="DY37" s="436" t="b">
        <f t="shared" si="82"/>
        <v>1</v>
      </c>
      <c r="DZ37" s="436" t="b">
        <f t="shared" si="82"/>
        <v>1</v>
      </c>
      <c r="EA37" s="436" t="b">
        <f t="shared" si="82"/>
        <v>1</v>
      </c>
      <c r="EB37" s="436" t="b">
        <f t="shared" si="82"/>
        <v>1</v>
      </c>
      <c r="EC37" s="261">
        <f t="shared" ref="EC37" si="92">IFERROR(EC34/EC33,0)</f>
        <v>0.4738794690610621</v>
      </c>
      <c r="ED37" s="260">
        <f>IFERROR(ED34/ED33,0)</f>
        <v>0</v>
      </c>
      <c r="EE37" s="260">
        <f t="shared" ref="EE37:EY37" si="93">IFERROR(EE34/EE33,0)</f>
        <v>0</v>
      </c>
      <c r="EF37" s="260">
        <f t="shared" si="93"/>
        <v>0</v>
      </c>
      <c r="EG37" s="260">
        <f t="shared" si="93"/>
        <v>0.81393850895810149</v>
      </c>
      <c r="EH37" s="260">
        <f t="shared" si="93"/>
        <v>0.92268258434327477</v>
      </c>
      <c r="EI37" s="260">
        <f t="shared" si="93"/>
        <v>0.9676597953484849</v>
      </c>
      <c r="EJ37" s="260">
        <f t="shared" si="93"/>
        <v>0.96833669176476989</v>
      </c>
      <c r="EK37" s="260">
        <f t="shared" si="93"/>
        <v>0.96890501594232936</v>
      </c>
      <c r="EL37" s="260">
        <f t="shared" si="93"/>
        <v>0.26913448269495144</v>
      </c>
      <c r="EM37" s="260">
        <f t="shared" si="93"/>
        <v>0.26828659357724938</v>
      </c>
      <c r="EN37" s="260">
        <f t="shared" si="93"/>
        <v>0.42468199358293973</v>
      </c>
      <c r="EO37" s="260">
        <f t="shared" si="93"/>
        <v>0.44260225955392501</v>
      </c>
      <c r="EP37" s="260">
        <f t="shared" si="93"/>
        <v>0.78306071916380937</v>
      </c>
      <c r="EQ37" s="260">
        <f t="shared" si="93"/>
        <v>0.99397062560405303</v>
      </c>
      <c r="ER37" s="260">
        <f t="shared" si="93"/>
        <v>0.99601867675078948</v>
      </c>
      <c r="ES37" s="260">
        <f t="shared" si="93"/>
        <v>0.99751012491892455</v>
      </c>
      <c r="ET37" s="260">
        <f t="shared" si="93"/>
        <v>0.9990103464091209</v>
      </c>
      <c r="EU37" s="260">
        <f t="shared" si="93"/>
        <v>1.0005970030898781</v>
      </c>
      <c r="EV37" s="260">
        <f t="shared" si="93"/>
        <v>1.0020992035764233</v>
      </c>
      <c r="EW37" s="260">
        <f t="shared" si="93"/>
        <v>1.0036868051920349</v>
      </c>
      <c r="EX37" s="260">
        <f t="shared" si="93"/>
        <v>1.0052949662678152</v>
      </c>
      <c r="EY37" s="261">
        <f t="shared" si="93"/>
        <v>0.76991212218338723</v>
      </c>
    </row>
    <row r="38" spans="1:155" s="235" customFormat="1" x14ac:dyDescent="0.35">
      <c r="A38" s="221"/>
      <c r="C38" s="236">
        <v>21</v>
      </c>
      <c r="D38" s="254" t="s">
        <v>30</v>
      </c>
      <c r="E38" s="236" t="s">
        <v>10</v>
      </c>
      <c r="F38" s="256">
        <f>SUM(F39:F41)</f>
        <v>10491307.00454</v>
      </c>
      <c r="G38" s="256">
        <f t="shared" ref="G38:R38" si="94">SUM(G39:G41)</f>
        <v>12413480.746520001</v>
      </c>
      <c r="H38" s="256">
        <f t="shared" si="94"/>
        <v>15281575.363290001</v>
      </c>
      <c r="I38" s="256">
        <f t="shared" si="94"/>
        <v>16541920.3607972</v>
      </c>
      <c r="J38" s="256">
        <f t="shared" si="94"/>
        <v>17535322.193219777</v>
      </c>
      <c r="K38" s="256">
        <f t="shared" si="94"/>
        <v>18604049.573710874</v>
      </c>
      <c r="L38" s="256">
        <f t="shared" si="94"/>
        <v>19471725.677995246</v>
      </c>
      <c r="M38" s="256">
        <f t="shared" si="94"/>
        <v>20345930.802637167</v>
      </c>
      <c r="N38" s="256">
        <f t="shared" si="94"/>
        <v>21286762.948353045</v>
      </c>
      <c r="O38" s="256">
        <f t="shared" si="94"/>
        <v>22270585.265949614</v>
      </c>
      <c r="P38" s="256">
        <f t="shared" si="94"/>
        <v>23306537.208990622</v>
      </c>
      <c r="Q38" s="256">
        <f t="shared" si="94"/>
        <v>24394115.048326876</v>
      </c>
      <c r="R38" s="256">
        <f t="shared" si="94"/>
        <v>25534539.516147703</v>
      </c>
      <c r="S38" s="256">
        <f t="shared" ref="S38:Z38" si="95">SUM(S39:S41)</f>
        <v>26737601.437657353</v>
      </c>
      <c r="T38" s="256">
        <f t="shared" si="95"/>
        <v>27996442.051826291</v>
      </c>
      <c r="U38" s="256">
        <f t="shared" si="95"/>
        <v>29322370.126131497</v>
      </c>
      <c r="V38" s="256">
        <f t="shared" si="95"/>
        <v>30714437.561095163</v>
      </c>
      <c r="W38" s="256">
        <f t="shared" si="95"/>
        <v>32179105.932328217</v>
      </c>
      <c r="X38" s="256">
        <f t="shared" si="95"/>
        <v>33721727.239131182</v>
      </c>
      <c r="Y38" s="256">
        <f t="shared" si="95"/>
        <v>35342301.333583392</v>
      </c>
      <c r="Z38" s="256">
        <f t="shared" si="95"/>
        <v>37046658.896334559</v>
      </c>
      <c r="AA38" s="437">
        <v>10491307.00454</v>
      </c>
      <c r="AB38" s="438">
        <v>12413480.746520001</v>
      </c>
      <c r="AC38" s="438">
        <v>15281575.363290001</v>
      </c>
      <c r="AD38" s="438">
        <v>16541920.3607972</v>
      </c>
      <c r="AE38" s="438">
        <v>17535322.193219777</v>
      </c>
      <c r="AF38" s="438">
        <v>18604049.573710874</v>
      </c>
      <c r="AG38" s="438">
        <v>19471725.677995246</v>
      </c>
      <c r="AH38" s="438">
        <v>20345930.802637167</v>
      </c>
      <c r="AI38" s="438">
        <v>21286762.948353045</v>
      </c>
      <c r="AJ38" s="438">
        <v>22270585.265949614</v>
      </c>
      <c r="AK38" s="438">
        <v>23306537.208990622</v>
      </c>
      <c r="AL38" s="438">
        <v>24394115.048326876</v>
      </c>
      <c r="AM38" s="438">
        <v>25534539.516147703</v>
      </c>
      <c r="AN38" s="438">
        <v>26737601.437657353</v>
      </c>
      <c r="AO38" s="438">
        <v>27996442.051826291</v>
      </c>
      <c r="AP38" s="438">
        <v>29322370.126131497</v>
      </c>
      <c r="AQ38" s="438">
        <v>30714437.561095163</v>
      </c>
      <c r="AR38" s="438">
        <v>32179105.932328217</v>
      </c>
      <c r="AS38" s="438">
        <v>33721727.239131182</v>
      </c>
      <c r="AT38" s="438">
        <v>35342301.333583392</v>
      </c>
      <c r="AU38" s="438">
        <v>37046658.896334559</v>
      </c>
      <c r="AV38" s="433" t="b">
        <f t="shared" si="32"/>
        <v>1</v>
      </c>
      <c r="AW38" s="433" t="b">
        <f t="shared" si="32"/>
        <v>1</v>
      </c>
      <c r="AX38" s="433" t="b">
        <f t="shared" si="32"/>
        <v>1</v>
      </c>
      <c r="AY38" s="433" t="b">
        <f t="shared" si="32"/>
        <v>1</v>
      </c>
      <c r="AZ38" s="433" t="b">
        <f t="shared" si="32"/>
        <v>1</v>
      </c>
      <c r="BA38" s="433" t="b">
        <f t="shared" si="32"/>
        <v>1</v>
      </c>
      <c r="BB38" s="433" t="b">
        <f t="shared" si="32"/>
        <v>1</v>
      </c>
      <c r="BC38" s="433" t="b">
        <f t="shared" si="32"/>
        <v>1</v>
      </c>
      <c r="BD38" s="433" t="b">
        <f t="shared" si="32"/>
        <v>1</v>
      </c>
      <c r="BE38" s="433" t="b">
        <f t="shared" si="81"/>
        <v>1</v>
      </c>
      <c r="BF38" s="433" t="b">
        <f t="shared" si="81"/>
        <v>1</v>
      </c>
      <c r="BG38" s="433" t="b">
        <f t="shared" si="81"/>
        <v>1</v>
      </c>
      <c r="BH38" s="433" t="b">
        <f t="shared" si="81"/>
        <v>1</v>
      </c>
      <c r="BI38" s="433" t="b">
        <f t="shared" si="81"/>
        <v>1</v>
      </c>
      <c r="BJ38" s="433" t="b">
        <f t="shared" si="81"/>
        <v>1</v>
      </c>
      <c r="BK38" s="433" t="b">
        <f t="shared" si="81"/>
        <v>1</v>
      </c>
      <c r="BL38" s="433" t="b">
        <f t="shared" si="81"/>
        <v>1</v>
      </c>
      <c r="BM38" s="433" t="b">
        <f t="shared" si="81"/>
        <v>1</v>
      </c>
      <c r="BN38" s="433" t="b">
        <f t="shared" si="81"/>
        <v>1</v>
      </c>
      <c r="BO38" s="433" t="b">
        <f t="shared" si="81"/>
        <v>1</v>
      </c>
      <c r="BP38" s="433" t="b">
        <f t="shared" si="81"/>
        <v>1</v>
      </c>
      <c r="BQ38" s="259">
        <f>SUM(BQ39:BQ41)</f>
        <v>445810212.81341857</v>
      </c>
      <c r="BR38" s="256">
        <f>SUM(BR39:BR41)</f>
        <v>10491307.00454</v>
      </c>
      <c r="BS38" s="256">
        <f t="shared" ref="BS38:CL38" si="96">SUM(BS39:BS41)</f>
        <v>12413480.746520001</v>
      </c>
      <c r="BT38" s="256">
        <f t="shared" si="96"/>
        <v>15281575.363290001</v>
      </c>
      <c r="BU38" s="256">
        <f t="shared" si="96"/>
        <v>16798887.994903535</v>
      </c>
      <c r="BV38" s="256">
        <f t="shared" si="96"/>
        <v>18753446.841582883</v>
      </c>
      <c r="BW38" s="256">
        <f t="shared" si="96"/>
        <v>22555694.973659992</v>
      </c>
      <c r="BX38" s="256">
        <f t="shared" si="96"/>
        <v>22784137.416887462</v>
      </c>
      <c r="BY38" s="256">
        <f t="shared" si="96"/>
        <v>23185804.357525274</v>
      </c>
      <c r="BZ38" s="256">
        <f t="shared" si="96"/>
        <v>30617895.948633511</v>
      </c>
      <c r="CA38" s="256">
        <f t="shared" si="96"/>
        <v>31951038.334971327</v>
      </c>
      <c r="CB38" s="256">
        <f t="shared" si="96"/>
        <v>32825787.653229244</v>
      </c>
      <c r="CC38" s="256">
        <f t="shared" si="96"/>
        <v>34847175.155991428</v>
      </c>
      <c r="CD38" s="256">
        <f t="shared" si="96"/>
        <v>32263298.340187244</v>
      </c>
      <c r="CE38" s="256">
        <f t="shared" si="96"/>
        <v>34612032.66592022</v>
      </c>
      <c r="CF38" s="256">
        <f t="shared" si="96"/>
        <v>34995669.636999138</v>
      </c>
      <c r="CG38" s="256">
        <f t="shared" si="96"/>
        <v>36520678.217372186</v>
      </c>
      <c r="CH38" s="256">
        <f t="shared" si="96"/>
        <v>38080609.595554538</v>
      </c>
      <c r="CI38" s="256">
        <f t="shared" si="96"/>
        <v>39003423.851120554</v>
      </c>
      <c r="CJ38" s="256">
        <f t="shared" si="96"/>
        <v>41442267.63940233</v>
      </c>
      <c r="CK38" s="256">
        <f t="shared" si="96"/>
        <v>43244257.36384812</v>
      </c>
      <c r="CL38" s="256">
        <f t="shared" si="96"/>
        <v>45147509.985064812</v>
      </c>
      <c r="CM38" s="437">
        <v>10491307.00454</v>
      </c>
      <c r="CN38" s="438">
        <v>12413480.746520001</v>
      </c>
      <c r="CO38" s="438">
        <v>15281575.363290001</v>
      </c>
      <c r="CP38" s="438">
        <v>16798887.994903535</v>
      </c>
      <c r="CQ38" s="438">
        <v>18753446.841582883</v>
      </c>
      <c r="CR38" s="438">
        <v>22555694.973659992</v>
      </c>
      <c r="CS38" s="438">
        <v>22784137.416887462</v>
      </c>
      <c r="CT38" s="438">
        <v>23185804.357525274</v>
      </c>
      <c r="CU38" s="438">
        <v>30617895.948633511</v>
      </c>
      <c r="CV38" s="438">
        <v>31951038.334971327</v>
      </c>
      <c r="CW38" s="438">
        <v>32825787.653229244</v>
      </c>
      <c r="CX38" s="438">
        <v>34847175.155991428</v>
      </c>
      <c r="CY38" s="438">
        <v>32263298.340187244</v>
      </c>
      <c r="CZ38" s="438">
        <v>34612032.66592022</v>
      </c>
      <c r="DA38" s="438">
        <v>34995669.636999138</v>
      </c>
      <c r="DB38" s="438">
        <v>36520678.217372186</v>
      </c>
      <c r="DC38" s="438">
        <v>38080609.595554538</v>
      </c>
      <c r="DD38" s="438">
        <v>39003423.851120554</v>
      </c>
      <c r="DE38" s="438">
        <v>41442267.63940233</v>
      </c>
      <c r="DF38" s="438">
        <v>43244257.36384812</v>
      </c>
      <c r="DG38" s="438">
        <v>45147509.985064812</v>
      </c>
      <c r="DH38" s="433" t="b">
        <f t="shared" si="34"/>
        <v>1</v>
      </c>
      <c r="DI38" s="433" t="b">
        <f t="shared" si="34"/>
        <v>1</v>
      </c>
      <c r="DJ38" s="433" t="b">
        <f t="shared" si="34"/>
        <v>1</v>
      </c>
      <c r="DK38" s="433" t="b">
        <f t="shared" si="34"/>
        <v>1</v>
      </c>
      <c r="DL38" s="433" t="b">
        <f t="shared" si="34"/>
        <v>1</v>
      </c>
      <c r="DM38" s="433" t="b">
        <f t="shared" si="34"/>
        <v>1</v>
      </c>
      <c r="DN38" s="433" t="b">
        <f t="shared" si="34"/>
        <v>1</v>
      </c>
      <c r="DO38" s="433" t="b">
        <f t="shared" si="34"/>
        <v>1</v>
      </c>
      <c r="DP38" s="433" t="b">
        <f t="shared" si="34"/>
        <v>1</v>
      </c>
      <c r="DQ38" s="433" t="b">
        <f t="shared" si="82"/>
        <v>1</v>
      </c>
      <c r="DR38" s="433" t="b">
        <f t="shared" si="82"/>
        <v>1</v>
      </c>
      <c r="DS38" s="433" t="b">
        <f t="shared" si="82"/>
        <v>1</v>
      </c>
      <c r="DT38" s="433" t="b">
        <f t="shared" si="82"/>
        <v>1</v>
      </c>
      <c r="DU38" s="433" t="b">
        <f t="shared" si="82"/>
        <v>1</v>
      </c>
      <c r="DV38" s="433" t="b">
        <f t="shared" si="82"/>
        <v>1</v>
      </c>
      <c r="DW38" s="433" t="b">
        <f t="shared" si="82"/>
        <v>1</v>
      </c>
      <c r="DX38" s="433" t="b">
        <f t="shared" si="82"/>
        <v>1</v>
      </c>
      <c r="DY38" s="433" t="b">
        <f t="shared" si="82"/>
        <v>1</v>
      </c>
      <c r="DZ38" s="433" t="b">
        <f t="shared" si="82"/>
        <v>1</v>
      </c>
      <c r="EA38" s="433" t="b">
        <f t="shared" si="82"/>
        <v>1</v>
      </c>
      <c r="EB38" s="433" t="b">
        <f t="shared" si="82"/>
        <v>1</v>
      </c>
      <c r="EC38" s="259">
        <f>SUM(EC39:EC41)</f>
        <v>562830727.97795033</v>
      </c>
      <c r="ED38" s="256">
        <f t="shared" ref="ED38:ED80" si="97">BR38-F38</f>
        <v>0</v>
      </c>
      <c r="EE38" s="256">
        <f t="shared" ref="EE38:EE80" si="98">BS38-G38</f>
        <v>0</v>
      </c>
      <c r="EF38" s="256">
        <f t="shared" ref="EF38:EF80" si="99">BT38-H38</f>
        <v>0</v>
      </c>
      <c r="EG38" s="256">
        <f t="shared" ref="EG38:EG80" si="100">BU38-I38</f>
        <v>256967.6341063343</v>
      </c>
      <c r="EH38" s="256">
        <f t="shared" ref="EH38:EH80" si="101">BV38-J38</f>
        <v>1218124.648363106</v>
      </c>
      <c r="EI38" s="256">
        <f t="shared" ref="EI38:EI80" si="102">BW38-K38</f>
        <v>3951645.3999491185</v>
      </c>
      <c r="EJ38" s="256">
        <f t="shared" ref="EJ38:EJ80" si="103">BX38-L38</f>
        <v>3312411.7388922162</v>
      </c>
      <c r="EK38" s="256">
        <f t="shared" ref="EK38:EK80" si="104">BY38-M38</f>
        <v>2839873.5548881069</v>
      </c>
      <c r="EL38" s="256">
        <f t="shared" ref="EL38:EL80" si="105">BZ38-N38</f>
        <v>9331133.0002804659</v>
      </c>
      <c r="EM38" s="256">
        <f t="shared" ref="EM38:EM80" si="106">CA38-O38</f>
        <v>9680453.069021713</v>
      </c>
      <c r="EN38" s="256">
        <f t="shared" ref="EN38:EN80" si="107">CB38-P38</f>
        <v>9519250.4442386217</v>
      </c>
      <c r="EO38" s="256">
        <f t="shared" ref="EO38:EO80" si="108">CC38-Q38</f>
        <v>10453060.107664552</v>
      </c>
      <c r="EP38" s="256">
        <f t="shared" ref="EP38:EP80" si="109">CD38-R38</f>
        <v>6728758.8240395412</v>
      </c>
      <c r="EQ38" s="256">
        <f>CE38-S38</f>
        <v>7874431.2282628678</v>
      </c>
      <c r="ER38" s="256">
        <f>CF38-T38</f>
        <v>6999227.5851728469</v>
      </c>
      <c r="ES38" s="256">
        <f>CG38-U38</f>
        <v>7198308.0912406892</v>
      </c>
      <c r="ET38" s="256">
        <f>CH38-V38</f>
        <v>7366172.0344593748</v>
      </c>
      <c r="EU38" s="256">
        <f>CI38-W38</f>
        <v>6824317.9187923372</v>
      </c>
      <c r="EV38" s="256">
        <f>CJ38-X38</f>
        <v>7720540.4002711475</v>
      </c>
      <c r="EW38" s="256">
        <f>CK38-Y38</f>
        <v>7901956.0302647278</v>
      </c>
      <c r="EX38" s="256">
        <f>CL38-Z38</f>
        <v>8100851.0887302533</v>
      </c>
      <c r="EY38" s="259">
        <f>SUM(EY39:EY41)</f>
        <v>117020515.16453171</v>
      </c>
    </row>
    <row r="39" spans="1:155" s="235" customFormat="1" x14ac:dyDescent="0.35">
      <c r="A39" s="221"/>
      <c r="B39" s="222"/>
      <c r="C39" s="241">
        <v>22</v>
      </c>
      <c r="D39" s="242" t="s">
        <v>11</v>
      </c>
      <c r="E39" s="243" t="s">
        <v>10</v>
      </c>
      <c r="F39" s="384">
        <f>'[10]Данные для переноса'!F37</f>
        <v>8984824.3588300012</v>
      </c>
      <c r="G39" s="384">
        <f>'[10]Данные для переноса'!G37</f>
        <v>10045646.31136</v>
      </c>
      <c r="H39" s="384">
        <f>'[10]Данные для переноса'!H37</f>
        <v>11942290.913460001</v>
      </c>
      <c r="I39" s="384">
        <f>'[10]Данные для переноса'!I37</f>
        <v>12450116.129874505</v>
      </c>
      <c r="J39" s="384">
        <f>'[10]Данные для переноса'!J37</f>
        <v>13279851.713060172</v>
      </c>
      <c r="K39" s="384">
        <f>'[10]Данные для переноса'!K37</f>
        <v>14178366.194344884</v>
      </c>
      <c r="L39" s="384">
        <f>'[10]Данные для переноса'!L37</f>
        <v>14869020.883454613</v>
      </c>
      <c r="M39" s="384">
        <f>'[10]Данные для переноса'!M37</f>
        <v>15559123.736314911</v>
      </c>
      <c r="N39" s="384">
        <f>'[10]Данные для переноса'!N37</f>
        <v>16308489.519377897</v>
      </c>
      <c r="O39" s="384">
        <f>'[10]Данные для переноса'!O37</f>
        <v>17093186.819815457</v>
      </c>
      <c r="P39" s="384">
        <f>'[10]Данные для переноса'!P37</f>
        <v>17922048.745011102</v>
      </c>
      <c r="Q39" s="384">
        <f>'[10]Данные для переноса'!Q37</f>
        <v>18794252.965788174</v>
      </c>
      <c r="R39" s="384">
        <f>'[10]Данные для переноса'!R37</f>
        <v>19710688.870307457</v>
      </c>
      <c r="S39" s="384">
        <f>'[10]Данные для переноса'!S37</f>
        <v>20680801.685983498</v>
      </c>
      <c r="T39" s="384">
        <f>'[10]Данные для переноса'!T37</f>
        <v>21697375.270085476</v>
      </c>
      <c r="U39" s="384">
        <f>'[10]Данные для переноса'!U37</f>
        <v>22771345.673121054</v>
      </c>
      <c r="V39" s="384">
        <f>'[10]Данные для переноса'!V37</f>
        <v>23901377.169964299</v>
      </c>
      <c r="W39" s="384">
        <f>'[10]Данные для переноса'!W37</f>
        <v>25093528.20555212</v>
      </c>
      <c r="X39" s="384">
        <f>'[10]Данные для переноса'!X37</f>
        <v>26352731.52328404</v>
      </c>
      <c r="Y39" s="384">
        <f>'[10]Данные для переноса'!Y37</f>
        <v>27678550.949102364</v>
      </c>
      <c r="Z39" s="384">
        <f>'[10]Данные для переноса'!Z37</f>
        <v>29076363.696474291</v>
      </c>
      <c r="AA39" s="426">
        <v>8984824.3588300012</v>
      </c>
      <c r="AB39" s="426">
        <v>10045646.31136</v>
      </c>
      <c r="AC39" s="426">
        <v>11942290.913460001</v>
      </c>
      <c r="AD39" s="426">
        <v>12450116.129874505</v>
      </c>
      <c r="AE39" s="426">
        <v>13279851.713060172</v>
      </c>
      <c r="AF39" s="426">
        <v>14178366.194344884</v>
      </c>
      <c r="AG39" s="426">
        <v>14869020.883454613</v>
      </c>
      <c r="AH39" s="426">
        <v>15559123.736314911</v>
      </c>
      <c r="AI39" s="426">
        <v>16308489.519377897</v>
      </c>
      <c r="AJ39" s="426">
        <v>17093186.819815457</v>
      </c>
      <c r="AK39" s="426">
        <v>17922048.745011102</v>
      </c>
      <c r="AL39" s="426">
        <v>18794252.965788174</v>
      </c>
      <c r="AM39" s="426">
        <v>19710688.870307457</v>
      </c>
      <c r="AN39" s="426">
        <v>20680801.685983498</v>
      </c>
      <c r="AO39" s="426">
        <v>21697375.270085476</v>
      </c>
      <c r="AP39" s="426">
        <v>22771345.673121054</v>
      </c>
      <c r="AQ39" s="426">
        <v>23901377.169964299</v>
      </c>
      <c r="AR39" s="426">
        <v>25093528.20555212</v>
      </c>
      <c r="AS39" s="426">
        <v>26352731.52328404</v>
      </c>
      <c r="AT39" s="426">
        <v>27678550.949102364</v>
      </c>
      <c r="AU39" s="426">
        <v>29076363.696474291</v>
      </c>
      <c r="AV39" s="430" t="b">
        <f t="shared" si="32"/>
        <v>1</v>
      </c>
      <c r="AW39" s="430" t="b">
        <f t="shared" si="32"/>
        <v>1</v>
      </c>
      <c r="AX39" s="430" t="b">
        <f t="shared" si="32"/>
        <v>1</v>
      </c>
      <c r="AY39" s="430" t="b">
        <f t="shared" si="32"/>
        <v>1</v>
      </c>
      <c r="AZ39" s="430" t="b">
        <f t="shared" si="32"/>
        <v>1</v>
      </c>
      <c r="BA39" s="430" t="b">
        <f t="shared" si="32"/>
        <v>1</v>
      </c>
      <c r="BB39" s="430" t="b">
        <f t="shared" si="32"/>
        <v>1</v>
      </c>
      <c r="BC39" s="430" t="b">
        <f t="shared" si="32"/>
        <v>1</v>
      </c>
      <c r="BD39" s="430" t="b">
        <f t="shared" si="32"/>
        <v>1</v>
      </c>
      <c r="BE39" s="430" t="b">
        <f t="shared" si="81"/>
        <v>1</v>
      </c>
      <c r="BF39" s="430" t="b">
        <f t="shared" si="81"/>
        <v>1</v>
      </c>
      <c r="BG39" s="430" t="b">
        <f t="shared" si="81"/>
        <v>1</v>
      </c>
      <c r="BH39" s="430" t="b">
        <f t="shared" si="81"/>
        <v>1</v>
      </c>
      <c r="BI39" s="430" t="b">
        <f t="shared" si="81"/>
        <v>1</v>
      </c>
      <c r="BJ39" s="430" t="b">
        <f t="shared" si="81"/>
        <v>1</v>
      </c>
      <c r="BK39" s="430" t="b">
        <f t="shared" si="81"/>
        <v>1</v>
      </c>
      <c r="BL39" s="430" t="b">
        <f t="shared" si="81"/>
        <v>1</v>
      </c>
      <c r="BM39" s="430" t="b">
        <f t="shared" si="81"/>
        <v>1</v>
      </c>
      <c r="BN39" s="430" t="b">
        <f t="shared" si="81"/>
        <v>1</v>
      </c>
      <c r="BO39" s="430" t="b">
        <f t="shared" si="81"/>
        <v>1</v>
      </c>
      <c r="BP39" s="430" t="b">
        <f t="shared" si="81"/>
        <v>1</v>
      </c>
      <c r="BQ39" s="244">
        <f>SUM(J39:Z39)</f>
        <v>344967103.62104183</v>
      </c>
      <c r="BR39" s="247">
        <f>'[10]Данные для переноса'!AB37</f>
        <v>8984824.3588300012</v>
      </c>
      <c r="BS39" s="247">
        <f>'[10]Данные для переноса'!AC37</f>
        <v>10045646.31136</v>
      </c>
      <c r="BT39" s="247">
        <f>'[10]Данные для переноса'!AD37</f>
        <v>11942290.913460001</v>
      </c>
      <c r="BU39" s="247">
        <f>'[10]Данные для переноса'!AE37</f>
        <v>13217204.731477184</v>
      </c>
      <c r="BV39" s="247">
        <f>'[10]Данные для переноса'!AF37</f>
        <v>14560925.170433652</v>
      </c>
      <c r="BW39" s="247">
        <f>'[10]Данные для переноса'!AG37</f>
        <v>15940939.817253288</v>
      </c>
      <c r="BX39" s="247">
        <f>'[10]Данные для переноса'!AH37</f>
        <v>17053901.638805319</v>
      </c>
      <c r="BY39" s="247">
        <f>'[10]Данные для переноса'!AI37</f>
        <v>17983197.408661183</v>
      </c>
      <c r="BZ39" s="247">
        <f>'[10]Данные для переноса'!AJ37</f>
        <v>18827670.212069444</v>
      </c>
      <c r="CA39" s="247">
        <f>'[10]Данные для переноса'!AK37</f>
        <v>19698716.873105943</v>
      </c>
      <c r="CB39" s="247">
        <f>'[10]Данные для переноса'!AL37</f>
        <v>20615205.266670477</v>
      </c>
      <c r="CC39" s="247">
        <f>'[10]Данные для переноса'!AM37</f>
        <v>21579162.632495426</v>
      </c>
      <c r="CD39" s="247">
        <f>'[10]Данные для переноса'!AN37</f>
        <v>22592107.204456881</v>
      </c>
      <c r="CE39" s="247">
        <f>'[10]Данные для переноса'!AO37</f>
        <v>23658905.428119186</v>
      </c>
      <c r="CF39" s="247">
        <f>'[10]Данные для переноса'!AP37</f>
        <v>24775829.182877172</v>
      </c>
      <c r="CG39" s="247">
        <f>'[10]Данные для переноса'!AQ37</f>
        <v>25975642.047455009</v>
      </c>
      <c r="CH39" s="247">
        <f>'[10]Данные для переноса'!AR37</f>
        <v>27220942.636717938</v>
      </c>
      <c r="CI39" s="247">
        <f>'[10]Данные для переноса'!AS37</f>
        <v>28528405.455708157</v>
      </c>
      <c r="CJ39" s="247">
        <f>'[10]Данные для переноса'!AT37</f>
        <v>29914885.161977869</v>
      </c>
      <c r="CK39" s="247">
        <f>'[10]Данные для переноса'!AU37</f>
        <v>31362726.523504484</v>
      </c>
      <c r="CL39" s="247">
        <f>'[10]Данные для переноса'!AV37</f>
        <v>32897557.10452025</v>
      </c>
      <c r="CM39" s="426">
        <v>8984824.3588300012</v>
      </c>
      <c r="CN39" s="426">
        <v>10045646.31136</v>
      </c>
      <c r="CO39" s="426">
        <v>11942290.913460001</v>
      </c>
      <c r="CP39" s="426">
        <v>13217204.731477184</v>
      </c>
      <c r="CQ39" s="426">
        <v>14560925.170433652</v>
      </c>
      <c r="CR39" s="426">
        <v>15940939.817253288</v>
      </c>
      <c r="CS39" s="426">
        <v>17053901.638805319</v>
      </c>
      <c r="CT39" s="426">
        <v>17983197.408661183</v>
      </c>
      <c r="CU39" s="426">
        <v>18827670.212069444</v>
      </c>
      <c r="CV39" s="426">
        <v>19698716.873105943</v>
      </c>
      <c r="CW39" s="426">
        <v>20615205.266670477</v>
      </c>
      <c r="CX39" s="426">
        <v>21579162.632495426</v>
      </c>
      <c r="CY39" s="426">
        <v>22592107.204456881</v>
      </c>
      <c r="CZ39" s="426">
        <v>23658905.428119186</v>
      </c>
      <c r="DA39" s="426">
        <v>24775829.182877172</v>
      </c>
      <c r="DB39" s="426">
        <v>25975642.047455009</v>
      </c>
      <c r="DC39" s="426">
        <v>27220942.636717938</v>
      </c>
      <c r="DD39" s="426">
        <v>28528405.455708157</v>
      </c>
      <c r="DE39" s="426">
        <v>29914885.161977869</v>
      </c>
      <c r="DF39" s="426">
        <v>31362726.523504484</v>
      </c>
      <c r="DG39" s="426">
        <v>32897557.10452025</v>
      </c>
      <c r="DH39" s="430" t="b">
        <f t="shared" si="34"/>
        <v>1</v>
      </c>
      <c r="DI39" s="430" t="b">
        <f t="shared" si="34"/>
        <v>1</v>
      </c>
      <c r="DJ39" s="430" t="b">
        <f t="shared" si="34"/>
        <v>1</v>
      </c>
      <c r="DK39" s="430" t="b">
        <f t="shared" si="34"/>
        <v>1</v>
      </c>
      <c r="DL39" s="430" t="b">
        <f t="shared" si="34"/>
        <v>1</v>
      </c>
      <c r="DM39" s="430" t="b">
        <f t="shared" si="34"/>
        <v>1</v>
      </c>
      <c r="DN39" s="430" t="b">
        <f t="shared" si="34"/>
        <v>1</v>
      </c>
      <c r="DO39" s="430" t="b">
        <f t="shared" si="34"/>
        <v>1</v>
      </c>
      <c r="DP39" s="430" t="b">
        <f t="shared" si="34"/>
        <v>1</v>
      </c>
      <c r="DQ39" s="430" t="b">
        <f t="shared" si="82"/>
        <v>1</v>
      </c>
      <c r="DR39" s="430" t="b">
        <f t="shared" si="82"/>
        <v>1</v>
      </c>
      <c r="DS39" s="430" t="b">
        <f t="shared" si="82"/>
        <v>1</v>
      </c>
      <c r="DT39" s="430" t="b">
        <f t="shared" si="82"/>
        <v>1</v>
      </c>
      <c r="DU39" s="430" t="b">
        <f t="shared" si="82"/>
        <v>1</v>
      </c>
      <c r="DV39" s="430" t="b">
        <f t="shared" si="82"/>
        <v>1</v>
      </c>
      <c r="DW39" s="430" t="b">
        <f t="shared" si="82"/>
        <v>1</v>
      </c>
      <c r="DX39" s="430" t="b">
        <f t="shared" si="82"/>
        <v>1</v>
      </c>
      <c r="DY39" s="430" t="b">
        <f t="shared" si="82"/>
        <v>1</v>
      </c>
      <c r="DZ39" s="430" t="b">
        <f t="shared" si="82"/>
        <v>1</v>
      </c>
      <c r="EA39" s="430" t="b">
        <f t="shared" si="82"/>
        <v>1</v>
      </c>
      <c r="EB39" s="430" t="b">
        <f t="shared" si="82"/>
        <v>1</v>
      </c>
      <c r="EC39" s="244">
        <f>SUM(BV39:CL39)</f>
        <v>393186719.76483172</v>
      </c>
      <c r="ED39" s="223">
        <f t="shared" si="97"/>
        <v>0</v>
      </c>
      <c r="EE39" s="223">
        <f t="shared" si="98"/>
        <v>0</v>
      </c>
      <c r="EF39" s="223">
        <f t="shared" si="99"/>
        <v>0</v>
      </c>
      <c r="EG39" s="223">
        <f t="shared" si="100"/>
        <v>767088.60160267912</v>
      </c>
      <c r="EH39" s="223">
        <f t="shared" si="101"/>
        <v>1281073.4573734794</v>
      </c>
      <c r="EI39" s="223">
        <f t="shared" si="102"/>
        <v>1762573.6229084041</v>
      </c>
      <c r="EJ39" s="223">
        <f t="shared" si="103"/>
        <v>2184880.7553507052</v>
      </c>
      <c r="EK39" s="223">
        <f t="shared" si="104"/>
        <v>2424073.6723462716</v>
      </c>
      <c r="EL39" s="223">
        <f t="shared" si="105"/>
        <v>2519180.6926915478</v>
      </c>
      <c r="EM39" s="223">
        <f t="shared" si="106"/>
        <v>2605530.0532904863</v>
      </c>
      <c r="EN39" s="223">
        <f t="shared" si="107"/>
        <v>2693156.5216593742</v>
      </c>
      <c r="EO39" s="223">
        <f t="shared" si="108"/>
        <v>2784909.6667072512</v>
      </c>
      <c r="EP39" s="223">
        <f t="shared" si="109"/>
        <v>2881418.334149424</v>
      </c>
      <c r="EQ39" s="223">
        <f>CE39-S39</f>
        <v>2978103.7421356887</v>
      </c>
      <c r="ER39" s="223">
        <f>CF39-T39</f>
        <v>3078453.9127916954</v>
      </c>
      <c r="ES39" s="223">
        <f>CG39-U39</f>
        <v>3204296.3743339553</v>
      </c>
      <c r="ET39" s="223">
        <f>CH39-V39</f>
        <v>3319565.4667536393</v>
      </c>
      <c r="EU39" s="223">
        <f>CI39-W39</f>
        <v>3434877.2501560375</v>
      </c>
      <c r="EV39" s="223">
        <f>CJ39-X39</f>
        <v>3562153.6386938281</v>
      </c>
      <c r="EW39" s="223">
        <f>CK39-Y39</f>
        <v>3684175.57440212</v>
      </c>
      <c r="EX39" s="223">
        <f>CL39-Z39</f>
        <v>3821193.4080459587</v>
      </c>
      <c r="EY39" s="244">
        <f>SUM(EH39:EX39)</f>
        <v>48219616.143789873</v>
      </c>
    </row>
    <row r="40" spans="1:155" s="235" customFormat="1" x14ac:dyDescent="0.35">
      <c r="A40" s="221"/>
      <c r="B40" s="222"/>
      <c r="C40" s="241">
        <v>23</v>
      </c>
      <c r="D40" s="242" t="s">
        <v>16</v>
      </c>
      <c r="E40" s="243" t="s">
        <v>10</v>
      </c>
      <c r="F40" s="384">
        <f>'[10]Данные для переноса'!F38</f>
        <v>1171701.4212100001</v>
      </c>
      <c r="G40" s="384">
        <f>'[10]Данные для переноса'!G38</f>
        <v>1960113.8964400003</v>
      </c>
      <c r="H40" s="384">
        <f>'[10]Данные для переноса'!H38</f>
        <v>2636185.0259199999</v>
      </c>
      <c r="I40" s="384">
        <f>'[10]Данные для переноса'!I38</f>
        <v>2854380.6628930988</v>
      </c>
      <c r="J40" s="384">
        <f>'[10]Данные для переноса'!J38</f>
        <v>2934600.2180014509</v>
      </c>
      <c r="K40" s="384">
        <f>'[10]Данные для переноса'!K38</f>
        <v>3027858.1916865562</v>
      </c>
      <c r="L40" s="384">
        <f>'[10]Данные для переноса'!L38</f>
        <v>3148972.5193540184</v>
      </c>
      <c r="M40" s="384">
        <f>'[10]Данные для переноса'!M38</f>
        <v>3274931.4201281788</v>
      </c>
      <c r="N40" s="384">
        <f>'[10]Данные для переноса'!N38</f>
        <v>3405928.6769333067</v>
      </c>
      <c r="O40" s="384">
        <f>'[10]Данные для переноса'!O38</f>
        <v>3542165.8240106385</v>
      </c>
      <c r="P40" s="384">
        <f>'[10]Данные для переноса'!P38</f>
        <v>3683852.4569710642</v>
      </c>
      <c r="Q40" s="384">
        <f>'[10]Данные для переноса'!Q38</f>
        <v>3831206.5552499071</v>
      </c>
      <c r="R40" s="384">
        <f>'[10]Данные для переноса'!R38</f>
        <v>3984454.8174599032</v>
      </c>
      <c r="S40" s="384">
        <f>'[10]Данные для переноса'!S38</f>
        <v>4143833.0101582995</v>
      </c>
      <c r="T40" s="384">
        <f>'[10]Данные для переноса'!T38</f>
        <v>4309586.3305646311</v>
      </c>
      <c r="U40" s="384">
        <f>'[10]Данные для переноса'!U38</f>
        <v>4481969.783787217</v>
      </c>
      <c r="V40" s="384">
        <f>'[10]Данные для переноса'!V38</f>
        <v>4661248.5751387058</v>
      </c>
      <c r="W40" s="384">
        <f>'[10]Данные для переноса'!W38</f>
        <v>4847698.5181442546</v>
      </c>
      <c r="X40" s="384">
        <f>'[10]Данные для переноса'!X38</f>
        <v>5041606.4588700244</v>
      </c>
      <c r="Y40" s="384">
        <f>'[10]Данные для переноса'!Y38</f>
        <v>5243270.7172248261</v>
      </c>
      <c r="Z40" s="384">
        <f>'[10]Данные для переноса'!Z38</f>
        <v>5453001.5459138192</v>
      </c>
      <c r="AA40" s="426">
        <v>1171701.4212100001</v>
      </c>
      <c r="AB40" s="426">
        <v>1960113.8964400003</v>
      </c>
      <c r="AC40" s="426">
        <v>2636185.0259199999</v>
      </c>
      <c r="AD40" s="426">
        <v>2854380.6628930988</v>
      </c>
      <c r="AE40" s="426">
        <v>2934600.2180014509</v>
      </c>
      <c r="AF40" s="426">
        <v>3027858.1916865562</v>
      </c>
      <c r="AG40" s="426">
        <v>3148972.5193540184</v>
      </c>
      <c r="AH40" s="426">
        <v>3274931.4201281788</v>
      </c>
      <c r="AI40" s="426">
        <v>3405928.6769333067</v>
      </c>
      <c r="AJ40" s="426">
        <v>3542165.8240106385</v>
      </c>
      <c r="AK40" s="426">
        <v>3683852.4569710642</v>
      </c>
      <c r="AL40" s="426">
        <v>3831206.5552499071</v>
      </c>
      <c r="AM40" s="426">
        <v>3984454.8174599032</v>
      </c>
      <c r="AN40" s="426">
        <v>4143833.0101582995</v>
      </c>
      <c r="AO40" s="426">
        <v>4309586.3305646311</v>
      </c>
      <c r="AP40" s="426">
        <v>4481969.783787217</v>
      </c>
      <c r="AQ40" s="426">
        <v>4661248.5751387058</v>
      </c>
      <c r="AR40" s="426">
        <v>4847698.5181442546</v>
      </c>
      <c r="AS40" s="426">
        <v>5041606.4588700244</v>
      </c>
      <c r="AT40" s="426">
        <v>5243270.7172248261</v>
      </c>
      <c r="AU40" s="426">
        <v>5453001.5459138192</v>
      </c>
      <c r="AV40" s="430" t="b">
        <f t="shared" si="32"/>
        <v>1</v>
      </c>
      <c r="AW40" s="430" t="b">
        <f t="shared" si="32"/>
        <v>1</v>
      </c>
      <c r="AX40" s="430" t="b">
        <f t="shared" si="32"/>
        <v>1</v>
      </c>
      <c r="AY40" s="430" t="b">
        <f t="shared" si="32"/>
        <v>1</v>
      </c>
      <c r="AZ40" s="430" t="b">
        <f t="shared" si="32"/>
        <v>1</v>
      </c>
      <c r="BA40" s="430" t="b">
        <f t="shared" si="32"/>
        <v>1</v>
      </c>
      <c r="BB40" s="430" t="b">
        <f t="shared" si="32"/>
        <v>1</v>
      </c>
      <c r="BC40" s="430" t="b">
        <f t="shared" si="32"/>
        <v>1</v>
      </c>
      <c r="BD40" s="430" t="b">
        <f t="shared" si="32"/>
        <v>1</v>
      </c>
      <c r="BE40" s="430" t="b">
        <f t="shared" si="81"/>
        <v>1</v>
      </c>
      <c r="BF40" s="430" t="b">
        <f t="shared" si="81"/>
        <v>1</v>
      </c>
      <c r="BG40" s="430" t="b">
        <f t="shared" si="81"/>
        <v>1</v>
      </c>
      <c r="BH40" s="430" t="b">
        <f t="shared" si="81"/>
        <v>1</v>
      </c>
      <c r="BI40" s="430" t="b">
        <f t="shared" si="81"/>
        <v>1</v>
      </c>
      <c r="BJ40" s="430" t="b">
        <f t="shared" si="81"/>
        <v>1</v>
      </c>
      <c r="BK40" s="430" t="b">
        <f t="shared" si="81"/>
        <v>1</v>
      </c>
      <c r="BL40" s="430" t="b">
        <f t="shared" si="81"/>
        <v>1</v>
      </c>
      <c r="BM40" s="430" t="b">
        <f t="shared" si="81"/>
        <v>1</v>
      </c>
      <c r="BN40" s="430" t="b">
        <f t="shared" si="81"/>
        <v>1</v>
      </c>
      <c r="BO40" s="430" t="b">
        <f t="shared" si="81"/>
        <v>1</v>
      </c>
      <c r="BP40" s="430" t="b">
        <f t="shared" si="81"/>
        <v>1</v>
      </c>
      <c r="BQ40" s="244">
        <f t="shared" ref="BQ40" si="110">SUM(J40:Z40)</f>
        <v>69016185.619596809</v>
      </c>
      <c r="BR40" s="247">
        <f>'[10]Данные для переноса'!AB38</f>
        <v>1171701.4212100001</v>
      </c>
      <c r="BS40" s="247">
        <f>'[10]Данные для переноса'!AC38</f>
        <v>1960113.8964400003</v>
      </c>
      <c r="BT40" s="247">
        <f>'[10]Данные для переноса'!AD38</f>
        <v>2636185.0259199999</v>
      </c>
      <c r="BU40" s="247">
        <f>'[10]Данные для переноса'!AE38</f>
        <v>2862034.0459463499</v>
      </c>
      <c r="BV40" s="247">
        <f>'[10]Данные для переноса'!AF38</f>
        <v>3434058.294137232</v>
      </c>
      <c r="BW40" s="247">
        <f>'[10]Данные для переноса'!AG38</f>
        <v>3535160.1058677677</v>
      </c>
      <c r="BX40" s="247">
        <f>'[10]Данные для переноса'!AH38</f>
        <v>3711677.7364646061</v>
      </c>
      <c r="BY40" s="247">
        <f>'[10]Данные для переноса'!AI38</f>
        <v>3847520.1277291905</v>
      </c>
      <c r="BZ40" s="247">
        <f>'[10]Данные для переноса'!AJ38</f>
        <v>3988543.7202804787</v>
      </c>
      <c r="CA40" s="247">
        <f>'[10]Данные для переноса'!AK38</f>
        <v>4134950.7122826604</v>
      </c>
      <c r="CB40" s="247">
        <f>'[10]Данные для переноса'!AL38</f>
        <v>4286951.2888287483</v>
      </c>
      <c r="CC40" s="247">
        <f>'[10]Данные для переноса'!AM38</f>
        <v>4444763.9393977756</v>
      </c>
      <c r="CD40" s="247">
        <f>'[10]Данные для переноса'!AN38</f>
        <v>4608615.7879698817</v>
      </c>
      <c r="CE40" s="247">
        <f>'[10]Данные для переноса'!AO38</f>
        <v>4778742.9363047956</v>
      </c>
      <c r="CF40" s="247">
        <f>'[10]Данные для переноса'!AP38</f>
        <v>4955390.8209094293</v>
      </c>
      <c r="CG40" s="247">
        <f>'[10]Данные для переноса'!AQ38</f>
        <v>5138814.5842412971</v>
      </c>
      <c r="CH40" s="247">
        <f>'[10]Данные для переноса'!AR38</f>
        <v>5329279.4607163491</v>
      </c>
      <c r="CI40" s="247">
        <f>'[10]Данные для переноса'!AS38</f>
        <v>5527061.1781125097</v>
      </c>
      <c r="CJ40" s="247">
        <f>'[10]Данные для переноса'!AT38</f>
        <v>5732446.3749838686</v>
      </c>
      <c r="CK40" s="247">
        <f>'[10]Данные для переноса'!AU38</f>
        <v>5945733.0347250188</v>
      </c>
      <c r="CL40" s="247">
        <f>'[10]Данные для переноса'!AV38</f>
        <v>6167230.936950651</v>
      </c>
      <c r="CM40" s="426">
        <v>1171701.4212100001</v>
      </c>
      <c r="CN40" s="426">
        <v>1960113.8964400003</v>
      </c>
      <c r="CO40" s="426">
        <v>2636185.0259199999</v>
      </c>
      <c r="CP40" s="426">
        <v>2862034.0459463499</v>
      </c>
      <c r="CQ40" s="426">
        <v>3434058.294137232</v>
      </c>
      <c r="CR40" s="426">
        <v>3535160.1058677677</v>
      </c>
      <c r="CS40" s="426">
        <v>3711677.7364646061</v>
      </c>
      <c r="CT40" s="426">
        <v>3847520.1277291905</v>
      </c>
      <c r="CU40" s="426">
        <v>3988543.7202804787</v>
      </c>
      <c r="CV40" s="426">
        <v>4134950.7122826604</v>
      </c>
      <c r="CW40" s="426">
        <v>4286951.2888287483</v>
      </c>
      <c r="CX40" s="426">
        <v>4444763.9393977756</v>
      </c>
      <c r="CY40" s="426">
        <v>4608615.7879698817</v>
      </c>
      <c r="CZ40" s="426">
        <v>4778742.9363047956</v>
      </c>
      <c r="DA40" s="426">
        <v>4955390.8209094293</v>
      </c>
      <c r="DB40" s="426">
        <v>5138814.5842412971</v>
      </c>
      <c r="DC40" s="426">
        <v>5329279.4607163491</v>
      </c>
      <c r="DD40" s="426">
        <v>5527061.1781125097</v>
      </c>
      <c r="DE40" s="426">
        <v>5732446.3749838686</v>
      </c>
      <c r="DF40" s="426">
        <v>5945733.0347250188</v>
      </c>
      <c r="DG40" s="426">
        <v>6167230.936950651</v>
      </c>
      <c r="DH40" s="430" t="b">
        <f t="shared" si="34"/>
        <v>1</v>
      </c>
      <c r="DI40" s="430" t="b">
        <f t="shared" si="34"/>
        <v>1</v>
      </c>
      <c r="DJ40" s="430" t="b">
        <f t="shared" si="34"/>
        <v>1</v>
      </c>
      <c r="DK40" s="430" t="b">
        <f t="shared" si="34"/>
        <v>1</v>
      </c>
      <c r="DL40" s="430" t="b">
        <f t="shared" si="34"/>
        <v>1</v>
      </c>
      <c r="DM40" s="430" t="b">
        <f t="shared" si="34"/>
        <v>1</v>
      </c>
      <c r="DN40" s="430" t="b">
        <f t="shared" si="34"/>
        <v>1</v>
      </c>
      <c r="DO40" s="430" t="b">
        <f t="shared" si="34"/>
        <v>1</v>
      </c>
      <c r="DP40" s="430" t="b">
        <f t="shared" si="34"/>
        <v>1</v>
      </c>
      <c r="DQ40" s="430" t="b">
        <f t="shared" si="82"/>
        <v>1</v>
      </c>
      <c r="DR40" s="430" t="b">
        <f t="shared" si="82"/>
        <v>1</v>
      </c>
      <c r="DS40" s="430" t="b">
        <f t="shared" si="82"/>
        <v>1</v>
      </c>
      <c r="DT40" s="430" t="b">
        <f t="shared" si="82"/>
        <v>1</v>
      </c>
      <c r="DU40" s="430" t="b">
        <f t="shared" si="82"/>
        <v>1</v>
      </c>
      <c r="DV40" s="430" t="b">
        <f t="shared" si="82"/>
        <v>1</v>
      </c>
      <c r="DW40" s="430" t="b">
        <f t="shared" si="82"/>
        <v>1</v>
      </c>
      <c r="DX40" s="430" t="b">
        <f t="shared" si="82"/>
        <v>1</v>
      </c>
      <c r="DY40" s="430" t="b">
        <f t="shared" si="82"/>
        <v>1</v>
      </c>
      <c r="DZ40" s="430" t="b">
        <f t="shared" si="82"/>
        <v>1</v>
      </c>
      <c r="EA40" s="430" t="b">
        <f t="shared" si="82"/>
        <v>1</v>
      </c>
      <c r="EB40" s="430" t="b">
        <f t="shared" si="82"/>
        <v>1</v>
      </c>
      <c r="EC40" s="244">
        <f t="shared" ref="EC40" si="111">SUM(BV40:CL40)</f>
        <v>79566941.03990227</v>
      </c>
      <c r="ED40" s="223">
        <f t="shared" si="97"/>
        <v>0</v>
      </c>
      <c r="EE40" s="223">
        <f t="shared" si="98"/>
        <v>0</v>
      </c>
      <c r="EF40" s="223">
        <f t="shared" si="99"/>
        <v>0</v>
      </c>
      <c r="EG40" s="223">
        <f t="shared" si="100"/>
        <v>7653.3830532510765</v>
      </c>
      <c r="EH40" s="223">
        <f t="shared" si="101"/>
        <v>499458.07613578113</v>
      </c>
      <c r="EI40" s="223">
        <f t="shared" si="102"/>
        <v>507301.9141812115</v>
      </c>
      <c r="EJ40" s="223">
        <f t="shared" si="103"/>
        <v>562705.21711058775</v>
      </c>
      <c r="EK40" s="223">
        <f t="shared" si="104"/>
        <v>572588.70760101173</v>
      </c>
      <c r="EL40" s="223">
        <f t="shared" si="105"/>
        <v>582615.04334717197</v>
      </c>
      <c r="EM40" s="223">
        <f t="shared" si="106"/>
        <v>592784.8882720219</v>
      </c>
      <c r="EN40" s="223">
        <f t="shared" si="107"/>
        <v>603098.83185768407</v>
      </c>
      <c r="EO40" s="223">
        <f t="shared" si="108"/>
        <v>613557.38414786849</v>
      </c>
      <c r="EP40" s="223">
        <f t="shared" si="109"/>
        <v>624160.97050997848</v>
      </c>
      <c r="EQ40" s="223">
        <f>CE40-S40</f>
        <v>634909.92614649609</v>
      </c>
      <c r="ER40" s="223">
        <f>CF40-T40</f>
        <v>645804.49034479819</v>
      </c>
      <c r="ES40" s="223">
        <f>CG40-U40</f>
        <v>656844.8004540801</v>
      </c>
      <c r="ET40" s="223">
        <f>CH40-V40</f>
        <v>668030.88557764329</v>
      </c>
      <c r="EU40" s="223">
        <f>CI40-W40</f>
        <v>679362.65996825509</v>
      </c>
      <c r="EV40" s="223">
        <f>CJ40-X40</f>
        <v>690839.91611384414</v>
      </c>
      <c r="EW40" s="223">
        <f>CK40-Y40</f>
        <v>702462.31750019267</v>
      </c>
      <c r="EX40" s="223">
        <f>CL40-Z40</f>
        <v>714229.39103683177</v>
      </c>
      <c r="EY40" s="244">
        <f t="shared" ref="EY40" si="112">SUM(EH40:EX40)</f>
        <v>10550755.420305457</v>
      </c>
    </row>
    <row r="41" spans="1:155" s="235" customFormat="1" x14ac:dyDescent="0.35">
      <c r="A41" s="221"/>
      <c r="B41" s="222"/>
      <c r="C41" s="241">
        <v>24</v>
      </c>
      <c r="D41" s="242" t="s">
        <v>31</v>
      </c>
      <c r="E41" s="243" t="s">
        <v>10</v>
      </c>
      <c r="F41" s="384">
        <f>'[10]Данные для переноса'!F39</f>
        <v>334781.22449999885</v>
      </c>
      <c r="G41" s="384">
        <f>'[10]Данные для переноса'!G39</f>
        <v>407720.5387199996</v>
      </c>
      <c r="H41" s="384">
        <f>'[10]Данные для переноса'!H39</f>
        <v>703099.42390999943</v>
      </c>
      <c r="I41" s="384">
        <f>'[10]Данные для переноса'!I39</f>
        <v>1237423.5680295983</v>
      </c>
      <c r="J41" s="384">
        <f>'[10]Данные для переноса'!J39</f>
        <v>1320870.262158154</v>
      </c>
      <c r="K41" s="384">
        <f>'[10]Данные для переноса'!K39</f>
        <v>1397825.1876794337</v>
      </c>
      <c r="L41" s="384">
        <f>'[10]Данные для переноса'!L39</f>
        <v>1453732.2751866141</v>
      </c>
      <c r="M41" s="384">
        <f>'[10]Данные для переноса'!M39</f>
        <v>1511875.6461940771</v>
      </c>
      <c r="N41" s="384">
        <f>'[10]Данные для переноса'!N39</f>
        <v>1572344.7520418414</v>
      </c>
      <c r="O41" s="384">
        <f>'[10]Данные для переноса'!O39</f>
        <v>1635232.6221235152</v>
      </c>
      <c r="P41" s="384">
        <f>'[10]Данные для переноса'!P39</f>
        <v>1700636.0070084557</v>
      </c>
      <c r="Q41" s="384">
        <f>'[10]Данные для переноса'!Q39</f>
        <v>1768655.5272887945</v>
      </c>
      <c r="R41" s="384">
        <f>'[10]Данные для переноса'!R39</f>
        <v>1839395.828380343</v>
      </c>
      <c r="S41" s="384">
        <f>'[10]Данные для переноса'!S39</f>
        <v>1912966.7415155554</v>
      </c>
      <c r="T41" s="384">
        <f>'[10]Данные для переноса'!T39</f>
        <v>1989480.4511761796</v>
      </c>
      <c r="U41" s="384">
        <f>'[10]Данные для переноса'!U39</f>
        <v>2069054.6692232266</v>
      </c>
      <c r="V41" s="384">
        <f>'[10]Данные для переноса'!V39</f>
        <v>2151811.8159921588</v>
      </c>
      <c r="W41" s="384">
        <f>'[10]Данные для переноса'!W39</f>
        <v>2237879.2086318424</v>
      </c>
      <c r="X41" s="384">
        <f>'[10]Данные для переноса'!X39</f>
        <v>2327389.2569771176</v>
      </c>
      <c r="Y41" s="384">
        <f>'[10]Данные для переноса'!Y39</f>
        <v>2420479.6672562016</v>
      </c>
      <c r="Z41" s="384">
        <f>'[10]Данные для переноса'!Z39</f>
        <v>2517293.6539464481</v>
      </c>
      <c r="AA41" s="426">
        <v>334781.22449999885</v>
      </c>
      <c r="AB41" s="426">
        <v>407720.5387199996</v>
      </c>
      <c r="AC41" s="426">
        <v>703099.42390999943</v>
      </c>
      <c r="AD41" s="426">
        <v>1237423.5680295983</v>
      </c>
      <c r="AE41" s="426">
        <v>1320870.262158154</v>
      </c>
      <c r="AF41" s="426">
        <v>1397825.1876794337</v>
      </c>
      <c r="AG41" s="426">
        <v>1453732.2751866141</v>
      </c>
      <c r="AH41" s="426">
        <v>1511875.6461940771</v>
      </c>
      <c r="AI41" s="426">
        <v>1572344.7520418414</v>
      </c>
      <c r="AJ41" s="426">
        <v>1635232.6221235152</v>
      </c>
      <c r="AK41" s="426">
        <v>1700636.0070084557</v>
      </c>
      <c r="AL41" s="426">
        <v>1768655.5272887945</v>
      </c>
      <c r="AM41" s="426">
        <v>1839395.828380343</v>
      </c>
      <c r="AN41" s="426">
        <v>1912966.7415155554</v>
      </c>
      <c r="AO41" s="426">
        <v>1989480.4511761796</v>
      </c>
      <c r="AP41" s="426">
        <v>2069054.6692232266</v>
      </c>
      <c r="AQ41" s="426">
        <v>2151811.8159921588</v>
      </c>
      <c r="AR41" s="426">
        <v>2237879.2086318424</v>
      </c>
      <c r="AS41" s="426">
        <v>2327389.2569771176</v>
      </c>
      <c r="AT41" s="426">
        <v>2420479.6672562016</v>
      </c>
      <c r="AU41" s="426">
        <v>2517293.6539464481</v>
      </c>
      <c r="AV41" s="430" t="b">
        <f t="shared" si="32"/>
        <v>1</v>
      </c>
      <c r="AW41" s="430" t="b">
        <f t="shared" si="32"/>
        <v>1</v>
      </c>
      <c r="AX41" s="430" t="b">
        <f t="shared" si="32"/>
        <v>1</v>
      </c>
      <c r="AY41" s="430" t="b">
        <f t="shared" si="32"/>
        <v>1</v>
      </c>
      <c r="AZ41" s="430" t="b">
        <f t="shared" si="32"/>
        <v>1</v>
      </c>
      <c r="BA41" s="430" t="b">
        <f t="shared" si="32"/>
        <v>1</v>
      </c>
      <c r="BB41" s="430" t="b">
        <f t="shared" si="32"/>
        <v>1</v>
      </c>
      <c r="BC41" s="430" t="b">
        <f t="shared" si="32"/>
        <v>1</v>
      </c>
      <c r="BD41" s="430" t="b">
        <f t="shared" si="32"/>
        <v>1</v>
      </c>
      <c r="BE41" s="430" t="b">
        <f t="shared" si="81"/>
        <v>1</v>
      </c>
      <c r="BF41" s="430" t="b">
        <f t="shared" si="81"/>
        <v>1</v>
      </c>
      <c r="BG41" s="430" t="b">
        <f t="shared" si="81"/>
        <v>1</v>
      </c>
      <c r="BH41" s="430" t="b">
        <f t="shared" si="81"/>
        <v>1</v>
      </c>
      <c r="BI41" s="430" t="b">
        <f t="shared" si="81"/>
        <v>1</v>
      </c>
      <c r="BJ41" s="430" t="b">
        <f t="shared" si="81"/>
        <v>1</v>
      </c>
      <c r="BK41" s="430" t="b">
        <f t="shared" si="81"/>
        <v>1</v>
      </c>
      <c r="BL41" s="430" t="b">
        <f t="shared" si="81"/>
        <v>1</v>
      </c>
      <c r="BM41" s="430" t="b">
        <f t="shared" si="81"/>
        <v>1</v>
      </c>
      <c r="BN41" s="430" t="b">
        <f t="shared" si="81"/>
        <v>1</v>
      </c>
      <c r="BO41" s="430" t="b">
        <f t="shared" si="81"/>
        <v>1</v>
      </c>
      <c r="BP41" s="430" t="b">
        <f t="shared" si="81"/>
        <v>1</v>
      </c>
      <c r="BQ41" s="244">
        <f>SUM(J41:Z41)</f>
        <v>31826923.572779957</v>
      </c>
      <c r="BR41" s="247">
        <f>'[10]Данные для переноса'!AB39</f>
        <v>334781.22449999885</v>
      </c>
      <c r="BS41" s="247">
        <f>'[10]Данные для переноса'!AC39</f>
        <v>407720.5387199996</v>
      </c>
      <c r="BT41" s="247">
        <f>'[10]Данные для переноса'!AD39</f>
        <v>703099.42390999943</v>
      </c>
      <c r="BU41" s="247">
        <f>'[10]Данные для переноса'!AE39</f>
        <v>719649.21748000057</v>
      </c>
      <c r="BV41" s="247">
        <f>'[10]Данные для переноса'!AF39</f>
        <v>758463.37701199949</v>
      </c>
      <c r="BW41" s="247">
        <f>'[10]Данные для переноса'!AG39</f>
        <v>3079595.0505389329</v>
      </c>
      <c r="BX41" s="247">
        <f>'[10]Данные для переноса'!AH39</f>
        <v>2018558.0416175374</v>
      </c>
      <c r="BY41" s="247">
        <f>'[10]Данные для переноса'!AI39</f>
        <v>1355086.8211349007</v>
      </c>
      <c r="BZ41" s="247">
        <f>'[10]Данные для переноса'!AJ39</f>
        <v>7801682.0162835876</v>
      </c>
      <c r="CA41" s="247">
        <f>'[10]Данные для переноса'!AK39</f>
        <v>8117370.7495827237</v>
      </c>
      <c r="CB41" s="247">
        <f>'[10]Данные для переноса'!AL39</f>
        <v>7923631.0977300191</v>
      </c>
      <c r="CC41" s="247">
        <f>'[10]Данные для переноса'!AM39</f>
        <v>8823248.5840982273</v>
      </c>
      <c r="CD41" s="247">
        <f>'[10]Данные для переноса'!AN39</f>
        <v>5062575.3477604855</v>
      </c>
      <c r="CE41" s="247">
        <f>'[10]Данные для переноса'!AO39</f>
        <v>6174384.3014962384</v>
      </c>
      <c r="CF41" s="247">
        <f>'[10]Данные для переноса'!AP39</f>
        <v>5264449.6332125366</v>
      </c>
      <c r="CG41" s="247">
        <f>'[10]Данные для переноса'!AQ39</f>
        <v>5406221.5856758803</v>
      </c>
      <c r="CH41" s="247">
        <f>'[10]Данные для переноса'!AR39</f>
        <v>5530387.4981202511</v>
      </c>
      <c r="CI41" s="247">
        <f>'[10]Данные для переноса'!AS39</f>
        <v>4947957.217299887</v>
      </c>
      <c r="CJ41" s="247">
        <f>'[10]Данные для переноса'!AT39</f>
        <v>5794936.1024405928</v>
      </c>
      <c r="CK41" s="247">
        <f>'[10]Данные для переноса'!AU39</f>
        <v>5935797.8056186168</v>
      </c>
      <c r="CL41" s="247">
        <f>'[10]Данные для переноса'!AV39</f>
        <v>6082721.9435939109</v>
      </c>
      <c r="CM41" s="426">
        <v>334781.22449999885</v>
      </c>
      <c r="CN41" s="426">
        <v>407720.5387199996</v>
      </c>
      <c r="CO41" s="426">
        <v>703099.42390999943</v>
      </c>
      <c r="CP41" s="426">
        <v>719649.21748000057</v>
      </c>
      <c r="CQ41" s="426">
        <v>758463.37701199949</v>
      </c>
      <c r="CR41" s="426">
        <v>3079595.0505389329</v>
      </c>
      <c r="CS41" s="426">
        <v>2018558.0416175374</v>
      </c>
      <c r="CT41" s="426">
        <v>1355086.8211349007</v>
      </c>
      <c r="CU41" s="426">
        <v>7801682.0162835876</v>
      </c>
      <c r="CV41" s="426">
        <v>8117370.7495827237</v>
      </c>
      <c r="CW41" s="426">
        <v>7923631.0977300191</v>
      </c>
      <c r="CX41" s="426">
        <v>8823248.5840982273</v>
      </c>
      <c r="CY41" s="426">
        <v>5062575.3477604855</v>
      </c>
      <c r="CZ41" s="426">
        <v>6174384.3014962384</v>
      </c>
      <c r="DA41" s="426">
        <v>5264449.6332125366</v>
      </c>
      <c r="DB41" s="426">
        <v>5406221.5856758803</v>
      </c>
      <c r="DC41" s="426">
        <v>5530387.4981202511</v>
      </c>
      <c r="DD41" s="426">
        <v>4947957.217299887</v>
      </c>
      <c r="DE41" s="426">
        <v>5794936.1024405928</v>
      </c>
      <c r="DF41" s="426">
        <v>5935797.8056186168</v>
      </c>
      <c r="DG41" s="426">
        <v>6082721.9435939109</v>
      </c>
      <c r="DH41" s="430" t="b">
        <f t="shared" si="34"/>
        <v>1</v>
      </c>
      <c r="DI41" s="430" t="b">
        <f t="shared" si="34"/>
        <v>1</v>
      </c>
      <c r="DJ41" s="430" t="b">
        <f t="shared" si="34"/>
        <v>1</v>
      </c>
      <c r="DK41" s="430" t="b">
        <f t="shared" si="34"/>
        <v>1</v>
      </c>
      <c r="DL41" s="430" t="b">
        <f t="shared" si="34"/>
        <v>1</v>
      </c>
      <c r="DM41" s="430" t="b">
        <f t="shared" si="34"/>
        <v>1</v>
      </c>
      <c r="DN41" s="430" t="b">
        <f t="shared" si="34"/>
        <v>1</v>
      </c>
      <c r="DO41" s="430" t="b">
        <f t="shared" si="34"/>
        <v>1</v>
      </c>
      <c r="DP41" s="430" t="b">
        <f t="shared" si="34"/>
        <v>1</v>
      </c>
      <c r="DQ41" s="430" t="b">
        <f t="shared" si="82"/>
        <v>1</v>
      </c>
      <c r="DR41" s="430" t="b">
        <f t="shared" si="82"/>
        <v>1</v>
      </c>
      <c r="DS41" s="430" t="b">
        <f t="shared" si="82"/>
        <v>1</v>
      </c>
      <c r="DT41" s="430" t="b">
        <f t="shared" si="82"/>
        <v>1</v>
      </c>
      <c r="DU41" s="430" t="b">
        <f t="shared" si="82"/>
        <v>1</v>
      </c>
      <c r="DV41" s="430" t="b">
        <f t="shared" si="82"/>
        <v>1</v>
      </c>
      <c r="DW41" s="430" t="b">
        <f t="shared" si="82"/>
        <v>1</v>
      </c>
      <c r="DX41" s="430" t="b">
        <f t="shared" si="82"/>
        <v>1</v>
      </c>
      <c r="DY41" s="430" t="b">
        <f t="shared" si="82"/>
        <v>1</v>
      </c>
      <c r="DZ41" s="430" t="b">
        <f t="shared" si="82"/>
        <v>1</v>
      </c>
      <c r="EA41" s="430" t="b">
        <f t="shared" si="82"/>
        <v>1</v>
      </c>
      <c r="EB41" s="430" t="b">
        <f t="shared" si="82"/>
        <v>1</v>
      </c>
      <c r="EC41" s="244">
        <f>SUM(BV41:CL41)</f>
        <v>90077067.173216328</v>
      </c>
      <c r="ED41" s="223">
        <f t="shared" si="97"/>
        <v>0</v>
      </c>
      <c r="EE41" s="223">
        <f t="shared" si="98"/>
        <v>0</v>
      </c>
      <c r="EF41" s="223">
        <f t="shared" si="99"/>
        <v>0</v>
      </c>
      <c r="EG41" s="223">
        <f t="shared" si="100"/>
        <v>-517774.35054959776</v>
      </c>
      <c r="EH41" s="223">
        <f t="shared" si="101"/>
        <v>-562406.88514615456</v>
      </c>
      <c r="EI41" s="223">
        <f t="shared" si="102"/>
        <v>1681769.8628594992</v>
      </c>
      <c r="EJ41" s="223">
        <f t="shared" si="103"/>
        <v>564825.76643092325</v>
      </c>
      <c r="EK41" s="223">
        <f t="shared" si="104"/>
        <v>-156788.82505917642</v>
      </c>
      <c r="EL41" s="223">
        <f t="shared" si="105"/>
        <v>6229337.2642417457</v>
      </c>
      <c r="EM41" s="223">
        <f t="shared" si="106"/>
        <v>6482138.1274592085</v>
      </c>
      <c r="EN41" s="223">
        <f t="shared" si="107"/>
        <v>6222995.0907215634</v>
      </c>
      <c r="EO41" s="223">
        <f t="shared" si="108"/>
        <v>7054593.0568094328</v>
      </c>
      <c r="EP41" s="223">
        <f t="shared" si="109"/>
        <v>3223179.5193801424</v>
      </c>
      <c r="EQ41" s="223">
        <f>CE41-S41</f>
        <v>4261417.559980683</v>
      </c>
      <c r="ER41" s="223">
        <f>CF41-T41</f>
        <v>3274969.182036357</v>
      </c>
      <c r="ES41" s="223">
        <f>CG41-U41</f>
        <v>3337166.9164526537</v>
      </c>
      <c r="ET41" s="223">
        <f>CH41-V41</f>
        <v>3378575.6821280923</v>
      </c>
      <c r="EU41" s="223">
        <f>CI41-W41</f>
        <v>2710078.0086680446</v>
      </c>
      <c r="EV41" s="223">
        <f>CJ41-X41</f>
        <v>3467546.8454634752</v>
      </c>
      <c r="EW41" s="223">
        <f>CK41-Y41</f>
        <v>3515318.1383624151</v>
      </c>
      <c r="EX41" s="223">
        <f>CL41-Z41</f>
        <v>3565428.2896474628</v>
      </c>
      <c r="EY41" s="244">
        <f>SUM(EH41:EX41)</f>
        <v>58250143.600436367</v>
      </c>
    </row>
    <row r="42" spans="1:155" s="235" customFormat="1" x14ac:dyDescent="0.35">
      <c r="A42" s="221"/>
      <c r="C42" s="236">
        <v>25</v>
      </c>
      <c r="D42" s="254" t="s">
        <v>288</v>
      </c>
      <c r="E42" s="236"/>
      <c r="F42" s="256">
        <f>F43+F50+F57</f>
        <v>10600271.175800001</v>
      </c>
      <c r="G42" s="256">
        <f t="shared" ref="G42:R42" si="113">G43+G50+G57</f>
        <v>12777046.769219998</v>
      </c>
      <c r="H42" s="256">
        <f t="shared" si="113"/>
        <v>15425460.999869999</v>
      </c>
      <c r="I42" s="256">
        <f t="shared" si="113"/>
        <v>16298693.603740212</v>
      </c>
      <c r="J42" s="256">
        <f t="shared" si="113"/>
        <v>17245393.443919688</v>
      </c>
      <c r="K42" s="256">
        <f t="shared" si="113"/>
        <v>18214724.502827417</v>
      </c>
      <c r="L42" s="256">
        <f t="shared" si="113"/>
        <v>18974247.511483137</v>
      </c>
      <c r="M42" s="256">
        <f t="shared" si="113"/>
        <v>19766164.654143896</v>
      </c>
      <c r="N42" s="256">
        <f t="shared" si="113"/>
        <v>20596758.176640525</v>
      </c>
      <c r="O42" s="256">
        <f t="shared" si="113"/>
        <v>21464657.693782724</v>
      </c>
      <c r="P42" s="256">
        <f t="shared" si="113"/>
        <v>22371685.784396049</v>
      </c>
      <c r="Q42" s="256">
        <f t="shared" si="113"/>
        <v>23319764.886124715</v>
      </c>
      <c r="R42" s="256">
        <f t="shared" si="113"/>
        <v>24310923.489366673</v>
      </c>
      <c r="S42" s="256">
        <f t="shared" ref="S42:Z42" si="114">S43+S50+S57</f>
        <v>25347318.103353184</v>
      </c>
      <c r="T42" s="256">
        <f t="shared" si="114"/>
        <v>26431209.367672842</v>
      </c>
      <c r="U42" s="256">
        <f t="shared" si="114"/>
        <v>27564985.254446402</v>
      </c>
      <c r="V42" s="256">
        <f t="shared" si="114"/>
        <v>28751169.171609692</v>
      </c>
      <c r="W42" s="256">
        <f t="shared" si="114"/>
        <v>29992428.635972325</v>
      </c>
      <c r="X42" s="256">
        <f t="shared" si="114"/>
        <v>31291584.558887124</v>
      </c>
      <c r="Y42" s="256">
        <f t="shared" si="114"/>
        <v>32651621.190714419</v>
      </c>
      <c r="Z42" s="256">
        <f t="shared" si="114"/>
        <v>34075696.773881748</v>
      </c>
      <c r="AA42" s="437">
        <v>10600271.175800001</v>
      </c>
      <c r="AB42" s="437">
        <v>12777046.76922</v>
      </c>
      <c r="AC42" s="437">
        <v>15425460.999869999</v>
      </c>
      <c r="AD42" s="437">
        <v>16298693.60374021</v>
      </c>
      <c r="AE42" s="437">
        <v>17245393.443919692</v>
      </c>
      <c r="AF42" s="437">
        <v>18214724.502827413</v>
      </c>
      <c r="AG42" s="437">
        <v>18974247.51148314</v>
      </c>
      <c r="AH42" s="437">
        <v>19766164.6541439</v>
      </c>
      <c r="AI42" s="437">
        <v>20596758.176640525</v>
      </c>
      <c r="AJ42" s="437">
        <v>21464657.693782721</v>
      </c>
      <c r="AK42" s="437">
        <v>22371685.784396045</v>
      </c>
      <c r="AL42" s="437">
        <v>23319764.886124715</v>
      </c>
      <c r="AM42" s="437">
        <v>24310923.489366673</v>
      </c>
      <c r="AN42" s="437">
        <v>25347318.10335318</v>
      </c>
      <c r="AO42" s="437">
        <v>26431209.367672846</v>
      </c>
      <c r="AP42" s="437">
        <v>27564985.254446398</v>
      </c>
      <c r="AQ42" s="437">
        <v>28751169.171609692</v>
      </c>
      <c r="AR42" s="437">
        <v>29992428.635972328</v>
      </c>
      <c r="AS42" s="437">
        <v>31291584.55888712</v>
      </c>
      <c r="AT42" s="437">
        <v>32651621.190714419</v>
      </c>
      <c r="AU42" s="437">
        <v>34075696.773881748</v>
      </c>
      <c r="AV42" s="433" t="b">
        <f t="shared" si="32"/>
        <v>1</v>
      </c>
      <c r="AW42" s="433" t="b">
        <f t="shared" si="32"/>
        <v>1</v>
      </c>
      <c r="AX42" s="433" t="b">
        <f t="shared" si="32"/>
        <v>1</v>
      </c>
      <c r="AY42" s="433" t="b">
        <f t="shared" si="32"/>
        <v>1</v>
      </c>
      <c r="AZ42" s="433" t="b">
        <f t="shared" si="32"/>
        <v>1</v>
      </c>
      <c r="BA42" s="433" t="b">
        <f t="shared" si="32"/>
        <v>1</v>
      </c>
      <c r="BB42" s="433" t="b">
        <f t="shared" si="32"/>
        <v>1</v>
      </c>
      <c r="BC42" s="433" t="b">
        <f t="shared" si="32"/>
        <v>1</v>
      </c>
      <c r="BD42" s="433" t="b">
        <f t="shared" si="32"/>
        <v>1</v>
      </c>
      <c r="BE42" s="433" t="b">
        <f t="shared" si="81"/>
        <v>1</v>
      </c>
      <c r="BF42" s="433" t="b">
        <f t="shared" si="81"/>
        <v>1</v>
      </c>
      <c r="BG42" s="433" t="b">
        <f t="shared" si="81"/>
        <v>1</v>
      </c>
      <c r="BH42" s="433" t="b">
        <f t="shared" si="81"/>
        <v>1</v>
      </c>
      <c r="BI42" s="433" t="b">
        <f t="shared" si="81"/>
        <v>1</v>
      </c>
      <c r="BJ42" s="433" t="b">
        <f t="shared" si="81"/>
        <v>1</v>
      </c>
      <c r="BK42" s="433" t="b">
        <f t="shared" si="81"/>
        <v>1</v>
      </c>
      <c r="BL42" s="433" t="b">
        <f t="shared" si="81"/>
        <v>1</v>
      </c>
      <c r="BM42" s="433" t="b">
        <f t="shared" si="81"/>
        <v>1</v>
      </c>
      <c r="BN42" s="433" t="b">
        <f t="shared" si="81"/>
        <v>1</v>
      </c>
      <c r="BO42" s="433" t="b">
        <f t="shared" si="81"/>
        <v>1</v>
      </c>
      <c r="BP42" s="433" t="b">
        <f t="shared" si="81"/>
        <v>1</v>
      </c>
      <c r="BQ42" s="259">
        <f>BQ43+BQ50+BQ57</f>
        <v>422370333.19922256</v>
      </c>
      <c r="BR42" s="256">
        <f>BR43+BR50+BR57</f>
        <v>10600271.175800001</v>
      </c>
      <c r="BS42" s="256">
        <f t="shared" ref="BS42:CL42" si="115">BS43+BS50+BS57</f>
        <v>12777046.769219998</v>
      </c>
      <c r="BT42" s="256">
        <f t="shared" si="115"/>
        <v>15425460.999869999</v>
      </c>
      <c r="BU42" s="256">
        <f t="shared" si="115"/>
        <v>16701684.451131314</v>
      </c>
      <c r="BV42" s="256">
        <f t="shared" si="115"/>
        <v>18188617.845819939</v>
      </c>
      <c r="BW42" s="256">
        <f t="shared" si="115"/>
        <v>20432079.867403056</v>
      </c>
      <c r="BX42" s="256">
        <f t="shared" si="115"/>
        <v>20790007.433121495</v>
      </c>
      <c r="BY42" s="256">
        <f t="shared" ca="1" si="115"/>
        <v>21189819.073650569</v>
      </c>
      <c r="BZ42" s="256">
        <f t="shared" si="115"/>
        <v>28740258.142627381</v>
      </c>
      <c r="CA42" s="256">
        <f t="shared" si="115"/>
        <v>29946504.127152268</v>
      </c>
      <c r="CB42" s="256">
        <f t="shared" si="115"/>
        <v>29746053.018093333</v>
      </c>
      <c r="CC42" s="256">
        <f t="shared" si="115"/>
        <v>31292851.290211726</v>
      </c>
      <c r="CD42" s="256">
        <f t="shared" si="115"/>
        <v>28515428.260867234</v>
      </c>
      <c r="CE42" s="256">
        <f t="shared" si="115"/>
        <v>29262700.603914939</v>
      </c>
      <c r="CF42" s="256">
        <f t="shared" si="115"/>
        <v>29290726.308547731</v>
      </c>
      <c r="CG42" s="256">
        <f t="shared" si="115"/>
        <v>30562185.427701212</v>
      </c>
      <c r="CH42" s="256">
        <f t="shared" si="115"/>
        <v>31885218.187786922</v>
      </c>
      <c r="CI42" s="256">
        <f t="shared" si="115"/>
        <v>33215617.00485719</v>
      </c>
      <c r="CJ42" s="256">
        <f t="shared" si="115"/>
        <v>34716267.564182162</v>
      </c>
      <c r="CK42" s="256">
        <f t="shared" si="115"/>
        <v>36228697.747879282</v>
      </c>
      <c r="CL42" s="256">
        <f t="shared" si="115"/>
        <v>37817447.931486376</v>
      </c>
      <c r="CM42" s="437">
        <v>10600271.175800001</v>
      </c>
      <c r="CN42" s="437">
        <v>12777046.76922</v>
      </c>
      <c r="CO42" s="437">
        <v>15425460.999869999</v>
      </c>
      <c r="CP42" s="437">
        <v>16698244.909688339</v>
      </c>
      <c r="CQ42" s="437">
        <v>17970359.113245234</v>
      </c>
      <c r="CR42" s="437">
        <v>20216947.968828969</v>
      </c>
      <c r="CS42" s="437">
        <v>20558941.780697901</v>
      </c>
      <c r="CT42" s="437">
        <v>20962696.659132771</v>
      </c>
      <c r="CU42" s="437">
        <v>28517626.211987637</v>
      </c>
      <c r="CV42" s="437">
        <v>29728945.978965044</v>
      </c>
      <c r="CW42" s="437">
        <v>29534190.012204312</v>
      </c>
      <c r="CX42" s="437">
        <v>31087344.956812836</v>
      </c>
      <c r="CY42" s="437">
        <v>28316982.514232192</v>
      </c>
      <c r="CZ42" s="437">
        <v>29072064.06515868</v>
      </c>
      <c r="DA42" s="437">
        <v>29108694.741875686</v>
      </c>
      <c r="DB42" s="437">
        <v>30389604.29471064</v>
      </c>
      <c r="DC42" s="437">
        <v>31722985.32447017</v>
      </c>
      <c r="DD42" s="437">
        <v>33064685.426034339</v>
      </c>
      <c r="DE42" s="437">
        <v>34577648.400156409</v>
      </c>
      <c r="DF42" s="437">
        <v>36103463.318160206</v>
      </c>
      <c r="DG42" s="437">
        <v>37706734.960461929</v>
      </c>
      <c r="DH42" s="433" t="b">
        <f t="shared" si="34"/>
        <v>1</v>
      </c>
      <c r="DI42" s="433" t="b">
        <f t="shared" si="34"/>
        <v>1</v>
      </c>
      <c r="DJ42" s="433" t="b">
        <f t="shared" si="34"/>
        <v>1</v>
      </c>
      <c r="DK42" s="433" t="b">
        <f t="shared" si="34"/>
        <v>0</v>
      </c>
      <c r="DL42" s="433" t="b">
        <f t="shared" si="34"/>
        <v>0</v>
      </c>
      <c r="DM42" s="433" t="b">
        <f t="shared" si="34"/>
        <v>0</v>
      </c>
      <c r="DN42" s="433" t="b">
        <f t="shared" si="34"/>
        <v>0</v>
      </c>
      <c r="DO42" s="433" t="b">
        <f t="shared" ca="1" si="34"/>
        <v>0</v>
      </c>
      <c r="DP42" s="433" t="b">
        <f t="shared" si="34"/>
        <v>0</v>
      </c>
      <c r="DQ42" s="433" t="b">
        <f t="shared" si="82"/>
        <v>0</v>
      </c>
      <c r="DR42" s="433" t="b">
        <f t="shared" si="82"/>
        <v>0</v>
      </c>
      <c r="DS42" s="433" t="b">
        <f t="shared" si="82"/>
        <v>0</v>
      </c>
      <c r="DT42" s="433" t="b">
        <f t="shared" si="82"/>
        <v>0</v>
      </c>
      <c r="DU42" s="433" t="b">
        <f t="shared" si="82"/>
        <v>0</v>
      </c>
      <c r="DV42" s="433" t="b">
        <f t="shared" si="82"/>
        <v>0</v>
      </c>
      <c r="DW42" s="433" t="b">
        <f t="shared" si="82"/>
        <v>0</v>
      </c>
      <c r="DX42" s="433" t="b">
        <f t="shared" si="82"/>
        <v>0</v>
      </c>
      <c r="DY42" s="433" t="b">
        <f t="shared" si="82"/>
        <v>0</v>
      </c>
      <c r="DZ42" s="433" t="b">
        <f t="shared" si="82"/>
        <v>0</v>
      </c>
      <c r="EA42" s="433" t="b">
        <f t="shared" si="82"/>
        <v>0</v>
      </c>
      <c r="EB42" s="433" t="b">
        <f t="shared" si="82"/>
        <v>0</v>
      </c>
      <c r="EC42" s="259">
        <f ca="1">EC43+EC50+EC57</f>
        <v>491820479.83530283</v>
      </c>
      <c r="ED42" s="256">
        <f t="shared" si="97"/>
        <v>0</v>
      </c>
      <c r="EE42" s="256">
        <f t="shared" si="98"/>
        <v>0</v>
      </c>
      <c r="EF42" s="256">
        <f t="shared" si="99"/>
        <v>0</v>
      </c>
      <c r="EG42" s="256">
        <f t="shared" si="100"/>
        <v>402990.84739110246</v>
      </c>
      <c r="EH42" s="256">
        <f t="shared" si="101"/>
        <v>943224.40190025046</v>
      </c>
      <c r="EI42" s="256">
        <f t="shared" si="102"/>
        <v>2217355.3645756394</v>
      </c>
      <c r="EJ42" s="256">
        <f t="shared" si="103"/>
        <v>1815759.9216383584</v>
      </c>
      <c r="EK42" s="256">
        <f t="shared" ca="1" si="104"/>
        <v>1423654.4195066728</v>
      </c>
      <c r="EL42" s="256">
        <f t="shared" si="105"/>
        <v>8143499.9659868553</v>
      </c>
      <c r="EM42" s="256">
        <f t="shared" si="106"/>
        <v>8481846.4333695434</v>
      </c>
      <c r="EN42" s="256">
        <f t="shared" si="107"/>
        <v>7374367.233697284</v>
      </c>
      <c r="EO42" s="256">
        <f t="shared" si="108"/>
        <v>7973086.4040870108</v>
      </c>
      <c r="EP42" s="256">
        <f t="shared" si="109"/>
        <v>4204504.7715005614</v>
      </c>
      <c r="EQ42" s="256">
        <f>CE42-S42</f>
        <v>3915382.5005617552</v>
      </c>
      <c r="ER42" s="256">
        <f>CF42-T42</f>
        <v>2859516.9408748895</v>
      </c>
      <c r="ES42" s="256">
        <f>CG42-U42</f>
        <v>2997200.1732548103</v>
      </c>
      <c r="ET42" s="256">
        <f>CH42-V42</f>
        <v>3134049.0161772296</v>
      </c>
      <c r="EU42" s="256">
        <f>CI42-W42</f>
        <v>3223188.3688848652</v>
      </c>
      <c r="EV42" s="256">
        <f>CJ42-X42</f>
        <v>3424683.0052950382</v>
      </c>
      <c r="EW42" s="256">
        <f>CK42-Y42</f>
        <v>3577076.5571648628</v>
      </c>
      <c r="EX42" s="256">
        <f>CL42-Z42</f>
        <v>3741751.1576046273</v>
      </c>
      <c r="EY42" s="259">
        <f ca="1">EY43+EY50+EY57</f>
        <v>69450146.63608025</v>
      </c>
    </row>
    <row r="43" spans="1:155" s="235" customFormat="1" x14ac:dyDescent="0.35">
      <c r="A43" s="221"/>
      <c r="C43" s="262">
        <v>26</v>
      </c>
      <c r="D43" s="263" t="s">
        <v>32</v>
      </c>
      <c r="E43" s="264" t="s">
        <v>10</v>
      </c>
      <c r="F43" s="224">
        <f>SUM(F44:F49)</f>
        <v>4951617.5269898828</v>
      </c>
      <c r="G43" s="224">
        <f t="shared" ref="G43:R43" si="116">SUM(G44:G49)</f>
        <v>6055652.9925055644</v>
      </c>
      <c r="H43" s="224">
        <f t="shared" si="116"/>
        <v>7717130.7708768137</v>
      </c>
      <c r="I43" s="224">
        <f t="shared" si="116"/>
        <v>8437984.007823538</v>
      </c>
      <c r="J43" s="224">
        <f t="shared" si="116"/>
        <v>9016131.2962384745</v>
      </c>
      <c r="K43" s="224">
        <f t="shared" si="116"/>
        <v>9608462.4782640003</v>
      </c>
      <c r="L43" s="224">
        <f t="shared" si="116"/>
        <v>9991186.4718098901</v>
      </c>
      <c r="M43" s="224">
        <f t="shared" si="116"/>
        <v>10387854.058560187</v>
      </c>
      <c r="N43" s="224">
        <f t="shared" si="116"/>
        <v>10803404.872650923</v>
      </c>
      <c r="O43" s="224">
        <f t="shared" si="116"/>
        <v>11235580.710087951</v>
      </c>
      <c r="P43" s="224">
        <f t="shared" si="116"/>
        <v>11685046.815852989</v>
      </c>
      <c r="Q43" s="224">
        <f t="shared" si="116"/>
        <v>12152495.064641329</v>
      </c>
      <c r="R43" s="224">
        <f t="shared" si="116"/>
        <v>12638645.027675387</v>
      </c>
      <c r="S43" s="224">
        <f t="shared" ref="S43:Z43" si="117">SUM(S44:S49)</f>
        <v>13144245.082323397</v>
      </c>
      <c r="T43" s="224">
        <f t="shared" si="117"/>
        <v>13670073.566246275</v>
      </c>
      <c r="U43" s="224">
        <f t="shared" si="117"/>
        <v>14216939.977865467</v>
      </c>
      <c r="V43" s="224">
        <f t="shared" si="117"/>
        <v>14785686.225017324</v>
      </c>
      <c r="W43" s="224">
        <f t="shared" si="117"/>
        <v>15377187.923735097</v>
      </c>
      <c r="X43" s="224">
        <f t="shared" si="117"/>
        <v>15992355.749178495</v>
      </c>
      <c r="Y43" s="224">
        <f t="shared" si="117"/>
        <v>16632136.840812739</v>
      </c>
      <c r="Z43" s="224">
        <f t="shared" si="117"/>
        <v>17297516.264024388</v>
      </c>
      <c r="AA43" s="439">
        <v>4951617.5269898828</v>
      </c>
      <c r="AB43" s="439">
        <v>6055652.9925055644</v>
      </c>
      <c r="AC43" s="439">
        <v>7717130.7708768137</v>
      </c>
      <c r="AD43" s="439">
        <v>8437984.007823538</v>
      </c>
      <c r="AE43" s="439">
        <v>9016131.2962384745</v>
      </c>
      <c r="AF43" s="439">
        <v>9608462.4782640003</v>
      </c>
      <c r="AG43" s="439">
        <v>9991186.4718098901</v>
      </c>
      <c r="AH43" s="439">
        <v>10387854.058560187</v>
      </c>
      <c r="AI43" s="439">
        <v>10803404.872650923</v>
      </c>
      <c r="AJ43" s="439">
        <v>11235580.710087951</v>
      </c>
      <c r="AK43" s="439">
        <v>11685046.815852989</v>
      </c>
      <c r="AL43" s="439">
        <v>12152495.064641329</v>
      </c>
      <c r="AM43" s="439">
        <v>12638645.027675387</v>
      </c>
      <c r="AN43" s="439">
        <v>13144245.082323397</v>
      </c>
      <c r="AO43" s="439">
        <v>13670073.566246275</v>
      </c>
      <c r="AP43" s="439">
        <v>14216939.977865467</v>
      </c>
      <c r="AQ43" s="439">
        <v>14785686.225017324</v>
      </c>
      <c r="AR43" s="439">
        <v>15377187.923735097</v>
      </c>
      <c r="AS43" s="439">
        <v>15992355.749178495</v>
      </c>
      <c r="AT43" s="439">
        <v>16632136.840812739</v>
      </c>
      <c r="AU43" s="439">
        <v>17297516.264024388</v>
      </c>
      <c r="AV43" s="440" t="b">
        <f t="shared" si="32"/>
        <v>1</v>
      </c>
      <c r="AW43" s="440" t="b">
        <f t="shared" si="32"/>
        <v>1</v>
      </c>
      <c r="AX43" s="440" t="b">
        <f t="shared" si="32"/>
        <v>1</v>
      </c>
      <c r="AY43" s="440" t="b">
        <f t="shared" si="32"/>
        <v>1</v>
      </c>
      <c r="AZ43" s="440" t="b">
        <f t="shared" si="32"/>
        <v>1</v>
      </c>
      <c r="BA43" s="440" t="b">
        <f t="shared" si="32"/>
        <v>1</v>
      </c>
      <c r="BB43" s="440" t="b">
        <f t="shared" si="32"/>
        <v>1</v>
      </c>
      <c r="BC43" s="440" t="b">
        <f t="shared" si="32"/>
        <v>1</v>
      </c>
      <c r="BD43" s="440" t="b">
        <f t="shared" si="32"/>
        <v>1</v>
      </c>
      <c r="BE43" s="440" t="b">
        <f t="shared" si="81"/>
        <v>1</v>
      </c>
      <c r="BF43" s="440" t="b">
        <f t="shared" si="81"/>
        <v>1</v>
      </c>
      <c r="BG43" s="440" t="b">
        <f t="shared" si="81"/>
        <v>1</v>
      </c>
      <c r="BH43" s="440" t="b">
        <f t="shared" si="81"/>
        <v>1</v>
      </c>
      <c r="BI43" s="440" t="b">
        <f t="shared" si="81"/>
        <v>1</v>
      </c>
      <c r="BJ43" s="440" t="b">
        <f t="shared" si="81"/>
        <v>1</v>
      </c>
      <c r="BK43" s="440" t="b">
        <f t="shared" si="81"/>
        <v>1</v>
      </c>
      <c r="BL43" s="440" t="b">
        <f t="shared" si="81"/>
        <v>1</v>
      </c>
      <c r="BM43" s="440" t="b">
        <f t="shared" si="81"/>
        <v>1</v>
      </c>
      <c r="BN43" s="440" t="b">
        <f t="shared" si="81"/>
        <v>1</v>
      </c>
      <c r="BO43" s="440" t="b">
        <f t="shared" si="81"/>
        <v>1</v>
      </c>
      <c r="BP43" s="440" t="b">
        <f t="shared" si="81"/>
        <v>1</v>
      </c>
      <c r="BQ43" s="244">
        <f>SUM(J43:Z43)</f>
        <v>218634948.42498431</v>
      </c>
      <c r="BR43" s="224">
        <f>SUM(BR44:BR49)</f>
        <v>4951617.5269898828</v>
      </c>
      <c r="BS43" s="224">
        <f t="shared" ref="BS43:CL43" si="118">SUM(BS44:BS49)</f>
        <v>6055652.9925055644</v>
      </c>
      <c r="BT43" s="224">
        <f t="shared" si="118"/>
        <v>7717130.7708768137</v>
      </c>
      <c r="BU43" s="224">
        <f t="shared" si="118"/>
        <v>8845101.9582042992</v>
      </c>
      <c r="BV43" s="224">
        <f t="shared" si="118"/>
        <v>9973992.4631981347</v>
      </c>
      <c r="BW43" s="224">
        <f t="shared" si="118"/>
        <v>10694733.552671654</v>
      </c>
      <c r="BX43" s="224">
        <f t="shared" si="118"/>
        <v>11223810.867795413</v>
      </c>
      <c r="BY43" s="224">
        <f t="shared" si="118"/>
        <v>11701892.193977633</v>
      </c>
      <c r="BZ43" s="224">
        <f t="shared" si="118"/>
        <v>12181993.877857272</v>
      </c>
      <c r="CA43" s="224">
        <f t="shared" si="118"/>
        <v>12681019.544234807</v>
      </c>
      <c r="CB43" s="224">
        <f t="shared" si="118"/>
        <v>13201135.231864927</v>
      </c>
      <c r="CC43" s="224">
        <f t="shared" si="118"/>
        <v>13743251.302720781</v>
      </c>
      <c r="CD43" s="224">
        <f t="shared" si="118"/>
        <v>14308317.976679197</v>
      </c>
      <c r="CE43" s="224">
        <f t="shared" si="118"/>
        <v>14894286.707446637</v>
      </c>
      <c r="CF43" s="224">
        <f t="shared" si="118"/>
        <v>15504503.486550674</v>
      </c>
      <c r="CG43" s="224">
        <f t="shared" si="118"/>
        <v>16151359.227662807</v>
      </c>
      <c r="CH43" s="224">
        <f t="shared" si="118"/>
        <v>16817275.600233518</v>
      </c>
      <c r="CI43" s="224">
        <f t="shared" si="118"/>
        <v>17507073.154704496</v>
      </c>
      <c r="CJ43" s="224">
        <f t="shared" si="118"/>
        <v>18229701.312745359</v>
      </c>
      <c r="CK43" s="224">
        <f t="shared" si="118"/>
        <v>18976502.026335441</v>
      </c>
      <c r="CL43" s="224">
        <f t="shared" si="118"/>
        <v>19759101.728187166</v>
      </c>
      <c r="CM43" s="439">
        <v>4951617.5269898828</v>
      </c>
      <c r="CN43" s="439">
        <v>6055652.9925055644</v>
      </c>
      <c r="CO43" s="439">
        <v>7717130.7708768137</v>
      </c>
      <c r="CP43" s="439">
        <v>8845101.9582042992</v>
      </c>
      <c r="CQ43" s="439">
        <v>9973992.4631981347</v>
      </c>
      <c r="CR43" s="439">
        <v>10694733.552671654</v>
      </c>
      <c r="CS43" s="439">
        <v>11223810.867795413</v>
      </c>
      <c r="CT43" s="439">
        <v>11701892.193977633</v>
      </c>
      <c r="CU43" s="439">
        <v>12181993.877857272</v>
      </c>
      <c r="CV43" s="439">
        <v>12681019.544234807</v>
      </c>
      <c r="CW43" s="439">
        <v>13201135.231864927</v>
      </c>
      <c r="CX43" s="439">
        <v>13743251.302720781</v>
      </c>
      <c r="CY43" s="439">
        <v>14308317.976679197</v>
      </c>
      <c r="CZ43" s="439">
        <v>14894286.707446637</v>
      </c>
      <c r="DA43" s="439">
        <v>15504503.486550674</v>
      </c>
      <c r="DB43" s="439">
        <v>16151359.227662807</v>
      </c>
      <c r="DC43" s="439">
        <v>16817275.600233518</v>
      </c>
      <c r="DD43" s="439">
        <v>17507073.154704496</v>
      </c>
      <c r="DE43" s="439">
        <v>18229701.312745359</v>
      </c>
      <c r="DF43" s="439">
        <v>18976502.026335441</v>
      </c>
      <c r="DG43" s="439">
        <v>19759101.728187166</v>
      </c>
      <c r="DH43" s="440" t="b">
        <f t="shared" si="34"/>
        <v>1</v>
      </c>
      <c r="DI43" s="440" t="b">
        <f t="shared" si="34"/>
        <v>1</v>
      </c>
      <c r="DJ43" s="440" t="b">
        <f t="shared" si="34"/>
        <v>1</v>
      </c>
      <c r="DK43" s="440" t="b">
        <f t="shared" si="34"/>
        <v>1</v>
      </c>
      <c r="DL43" s="440" t="b">
        <f t="shared" si="34"/>
        <v>1</v>
      </c>
      <c r="DM43" s="440" t="b">
        <f t="shared" si="34"/>
        <v>1</v>
      </c>
      <c r="DN43" s="440" t="b">
        <f t="shared" si="34"/>
        <v>1</v>
      </c>
      <c r="DO43" s="440" t="b">
        <f t="shared" si="34"/>
        <v>1</v>
      </c>
      <c r="DP43" s="440" t="b">
        <f t="shared" si="34"/>
        <v>1</v>
      </c>
      <c r="DQ43" s="440" t="b">
        <f t="shared" si="82"/>
        <v>1</v>
      </c>
      <c r="DR43" s="440" t="b">
        <f t="shared" si="82"/>
        <v>1</v>
      </c>
      <c r="DS43" s="440" t="b">
        <f t="shared" si="82"/>
        <v>1</v>
      </c>
      <c r="DT43" s="440" t="b">
        <f t="shared" si="82"/>
        <v>1</v>
      </c>
      <c r="DU43" s="440" t="b">
        <f t="shared" si="82"/>
        <v>1</v>
      </c>
      <c r="DV43" s="440" t="b">
        <f t="shared" si="82"/>
        <v>1</v>
      </c>
      <c r="DW43" s="440" t="b">
        <f t="shared" si="82"/>
        <v>1</v>
      </c>
      <c r="DX43" s="440" t="b">
        <f t="shared" si="82"/>
        <v>1</v>
      </c>
      <c r="DY43" s="440" t="b">
        <f t="shared" si="82"/>
        <v>1</v>
      </c>
      <c r="DZ43" s="440" t="b">
        <f t="shared" si="82"/>
        <v>1</v>
      </c>
      <c r="EA43" s="440" t="b">
        <f t="shared" si="82"/>
        <v>1</v>
      </c>
      <c r="EB43" s="440" t="b">
        <f t="shared" si="82"/>
        <v>1</v>
      </c>
      <c r="EC43" s="244">
        <f>SUM(BV43:CL43)</f>
        <v>247549950.25486591</v>
      </c>
      <c r="ED43" s="224">
        <f t="shared" si="97"/>
        <v>0</v>
      </c>
      <c r="EE43" s="224">
        <f t="shared" si="98"/>
        <v>0</v>
      </c>
      <c r="EF43" s="224">
        <f t="shared" si="99"/>
        <v>0</v>
      </c>
      <c r="EG43" s="224">
        <f t="shared" si="100"/>
        <v>407117.95038076118</v>
      </c>
      <c r="EH43" s="224">
        <f t="shared" si="101"/>
        <v>957861.16695966013</v>
      </c>
      <c r="EI43" s="224">
        <f t="shared" si="102"/>
        <v>1086271.0744076539</v>
      </c>
      <c r="EJ43" s="224">
        <f t="shared" si="103"/>
        <v>1232624.3959855232</v>
      </c>
      <c r="EK43" s="224">
        <f t="shared" si="104"/>
        <v>1314038.1354174465</v>
      </c>
      <c r="EL43" s="224">
        <f t="shared" si="105"/>
        <v>1378589.0052063484</v>
      </c>
      <c r="EM43" s="224">
        <f t="shared" si="106"/>
        <v>1445438.8341468554</v>
      </c>
      <c r="EN43" s="224">
        <f t="shared" si="107"/>
        <v>1516088.4160119388</v>
      </c>
      <c r="EO43" s="224">
        <f t="shared" si="108"/>
        <v>1590756.2380794529</v>
      </c>
      <c r="EP43" s="224">
        <f t="shared" si="109"/>
        <v>1669672.9490038101</v>
      </c>
      <c r="EQ43" s="224">
        <f>CE43-S43</f>
        <v>1750041.6251232401</v>
      </c>
      <c r="ER43" s="224">
        <f>CF43-T43</f>
        <v>1834429.920304399</v>
      </c>
      <c r="ES43" s="224">
        <f>CG43-U43</f>
        <v>1934419.2497973405</v>
      </c>
      <c r="ET43" s="224">
        <f>CH43-V43</f>
        <v>2031589.3752161935</v>
      </c>
      <c r="EU43" s="224">
        <f>CI43-W43</f>
        <v>2129885.2309693992</v>
      </c>
      <c r="EV43" s="224">
        <f>CJ43-X43</f>
        <v>2237345.5635668635</v>
      </c>
      <c r="EW43" s="224">
        <f>CK43-Y43</f>
        <v>2344365.1855227016</v>
      </c>
      <c r="EX43" s="224">
        <f>CL43-Z43</f>
        <v>2461585.4641627781</v>
      </c>
      <c r="EY43" s="244">
        <f>SUM(EH43:EX43)</f>
        <v>28915001.829881605</v>
      </c>
    </row>
    <row r="44" spans="1:155" s="235" customFormat="1" x14ac:dyDescent="0.35">
      <c r="A44" s="221"/>
      <c r="B44" s="222"/>
      <c r="C44" s="241">
        <v>27</v>
      </c>
      <c r="D44" s="265" t="s">
        <v>33</v>
      </c>
      <c r="E44" s="243" t="s">
        <v>10</v>
      </c>
      <c r="F44" s="384">
        <f>'[10]Данные для переноса'!F42</f>
        <v>3174392.8499100003</v>
      </c>
      <c r="G44" s="384">
        <f>'[10]Данные для переноса'!G42</f>
        <v>3740912.4062999999</v>
      </c>
      <c r="H44" s="384">
        <f>'[10]Данные для переноса'!H42</f>
        <v>4371873.1039799992</v>
      </c>
      <c r="I44" s="384">
        <f>'[10]Данные для переноса'!I42</f>
        <v>4823281.4233974265</v>
      </c>
      <c r="J44" s="384">
        <f>'[10]Данные для переноса'!J42</f>
        <v>5284722.5466528023</v>
      </c>
      <c r="K44" s="384">
        <f>'[10]Данные для переноса'!K42</f>
        <v>5747976.1280352669</v>
      </c>
      <c r="L44" s="384">
        <f>'[10]Данные для переноса'!L42</f>
        <v>5976296.787602284</v>
      </c>
      <c r="M44" s="384">
        <f>'[10]Данные для переноса'!M42</f>
        <v>6212438.4960008487</v>
      </c>
      <c r="N44" s="384">
        <f>'[10]Данные для переноса'!N42</f>
        <v>6460936.0358408839</v>
      </c>
      <c r="O44" s="384">
        <f>'[10]Данные для переноса'!O42</f>
        <v>6719373.4772745185</v>
      </c>
      <c r="P44" s="384">
        <f>'[10]Данные для переноса'!P42</f>
        <v>6988148.4163654987</v>
      </c>
      <c r="Q44" s="384">
        <f>'[10]Данные для переноса'!Q42</f>
        <v>7267674.3530201195</v>
      </c>
      <c r="R44" s="384">
        <f>'[10]Данные для переноса'!R42</f>
        <v>7558381.3271409255</v>
      </c>
      <c r="S44" s="384">
        <f>'[10]Данные для переноса'!S42</f>
        <v>7860716.580226562</v>
      </c>
      <c r="T44" s="384">
        <f>'[10]Данные для переноса'!T42</f>
        <v>8175145.2434356259</v>
      </c>
      <c r="U44" s="384">
        <f>'[10]Данные для переноса'!U42</f>
        <v>8502151.0531730503</v>
      </c>
      <c r="V44" s="384">
        <f>'[10]Данные для переноса'!V42</f>
        <v>8842237.0952999722</v>
      </c>
      <c r="W44" s="384">
        <f>'[10]Данные для переноса'!W42</f>
        <v>9195926.579111971</v>
      </c>
      <c r="X44" s="384">
        <f>'[10]Данные для переноса'!X42</f>
        <v>9563763.6422764529</v>
      </c>
      <c r="Y44" s="384">
        <f>'[10]Данные для переноса'!Y42</f>
        <v>9946314.187967509</v>
      </c>
      <c r="Z44" s="384">
        <f>'[10]Данные для переноса'!Z42</f>
        <v>10344166.755486213</v>
      </c>
      <c r="AA44" s="426">
        <v>3174392.8499100003</v>
      </c>
      <c r="AB44" s="426">
        <v>3740912.4062999999</v>
      </c>
      <c r="AC44" s="426">
        <v>4371873.1039799992</v>
      </c>
      <c r="AD44" s="426">
        <v>4823281.4233974265</v>
      </c>
      <c r="AE44" s="426">
        <v>5284722.5466528023</v>
      </c>
      <c r="AF44" s="426">
        <v>5747976.1280352669</v>
      </c>
      <c r="AG44" s="426">
        <v>5976296.787602284</v>
      </c>
      <c r="AH44" s="426">
        <v>6212438.4960008487</v>
      </c>
      <c r="AI44" s="426">
        <v>6460936.0358408839</v>
      </c>
      <c r="AJ44" s="426">
        <v>6719373.4772745185</v>
      </c>
      <c r="AK44" s="426">
        <v>6988148.4163654987</v>
      </c>
      <c r="AL44" s="426">
        <v>7267674.3530201195</v>
      </c>
      <c r="AM44" s="426">
        <v>7558381.3271409255</v>
      </c>
      <c r="AN44" s="426">
        <v>7860716.580226562</v>
      </c>
      <c r="AO44" s="426">
        <v>8175145.2434356259</v>
      </c>
      <c r="AP44" s="426">
        <v>8502151.0531730503</v>
      </c>
      <c r="AQ44" s="426">
        <v>8842237.0952999722</v>
      </c>
      <c r="AR44" s="426">
        <v>9195926.579111971</v>
      </c>
      <c r="AS44" s="426">
        <v>9563763.6422764529</v>
      </c>
      <c r="AT44" s="426">
        <v>9946314.187967509</v>
      </c>
      <c r="AU44" s="426">
        <v>10344166.755486213</v>
      </c>
      <c r="AV44" s="430" t="b">
        <f t="shared" si="32"/>
        <v>1</v>
      </c>
      <c r="AW44" s="430" t="b">
        <f t="shared" si="32"/>
        <v>1</v>
      </c>
      <c r="AX44" s="430" t="b">
        <f t="shared" si="32"/>
        <v>1</v>
      </c>
      <c r="AY44" s="430" t="b">
        <f t="shared" si="32"/>
        <v>1</v>
      </c>
      <c r="AZ44" s="430" t="b">
        <f t="shared" si="32"/>
        <v>1</v>
      </c>
      <c r="BA44" s="430" t="b">
        <f t="shared" si="32"/>
        <v>1</v>
      </c>
      <c r="BB44" s="430" t="b">
        <f t="shared" si="32"/>
        <v>1</v>
      </c>
      <c r="BC44" s="430" t="b">
        <f t="shared" si="32"/>
        <v>1</v>
      </c>
      <c r="BD44" s="430" t="b">
        <f t="shared" si="32"/>
        <v>1</v>
      </c>
      <c r="BE44" s="430" t="b">
        <f t="shared" si="81"/>
        <v>1</v>
      </c>
      <c r="BF44" s="430" t="b">
        <f t="shared" si="81"/>
        <v>1</v>
      </c>
      <c r="BG44" s="430" t="b">
        <f t="shared" si="81"/>
        <v>1</v>
      </c>
      <c r="BH44" s="430" t="b">
        <f t="shared" si="81"/>
        <v>1</v>
      </c>
      <c r="BI44" s="430" t="b">
        <f t="shared" si="81"/>
        <v>1</v>
      </c>
      <c r="BJ44" s="430" t="b">
        <f t="shared" si="81"/>
        <v>1</v>
      </c>
      <c r="BK44" s="430" t="b">
        <f t="shared" si="81"/>
        <v>1</v>
      </c>
      <c r="BL44" s="430" t="b">
        <f t="shared" si="81"/>
        <v>1</v>
      </c>
      <c r="BM44" s="430" t="b">
        <f t="shared" si="81"/>
        <v>1</v>
      </c>
      <c r="BN44" s="430" t="b">
        <f t="shared" si="81"/>
        <v>1</v>
      </c>
      <c r="BO44" s="430" t="b">
        <f t="shared" si="81"/>
        <v>1</v>
      </c>
      <c r="BP44" s="430" t="b">
        <f t="shared" si="81"/>
        <v>1</v>
      </c>
      <c r="BQ44" s="244">
        <f t="shared" ref="BQ44:BQ57" si="119">SUM(J44:Z44)</f>
        <v>130646368.70491049</v>
      </c>
      <c r="BR44" s="247">
        <f>'[10]Данные для переноса'!AB42</f>
        <v>3174392.8499100003</v>
      </c>
      <c r="BS44" s="247">
        <f>'[10]Данные для переноса'!AC42</f>
        <v>3740912.4062999999</v>
      </c>
      <c r="BT44" s="247">
        <f>'[10]Данные для переноса'!AD42</f>
        <v>4371873.1039799992</v>
      </c>
      <c r="BU44" s="247">
        <f>'[10]Данные для переноса'!AE42</f>
        <v>5223358.2613691967</v>
      </c>
      <c r="BV44" s="247">
        <f>'[10]Данные для переноса'!AF42</f>
        <v>5783082.283567545</v>
      </c>
      <c r="BW44" s="247">
        <f>'[10]Данные для переноса'!AG42</f>
        <v>6367529.4413962057</v>
      </c>
      <c r="BX44" s="247">
        <f>'[10]Данные для переноса'!AH42</f>
        <v>6691232.3838460669</v>
      </c>
      <c r="BY44" s="247">
        <f>'[10]Данные для переноса'!AI42</f>
        <v>6999695.0204253644</v>
      </c>
      <c r="BZ44" s="247">
        <f>'[10]Данные для переноса'!AJ42</f>
        <v>7303519.2011678331</v>
      </c>
      <c r="CA44" s="247">
        <f>'[10]Данные для переноса'!AK42</f>
        <v>7619450.2142111156</v>
      </c>
      <c r="CB44" s="247">
        <f>'[10]Данные для переноса'!AL42</f>
        <v>7949385.907068368</v>
      </c>
      <c r="CC44" s="247">
        <f>'[10]Данные для переноса'!AM42</f>
        <v>8293957.7976835333</v>
      </c>
      <c r="CD44" s="247">
        <f>'[10]Данные для переноса'!AN42</f>
        <v>8653826.1832755543</v>
      </c>
      <c r="CE44" s="247">
        <f>'[10]Данные для переноса'!AO42</f>
        <v>9026641.073295027</v>
      </c>
      <c r="CF44" s="247">
        <f>'[10]Данные для переноса'!AP42</f>
        <v>9415435.0326228123</v>
      </c>
      <c r="CG44" s="247">
        <f>'[10]Данные для переноса'!AQ42</f>
        <v>9832273.0865526367</v>
      </c>
      <c r="CH44" s="247">
        <f>'[10]Данные для переноса'!AR42</f>
        <v>10259238.055784736</v>
      </c>
      <c r="CI44" s="247">
        <f>'[10]Данные для переноса'!AS42</f>
        <v>10700798.162910577</v>
      </c>
      <c r="CJ44" s="247">
        <f>'[10]Данные для переноса'!AT42</f>
        <v>11165536.483018579</v>
      </c>
      <c r="CK44" s="247">
        <f>'[10]Данные для переноса'!AU42</f>
        <v>11644414.041390033</v>
      </c>
      <c r="CL44" s="247">
        <f>'[10]Данные для переноса'!AV42</f>
        <v>12148661.179895103</v>
      </c>
      <c r="CM44" s="426">
        <v>3174392.8499100003</v>
      </c>
      <c r="CN44" s="426">
        <v>3740912.4062999999</v>
      </c>
      <c r="CO44" s="426">
        <v>4371873.1039799992</v>
      </c>
      <c r="CP44" s="426">
        <v>5223358.2613691967</v>
      </c>
      <c r="CQ44" s="426">
        <v>5783082.283567545</v>
      </c>
      <c r="CR44" s="426">
        <v>6367529.4413962057</v>
      </c>
      <c r="CS44" s="426">
        <v>6691232.3838460669</v>
      </c>
      <c r="CT44" s="426">
        <v>6999695.0204253644</v>
      </c>
      <c r="CU44" s="426">
        <v>7303519.2011678331</v>
      </c>
      <c r="CV44" s="426">
        <v>7619450.2142111156</v>
      </c>
      <c r="CW44" s="426">
        <v>7949385.907068368</v>
      </c>
      <c r="CX44" s="426">
        <v>8293957.7976835333</v>
      </c>
      <c r="CY44" s="426">
        <v>8653826.1832755543</v>
      </c>
      <c r="CZ44" s="426">
        <v>9026641.073295027</v>
      </c>
      <c r="DA44" s="426">
        <v>9415435.0326228123</v>
      </c>
      <c r="DB44" s="426">
        <v>9832273.0865526367</v>
      </c>
      <c r="DC44" s="426">
        <v>10259238.055784736</v>
      </c>
      <c r="DD44" s="426">
        <v>10700798.162910577</v>
      </c>
      <c r="DE44" s="426">
        <v>11165536.483018579</v>
      </c>
      <c r="DF44" s="426">
        <v>11644414.041390033</v>
      </c>
      <c r="DG44" s="426">
        <v>12148661.179895103</v>
      </c>
      <c r="DH44" s="430" t="b">
        <f t="shared" si="34"/>
        <v>1</v>
      </c>
      <c r="DI44" s="430" t="b">
        <f t="shared" si="34"/>
        <v>1</v>
      </c>
      <c r="DJ44" s="430" t="b">
        <f t="shared" si="34"/>
        <v>1</v>
      </c>
      <c r="DK44" s="430" t="b">
        <f t="shared" si="34"/>
        <v>1</v>
      </c>
      <c r="DL44" s="430" t="b">
        <f t="shared" si="34"/>
        <v>1</v>
      </c>
      <c r="DM44" s="430" t="b">
        <f t="shared" si="34"/>
        <v>1</v>
      </c>
      <c r="DN44" s="430" t="b">
        <f t="shared" si="34"/>
        <v>1</v>
      </c>
      <c r="DO44" s="430" t="b">
        <f t="shared" si="34"/>
        <v>1</v>
      </c>
      <c r="DP44" s="430" t="b">
        <f t="shared" si="34"/>
        <v>1</v>
      </c>
      <c r="DQ44" s="430" t="b">
        <f t="shared" si="82"/>
        <v>1</v>
      </c>
      <c r="DR44" s="430" t="b">
        <f t="shared" si="82"/>
        <v>1</v>
      </c>
      <c r="DS44" s="430" t="b">
        <f t="shared" si="82"/>
        <v>1</v>
      </c>
      <c r="DT44" s="430" t="b">
        <f t="shared" si="82"/>
        <v>1</v>
      </c>
      <c r="DU44" s="430" t="b">
        <f t="shared" si="82"/>
        <v>1</v>
      </c>
      <c r="DV44" s="430" t="b">
        <f t="shared" si="82"/>
        <v>1</v>
      </c>
      <c r="DW44" s="430" t="b">
        <f t="shared" si="82"/>
        <v>1</v>
      </c>
      <c r="DX44" s="430" t="b">
        <f t="shared" si="82"/>
        <v>1</v>
      </c>
      <c r="DY44" s="430" t="b">
        <f t="shared" si="82"/>
        <v>1</v>
      </c>
      <c r="DZ44" s="430" t="b">
        <f t="shared" si="82"/>
        <v>1</v>
      </c>
      <c r="EA44" s="430" t="b">
        <f t="shared" si="82"/>
        <v>1</v>
      </c>
      <c r="EB44" s="430" t="b">
        <f t="shared" si="82"/>
        <v>1</v>
      </c>
      <c r="EC44" s="244">
        <f t="shared" ref="EC44:EC57" si="120">SUM(BV44:CL44)</f>
        <v>149854675.54811108</v>
      </c>
      <c r="ED44" s="223">
        <f t="shared" si="97"/>
        <v>0</v>
      </c>
      <c r="EE44" s="223">
        <f t="shared" si="98"/>
        <v>0</v>
      </c>
      <c r="EF44" s="223">
        <f t="shared" si="99"/>
        <v>0</v>
      </c>
      <c r="EG44" s="223">
        <f t="shared" si="100"/>
        <v>400076.8379717702</v>
      </c>
      <c r="EH44" s="223">
        <f t="shared" si="101"/>
        <v>498359.73691474274</v>
      </c>
      <c r="EI44" s="223">
        <f t="shared" si="102"/>
        <v>619553.3133609388</v>
      </c>
      <c r="EJ44" s="223">
        <f t="shared" si="103"/>
        <v>714935.5962437829</v>
      </c>
      <c r="EK44" s="223">
        <f t="shared" si="104"/>
        <v>787256.52442451566</v>
      </c>
      <c r="EL44" s="223">
        <f t="shared" si="105"/>
        <v>842583.16532694921</v>
      </c>
      <c r="EM44" s="223">
        <f t="shared" si="106"/>
        <v>900076.73693659715</v>
      </c>
      <c r="EN44" s="223">
        <f t="shared" si="107"/>
        <v>961237.49070286937</v>
      </c>
      <c r="EO44" s="223">
        <f t="shared" si="108"/>
        <v>1026283.4446634138</v>
      </c>
      <c r="EP44" s="223">
        <f t="shared" si="109"/>
        <v>1095444.8561346289</v>
      </c>
      <c r="EQ44" s="223">
        <f>CE44-S44</f>
        <v>1165924.493068465</v>
      </c>
      <c r="ER44" s="223">
        <f>CF44-T44</f>
        <v>1240289.7891871864</v>
      </c>
      <c r="ES44" s="223">
        <f>CG44-U44</f>
        <v>1330122.0333795864</v>
      </c>
      <c r="ET44" s="223">
        <f>CH44-V44</f>
        <v>1417000.9604847636</v>
      </c>
      <c r="EU44" s="223">
        <f>CI44-W44</f>
        <v>1504871.5837986059</v>
      </c>
      <c r="EV44" s="223">
        <f>CJ44-X44</f>
        <v>1601772.8407421261</v>
      </c>
      <c r="EW44" s="223">
        <f>CK44-Y44</f>
        <v>1698099.8534225244</v>
      </c>
      <c r="EX44" s="223">
        <f>CL44-Z44</f>
        <v>1804494.4244088903</v>
      </c>
      <c r="EY44" s="244">
        <f t="shared" ref="EY44:EY57" si="121">SUM(EH44:EX44)</f>
        <v>19208306.843200587</v>
      </c>
    </row>
    <row r="45" spans="1:155" s="235" customFormat="1" x14ac:dyDescent="0.35">
      <c r="A45" s="221"/>
      <c r="B45" s="222"/>
      <c r="C45" s="241">
        <v>28</v>
      </c>
      <c r="D45" s="265" t="s">
        <v>34</v>
      </c>
      <c r="E45" s="243" t="s">
        <v>10</v>
      </c>
      <c r="F45" s="384">
        <f>'[10]Данные для переноса'!F43</f>
        <v>954936.65828615008</v>
      </c>
      <c r="G45" s="384">
        <f>'[10]Данные для переноса'!G43</f>
        <v>1347578.3038025</v>
      </c>
      <c r="H45" s="384">
        <f>'[10]Данные для переноса'!H43</f>
        <v>2148490.7961247996</v>
      </c>
      <c r="I45" s="384">
        <f>'[10]Данные для переноса'!I43</f>
        <v>2169329.3037987552</v>
      </c>
      <c r="J45" s="384">
        <f>'[10]Данные для переноса'!J43</f>
        <v>2230296.1656811028</v>
      </c>
      <c r="K45" s="384">
        <f>'[10]Данные для переноса'!K43</f>
        <v>2301172.2256817827</v>
      </c>
      <c r="L45" s="384">
        <f>'[10]Данные для переноса'!L43</f>
        <v>2393219.1147090541</v>
      </c>
      <c r="M45" s="384">
        <f>'[10]Данные для переноса'!M43</f>
        <v>2488947.8792974157</v>
      </c>
      <c r="N45" s="384">
        <f>'[10]Данные для переноса'!N43</f>
        <v>2588505.7944693128</v>
      </c>
      <c r="O45" s="384">
        <f>'[10]Данные для переноса'!O43</f>
        <v>2692046.0262480853</v>
      </c>
      <c r="P45" s="384">
        <f>'[10]Данные для переноса'!P43</f>
        <v>2799727.8672980089</v>
      </c>
      <c r="Q45" s="384">
        <f>'[10]Данные для переноса'!Q43</f>
        <v>2911716.9819899295</v>
      </c>
      <c r="R45" s="384">
        <f>'[10]Данные для переноса'!R43</f>
        <v>3028185.6612695265</v>
      </c>
      <c r="S45" s="384">
        <f>'[10]Данные для переноса'!S43</f>
        <v>3149313.0877203075</v>
      </c>
      <c r="T45" s="384">
        <f>'[10]Данные для переноса'!T43</f>
        <v>3275285.6112291198</v>
      </c>
      <c r="U45" s="384">
        <f>'[10]Данные для переноса'!U43</f>
        <v>3406297.0356782852</v>
      </c>
      <c r="V45" s="384">
        <f>'[10]Данные для переноса'!V43</f>
        <v>3542548.9171054158</v>
      </c>
      <c r="W45" s="384">
        <f>'[10]Данные для переноса'!W43</f>
        <v>3684250.8737896332</v>
      </c>
      <c r="X45" s="384">
        <f>'[10]Данные для переноса'!X43</f>
        <v>3831620.908741218</v>
      </c>
      <c r="Y45" s="384">
        <f>'[10]Данные для переноса'!Y43</f>
        <v>3984885.7450908679</v>
      </c>
      <c r="Z45" s="384">
        <f>'[10]Данные для переноса'!Z43</f>
        <v>4144281.1748945029</v>
      </c>
      <c r="AA45" s="426">
        <v>954936.65828615008</v>
      </c>
      <c r="AB45" s="426">
        <v>1347578.3038025</v>
      </c>
      <c r="AC45" s="426">
        <v>2148490.7961247996</v>
      </c>
      <c r="AD45" s="426">
        <v>2169329.3037987552</v>
      </c>
      <c r="AE45" s="426">
        <v>2230296.1656811028</v>
      </c>
      <c r="AF45" s="426">
        <v>2301172.2256817827</v>
      </c>
      <c r="AG45" s="426">
        <v>2393219.1147090541</v>
      </c>
      <c r="AH45" s="426">
        <v>2488947.8792974157</v>
      </c>
      <c r="AI45" s="426">
        <v>2588505.7944693128</v>
      </c>
      <c r="AJ45" s="426">
        <v>2692046.0262480853</v>
      </c>
      <c r="AK45" s="426">
        <v>2799727.8672980089</v>
      </c>
      <c r="AL45" s="426">
        <v>2911716.9819899295</v>
      </c>
      <c r="AM45" s="426">
        <v>3028185.6612695265</v>
      </c>
      <c r="AN45" s="426">
        <v>3149313.0877203075</v>
      </c>
      <c r="AO45" s="426">
        <v>3275285.6112291198</v>
      </c>
      <c r="AP45" s="426">
        <v>3406297.0356782852</v>
      </c>
      <c r="AQ45" s="426">
        <v>3542548.9171054158</v>
      </c>
      <c r="AR45" s="426">
        <v>3684250.8737896332</v>
      </c>
      <c r="AS45" s="426">
        <v>3831620.908741218</v>
      </c>
      <c r="AT45" s="426">
        <v>3984885.7450908679</v>
      </c>
      <c r="AU45" s="426">
        <v>4144281.1748945029</v>
      </c>
      <c r="AV45" s="430" t="b">
        <f t="shared" si="32"/>
        <v>1</v>
      </c>
      <c r="AW45" s="430" t="b">
        <f t="shared" si="32"/>
        <v>1</v>
      </c>
      <c r="AX45" s="430" t="b">
        <f t="shared" si="32"/>
        <v>1</v>
      </c>
      <c r="AY45" s="430" t="b">
        <f t="shared" si="32"/>
        <v>1</v>
      </c>
      <c r="AZ45" s="430" t="b">
        <f t="shared" si="32"/>
        <v>1</v>
      </c>
      <c r="BA45" s="430" t="b">
        <f t="shared" si="32"/>
        <v>1</v>
      </c>
      <c r="BB45" s="430" t="b">
        <f t="shared" si="32"/>
        <v>1</v>
      </c>
      <c r="BC45" s="430" t="b">
        <f t="shared" si="32"/>
        <v>1</v>
      </c>
      <c r="BD45" s="430" t="b">
        <f t="shared" si="32"/>
        <v>1</v>
      </c>
      <c r="BE45" s="430" t="b">
        <f t="shared" si="81"/>
        <v>1</v>
      </c>
      <c r="BF45" s="430" t="b">
        <f t="shared" si="81"/>
        <v>1</v>
      </c>
      <c r="BG45" s="430" t="b">
        <f t="shared" si="81"/>
        <v>1</v>
      </c>
      <c r="BH45" s="430" t="b">
        <f t="shared" si="81"/>
        <v>1</v>
      </c>
      <c r="BI45" s="430" t="b">
        <f t="shared" si="81"/>
        <v>1</v>
      </c>
      <c r="BJ45" s="430" t="b">
        <f t="shared" si="81"/>
        <v>1</v>
      </c>
      <c r="BK45" s="430" t="b">
        <f t="shared" si="81"/>
        <v>1</v>
      </c>
      <c r="BL45" s="430" t="b">
        <f t="shared" si="81"/>
        <v>1</v>
      </c>
      <c r="BM45" s="430" t="b">
        <f t="shared" si="81"/>
        <v>1</v>
      </c>
      <c r="BN45" s="430" t="b">
        <f t="shared" si="81"/>
        <v>1</v>
      </c>
      <c r="BO45" s="430" t="b">
        <f t="shared" si="81"/>
        <v>1</v>
      </c>
      <c r="BP45" s="430" t="b">
        <f t="shared" si="81"/>
        <v>1</v>
      </c>
      <c r="BQ45" s="244">
        <f t="shared" si="119"/>
        <v>52452301.070893571</v>
      </c>
      <c r="BR45" s="247">
        <f>'[10]Данные для переноса'!AB43</f>
        <v>954936.65828615008</v>
      </c>
      <c r="BS45" s="247">
        <f>'[10]Данные для переноса'!AC43</f>
        <v>1347578.3038025</v>
      </c>
      <c r="BT45" s="247">
        <f>'[10]Данные для переноса'!AD43</f>
        <v>2148490.7961247996</v>
      </c>
      <c r="BU45" s="247">
        <f>'[10]Данные для переноса'!AE43</f>
        <v>2175145.8749192259</v>
      </c>
      <c r="BV45" s="247">
        <f>'[10]Данные для переноса'!AF43</f>
        <v>2609884.303544296</v>
      </c>
      <c r="BW45" s="247">
        <f>'[10]Данные для переноса'!AG43</f>
        <v>2686721.680459504</v>
      </c>
      <c r="BX45" s="247">
        <f>'[10]Данные для переноса'!AH43</f>
        <v>2820875.0797131006</v>
      </c>
      <c r="BY45" s="247">
        <f>'[10]Данные для переноса'!AI43</f>
        <v>2924115.2970741848</v>
      </c>
      <c r="BZ45" s="247">
        <f>'[10]Данные для переноса'!AJ43</f>
        <v>3031293.227413164</v>
      </c>
      <c r="CA45" s="247">
        <f>'[10]Данные для переноса'!AK43</f>
        <v>3142562.5413348214</v>
      </c>
      <c r="CB45" s="247">
        <f>'[10]Данные для переноса'!AL43</f>
        <v>3258082.9795098486</v>
      </c>
      <c r="CC45" s="247">
        <f>'[10]Данные для переноса'!AM43</f>
        <v>3378020.5939423088</v>
      </c>
      <c r="CD45" s="247">
        <f>'[10]Данные для переноса'!AN43</f>
        <v>3502547.9988571103</v>
      </c>
      <c r="CE45" s="247">
        <f>'[10]Данные для переноса'!AO43</f>
        <v>3631844.6315916441</v>
      </c>
      <c r="CF45" s="247">
        <f>'[10]Данные для переноса'!AP43</f>
        <v>3766097.0238911663</v>
      </c>
      <c r="CG45" s="247">
        <f>'[10]Данные для переноса'!AQ43</f>
        <v>3905499.0840233853</v>
      </c>
      <c r="CH45" s="247">
        <f>'[10]Данные для переноса'!AR43</f>
        <v>4050252.390144425</v>
      </c>
      <c r="CI45" s="247">
        <f>'[10]Данные для переноса'!AS43</f>
        <v>4200566.495365507</v>
      </c>
      <c r="CJ45" s="247">
        <f>'[10]Данные для переноса'!AT43</f>
        <v>4356659.2449877393</v>
      </c>
      <c r="CK45" s="247">
        <f>'[10]Данные для переноса'!AU43</f>
        <v>4518757.1063910145</v>
      </c>
      <c r="CL45" s="247">
        <f>'[10]Данные для переноса'!AV43</f>
        <v>4687095.5120824948</v>
      </c>
      <c r="CM45" s="426">
        <v>954936.65828615008</v>
      </c>
      <c r="CN45" s="426">
        <v>1347578.3038025</v>
      </c>
      <c r="CO45" s="426">
        <v>2148490.7961247996</v>
      </c>
      <c r="CP45" s="426">
        <v>2175145.8749192259</v>
      </c>
      <c r="CQ45" s="426">
        <v>2609884.303544296</v>
      </c>
      <c r="CR45" s="426">
        <v>2686721.680459504</v>
      </c>
      <c r="CS45" s="426">
        <v>2820875.0797131006</v>
      </c>
      <c r="CT45" s="426">
        <v>2924115.2970741848</v>
      </c>
      <c r="CU45" s="426">
        <v>3031293.227413164</v>
      </c>
      <c r="CV45" s="426">
        <v>3142562.5413348214</v>
      </c>
      <c r="CW45" s="426">
        <v>3258082.9795098486</v>
      </c>
      <c r="CX45" s="426">
        <v>3378020.5939423088</v>
      </c>
      <c r="CY45" s="426">
        <v>3502547.9988571103</v>
      </c>
      <c r="CZ45" s="426">
        <v>3631844.6315916441</v>
      </c>
      <c r="DA45" s="426">
        <v>3766097.0238911663</v>
      </c>
      <c r="DB45" s="426">
        <v>3905499.0840233853</v>
      </c>
      <c r="DC45" s="426">
        <v>4050252.390144425</v>
      </c>
      <c r="DD45" s="426">
        <v>4200566.495365507</v>
      </c>
      <c r="DE45" s="426">
        <v>4356659.2449877393</v>
      </c>
      <c r="DF45" s="426">
        <v>4518757.1063910145</v>
      </c>
      <c r="DG45" s="426">
        <v>4687095.5120824948</v>
      </c>
      <c r="DH45" s="430" t="b">
        <f t="shared" si="34"/>
        <v>1</v>
      </c>
      <c r="DI45" s="430" t="b">
        <f t="shared" si="34"/>
        <v>1</v>
      </c>
      <c r="DJ45" s="430" t="b">
        <f t="shared" si="34"/>
        <v>1</v>
      </c>
      <c r="DK45" s="430" t="b">
        <f t="shared" si="34"/>
        <v>1</v>
      </c>
      <c r="DL45" s="430" t="b">
        <f t="shared" si="34"/>
        <v>1</v>
      </c>
      <c r="DM45" s="430" t="b">
        <f t="shared" si="34"/>
        <v>1</v>
      </c>
      <c r="DN45" s="430" t="b">
        <f t="shared" si="34"/>
        <v>1</v>
      </c>
      <c r="DO45" s="430" t="b">
        <f t="shared" si="34"/>
        <v>1</v>
      </c>
      <c r="DP45" s="430" t="b">
        <f t="shared" si="34"/>
        <v>1</v>
      </c>
      <c r="DQ45" s="430" t="b">
        <f t="shared" si="82"/>
        <v>1</v>
      </c>
      <c r="DR45" s="430" t="b">
        <f t="shared" si="82"/>
        <v>1</v>
      </c>
      <c r="DS45" s="430" t="b">
        <f t="shared" si="82"/>
        <v>1</v>
      </c>
      <c r="DT45" s="430" t="b">
        <f t="shared" si="82"/>
        <v>1</v>
      </c>
      <c r="DU45" s="430" t="b">
        <f t="shared" si="82"/>
        <v>1</v>
      </c>
      <c r="DV45" s="430" t="b">
        <f t="shared" si="82"/>
        <v>1</v>
      </c>
      <c r="DW45" s="430" t="b">
        <f t="shared" si="82"/>
        <v>1</v>
      </c>
      <c r="DX45" s="430" t="b">
        <f t="shared" si="82"/>
        <v>1</v>
      </c>
      <c r="DY45" s="430" t="b">
        <f t="shared" si="82"/>
        <v>1</v>
      </c>
      <c r="DZ45" s="430" t="b">
        <f t="shared" si="82"/>
        <v>1</v>
      </c>
      <c r="EA45" s="430" t="b">
        <f t="shared" si="82"/>
        <v>1</v>
      </c>
      <c r="EB45" s="430" t="b">
        <f t="shared" si="82"/>
        <v>1</v>
      </c>
      <c r="EC45" s="244">
        <f t="shared" si="120"/>
        <v>60470875.190325722</v>
      </c>
      <c r="ED45" s="223">
        <f t="shared" si="97"/>
        <v>0</v>
      </c>
      <c r="EE45" s="223">
        <f t="shared" si="98"/>
        <v>0</v>
      </c>
      <c r="EF45" s="223">
        <f t="shared" si="99"/>
        <v>0</v>
      </c>
      <c r="EG45" s="223">
        <f t="shared" si="100"/>
        <v>5816.5711204707623</v>
      </c>
      <c r="EH45" s="223">
        <f t="shared" si="101"/>
        <v>379588.13786319317</v>
      </c>
      <c r="EI45" s="223">
        <f t="shared" si="102"/>
        <v>385549.45477772132</v>
      </c>
      <c r="EJ45" s="223">
        <f t="shared" si="103"/>
        <v>427655.96500404645</v>
      </c>
      <c r="EK45" s="223">
        <f t="shared" si="104"/>
        <v>435167.41777676903</v>
      </c>
      <c r="EL45" s="223">
        <f t="shared" si="105"/>
        <v>442787.43294385122</v>
      </c>
      <c r="EM45" s="223">
        <f t="shared" si="106"/>
        <v>450516.51508673606</v>
      </c>
      <c r="EN45" s="223">
        <f t="shared" si="107"/>
        <v>458355.11221183976</v>
      </c>
      <c r="EO45" s="223">
        <f t="shared" si="108"/>
        <v>466303.61195237935</v>
      </c>
      <c r="EP45" s="223">
        <f t="shared" si="109"/>
        <v>474362.33758758381</v>
      </c>
      <c r="EQ45" s="223">
        <f>CE45-S45</f>
        <v>482531.54387133662</v>
      </c>
      <c r="ER45" s="223">
        <f>CF45-T45</f>
        <v>490811.4126620465</v>
      </c>
      <c r="ES45" s="223">
        <f>CG45-U45</f>
        <v>499202.04834510013</v>
      </c>
      <c r="ET45" s="223">
        <f>CH45-V45</f>
        <v>507703.47303900914</v>
      </c>
      <c r="EU45" s="223">
        <f>CI45-W45</f>
        <v>516315.62157587381</v>
      </c>
      <c r="EV45" s="223">
        <f>CJ45-X45</f>
        <v>525038.33624652121</v>
      </c>
      <c r="EW45" s="223">
        <f>CK45-Y45</f>
        <v>533871.36130014667</v>
      </c>
      <c r="EX45" s="223">
        <f>CL45-Z45</f>
        <v>542814.33718799194</v>
      </c>
      <c r="EY45" s="244">
        <f t="shared" si="121"/>
        <v>8018574.1194321457</v>
      </c>
    </row>
    <row r="46" spans="1:155" s="235" customFormat="1" x14ac:dyDescent="0.35">
      <c r="A46" s="221"/>
      <c r="B46" s="222"/>
      <c r="C46" s="241">
        <v>29</v>
      </c>
      <c r="D46" s="265" t="s">
        <v>35</v>
      </c>
      <c r="E46" s="243" t="s">
        <v>10</v>
      </c>
      <c r="F46" s="384">
        <f>'[10]Данные для переноса'!F44</f>
        <v>110468.256079318</v>
      </c>
      <c r="G46" s="384">
        <f>'[10]Данные для переноса'!G44</f>
        <v>134774.97535300799</v>
      </c>
      <c r="H46" s="384">
        <f>'[10]Данные для переноса'!H44</f>
        <v>270177.91364793602</v>
      </c>
      <c r="I46" s="384">
        <f>'[10]Данные для переноса'!I44</f>
        <v>446702.19518348819</v>
      </c>
      <c r="J46" s="384">
        <f>'[10]Данные для переноса'!J44</f>
        <v>464871.55204146227</v>
      </c>
      <c r="K46" s="384">
        <f>'[10]Данные для переноса'!K44</f>
        <v>483312.27386176644</v>
      </c>
      <c r="L46" s="384">
        <f>'[10]Данные для переноса'!L44</f>
        <v>502628.6447859616</v>
      </c>
      <c r="M46" s="384">
        <f>'[10]Данные для переноса'!M44</f>
        <v>522664.08156082837</v>
      </c>
      <c r="N46" s="384">
        <f>'[10]Данные для переноса'!N44</f>
        <v>543607.29657158908</v>
      </c>
      <c r="O46" s="384">
        <f>'[10]Данные для переноса'!O44</f>
        <v>565391.23096544354</v>
      </c>
      <c r="P46" s="384">
        <f>'[10]Данные для переноса'!P44</f>
        <v>588049.75756558101</v>
      </c>
      <c r="Q46" s="384">
        <f>'[10]Данные для переноса'!Q44</f>
        <v>611618.12402242422</v>
      </c>
      <c r="R46" s="384">
        <f>'[10]Данные для переноса'!R44</f>
        <v>636133.00943172525</v>
      </c>
      <c r="S46" s="384">
        <f>'[10]Данные для переноса'!S44</f>
        <v>661632.58334998833</v>
      </c>
      <c r="T46" s="384">
        <f>'[10]Данные для переноса'!T44</f>
        <v>688156.56731392676</v>
      </c>
      <c r="U46" s="384">
        <f>'[10]Данные для переноса'!U44</f>
        <v>715746.29897582601</v>
      </c>
      <c r="V46" s="384">
        <f>'[10]Данные для переноса'!V44</f>
        <v>744444.79897209944</v>
      </c>
      <c r="W46" s="384">
        <f>'[10]Данные для переноса'!W44</f>
        <v>774296.84064806276</v>
      </c>
      <c r="X46" s="384">
        <f>'[10]Данные для переноса'!X44</f>
        <v>805349.02276797802</v>
      </c>
      <c r="Y46" s="384">
        <f>'[10]Данные для переноса'!Y44</f>
        <v>837649.84534579981</v>
      </c>
      <c r="Z46" s="384">
        <f>'[10]Данные для переноса'!Z44</f>
        <v>871249.78873877018</v>
      </c>
      <c r="AA46" s="426">
        <v>110468.256079318</v>
      </c>
      <c r="AB46" s="426">
        <v>134774.97535300799</v>
      </c>
      <c r="AC46" s="426">
        <v>270177.91364793602</v>
      </c>
      <c r="AD46" s="426">
        <v>446702.19518348819</v>
      </c>
      <c r="AE46" s="426">
        <v>464871.55204146227</v>
      </c>
      <c r="AF46" s="426">
        <v>483312.27386176644</v>
      </c>
      <c r="AG46" s="426">
        <v>502628.6447859616</v>
      </c>
      <c r="AH46" s="426">
        <v>522664.08156082837</v>
      </c>
      <c r="AI46" s="426">
        <v>543607.29657158908</v>
      </c>
      <c r="AJ46" s="426">
        <v>565391.23096544354</v>
      </c>
      <c r="AK46" s="426">
        <v>588049.75756558101</v>
      </c>
      <c r="AL46" s="426">
        <v>611618.12402242422</v>
      </c>
      <c r="AM46" s="426">
        <v>636133.00943172525</v>
      </c>
      <c r="AN46" s="426">
        <v>661632.58334998833</v>
      </c>
      <c r="AO46" s="426">
        <v>688156.56731392676</v>
      </c>
      <c r="AP46" s="426">
        <v>715746.29897582601</v>
      </c>
      <c r="AQ46" s="426">
        <v>744444.79897209944</v>
      </c>
      <c r="AR46" s="426">
        <v>774296.84064806276</v>
      </c>
      <c r="AS46" s="426">
        <v>805349.02276797802</v>
      </c>
      <c r="AT46" s="426">
        <v>837649.84534579981</v>
      </c>
      <c r="AU46" s="426">
        <v>871249.78873877018</v>
      </c>
      <c r="AV46" s="430" t="b">
        <f t="shared" si="32"/>
        <v>1</v>
      </c>
      <c r="AW46" s="430" t="b">
        <f t="shared" si="32"/>
        <v>1</v>
      </c>
      <c r="AX46" s="430" t="b">
        <f t="shared" si="32"/>
        <v>1</v>
      </c>
      <c r="AY46" s="430" t="b">
        <f t="shared" si="32"/>
        <v>1</v>
      </c>
      <c r="AZ46" s="430" t="b">
        <f t="shared" si="32"/>
        <v>1</v>
      </c>
      <c r="BA46" s="430" t="b">
        <f t="shared" si="32"/>
        <v>1</v>
      </c>
      <c r="BB46" s="430" t="b">
        <f t="shared" si="32"/>
        <v>1</v>
      </c>
      <c r="BC46" s="430" t="b">
        <f t="shared" si="32"/>
        <v>1</v>
      </c>
      <c r="BD46" s="430" t="b">
        <f t="shared" si="32"/>
        <v>1</v>
      </c>
      <c r="BE46" s="430" t="b">
        <f t="shared" si="81"/>
        <v>1</v>
      </c>
      <c r="BF46" s="430" t="b">
        <f t="shared" si="81"/>
        <v>1</v>
      </c>
      <c r="BG46" s="430" t="b">
        <f t="shared" si="81"/>
        <v>1</v>
      </c>
      <c r="BH46" s="430" t="b">
        <f t="shared" si="81"/>
        <v>1</v>
      </c>
      <c r="BI46" s="430" t="b">
        <f t="shared" si="81"/>
        <v>1</v>
      </c>
      <c r="BJ46" s="430" t="b">
        <f t="shared" si="81"/>
        <v>1</v>
      </c>
      <c r="BK46" s="430" t="b">
        <f t="shared" si="81"/>
        <v>1</v>
      </c>
      <c r="BL46" s="430" t="b">
        <f t="shared" si="81"/>
        <v>1</v>
      </c>
      <c r="BM46" s="430" t="b">
        <f t="shared" si="81"/>
        <v>1</v>
      </c>
      <c r="BN46" s="430" t="b">
        <f t="shared" si="81"/>
        <v>1</v>
      </c>
      <c r="BO46" s="430" t="b">
        <f t="shared" si="81"/>
        <v>1</v>
      </c>
      <c r="BP46" s="430" t="b">
        <f t="shared" si="81"/>
        <v>1</v>
      </c>
      <c r="BQ46" s="244">
        <f t="shared" si="119"/>
        <v>11016801.716919234</v>
      </c>
      <c r="BR46" s="247">
        <f>'[10]Данные для переноса'!AB44</f>
        <v>110468.256079318</v>
      </c>
      <c r="BS46" s="247">
        <f>'[10]Данные для переноса'!AC44</f>
        <v>134774.97535300799</v>
      </c>
      <c r="BT46" s="247">
        <f>'[10]Данные для переноса'!AD44</f>
        <v>270177.91364793602</v>
      </c>
      <c r="BU46" s="247">
        <f>'[10]Данные для переноса'!AE44</f>
        <v>447390.99965828081</v>
      </c>
      <c r="BV46" s="247">
        <f>'[10]Данные для переноса'!AF44</f>
        <v>509822.77889368252</v>
      </c>
      <c r="BW46" s="247">
        <f>'[10]Данные для переноса'!AG44</f>
        <v>528969.44613807544</v>
      </c>
      <c r="BX46" s="247">
        <f>'[10]Данные для переноса'!AH44</f>
        <v>553272.11432591453</v>
      </c>
      <c r="BY46" s="247">
        <f>'[10]Данные для переноса'!AI44</f>
        <v>574197.0652449195</v>
      </c>
      <c r="BZ46" s="247">
        <f>'[10]Данные для переноса'!AJ44</f>
        <v>596042.65047283459</v>
      </c>
      <c r="CA46" s="247">
        <f>'[10]Данные для переноса'!AK44</f>
        <v>618741.87090992543</v>
      </c>
      <c r="CB46" s="247">
        <f>'[10]Данные для переноса'!AL44</f>
        <v>642328.65243277256</v>
      </c>
      <c r="CC46" s="247">
        <f>'[10]Данные для переноса'!AM44</f>
        <v>666838.2885957323</v>
      </c>
      <c r="CD46" s="247">
        <f>'[10]Данные для переноса'!AN44</f>
        <v>692307.49677762331</v>
      </c>
      <c r="CE46" s="247">
        <f>'[10]Данные для переноса'!AO44</f>
        <v>718774.47670317302</v>
      </c>
      <c r="CF46" s="247">
        <f>'[10]Данные для переноса'!AP44</f>
        <v>746278.97144495859</v>
      </c>
      <c r="CG46" s="247">
        <f>'[10]Данные для переноса'!AQ44</f>
        <v>774862.33101669326</v>
      </c>
      <c r="CH46" s="247">
        <f>'[10]Данные для переноса'!AR44</f>
        <v>804567.5786740873</v>
      </c>
      <c r="CI46" s="247">
        <f>'[10]Данные для переноса'!AS44</f>
        <v>835439.48004520568</v>
      </c>
      <c r="CJ46" s="247">
        <f>'[10]Данные для переноса'!AT44</f>
        <v>867524.615218224</v>
      </c>
      <c r="CK46" s="247">
        <f>'[10]Данные для переноса'!AU44</f>
        <v>900871.45392081724</v>
      </c>
      <c r="CL46" s="247">
        <f>'[10]Данные для переноса'!AV44</f>
        <v>935530.43393208506</v>
      </c>
      <c r="CM46" s="426">
        <v>110468.256079318</v>
      </c>
      <c r="CN46" s="426">
        <v>134774.97535300799</v>
      </c>
      <c r="CO46" s="426">
        <v>270177.91364793602</v>
      </c>
      <c r="CP46" s="426">
        <v>447390.99965828081</v>
      </c>
      <c r="CQ46" s="426">
        <v>509822.77889368252</v>
      </c>
      <c r="CR46" s="426">
        <v>528969.44613807544</v>
      </c>
      <c r="CS46" s="426">
        <v>553272.11432591453</v>
      </c>
      <c r="CT46" s="426">
        <v>574197.0652449195</v>
      </c>
      <c r="CU46" s="426">
        <v>596042.65047283459</v>
      </c>
      <c r="CV46" s="426">
        <v>618741.87090992543</v>
      </c>
      <c r="CW46" s="426">
        <v>642328.65243277256</v>
      </c>
      <c r="CX46" s="426">
        <v>666838.2885957323</v>
      </c>
      <c r="CY46" s="426">
        <v>692307.49677762331</v>
      </c>
      <c r="CZ46" s="426">
        <v>718774.47670317302</v>
      </c>
      <c r="DA46" s="426">
        <v>746278.97144495859</v>
      </c>
      <c r="DB46" s="426">
        <v>774862.33101669326</v>
      </c>
      <c r="DC46" s="426">
        <v>804567.5786740873</v>
      </c>
      <c r="DD46" s="426">
        <v>835439.48004520568</v>
      </c>
      <c r="DE46" s="426">
        <v>867524.615218224</v>
      </c>
      <c r="DF46" s="426">
        <v>900871.45392081724</v>
      </c>
      <c r="DG46" s="426">
        <v>935530.43393208506</v>
      </c>
      <c r="DH46" s="430" t="b">
        <f t="shared" si="34"/>
        <v>1</v>
      </c>
      <c r="DI46" s="430" t="b">
        <f t="shared" si="34"/>
        <v>1</v>
      </c>
      <c r="DJ46" s="430" t="b">
        <f t="shared" si="34"/>
        <v>1</v>
      </c>
      <c r="DK46" s="430" t="b">
        <f t="shared" si="34"/>
        <v>1</v>
      </c>
      <c r="DL46" s="430" t="b">
        <f t="shared" si="34"/>
        <v>1</v>
      </c>
      <c r="DM46" s="430" t="b">
        <f t="shared" si="34"/>
        <v>1</v>
      </c>
      <c r="DN46" s="430" t="b">
        <f t="shared" si="34"/>
        <v>1</v>
      </c>
      <c r="DO46" s="430" t="b">
        <f t="shared" si="34"/>
        <v>1</v>
      </c>
      <c r="DP46" s="430" t="b">
        <f t="shared" si="34"/>
        <v>1</v>
      </c>
      <c r="DQ46" s="430" t="b">
        <f t="shared" si="82"/>
        <v>1</v>
      </c>
      <c r="DR46" s="430" t="b">
        <f t="shared" si="82"/>
        <v>1</v>
      </c>
      <c r="DS46" s="430" t="b">
        <f t="shared" si="82"/>
        <v>1</v>
      </c>
      <c r="DT46" s="430" t="b">
        <f t="shared" si="82"/>
        <v>1</v>
      </c>
      <c r="DU46" s="430" t="b">
        <f t="shared" si="82"/>
        <v>1</v>
      </c>
      <c r="DV46" s="430" t="b">
        <f t="shared" si="82"/>
        <v>1</v>
      </c>
      <c r="DW46" s="430" t="b">
        <f t="shared" si="82"/>
        <v>1</v>
      </c>
      <c r="DX46" s="430" t="b">
        <f t="shared" si="82"/>
        <v>1</v>
      </c>
      <c r="DY46" s="430" t="b">
        <f t="shared" si="82"/>
        <v>1</v>
      </c>
      <c r="DZ46" s="430" t="b">
        <f t="shared" si="82"/>
        <v>1</v>
      </c>
      <c r="EA46" s="430" t="b">
        <f t="shared" si="82"/>
        <v>1</v>
      </c>
      <c r="EB46" s="430" t="b">
        <f t="shared" si="82"/>
        <v>1</v>
      </c>
      <c r="EC46" s="244">
        <f>SUM(BV46:CL46)</f>
        <v>11966369.704746723</v>
      </c>
      <c r="ED46" s="223">
        <f t="shared" si="97"/>
        <v>0</v>
      </c>
      <c r="EE46" s="223">
        <f t="shared" si="98"/>
        <v>0</v>
      </c>
      <c r="EF46" s="223">
        <f t="shared" si="99"/>
        <v>0</v>
      </c>
      <c r="EG46" s="223">
        <f t="shared" si="100"/>
        <v>688.80447479261784</v>
      </c>
      <c r="EH46" s="223">
        <f t="shared" si="101"/>
        <v>44951.22685222025</v>
      </c>
      <c r="EI46" s="223">
        <f t="shared" si="102"/>
        <v>45657.172276308993</v>
      </c>
      <c r="EJ46" s="223">
        <f t="shared" si="103"/>
        <v>50643.46953995293</v>
      </c>
      <c r="EK46" s="223">
        <f t="shared" si="104"/>
        <v>51532.98368409113</v>
      </c>
      <c r="EL46" s="223">
        <f t="shared" si="105"/>
        <v>52435.353901245515</v>
      </c>
      <c r="EM46" s="223">
        <f t="shared" si="106"/>
        <v>53350.639944481896</v>
      </c>
      <c r="EN46" s="223">
        <f t="shared" si="107"/>
        <v>54278.894867191557</v>
      </c>
      <c r="EO46" s="223">
        <f t="shared" si="108"/>
        <v>55220.16457330808</v>
      </c>
      <c r="EP46" s="223">
        <f t="shared" si="109"/>
        <v>56174.487345898058</v>
      </c>
      <c r="EQ46" s="223">
        <f>CE46-S46</f>
        <v>57141.893353184685</v>
      </c>
      <c r="ER46" s="223">
        <f>CF46-T46</f>
        <v>58122.404131031828</v>
      </c>
      <c r="ES46" s="223">
        <f>CG46-U46</f>
        <v>59116.032040867256</v>
      </c>
      <c r="ET46" s="223">
        <f>CH46-V46</f>
        <v>60122.779701987864</v>
      </c>
      <c r="EU46" s="223">
        <f>CI46-W46</f>
        <v>61142.639397142921</v>
      </c>
      <c r="EV46" s="223">
        <f>CJ46-X46</f>
        <v>62175.592450245982</v>
      </c>
      <c r="EW46" s="223">
        <f>CK46-Y46</f>
        <v>63221.608575017424</v>
      </c>
      <c r="EX46" s="223">
        <f>CL46-Z46</f>
        <v>64280.645193314878</v>
      </c>
      <c r="EY46" s="244">
        <f>SUM(EH46:EX46)</f>
        <v>949567.98782749125</v>
      </c>
    </row>
    <row r="47" spans="1:155" s="235" customFormat="1" x14ac:dyDescent="0.35">
      <c r="A47" s="221"/>
      <c r="B47" s="222"/>
      <c r="C47" s="241">
        <v>30</v>
      </c>
      <c r="D47" s="265" t="s">
        <v>36</v>
      </c>
      <c r="E47" s="243" t="s">
        <v>10</v>
      </c>
      <c r="F47" s="384">
        <f>'[10]Данные для переноса'!F45</f>
        <v>0</v>
      </c>
      <c r="G47" s="384">
        <f>'[10]Данные для переноса'!G45</f>
        <v>0</v>
      </c>
      <c r="H47" s="384">
        <f>'[10]Данные для переноса'!H45</f>
        <v>0</v>
      </c>
      <c r="I47" s="384">
        <f>'[10]Данные для переноса'!I45</f>
        <v>0</v>
      </c>
      <c r="J47" s="384">
        <f>'[10]Данные для переноса'!J45</f>
        <v>0</v>
      </c>
      <c r="K47" s="384">
        <f>'[10]Данные для переноса'!K45</f>
        <v>0</v>
      </c>
      <c r="L47" s="384">
        <f>'[10]Данные для переноса'!L45</f>
        <v>0</v>
      </c>
      <c r="M47" s="384">
        <f>'[10]Данные для переноса'!M45</f>
        <v>0</v>
      </c>
      <c r="N47" s="384">
        <f>'[10]Данные для переноса'!N45</f>
        <v>0</v>
      </c>
      <c r="O47" s="384">
        <f>'[10]Данные для переноса'!O45</f>
        <v>0</v>
      </c>
      <c r="P47" s="384">
        <f>'[10]Данные для переноса'!P45</f>
        <v>0</v>
      </c>
      <c r="Q47" s="384">
        <f>'[10]Данные для переноса'!Q45</f>
        <v>0</v>
      </c>
      <c r="R47" s="384">
        <f>'[10]Данные для переноса'!R45</f>
        <v>0</v>
      </c>
      <c r="S47" s="384">
        <f>'[10]Данные для переноса'!S45</f>
        <v>0</v>
      </c>
      <c r="T47" s="384">
        <f>'[10]Данные для переноса'!T45</f>
        <v>0</v>
      </c>
      <c r="U47" s="384">
        <f>'[10]Данные для переноса'!U45</f>
        <v>0</v>
      </c>
      <c r="V47" s="384">
        <f>'[10]Данные для переноса'!V45</f>
        <v>0</v>
      </c>
      <c r="W47" s="384">
        <f>'[10]Данные для переноса'!W45</f>
        <v>0</v>
      </c>
      <c r="X47" s="384">
        <f>'[10]Данные для переноса'!X45</f>
        <v>0</v>
      </c>
      <c r="Y47" s="384">
        <f>'[10]Данные для переноса'!Y45</f>
        <v>0</v>
      </c>
      <c r="Z47" s="384">
        <f>'[10]Данные для переноса'!Z45</f>
        <v>0</v>
      </c>
      <c r="AA47" s="426">
        <v>0</v>
      </c>
      <c r="AB47" s="426">
        <v>0</v>
      </c>
      <c r="AC47" s="426">
        <v>0</v>
      </c>
      <c r="AD47" s="426">
        <v>0</v>
      </c>
      <c r="AE47" s="426">
        <v>0</v>
      </c>
      <c r="AF47" s="426">
        <v>0</v>
      </c>
      <c r="AG47" s="426">
        <v>0</v>
      </c>
      <c r="AH47" s="426">
        <v>0</v>
      </c>
      <c r="AI47" s="426">
        <v>0</v>
      </c>
      <c r="AJ47" s="426">
        <v>0</v>
      </c>
      <c r="AK47" s="426">
        <v>0</v>
      </c>
      <c r="AL47" s="426">
        <v>0</v>
      </c>
      <c r="AM47" s="426">
        <v>0</v>
      </c>
      <c r="AN47" s="426">
        <v>0</v>
      </c>
      <c r="AO47" s="426">
        <v>0</v>
      </c>
      <c r="AP47" s="426">
        <v>0</v>
      </c>
      <c r="AQ47" s="426">
        <v>0</v>
      </c>
      <c r="AR47" s="426">
        <v>0</v>
      </c>
      <c r="AS47" s="426">
        <v>0</v>
      </c>
      <c r="AT47" s="426">
        <v>0</v>
      </c>
      <c r="AU47" s="426">
        <v>0</v>
      </c>
      <c r="AV47" s="430" t="b">
        <f t="shared" si="32"/>
        <v>1</v>
      </c>
      <c r="AW47" s="430" t="b">
        <f t="shared" si="32"/>
        <v>1</v>
      </c>
      <c r="AX47" s="430" t="b">
        <f t="shared" si="32"/>
        <v>1</v>
      </c>
      <c r="AY47" s="430" t="b">
        <f t="shared" si="32"/>
        <v>1</v>
      </c>
      <c r="AZ47" s="430" t="b">
        <f t="shared" si="32"/>
        <v>1</v>
      </c>
      <c r="BA47" s="430" t="b">
        <f t="shared" si="32"/>
        <v>1</v>
      </c>
      <c r="BB47" s="430" t="b">
        <f t="shared" si="32"/>
        <v>1</v>
      </c>
      <c r="BC47" s="430" t="b">
        <f t="shared" si="32"/>
        <v>1</v>
      </c>
      <c r="BD47" s="430" t="b">
        <f t="shared" si="32"/>
        <v>1</v>
      </c>
      <c r="BE47" s="430" t="b">
        <f t="shared" si="32"/>
        <v>1</v>
      </c>
      <c r="BF47" s="430" t="b">
        <f t="shared" si="32"/>
        <v>1</v>
      </c>
      <c r="BG47" s="430" t="b">
        <f t="shared" si="81"/>
        <v>1</v>
      </c>
      <c r="BH47" s="430" t="b">
        <f t="shared" si="81"/>
        <v>1</v>
      </c>
      <c r="BI47" s="430" t="b">
        <f t="shared" si="81"/>
        <v>1</v>
      </c>
      <c r="BJ47" s="430" t="b">
        <f t="shared" si="81"/>
        <v>1</v>
      </c>
      <c r="BK47" s="430" t="b">
        <f t="shared" si="81"/>
        <v>1</v>
      </c>
      <c r="BL47" s="430" t="b">
        <f t="shared" si="81"/>
        <v>1</v>
      </c>
      <c r="BM47" s="430" t="b">
        <f t="shared" si="81"/>
        <v>1</v>
      </c>
      <c r="BN47" s="430" t="b">
        <f t="shared" si="81"/>
        <v>1</v>
      </c>
      <c r="BO47" s="430" t="b">
        <f t="shared" si="81"/>
        <v>1</v>
      </c>
      <c r="BP47" s="430" t="b">
        <f t="shared" si="81"/>
        <v>1</v>
      </c>
      <c r="BQ47" s="244">
        <f t="shared" si="119"/>
        <v>0</v>
      </c>
      <c r="BR47" s="247">
        <f>'[10]Данные для переноса'!AB45</f>
        <v>0</v>
      </c>
      <c r="BS47" s="247">
        <f>'[10]Данные для переноса'!AC45</f>
        <v>0</v>
      </c>
      <c r="BT47" s="247">
        <f>'[10]Данные для переноса'!AD45</f>
        <v>0</v>
      </c>
      <c r="BU47" s="247">
        <f>'[10]Данные для переноса'!AE45</f>
        <v>0</v>
      </c>
      <c r="BV47" s="247">
        <f>'[10]Данные для переноса'!AF45</f>
        <v>0</v>
      </c>
      <c r="BW47" s="247">
        <f>'[10]Данные для переноса'!AG45</f>
        <v>0</v>
      </c>
      <c r="BX47" s="247">
        <f>'[10]Данные для переноса'!AH45</f>
        <v>0</v>
      </c>
      <c r="BY47" s="247">
        <f>'[10]Данные для переноса'!AI45</f>
        <v>0</v>
      </c>
      <c r="BZ47" s="247">
        <f>'[10]Данные для переноса'!AJ45</f>
        <v>0</v>
      </c>
      <c r="CA47" s="247">
        <f>'[10]Данные для переноса'!AK45</f>
        <v>0</v>
      </c>
      <c r="CB47" s="247">
        <f>'[10]Данные для переноса'!AL45</f>
        <v>0</v>
      </c>
      <c r="CC47" s="247">
        <f>'[10]Данные для переноса'!AM45</f>
        <v>0</v>
      </c>
      <c r="CD47" s="247">
        <f>'[10]Данные для переноса'!AN45</f>
        <v>0</v>
      </c>
      <c r="CE47" s="247">
        <f>'[10]Данные для переноса'!AO45</f>
        <v>0</v>
      </c>
      <c r="CF47" s="247">
        <f>'[10]Данные для переноса'!AP45</f>
        <v>0</v>
      </c>
      <c r="CG47" s="247">
        <f>'[10]Данные для переноса'!AQ45</f>
        <v>0</v>
      </c>
      <c r="CH47" s="247">
        <f>'[10]Данные для переноса'!AR45</f>
        <v>0</v>
      </c>
      <c r="CI47" s="247">
        <f>'[10]Данные для переноса'!AS45</f>
        <v>0</v>
      </c>
      <c r="CJ47" s="247">
        <f>'[10]Данные для переноса'!AT45</f>
        <v>0</v>
      </c>
      <c r="CK47" s="247">
        <f>'[10]Данные для переноса'!AU45</f>
        <v>0</v>
      </c>
      <c r="CL47" s="247">
        <f>'[10]Данные для переноса'!AV45</f>
        <v>0</v>
      </c>
      <c r="CM47" s="426">
        <v>0</v>
      </c>
      <c r="CN47" s="426">
        <v>0</v>
      </c>
      <c r="CO47" s="426">
        <v>0</v>
      </c>
      <c r="CP47" s="426">
        <v>0</v>
      </c>
      <c r="CQ47" s="426">
        <v>0</v>
      </c>
      <c r="CR47" s="426">
        <v>0</v>
      </c>
      <c r="CS47" s="426">
        <v>0</v>
      </c>
      <c r="CT47" s="426">
        <v>0</v>
      </c>
      <c r="CU47" s="426">
        <v>0</v>
      </c>
      <c r="CV47" s="426">
        <v>0</v>
      </c>
      <c r="CW47" s="426">
        <v>0</v>
      </c>
      <c r="CX47" s="426">
        <v>0</v>
      </c>
      <c r="CY47" s="426">
        <v>0</v>
      </c>
      <c r="CZ47" s="426">
        <v>0</v>
      </c>
      <c r="DA47" s="426">
        <v>0</v>
      </c>
      <c r="DB47" s="426">
        <v>0</v>
      </c>
      <c r="DC47" s="426">
        <v>0</v>
      </c>
      <c r="DD47" s="426">
        <v>0</v>
      </c>
      <c r="DE47" s="426">
        <v>0</v>
      </c>
      <c r="DF47" s="426">
        <v>0</v>
      </c>
      <c r="DG47" s="426">
        <v>0</v>
      </c>
      <c r="DH47" s="430" t="b">
        <f t="shared" si="34"/>
        <v>1</v>
      </c>
      <c r="DI47" s="430" t="b">
        <f t="shared" si="34"/>
        <v>1</v>
      </c>
      <c r="DJ47" s="430" t="b">
        <f t="shared" si="34"/>
        <v>1</v>
      </c>
      <c r="DK47" s="430" t="b">
        <f t="shared" si="34"/>
        <v>1</v>
      </c>
      <c r="DL47" s="430" t="b">
        <f t="shared" si="34"/>
        <v>1</v>
      </c>
      <c r="DM47" s="430" t="b">
        <f t="shared" si="34"/>
        <v>1</v>
      </c>
      <c r="DN47" s="430" t="b">
        <f t="shared" si="34"/>
        <v>1</v>
      </c>
      <c r="DO47" s="430" t="b">
        <f t="shared" si="34"/>
        <v>1</v>
      </c>
      <c r="DP47" s="430" t="b">
        <f t="shared" si="34"/>
        <v>1</v>
      </c>
      <c r="DQ47" s="430" t="b">
        <f t="shared" si="34"/>
        <v>1</v>
      </c>
      <c r="DR47" s="430" t="b">
        <f t="shared" si="34"/>
        <v>1</v>
      </c>
      <c r="DS47" s="430" t="b">
        <f t="shared" si="82"/>
        <v>1</v>
      </c>
      <c r="DT47" s="430" t="b">
        <f t="shared" si="82"/>
        <v>1</v>
      </c>
      <c r="DU47" s="430" t="b">
        <f t="shared" si="82"/>
        <v>1</v>
      </c>
      <c r="DV47" s="430" t="b">
        <f t="shared" si="82"/>
        <v>1</v>
      </c>
      <c r="DW47" s="430" t="b">
        <f t="shared" si="82"/>
        <v>1</v>
      </c>
      <c r="DX47" s="430" t="b">
        <f t="shared" si="82"/>
        <v>1</v>
      </c>
      <c r="DY47" s="430" t="b">
        <f t="shared" si="82"/>
        <v>1</v>
      </c>
      <c r="DZ47" s="430" t="b">
        <f t="shared" si="82"/>
        <v>1</v>
      </c>
      <c r="EA47" s="430" t="b">
        <f t="shared" si="82"/>
        <v>1</v>
      </c>
      <c r="EB47" s="430" t="b">
        <f t="shared" si="82"/>
        <v>1</v>
      </c>
      <c r="EC47" s="244">
        <f t="shared" si="120"/>
        <v>0</v>
      </c>
      <c r="ED47" s="223">
        <f t="shared" si="97"/>
        <v>0</v>
      </c>
      <c r="EE47" s="223">
        <f t="shared" si="98"/>
        <v>0</v>
      </c>
      <c r="EF47" s="223">
        <f t="shared" si="99"/>
        <v>0</v>
      </c>
      <c r="EG47" s="223">
        <f t="shared" si="100"/>
        <v>0</v>
      </c>
      <c r="EH47" s="223">
        <f t="shared" si="101"/>
        <v>0</v>
      </c>
      <c r="EI47" s="223">
        <f t="shared" si="102"/>
        <v>0</v>
      </c>
      <c r="EJ47" s="223">
        <f t="shared" si="103"/>
        <v>0</v>
      </c>
      <c r="EK47" s="223">
        <f t="shared" si="104"/>
        <v>0</v>
      </c>
      <c r="EL47" s="223">
        <f t="shared" si="105"/>
        <v>0</v>
      </c>
      <c r="EM47" s="223">
        <f t="shared" si="106"/>
        <v>0</v>
      </c>
      <c r="EN47" s="223">
        <f t="shared" si="107"/>
        <v>0</v>
      </c>
      <c r="EO47" s="223">
        <f t="shared" si="108"/>
        <v>0</v>
      </c>
      <c r="EP47" s="223">
        <f t="shared" si="109"/>
        <v>0</v>
      </c>
      <c r="EQ47" s="223">
        <f>CE47-S47</f>
        <v>0</v>
      </c>
      <c r="ER47" s="223">
        <f>CF47-T47</f>
        <v>0</v>
      </c>
      <c r="ES47" s="223">
        <f>CG47-U47</f>
        <v>0</v>
      </c>
      <c r="ET47" s="223">
        <f>CH47-V47</f>
        <v>0</v>
      </c>
      <c r="EU47" s="223">
        <f>CI47-W47</f>
        <v>0</v>
      </c>
      <c r="EV47" s="223">
        <f>CJ47-X47</f>
        <v>0</v>
      </c>
      <c r="EW47" s="223">
        <f>CK47-Y47</f>
        <v>0</v>
      </c>
      <c r="EX47" s="223">
        <f>CL47-Z47</f>
        <v>0</v>
      </c>
      <c r="EY47" s="244">
        <f t="shared" si="121"/>
        <v>0</v>
      </c>
    </row>
    <row r="48" spans="1:155" s="235" customFormat="1" x14ac:dyDescent="0.35">
      <c r="A48" s="221"/>
      <c r="B48" s="222"/>
      <c r="C48" s="241">
        <v>31</v>
      </c>
      <c r="D48" s="265" t="s">
        <v>37</v>
      </c>
      <c r="E48" s="243" t="s">
        <v>10</v>
      </c>
      <c r="F48" s="384">
        <f>'[10]Данные для переноса'!F46</f>
        <v>639760.12530999992</v>
      </c>
      <c r="G48" s="384">
        <f>'[10]Данные для переноса'!G46</f>
        <v>700275.63043000002</v>
      </c>
      <c r="H48" s="384">
        <f>'[10]Данные для переноса'!H46</f>
        <v>764463.57802999998</v>
      </c>
      <c r="I48" s="384">
        <f>'[10]Данные для переноса'!I46</f>
        <v>798864.43904134992</v>
      </c>
      <c r="J48" s="384">
        <f>'[10]Данные для переноса'!J46</f>
        <v>830819.01660300395</v>
      </c>
      <c r="K48" s="384">
        <f>'[10]Данные для переноса'!K46</f>
        <v>864051.77726712427</v>
      </c>
      <c r="L48" s="384">
        <f>'[10]Данные для переноса'!L46</f>
        <v>898613.84835780913</v>
      </c>
      <c r="M48" s="384">
        <f>'[10]Данные для переноса'!M46</f>
        <v>934558.40229212167</v>
      </c>
      <c r="N48" s="384">
        <f>'[10]Данные для переноса'!N46</f>
        <v>971940.73838380666</v>
      </c>
      <c r="O48" s="384">
        <f>'[10]Данные для переноса'!O46</f>
        <v>1010818.3679191589</v>
      </c>
      <c r="P48" s="384">
        <f>'[10]Данные для переноса'!P46</f>
        <v>1051251.1026359254</v>
      </c>
      <c r="Q48" s="384">
        <f>'[10]Данные для переноса'!Q46</f>
        <v>1093301.1467413625</v>
      </c>
      <c r="R48" s="384">
        <f>'[10]Данные для переноса'!R46</f>
        <v>1137033.192611017</v>
      </c>
      <c r="S48" s="384">
        <f>'[10]Данные для переноса'!S46</f>
        <v>1182514.5203154578</v>
      </c>
      <c r="T48" s="384">
        <f>'[10]Данные для переноса'!T46</f>
        <v>1229815.1011280762</v>
      </c>
      <c r="U48" s="384">
        <f>'[10]Данные для переноса'!U46</f>
        <v>1279007.7051731993</v>
      </c>
      <c r="V48" s="384">
        <f>'[10]Данные для переноса'!V46</f>
        <v>1330168.013380127</v>
      </c>
      <c r="W48" s="384">
        <f>'[10]Данные для переноса'!W46</f>
        <v>1383374.7339153325</v>
      </c>
      <c r="X48" s="384">
        <f>'[10]Данные для переноса'!X46</f>
        <v>1438709.7232719455</v>
      </c>
      <c r="Y48" s="384">
        <f>'[10]Данные для переноса'!Y46</f>
        <v>1496258.1122028236</v>
      </c>
      <c r="Z48" s="384">
        <f>'[10]Данные для переноса'!Z46</f>
        <v>1556108.4366909366</v>
      </c>
      <c r="AA48" s="426">
        <v>639760.12530999992</v>
      </c>
      <c r="AB48" s="426">
        <v>700275.63043000002</v>
      </c>
      <c r="AC48" s="426">
        <v>764463.57802999998</v>
      </c>
      <c r="AD48" s="426">
        <v>798864.43904134992</v>
      </c>
      <c r="AE48" s="426">
        <v>830819.01660300395</v>
      </c>
      <c r="AF48" s="426">
        <v>864051.77726712427</v>
      </c>
      <c r="AG48" s="426">
        <v>898613.84835780913</v>
      </c>
      <c r="AH48" s="426">
        <v>934558.40229212167</v>
      </c>
      <c r="AI48" s="426">
        <v>971940.73838380666</v>
      </c>
      <c r="AJ48" s="426">
        <v>1010818.3679191589</v>
      </c>
      <c r="AK48" s="426">
        <v>1051251.1026359254</v>
      </c>
      <c r="AL48" s="426">
        <v>1093301.1467413625</v>
      </c>
      <c r="AM48" s="426">
        <v>1137033.192611017</v>
      </c>
      <c r="AN48" s="426">
        <v>1182514.5203154578</v>
      </c>
      <c r="AO48" s="426">
        <v>1229815.1011280762</v>
      </c>
      <c r="AP48" s="426">
        <v>1279007.7051731993</v>
      </c>
      <c r="AQ48" s="426">
        <v>1330168.013380127</v>
      </c>
      <c r="AR48" s="426">
        <v>1383374.7339153325</v>
      </c>
      <c r="AS48" s="426">
        <v>1438709.7232719455</v>
      </c>
      <c r="AT48" s="426">
        <v>1496258.1122028236</v>
      </c>
      <c r="AU48" s="426">
        <v>1556108.4366909366</v>
      </c>
      <c r="AV48" s="430" t="b">
        <f t="shared" si="32"/>
        <v>1</v>
      </c>
      <c r="AW48" s="430" t="b">
        <f t="shared" si="32"/>
        <v>1</v>
      </c>
      <c r="AX48" s="430" t="b">
        <f t="shared" si="32"/>
        <v>1</v>
      </c>
      <c r="AY48" s="430" t="b">
        <f t="shared" si="32"/>
        <v>1</v>
      </c>
      <c r="AZ48" s="430" t="b">
        <f t="shared" si="32"/>
        <v>1</v>
      </c>
      <c r="BA48" s="430" t="b">
        <f t="shared" si="32"/>
        <v>1</v>
      </c>
      <c r="BB48" s="430" t="b">
        <f t="shared" si="32"/>
        <v>1</v>
      </c>
      <c r="BC48" s="430" t="b">
        <f t="shared" si="32"/>
        <v>1</v>
      </c>
      <c r="BD48" s="430" t="b">
        <f t="shared" si="32"/>
        <v>1</v>
      </c>
      <c r="BE48" s="430" t="b">
        <f t="shared" si="32"/>
        <v>1</v>
      </c>
      <c r="BF48" s="430" t="b">
        <f t="shared" si="32"/>
        <v>1</v>
      </c>
      <c r="BG48" s="430" t="b">
        <f t="shared" si="32"/>
        <v>1</v>
      </c>
      <c r="BH48" s="430" t="b">
        <f t="shared" si="32"/>
        <v>1</v>
      </c>
      <c r="BI48" s="430" t="b">
        <f t="shared" si="32"/>
        <v>1</v>
      </c>
      <c r="BJ48" s="430" t="b">
        <f t="shared" si="32"/>
        <v>1</v>
      </c>
      <c r="BK48" s="430" t="b">
        <f t="shared" si="32"/>
        <v>1</v>
      </c>
      <c r="BL48" s="430" t="b">
        <f t="shared" ref="BG48:BP76" si="122">AQ48=V48</f>
        <v>1</v>
      </c>
      <c r="BM48" s="430" t="b">
        <f t="shared" si="122"/>
        <v>1</v>
      </c>
      <c r="BN48" s="430" t="b">
        <f t="shared" si="122"/>
        <v>1</v>
      </c>
      <c r="BO48" s="430" t="b">
        <f t="shared" si="122"/>
        <v>1</v>
      </c>
      <c r="BP48" s="430" t="b">
        <f t="shared" si="122"/>
        <v>1</v>
      </c>
      <c r="BQ48" s="244">
        <f t="shared" si="119"/>
        <v>19688343.938889232</v>
      </c>
      <c r="BR48" s="247">
        <f>'[10]Данные для переноса'!AB46</f>
        <v>639760.12530999992</v>
      </c>
      <c r="BS48" s="247">
        <f>'[10]Данные для переноса'!AC46</f>
        <v>700275.63043000002</v>
      </c>
      <c r="BT48" s="247">
        <f>'[10]Данные для переноса'!AD46</f>
        <v>764463.57802999998</v>
      </c>
      <c r="BU48" s="247">
        <f>'[10]Данные для переноса'!AE46</f>
        <v>798864.43904134992</v>
      </c>
      <c r="BV48" s="247">
        <f>'[10]Данные для переноса'!AF46</f>
        <v>830819.01660300395</v>
      </c>
      <c r="BW48" s="247">
        <f>'[10]Данные для переноса'!AG46</f>
        <v>864051.77726712427</v>
      </c>
      <c r="BX48" s="247">
        <f>'[10]Данные для переноса'!AH46</f>
        <v>898613.84835780913</v>
      </c>
      <c r="BY48" s="247">
        <f>'[10]Данные для переноса'!AI46</f>
        <v>934558.40229212167</v>
      </c>
      <c r="BZ48" s="247">
        <f>'[10]Данные для переноса'!AJ46</f>
        <v>971940.73838380666</v>
      </c>
      <c r="CA48" s="247">
        <f>'[10]Данные для переноса'!AK46</f>
        <v>1010818.3679191589</v>
      </c>
      <c r="CB48" s="247">
        <f>'[10]Данные для переноса'!AL46</f>
        <v>1051251.1026359254</v>
      </c>
      <c r="CC48" s="247">
        <f>'[10]Данные для переноса'!AM46</f>
        <v>1093301.1467413625</v>
      </c>
      <c r="CD48" s="247">
        <f>'[10]Данные для переноса'!AN46</f>
        <v>1137033.192611017</v>
      </c>
      <c r="CE48" s="247">
        <f>'[10]Данные для переноса'!AO46</f>
        <v>1182514.5203154578</v>
      </c>
      <c r="CF48" s="247">
        <f>'[10]Данные для переноса'!AP46</f>
        <v>1229815.1011280762</v>
      </c>
      <c r="CG48" s="247">
        <f>'[10]Данные для переноса'!AQ46</f>
        <v>1279007.7051731993</v>
      </c>
      <c r="CH48" s="247">
        <f>'[10]Данные для переноса'!AR46</f>
        <v>1330168.013380127</v>
      </c>
      <c r="CI48" s="247">
        <f>'[10]Данные для переноса'!AS46</f>
        <v>1383374.7339153325</v>
      </c>
      <c r="CJ48" s="247">
        <f>'[10]Данные для переноса'!AT46</f>
        <v>1438709.7232719455</v>
      </c>
      <c r="CK48" s="247">
        <f>'[10]Данные для переноса'!AU46</f>
        <v>1496258.1122028236</v>
      </c>
      <c r="CL48" s="247">
        <f>'[10]Данные для переноса'!AV46</f>
        <v>1556108.4366909366</v>
      </c>
      <c r="CM48" s="426">
        <v>639760.12530999992</v>
      </c>
      <c r="CN48" s="426">
        <v>700275.63043000002</v>
      </c>
      <c r="CO48" s="426">
        <v>764463.57802999998</v>
      </c>
      <c r="CP48" s="426">
        <v>798864.43904134992</v>
      </c>
      <c r="CQ48" s="426">
        <v>830819.01660300395</v>
      </c>
      <c r="CR48" s="426">
        <v>864051.77726712427</v>
      </c>
      <c r="CS48" s="426">
        <v>898613.84835780913</v>
      </c>
      <c r="CT48" s="426">
        <v>934558.40229212167</v>
      </c>
      <c r="CU48" s="426">
        <v>971940.73838380666</v>
      </c>
      <c r="CV48" s="426">
        <v>1010818.3679191589</v>
      </c>
      <c r="CW48" s="426">
        <v>1051251.1026359254</v>
      </c>
      <c r="CX48" s="426">
        <v>1093301.1467413625</v>
      </c>
      <c r="CY48" s="426">
        <v>1137033.192611017</v>
      </c>
      <c r="CZ48" s="426">
        <v>1182514.5203154578</v>
      </c>
      <c r="DA48" s="426">
        <v>1229815.1011280762</v>
      </c>
      <c r="DB48" s="426">
        <v>1279007.7051731993</v>
      </c>
      <c r="DC48" s="426">
        <v>1330168.013380127</v>
      </c>
      <c r="DD48" s="426">
        <v>1383374.7339153325</v>
      </c>
      <c r="DE48" s="426">
        <v>1438709.7232719455</v>
      </c>
      <c r="DF48" s="426">
        <v>1496258.1122028236</v>
      </c>
      <c r="DG48" s="426">
        <v>1556108.4366909366</v>
      </c>
      <c r="DH48" s="430" t="b">
        <f t="shared" si="34"/>
        <v>1</v>
      </c>
      <c r="DI48" s="430" t="b">
        <f t="shared" si="34"/>
        <v>1</v>
      </c>
      <c r="DJ48" s="430" t="b">
        <f t="shared" si="34"/>
        <v>1</v>
      </c>
      <c r="DK48" s="430" t="b">
        <f t="shared" si="34"/>
        <v>1</v>
      </c>
      <c r="DL48" s="430" t="b">
        <f t="shared" si="34"/>
        <v>1</v>
      </c>
      <c r="DM48" s="430" t="b">
        <f t="shared" si="34"/>
        <v>1</v>
      </c>
      <c r="DN48" s="430" t="b">
        <f t="shared" si="34"/>
        <v>1</v>
      </c>
      <c r="DO48" s="430" t="b">
        <f t="shared" si="34"/>
        <v>1</v>
      </c>
      <c r="DP48" s="430" t="b">
        <f t="shared" si="34"/>
        <v>1</v>
      </c>
      <c r="DQ48" s="430" t="b">
        <f t="shared" si="34"/>
        <v>1</v>
      </c>
      <c r="DR48" s="430" t="b">
        <f t="shared" ref="DH48:DW87" si="123">CW48=CB48</f>
        <v>1</v>
      </c>
      <c r="DS48" s="430" t="b">
        <f t="shared" si="123"/>
        <v>1</v>
      </c>
      <c r="DT48" s="430" t="b">
        <f t="shared" si="123"/>
        <v>1</v>
      </c>
      <c r="DU48" s="430" t="b">
        <f t="shared" si="123"/>
        <v>1</v>
      </c>
      <c r="DV48" s="430" t="b">
        <f t="shared" si="123"/>
        <v>1</v>
      </c>
      <c r="DW48" s="430" t="b">
        <f t="shared" si="123"/>
        <v>1</v>
      </c>
      <c r="DX48" s="430" t="b">
        <f t="shared" si="82"/>
        <v>1</v>
      </c>
      <c r="DY48" s="430" t="b">
        <f t="shared" si="82"/>
        <v>1</v>
      </c>
      <c r="DZ48" s="430" t="b">
        <f t="shared" si="82"/>
        <v>1</v>
      </c>
      <c r="EA48" s="430" t="b">
        <f t="shared" si="82"/>
        <v>1</v>
      </c>
      <c r="EB48" s="430" t="b">
        <f t="shared" si="82"/>
        <v>1</v>
      </c>
      <c r="EC48" s="244">
        <f t="shared" si="120"/>
        <v>19688343.938889232</v>
      </c>
      <c r="ED48" s="223">
        <f t="shared" si="97"/>
        <v>0</v>
      </c>
      <c r="EE48" s="223">
        <f t="shared" si="98"/>
        <v>0</v>
      </c>
      <c r="EF48" s="223">
        <f t="shared" si="99"/>
        <v>0</v>
      </c>
      <c r="EG48" s="223">
        <f t="shared" si="100"/>
        <v>0</v>
      </c>
      <c r="EH48" s="223">
        <f t="shared" si="101"/>
        <v>0</v>
      </c>
      <c r="EI48" s="223">
        <f t="shared" si="102"/>
        <v>0</v>
      </c>
      <c r="EJ48" s="223">
        <f t="shared" si="103"/>
        <v>0</v>
      </c>
      <c r="EK48" s="223">
        <f t="shared" si="104"/>
        <v>0</v>
      </c>
      <c r="EL48" s="223">
        <f t="shared" si="105"/>
        <v>0</v>
      </c>
      <c r="EM48" s="223">
        <f t="shared" si="106"/>
        <v>0</v>
      </c>
      <c r="EN48" s="223">
        <f t="shared" si="107"/>
        <v>0</v>
      </c>
      <c r="EO48" s="223">
        <f t="shared" si="108"/>
        <v>0</v>
      </c>
      <c r="EP48" s="223">
        <f t="shared" si="109"/>
        <v>0</v>
      </c>
      <c r="EQ48" s="223">
        <f>CE48-S48</f>
        <v>0</v>
      </c>
      <c r="ER48" s="223">
        <f>CF48-T48</f>
        <v>0</v>
      </c>
      <c r="ES48" s="223">
        <f>CG48-U48</f>
        <v>0</v>
      </c>
      <c r="ET48" s="223">
        <f>CH48-V48</f>
        <v>0</v>
      </c>
      <c r="EU48" s="223">
        <f>CI48-W48</f>
        <v>0</v>
      </c>
      <c r="EV48" s="223">
        <f>CJ48-X48</f>
        <v>0</v>
      </c>
      <c r="EW48" s="223">
        <f>CK48-Y48</f>
        <v>0</v>
      </c>
      <c r="EX48" s="223">
        <f>CL48-Z48</f>
        <v>0</v>
      </c>
      <c r="EY48" s="244">
        <f t="shared" si="121"/>
        <v>0</v>
      </c>
    </row>
    <row r="49" spans="1:155" s="235" customFormat="1" x14ac:dyDescent="0.35">
      <c r="A49" s="221"/>
      <c r="B49" s="222"/>
      <c r="C49" s="241">
        <v>32</v>
      </c>
      <c r="D49" s="265" t="s">
        <v>38</v>
      </c>
      <c r="E49" s="243" t="s">
        <v>10</v>
      </c>
      <c r="F49" s="384">
        <f>'[10]Данные для переноса'!F47</f>
        <v>72059.637404413894</v>
      </c>
      <c r="G49" s="384">
        <f>'[10]Данные для переноса'!G47</f>
        <v>132111.67662005592</v>
      </c>
      <c r="H49" s="384">
        <f>'[10]Данные для переноса'!H47</f>
        <v>162125.37909407914</v>
      </c>
      <c r="I49" s="384">
        <f>'[10]Данные для переноса'!I47</f>
        <v>199806.64640251826</v>
      </c>
      <c r="J49" s="384">
        <f>'[10]Данные для переноса'!J47</f>
        <v>205422.01526010409</v>
      </c>
      <c r="K49" s="384">
        <f>'[10]Данные для переноса'!K47</f>
        <v>211950.07341806032</v>
      </c>
      <c r="L49" s="384">
        <f>'[10]Данные для переноса'!L47</f>
        <v>220428.07635478117</v>
      </c>
      <c r="M49" s="384">
        <f>'[10]Данные для переноса'!M47</f>
        <v>229245.19940897264</v>
      </c>
      <c r="N49" s="384">
        <f>'[10]Данные для переноса'!N47</f>
        <v>238415.00738533027</v>
      </c>
      <c r="O49" s="384">
        <f>'[10]Данные для переноса'!O47</f>
        <v>247951.60768074542</v>
      </c>
      <c r="P49" s="384">
        <f>'[10]Данные для переноса'!P47</f>
        <v>257869.67198797502</v>
      </c>
      <c r="Q49" s="384">
        <f>'[10]Данные для переноса'!Q47</f>
        <v>268184.45886749402</v>
      </c>
      <c r="R49" s="384">
        <f>'[10]Данные для переноса'!R47</f>
        <v>278911.83722219244</v>
      </c>
      <c r="S49" s="384">
        <f>'[10]Данные для переноса'!S47</f>
        <v>290068.31071108207</v>
      </c>
      <c r="T49" s="384">
        <f>'[10]Данные для переноса'!T47</f>
        <v>301671.04313952476</v>
      </c>
      <c r="U49" s="384">
        <f>'[10]Данные для переноса'!U47</f>
        <v>313737.88486510515</v>
      </c>
      <c r="V49" s="384">
        <f>'[10]Данные для переноса'!V47</f>
        <v>326287.40025970899</v>
      </c>
      <c r="W49" s="384">
        <f>'[10]Данные для переноса'!W47</f>
        <v>339338.89627009816</v>
      </c>
      <c r="X49" s="384">
        <f>'[10]Данные для переноса'!X47</f>
        <v>352912.45212090015</v>
      </c>
      <c r="Y49" s="384">
        <f>'[10]Данные для переноса'!Y47</f>
        <v>367028.95020573959</v>
      </c>
      <c r="Z49" s="384">
        <f>'[10]Данные для переноса'!Z47</f>
        <v>381710.10821396485</v>
      </c>
      <c r="AA49" s="426">
        <v>72059.637404413894</v>
      </c>
      <c r="AB49" s="426">
        <v>132111.67662005592</v>
      </c>
      <c r="AC49" s="426">
        <v>162125.37909407914</v>
      </c>
      <c r="AD49" s="426">
        <v>199806.64640251826</v>
      </c>
      <c r="AE49" s="426">
        <v>205422.01526010409</v>
      </c>
      <c r="AF49" s="426">
        <v>211950.07341806032</v>
      </c>
      <c r="AG49" s="426">
        <v>220428.07635478117</v>
      </c>
      <c r="AH49" s="426">
        <v>229245.19940897264</v>
      </c>
      <c r="AI49" s="426">
        <v>238415.00738533027</v>
      </c>
      <c r="AJ49" s="426">
        <v>247951.60768074542</v>
      </c>
      <c r="AK49" s="426">
        <v>257869.67198797502</v>
      </c>
      <c r="AL49" s="426">
        <v>268184.45886749402</v>
      </c>
      <c r="AM49" s="426">
        <v>278911.83722219244</v>
      </c>
      <c r="AN49" s="426">
        <v>290068.31071108207</v>
      </c>
      <c r="AO49" s="426">
        <v>301671.04313952476</v>
      </c>
      <c r="AP49" s="426">
        <v>313737.88486510515</v>
      </c>
      <c r="AQ49" s="426">
        <v>326287.40025970899</v>
      </c>
      <c r="AR49" s="426">
        <v>339338.89627009816</v>
      </c>
      <c r="AS49" s="426">
        <v>352912.45212090015</v>
      </c>
      <c r="AT49" s="426">
        <v>367028.95020573959</v>
      </c>
      <c r="AU49" s="426">
        <v>381710.10821396485</v>
      </c>
      <c r="AV49" s="430" t="b">
        <f t="shared" si="32"/>
        <v>1</v>
      </c>
      <c r="AW49" s="430" t="b">
        <f t="shared" ref="AV49:BF88" si="124">AB49=G49</f>
        <v>1</v>
      </c>
      <c r="AX49" s="430" t="b">
        <f t="shared" si="124"/>
        <v>1</v>
      </c>
      <c r="AY49" s="430" t="b">
        <f t="shared" si="124"/>
        <v>1</v>
      </c>
      <c r="AZ49" s="430" t="b">
        <f t="shared" si="124"/>
        <v>1</v>
      </c>
      <c r="BA49" s="430" t="b">
        <f t="shared" si="124"/>
        <v>1</v>
      </c>
      <c r="BB49" s="430" t="b">
        <f t="shared" si="124"/>
        <v>1</v>
      </c>
      <c r="BC49" s="430" t="b">
        <f t="shared" si="124"/>
        <v>1</v>
      </c>
      <c r="BD49" s="430" t="b">
        <f t="shared" si="124"/>
        <v>1</v>
      </c>
      <c r="BE49" s="430" t="b">
        <f t="shared" si="124"/>
        <v>1</v>
      </c>
      <c r="BF49" s="430" t="b">
        <f t="shared" si="124"/>
        <v>1</v>
      </c>
      <c r="BG49" s="430" t="b">
        <f t="shared" si="122"/>
        <v>1</v>
      </c>
      <c r="BH49" s="430" t="b">
        <f t="shared" si="122"/>
        <v>1</v>
      </c>
      <c r="BI49" s="430" t="b">
        <f t="shared" si="122"/>
        <v>1</v>
      </c>
      <c r="BJ49" s="430" t="b">
        <f t="shared" si="122"/>
        <v>1</v>
      </c>
      <c r="BK49" s="430" t="b">
        <f t="shared" si="122"/>
        <v>1</v>
      </c>
      <c r="BL49" s="430" t="b">
        <f t="shared" si="122"/>
        <v>1</v>
      </c>
      <c r="BM49" s="430" t="b">
        <f t="shared" si="122"/>
        <v>1</v>
      </c>
      <c r="BN49" s="430" t="b">
        <f t="shared" si="122"/>
        <v>1</v>
      </c>
      <c r="BO49" s="430" t="b">
        <f t="shared" si="122"/>
        <v>1</v>
      </c>
      <c r="BP49" s="430" t="b">
        <f t="shared" si="122"/>
        <v>1</v>
      </c>
      <c r="BQ49" s="244">
        <f t="shared" si="119"/>
        <v>4831132.9933717791</v>
      </c>
      <c r="BR49" s="247">
        <f>'[10]Данные для переноса'!AB47</f>
        <v>72059.637404413894</v>
      </c>
      <c r="BS49" s="247">
        <f>'[10]Данные для переноса'!AC47</f>
        <v>132111.67662005592</v>
      </c>
      <c r="BT49" s="247">
        <f>'[10]Данные для переноса'!AD47</f>
        <v>162125.37909407914</v>
      </c>
      <c r="BU49" s="247">
        <f>'[10]Данные для переноса'!AE47</f>
        <v>200342.3832162451</v>
      </c>
      <c r="BV49" s="247">
        <f>'[10]Данные для переноса'!AF47</f>
        <v>240384.0805896055</v>
      </c>
      <c r="BW49" s="247">
        <f>'[10]Данные для переноса'!AG47</f>
        <v>247461.20741074532</v>
      </c>
      <c r="BX49" s="247">
        <f>'[10]Данные для переноса'!AH47</f>
        <v>259817.44155252166</v>
      </c>
      <c r="BY49" s="247">
        <f>'[10]Данные для переноса'!AI47</f>
        <v>269326.4089410454</v>
      </c>
      <c r="BZ49" s="247">
        <f>'[10]Данные для переноса'!AJ47</f>
        <v>279198.06041963212</v>
      </c>
      <c r="CA49" s="247">
        <f>'[10]Данные для переноса'!AK47</f>
        <v>289446.54985978641</v>
      </c>
      <c r="CB49" s="247">
        <f>'[10]Данные для переноса'!AL47</f>
        <v>300086.59021801129</v>
      </c>
      <c r="CC49" s="247">
        <f>'[10]Данные для переноса'!AM47</f>
        <v>311133.47575784475</v>
      </c>
      <c r="CD49" s="247">
        <f>'[10]Данные для переноса'!AN47</f>
        <v>322603.10515789129</v>
      </c>
      <c r="CE49" s="247">
        <f>'[10]Данные для переноса'!AO47</f>
        <v>334512.00554133579</v>
      </c>
      <c r="CF49" s="247">
        <f>'[10]Данные для переноса'!AP47</f>
        <v>346877.35746366158</v>
      </c>
      <c r="CG49" s="247">
        <f>'[10]Данные для переноса'!AQ47</f>
        <v>359717.02089689299</v>
      </c>
      <c r="CH49" s="247">
        <f>'[10]Данные для переноса'!AR47</f>
        <v>373049.56225014292</v>
      </c>
      <c r="CI49" s="247">
        <f>'[10]Данные для переноса'!AS47</f>
        <v>386894.28246787563</v>
      </c>
      <c r="CJ49" s="247">
        <f>'[10]Данные для переноса'!AT47</f>
        <v>401271.24624887109</v>
      </c>
      <c r="CK49" s="247">
        <f>'[10]Данные для переноса'!AU47</f>
        <v>416201.31243075058</v>
      </c>
      <c r="CL49" s="247">
        <f>'[10]Данные для переноса'!AV47</f>
        <v>431706.16558654606</v>
      </c>
      <c r="CM49" s="426">
        <v>72059.637404413894</v>
      </c>
      <c r="CN49" s="426">
        <v>132111.67662005592</v>
      </c>
      <c r="CO49" s="426">
        <v>162125.37909407914</v>
      </c>
      <c r="CP49" s="426">
        <v>200342.3832162451</v>
      </c>
      <c r="CQ49" s="426">
        <v>240384.0805896055</v>
      </c>
      <c r="CR49" s="426">
        <v>247461.20741074532</v>
      </c>
      <c r="CS49" s="426">
        <v>259817.44155252166</v>
      </c>
      <c r="CT49" s="426">
        <v>269326.4089410454</v>
      </c>
      <c r="CU49" s="426">
        <v>279198.06041963212</v>
      </c>
      <c r="CV49" s="426">
        <v>289446.54985978641</v>
      </c>
      <c r="CW49" s="426">
        <v>300086.59021801129</v>
      </c>
      <c r="CX49" s="426">
        <v>311133.47575784475</v>
      </c>
      <c r="CY49" s="426">
        <v>322603.10515789129</v>
      </c>
      <c r="CZ49" s="426">
        <v>334512.00554133579</v>
      </c>
      <c r="DA49" s="426">
        <v>346877.35746366158</v>
      </c>
      <c r="DB49" s="426">
        <v>359717.02089689299</v>
      </c>
      <c r="DC49" s="426">
        <v>373049.56225014292</v>
      </c>
      <c r="DD49" s="426">
        <v>386894.28246787563</v>
      </c>
      <c r="DE49" s="426">
        <v>401271.24624887109</v>
      </c>
      <c r="DF49" s="426">
        <v>416201.31243075058</v>
      </c>
      <c r="DG49" s="426">
        <v>431706.16558654606</v>
      </c>
      <c r="DH49" s="430" t="b">
        <f t="shared" si="123"/>
        <v>1</v>
      </c>
      <c r="DI49" s="430" t="b">
        <f t="shared" si="123"/>
        <v>1</v>
      </c>
      <c r="DJ49" s="430" t="b">
        <f t="shared" si="123"/>
        <v>1</v>
      </c>
      <c r="DK49" s="430" t="b">
        <f t="shared" si="123"/>
        <v>1</v>
      </c>
      <c r="DL49" s="430" t="b">
        <f t="shared" si="123"/>
        <v>1</v>
      </c>
      <c r="DM49" s="430" t="b">
        <f t="shared" si="123"/>
        <v>1</v>
      </c>
      <c r="DN49" s="430" t="b">
        <f t="shared" si="123"/>
        <v>1</v>
      </c>
      <c r="DO49" s="430" t="b">
        <f t="shared" si="123"/>
        <v>1</v>
      </c>
      <c r="DP49" s="430" t="b">
        <f t="shared" si="123"/>
        <v>1</v>
      </c>
      <c r="DQ49" s="430" t="b">
        <f t="shared" si="123"/>
        <v>1</v>
      </c>
      <c r="DR49" s="430" t="b">
        <f t="shared" si="123"/>
        <v>1</v>
      </c>
      <c r="DS49" s="430" t="b">
        <f t="shared" si="82"/>
        <v>1</v>
      </c>
      <c r="DT49" s="430" t="b">
        <f t="shared" si="82"/>
        <v>1</v>
      </c>
      <c r="DU49" s="430" t="b">
        <f t="shared" si="82"/>
        <v>1</v>
      </c>
      <c r="DV49" s="430" t="b">
        <f t="shared" si="82"/>
        <v>1</v>
      </c>
      <c r="DW49" s="430" t="b">
        <f t="shared" si="82"/>
        <v>1</v>
      </c>
      <c r="DX49" s="430" t="b">
        <f t="shared" si="82"/>
        <v>1</v>
      </c>
      <c r="DY49" s="430" t="b">
        <f t="shared" si="82"/>
        <v>1</v>
      </c>
      <c r="DZ49" s="430" t="b">
        <f t="shared" ref="DS49:EB77" si="125">DE49=CJ49</f>
        <v>1</v>
      </c>
      <c r="EA49" s="430" t="b">
        <f t="shared" si="125"/>
        <v>1</v>
      </c>
      <c r="EB49" s="430" t="b">
        <f t="shared" si="125"/>
        <v>1</v>
      </c>
      <c r="EC49" s="244">
        <f t="shared" si="120"/>
        <v>5569685.8727931604</v>
      </c>
      <c r="ED49" s="223">
        <f t="shared" si="97"/>
        <v>0</v>
      </c>
      <c r="EE49" s="223">
        <f t="shared" si="98"/>
        <v>0</v>
      </c>
      <c r="EF49" s="223">
        <f t="shared" si="99"/>
        <v>0</v>
      </c>
      <c r="EG49" s="223">
        <f t="shared" si="100"/>
        <v>535.73681372683495</v>
      </c>
      <c r="EH49" s="223">
        <f t="shared" si="101"/>
        <v>34962.065329501405</v>
      </c>
      <c r="EI49" s="223">
        <f t="shared" si="102"/>
        <v>35511.133992685005</v>
      </c>
      <c r="EJ49" s="223">
        <f t="shared" si="103"/>
        <v>39389.365197740495</v>
      </c>
      <c r="EK49" s="223">
        <f t="shared" si="104"/>
        <v>40081.209532072768</v>
      </c>
      <c r="EL49" s="223">
        <f t="shared" si="105"/>
        <v>40783.053034301847</v>
      </c>
      <c r="EM49" s="223">
        <f t="shared" si="106"/>
        <v>41494.942179040983</v>
      </c>
      <c r="EN49" s="223">
        <f t="shared" si="107"/>
        <v>42216.918230036274</v>
      </c>
      <c r="EO49" s="223">
        <f t="shared" si="108"/>
        <v>42949.016890350729</v>
      </c>
      <c r="EP49" s="223">
        <f t="shared" si="109"/>
        <v>43691.267935698852</v>
      </c>
      <c r="EQ49" s="223">
        <f>CE49-S49</f>
        <v>44443.69483025372</v>
      </c>
      <c r="ER49" s="223">
        <f>CF49-T49</f>
        <v>45206.314324136823</v>
      </c>
      <c r="ES49" s="223">
        <f>CG49-U49</f>
        <v>45979.136031787843</v>
      </c>
      <c r="ET49" s="223">
        <f>CH49-V49</f>
        <v>46762.161990433931</v>
      </c>
      <c r="EU49" s="223">
        <f>CI49-W49</f>
        <v>47555.386197777465</v>
      </c>
      <c r="EV49" s="223">
        <f>CJ49-X49</f>
        <v>48358.794127970934</v>
      </c>
      <c r="EW49" s="223">
        <f>CK49-Y49</f>
        <v>49172.362225010991</v>
      </c>
      <c r="EX49" s="223">
        <f>CL49-Z49</f>
        <v>49996.057372581214</v>
      </c>
      <c r="EY49" s="244">
        <f t="shared" si="121"/>
        <v>738552.87942138128</v>
      </c>
    </row>
    <row r="50" spans="1:155" s="235" customFormat="1" x14ac:dyDescent="0.35">
      <c r="A50" s="221"/>
      <c r="C50" s="262">
        <v>33</v>
      </c>
      <c r="D50" s="263" t="s">
        <v>39</v>
      </c>
      <c r="E50" s="264" t="s">
        <v>10</v>
      </c>
      <c r="F50" s="224">
        <f>SUM(F51:F56)</f>
        <v>4694798.5321601182</v>
      </c>
      <c r="G50" s="224">
        <f t="shared" ref="G50:R50" si="126">SUM(G51:G56)</f>
        <v>5662406.4478244353</v>
      </c>
      <c r="H50" s="224">
        <f t="shared" si="126"/>
        <v>6126205.6171131851</v>
      </c>
      <c r="I50" s="224">
        <f t="shared" si="126"/>
        <v>6207389.3765020724</v>
      </c>
      <c r="J50" s="224">
        <f t="shared" si="126"/>
        <v>6509809.1194900321</v>
      </c>
      <c r="K50" s="224">
        <f t="shared" si="126"/>
        <v>6818030.8752445839</v>
      </c>
      <c r="L50" s="224">
        <f t="shared" si="126"/>
        <v>7123300.6443816628</v>
      </c>
      <c r="M50" s="224">
        <f t="shared" si="126"/>
        <v>7444159.7844804628</v>
      </c>
      <c r="N50" s="224">
        <f t="shared" si="126"/>
        <v>7781836.4604422236</v>
      </c>
      <c r="O50" s="224">
        <f t="shared" si="126"/>
        <v>8137099.4664054988</v>
      </c>
      <c r="P50" s="224">
        <f t="shared" si="126"/>
        <v>8510982.3505622149</v>
      </c>
      <c r="Q50" s="224">
        <f t="shared" si="126"/>
        <v>8904586.9387833066</v>
      </c>
      <c r="R50" s="224">
        <f t="shared" si="126"/>
        <v>9319088.2636832036</v>
      </c>
      <c r="S50" s="224">
        <f t="shared" ref="S50:Z50" si="127">SUM(S51:S56)</f>
        <v>9755755.2151013799</v>
      </c>
      <c r="T50" s="224">
        <f t="shared" si="127"/>
        <v>10215925.283261027</v>
      </c>
      <c r="U50" s="224">
        <f t="shared" si="127"/>
        <v>10701026.33768877</v>
      </c>
      <c r="V50" s="224">
        <f t="shared" si="127"/>
        <v>11212583.250144519</v>
      </c>
      <c r="W50" s="224">
        <f t="shared" si="127"/>
        <v>11752225.027931463</v>
      </c>
      <c r="X50" s="224">
        <f t="shared" si="127"/>
        <v>12321692.498030635</v>
      </c>
      <c r="Y50" s="224">
        <f t="shared" si="127"/>
        <v>12922846.585756566</v>
      </c>
      <c r="Z50" s="224">
        <f t="shared" si="127"/>
        <v>13557677.235146441</v>
      </c>
      <c r="AA50" s="439">
        <v>4694798.5321601182</v>
      </c>
      <c r="AB50" s="439">
        <v>5662406.4478244353</v>
      </c>
      <c r="AC50" s="439">
        <v>6126205.6171131851</v>
      </c>
      <c r="AD50" s="439">
        <v>6207389.3765020724</v>
      </c>
      <c r="AE50" s="439">
        <v>6509809.1194900321</v>
      </c>
      <c r="AF50" s="439">
        <v>6818030.8752445839</v>
      </c>
      <c r="AG50" s="439">
        <v>7123300.6443816628</v>
      </c>
      <c r="AH50" s="439">
        <v>7444159.7844804628</v>
      </c>
      <c r="AI50" s="439">
        <v>7781836.4604422236</v>
      </c>
      <c r="AJ50" s="439">
        <v>8137099.4664054988</v>
      </c>
      <c r="AK50" s="439">
        <v>8510982.3505622149</v>
      </c>
      <c r="AL50" s="439">
        <v>8904586.9387833066</v>
      </c>
      <c r="AM50" s="439">
        <v>9319088.2636832036</v>
      </c>
      <c r="AN50" s="439">
        <v>9755755.2151013799</v>
      </c>
      <c r="AO50" s="439">
        <v>10215925.283261027</v>
      </c>
      <c r="AP50" s="439">
        <v>10701026.33768877</v>
      </c>
      <c r="AQ50" s="439">
        <v>11212583.250144519</v>
      </c>
      <c r="AR50" s="439">
        <v>11752225.027931463</v>
      </c>
      <c r="AS50" s="439">
        <v>12321692.498030635</v>
      </c>
      <c r="AT50" s="439">
        <v>12922846.585756566</v>
      </c>
      <c r="AU50" s="439">
        <v>13557677.235146441</v>
      </c>
      <c r="AV50" s="440" t="b">
        <f t="shared" si="124"/>
        <v>1</v>
      </c>
      <c r="AW50" s="440" t="b">
        <f t="shared" si="124"/>
        <v>1</v>
      </c>
      <c r="AX50" s="440" t="b">
        <f t="shared" si="124"/>
        <v>1</v>
      </c>
      <c r="AY50" s="440" t="b">
        <f t="shared" si="124"/>
        <v>1</v>
      </c>
      <c r="AZ50" s="440" t="b">
        <f t="shared" si="124"/>
        <v>1</v>
      </c>
      <c r="BA50" s="440" t="b">
        <f t="shared" si="124"/>
        <v>1</v>
      </c>
      <c r="BB50" s="440" t="b">
        <f t="shared" si="124"/>
        <v>1</v>
      </c>
      <c r="BC50" s="440" t="b">
        <f t="shared" si="124"/>
        <v>1</v>
      </c>
      <c r="BD50" s="440" t="b">
        <f t="shared" si="124"/>
        <v>1</v>
      </c>
      <c r="BE50" s="440" t="b">
        <f t="shared" si="124"/>
        <v>1</v>
      </c>
      <c r="BF50" s="440" t="b">
        <f t="shared" si="124"/>
        <v>1</v>
      </c>
      <c r="BG50" s="440" t="b">
        <f t="shared" si="122"/>
        <v>1</v>
      </c>
      <c r="BH50" s="440" t="b">
        <f t="shared" si="122"/>
        <v>1</v>
      </c>
      <c r="BI50" s="440" t="b">
        <f t="shared" si="122"/>
        <v>1</v>
      </c>
      <c r="BJ50" s="440" t="b">
        <f t="shared" si="122"/>
        <v>1</v>
      </c>
      <c r="BK50" s="440" t="b">
        <f t="shared" si="122"/>
        <v>1</v>
      </c>
      <c r="BL50" s="440" t="b">
        <f t="shared" si="122"/>
        <v>1</v>
      </c>
      <c r="BM50" s="440" t="b">
        <f t="shared" si="122"/>
        <v>1</v>
      </c>
      <c r="BN50" s="440" t="b">
        <f t="shared" si="122"/>
        <v>1</v>
      </c>
      <c r="BO50" s="440" t="b">
        <f t="shared" si="122"/>
        <v>1</v>
      </c>
      <c r="BP50" s="440" t="b">
        <f t="shared" si="122"/>
        <v>1</v>
      </c>
      <c r="BQ50" s="244">
        <f t="shared" si="119"/>
        <v>162988625.33653399</v>
      </c>
      <c r="BR50" s="224">
        <f>SUM(BR51:BR56)</f>
        <v>4694798.5321601182</v>
      </c>
      <c r="BS50" s="224">
        <f t="shared" ref="BS50:CL50" si="128">SUM(BS51:BS56)</f>
        <v>5662406.4478244353</v>
      </c>
      <c r="BT50" s="224">
        <f t="shared" si="128"/>
        <v>6126205.6171131851</v>
      </c>
      <c r="BU50" s="224">
        <f t="shared" si="128"/>
        <v>6203262.2735124147</v>
      </c>
      <c r="BV50" s="224">
        <f t="shared" si="128"/>
        <v>6495172.3544306196</v>
      </c>
      <c r="BW50" s="224">
        <f t="shared" si="128"/>
        <v>6804132.0657345066</v>
      </c>
      <c r="BX50" s="224">
        <f t="shared" si="128"/>
        <v>7108465.4639258571</v>
      </c>
      <c r="BY50" s="224">
        <f t="shared" si="128"/>
        <v>7429398.1616990892</v>
      </c>
      <c r="BZ50" s="224">
        <f t="shared" si="128"/>
        <v>7767261.0984901087</v>
      </c>
      <c r="CA50" s="224">
        <f t="shared" si="128"/>
        <v>8122841.2899862621</v>
      </c>
      <c r="CB50" s="224">
        <f t="shared" si="128"/>
        <v>8497193.0064254403</v>
      </c>
      <c r="CC50" s="224">
        <f t="shared" si="128"/>
        <v>8891441.626331931</v>
      </c>
      <c r="CD50" s="224">
        <f t="shared" si="128"/>
        <v>9306788.9388029054</v>
      </c>
      <c r="CE50" s="224">
        <f t="shared" si="128"/>
        <v>10205932.156113669</v>
      </c>
      <c r="CF50" s="224">
        <f t="shared" si="128"/>
        <v>11241012.303831518</v>
      </c>
      <c r="CG50" s="224">
        <f t="shared" si="128"/>
        <v>11763807.26114624</v>
      </c>
      <c r="CH50" s="224">
        <f t="shared" si="128"/>
        <v>12315042.891105555</v>
      </c>
      <c r="CI50" s="224">
        <f t="shared" si="128"/>
        <v>12845528.165846927</v>
      </c>
      <c r="CJ50" s="224">
        <f t="shared" si="128"/>
        <v>13509029.939758813</v>
      </c>
      <c r="CK50" s="224">
        <f t="shared" si="128"/>
        <v>14155557.957398728</v>
      </c>
      <c r="CL50" s="224">
        <f t="shared" si="128"/>
        <v>14837842.92858829</v>
      </c>
      <c r="CM50" s="439">
        <v>4694798.5321601182</v>
      </c>
      <c r="CN50" s="439">
        <v>5662406.4478244353</v>
      </c>
      <c r="CO50" s="439">
        <v>6126205.6171131851</v>
      </c>
      <c r="CP50" s="439">
        <v>6203262.2735124147</v>
      </c>
      <c r="CQ50" s="439">
        <v>6495172.3544306196</v>
      </c>
      <c r="CR50" s="439">
        <v>6804132.0657345066</v>
      </c>
      <c r="CS50" s="439">
        <v>7108465.4639258571</v>
      </c>
      <c r="CT50" s="439">
        <v>7429398.1616990892</v>
      </c>
      <c r="CU50" s="439">
        <v>7767261.0984901087</v>
      </c>
      <c r="CV50" s="439">
        <v>8122841.2899862621</v>
      </c>
      <c r="CW50" s="439">
        <v>8497193.0064254403</v>
      </c>
      <c r="CX50" s="439">
        <v>8891441.626331931</v>
      </c>
      <c r="CY50" s="439">
        <v>9306788.9388029054</v>
      </c>
      <c r="CZ50" s="439">
        <v>10205932.156113669</v>
      </c>
      <c r="DA50" s="439">
        <v>11241012.303831518</v>
      </c>
      <c r="DB50" s="439">
        <v>11763807.26114624</v>
      </c>
      <c r="DC50" s="439">
        <v>12315042.891105555</v>
      </c>
      <c r="DD50" s="439">
        <v>12845528.165846927</v>
      </c>
      <c r="DE50" s="439">
        <v>13509029.939758813</v>
      </c>
      <c r="DF50" s="439">
        <v>14155557.957398728</v>
      </c>
      <c r="DG50" s="439">
        <v>14837842.92858829</v>
      </c>
      <c r="DH50" s="440" t="b">
        <f t="shared" si="123"/>
        <v>1</v>
      </c>
      <c r="DI50" s="440" t="b">
        <f t="shared" si="123"/>
        <v>1</v>
      </c>
      <c r="DJ50" s="440" t="b">
        <f t="shared" si="123"/>
        <v>1</v>
      </c>
      <c r="DK50" s="440" t="b">
        <f t="shared" si="123"/>
        <v>1</v>
      </c>
      <c r="DL50" s="440" t="b">
        <f t="shared" si="123"/>
        <v>1</v>
      </c>
      <c r="DM50" s="440" t="b">
        <f t="shared" si="123"/>
        <v>1</v>
      </c>
      <c r="DN50" s="440" t="b">
        <f t="shared" si="123"/>
        <v>1</v>
      </c>
      <c r="DO50" s="440" t="b">
        <f t="shared" si="123"/>
        <v>1</v>
      </c>
      <c r="DP50" s="440" t="b">
        <f t="shared" si="123"/>
        <v>1</v>
      </c>
      <c r="DQ50" s="440" t="b">
        <f t="shared" si="123"/>
        <v>1</v>
      </c>
      <c r="DR50" s="440" t="b">
        <f t="shared" si="123"/>
        <v>1</v>
      </c>
      <c r="DS50" s="440" t="b">
        <f t="shared" si="125"/>
        <v>1</v>
      </c>
      <c r="DT50" s="440" t="b">
        <f t="shared" si="125"/>
        <v>1</v>
      </c>
      <c r="DU50" s="440" t="b">
        <f t="shared" si="125"/>
        <v>1</v>
      </c>
      <c r="DV50" s="440" t="b">
        <f t="shared" si="125"/>
        <v>1</v>
      </c>
      <c r="DW50" s="440" t="b">
        <f t="shared" si="125"/>
        <v>1</v>
      </c>
      <c r="DX50" s="440" t="b">
        <f t="shared" si="125"/>
        <v>1</v>
      </c>
      <c r="DY50" s="440" t="b">
        <f t="shared" si="125"/>
        <v>1</v>
      </c>
      <c r="DZ50" s="440" t="b">
        <f t="shared" si="125"/>
        <v>1</v>
      </c>
      <c r="EA50" s="440" t="b">
        <f t="shared" si="125"/>
        <v>1</v>
      </c>
      <c r="EB50" s="440" t="b">
        <f t="shared" si="125"/>
        <v>1</v>
      </c>
      <c r="EC50" s="244">
        <f t="shared" si="120"/>
        <v>171296447.60961649</v>
      </c>
      <c r="ED50" s="224">
        <f t="shared" si="97"/>
        <v>0</v>
      </c>
      <c r="EE50" s="224">
        <f t="shared" si="98"/>
        <v>0</v>
      </c>
      <c r="EF50" s="224">
        <f t="shared" si="99"/>
        <v>0</v>
      </c>
      <c r="EG50" s="224">
        <f t="shared" si="100"/>
        <v>-4127.102989657782</v>
      </c>
      <c r="EH50" s="224">
        <f t="shared" si="101"/>
        <v>-14636.765059412457</v>
      </c>
      <c r="EI50" s="224">
        <f t="shared" si="102"/>
        <v>-13898.80951007735</v>
      </c>
      <c r="EJ50" s="224">
        <f t="shared" si="103"/>
        <v>-14835.180455805734</v>
      </c>
      <c r="EK50" s="224">
        <f t="shared" si="104"/>
        <v>-14761.62278137356</v>
      </c>
      <c r="EL50" s="224">
        <f t="shared" si="105"/>
        <v>-14575.36195211485</v>
      </c>
      <c r="EM50" s="224">
        <f t="shared" si="106"/>
        <v>-14258.176419236697</v>
      </c>
      <c r="EN50" s="224">
        <f t="shared" si="107"/>
        <v>-13789.34413677454</v>
      </c>
      <c r="EO50" s="224">
        <f t="shared" si="108"/>
        <v>-13145.312451375648</v>
      </c>
      <c r="EP50" s="224">
        <f t="shared" si="109"/>
        <v>-12299.324880298227</v>
      </c>
      <c r="EQ50" s="224">
        <f>CE50-S50</f>
        <v>450176.94101228938</v>
      </c>
      <c r="ER50" s="224">
        <f>CF50-T50</f>
        <v>1025087.0205704905</v>
      </c>
      <c r="ES50" s="224">
        <f>CG50-U50</f>
        <v>1062780.9234574698</v>
      </c>
      <c r="ET50" s="224">
        <f>CH50-V50</f>
        <v>1102459.6409610361</v>
      </c>
      <c r="EU50" s="224">
        <f>CI50-W50</f>
        <v>1093303.1379154641</v>
      </c>
      <c r="EV50" s="224">
        <f>CJ50-X50</f>
        <v>1187337.4417281784</v>
      </c>
      <c r="EW50" s="224">
        <f>CK50-Y50</f>
        <v>1232711.3716421612</v>
      </c>
      <c r="EX50" s="224">
        <f>CL50-Z50</f>
        <v>1280165.6934418492</v>
      </c>
      <c r="EY50" s="244">
        <f t="shared" si="121"/>
        <v>8307822.2730824696</v>
      </c>
    </row>
    <row r="51" spans="1:155" s="235" customFormat="1" x14ac:dyDescent="0.35">
      <c r="A51" s="221"/>
      <c r="B51" s="222"/>
      <c r="C51" s="241">
        <v>34</v>
      </c>
      <c r="D51" s="265" t="s">
        <v>40</v>
      </c>
      <c r="E51" s="243" t="s">
        <v>10</v>
      </c>
      <c r="F51" s="384">
        <f>'[10]Данные для переноса'!F49</f>
        <v>2202812.1657038503</v>
      </c>
      <c r="G51" s="384">
        <f>'[10]Данные для переноса'!G49</f>
        <v>2615057.5485975007</v>
      </c>
      <c r="H51" s="384">
        <f>'[10]Данные для переноса'!H49</f>
        <v>2979709.1039752001</v>
      </c>
      <c r="I51" s="384">
        <f>'[10]Данные для переноса'!I49</f>
        <v>3245344.9152376754</v>
      </c>
      <c r="J51" s="384">
        <f>'[10]Данные для переноса'!J49</f>
        <v>3426876.6526149153</v>
      </c>
      <c r="K51" s="384">
        <f>'[10]Данные для переноса'!K49</f>
        <v>3613615.5873572975</v>
      </c>
      <c r="L51" s="384">
        <f>'[10]Данные для переноса'!L49</f>
        <v>3800473.4910738324</v>
      </c>
      <c r="M51" s="384">
        <f>'[10]Данные для переноса'!M49</f>
        <v>3998258.4746051612</v>
      </c>
      <c r="N51" s="384">
        <f>'[10]Данные для переноса'!N49</f>
        <v>4207689.366659035</v>
      </c>
      <c r="O51" s="384">
        <f>'[10]Данные для переноса'!O49</f>
        <v>4429536.73952555</v>
      </c>
      <c r="P51" s="384">
        <f>'[10]Данные для переноса'!P49</f>
        <v>4664626.8548398577</v>
      </c>
      <c r="Q51" s="384">
        <f>'[10]Данные для переноса'!Q49</f>
        <v>4913845.9202585714</v>
      </c>
      <c r="R51" s="384">
        <f>'[10]Данные для переноса'!R49</f>
        <v>5178144.6819780068</v>
      </c>
      <c r="S51" s="384">
        <f>'[10]Данные для переноса'!S49</f>
        <v>5458543.3800387979</v>
      </c>
      <c r="T51" s="384">
        <f>'[10]Данные для переноса'!T49</f>
        <v>5756137.0955418088</v>
      </c>
      <c r="U51" s="384">
        <f>'[10]Данные для переноса'!U49</f>
        <v>6072101.5212575365</v>
      </c>
      <c r="V51" s="384">
        <f>'[10]Данные для переноса'!V49</f>
        <v>6407699.1896604504</v>
      </c>
      <c r="W51" s="384">
        <f>'[10]Данные для переноса'!W49</f>
        <v>6764286.1951757707</v>
      </c>
      <c r="X51" s="384">
        <f>'[10]Данные для переноса'!X49</f>
        <v>7143319.450406705</v>
      </c>
      <c r="Y51" s="384">
        <f>'[10]Данные для переноса'!Y49</f>
        <v>7546364.5193326669</v>
      </c>
      <c r="Z51" s="384">
        <f>'[10]Данные для переноса'!Z49</f>
        <v>7975104.0739538968</v>
      </c>
      <c r="AA51" s="426">
        <v>2202812.1657038503</v>
      </c>
      <c r="AB51" s="426">
        <v>2615057.5485975007</v>
      </c>
      <c r="AC51" s="426">
        <v>2979709.1039752001</v>
      </c>
      <c r="AD51" s="426">
        <v>3245344.9152376754</v>
      </c>
      <c r="AE51" s="426">
        <v>3426876.6526149153</v>
      </c>
      <c r="AF51" s="426">
        <v>3613615.5873572975</v>
      </c>
      <c r="AG51" s="426">
        <v>3800473.4910738324</v>
      </c>
      <c r="AH51" s="426">
        <v>3998258.4746051612</v>
      </c>
      <c r="AI51" s="426">
        <v>4207689.366659035</v>
      </c>
      <c r="AJ51" s="426">
        <v>4429536.73952555</v>
      </c>
      <c r="AK51" s="426">
        <v>4664626.8548398577</v>
      </c>
      <c r="AL51" s="426">
        <v>4913845.9202585714</v>
      </c>
      <c r="AM51" s="426">
        <v>5178144.6819780068</v>
      </c>
      <c r="AN51" s="426">
        <v>5458543.3800387979</v>
      </c>
      <c r="AO51" s="426">
        <v>5756137.0955418088</v>
      </c>
      <c r="AP51" s="426">
        <v>6072101.5212575365</v>
      </c>
      <c r="AQ51" s="426">
        <v>6407699.1896604504</v>
      </c>
      <c r="AR51" s="426">
        <v>6764286.1951757707</v>
      </c>
      <c r="AS51" s="426">
        <v>7143319.450406705</v>
      </c>
      <c r="AT51" s="426">
        <v>7546364.5193326669</v>
      </c>
      <c r="AU51" s="426">
        <v>7975104.0739538968</v>
      </c>
      <c r="AV51" s="430" t="b">
        <f t="shared" si="124"/>
        <v>1</v>
      </c>
      <c r="AW51" s="430" t="b">
        <f t="shared" si="124"/>
        <v>1</v>
      </c>
      <c r="AX51" s="430" t="b">
        <f t="shared" si="124"/>
        <v>1</v>
      </c>
      <c r="AY51" s="430" t="b">
        <f t="shared" si="124"/>
        <v>1</v>
      </c>
      <c r="AZ51" s="430" t="b">
        <f t="shared" si="124"/>
        <v>1</v>
      </c>
      <c r="BA51" s="430" t="b">
        <f t="shared" si="124"/>
        <v>1</v>
      </c>
      <c r="BB51" s="430" t="b">
        <f t="shared" si="124"/>
        <v>1</v>
      </c>
      <c r="BC51" s="430" t="b">
        <f t="shared" si="124"/>
        <v>1</v>
      </c>
      <c r="BD51" s="430" t="b">
        <f t="shared" si="124"/>
        <v>1</v>
      </c>
      <c r="BE51" s="430" t="b">
        <f t="shared" si="124"/>
        <v>1</v>
      </c>
      <c r="BF51" s="430" t="b">
        <f t="shared" si="124"/>
        <v>1</v>
      </c>
      <c r="BG51" s="430" t="b">
        <f t="shared" si="122"/>
        <v>1</v>
      </c>
      <c r="BH51" s="430" t="b">
        <f t="shared" si="122"/>
        <v>1</v>
      </c>
      <c r="BI51" s="430" t="b">
        <f t="shared" si="122"/>
        <v>1</v>
      </c>
      <c r="BJ51" s="430" t="b">
        <f t="shared" si="122"/>
        <v>1</v>
      </c>
      <c r="BK51" s="430" t="b">
        <f t="shared" si="122"/>
        <v>1</v>
      </c>
      <c r="BL51" s="430" t="b">
        <f t="shared" si="122"/>
        <v>1</v>
      </c>
      <c r="BM51" s="430" t="b">
        <f t="shared" si="122"/>
        <v>1</v>
      </c>
      <c r="BN51" s="430" t="b">
        <f t="shared" si="122"/>
        <v>1</v>
      </c>
      <c r="BO51" s="430" t="b">
        <f t="shared" si="122"/>
        <v>1</v>
      </c>
      <c r="BP51" s="430" t="b">
        <f t="shared" si="122"/>
        <v>1</v>
      </c>
      <c r="BQ51" s="244">
        <f>SUM(J51:Z51)</f>
        <v>91356623.19427985</v>
      </c>
      <c r="BR51" s="247">
        <f>'[10]Данные для переноса'!AB49</f>
        <v>2202812.1657038503</v>
      </c>
      <c r="BS51" s="247">
        <f>'[10]Данные для переноса'!AC49</f>
        <v>2615057.5485975007</v>
      </c>
      <c r="BT51" s="247">
        <f>'[10]Данные для переноса'!AD49</f>
        <v>2979709.1039752001</v>
      </c>
      <c r="BU51" s="247">
        <f>'[10]Данные для переноса'!AE49</f>
        <v>3245344.9152376754</v>
      </c>
      <c r="BV51" s="247">
        <f>'[10]Данные для переноса'!AF49</f>
        <v>3426876.6526149143</v>
      </c>
      <c r="BW51" s="247">
        <f>'[10]Данные для переноса'!AG49</f>
        <v>3613615.5873572999</v>
      </c>
      <c r="BX51" s="247">
        <f>'[10]Данные для переноса'!AH49</f>
        <v>3800473.4910738324</v>
      </c>
      <c r="BY51" s="247">
        <f>'[10]Данные для переноса'!AI49</f>
        <v>3998258.4746051612</v>
      </c>
      <c r="BZ51" s="247">
        <f>'[10]Данные для переноса'!AJ49</f>
        <v>4207689.3666590368</v>
      </c>
      <c r="CA51" s="247">
        <f>'[10]Данные для переноса'!AK49</f>
        <v>4429536.73952555</v>
      </c>
      <c r="CB51" s="247">
        <f>'[10]Данные для переноса'!AL49</f>
        <v>4664626.8548398577</v>
      </c>
      <c r="CC51" s="247">
        <f>'[10]Данные для переноса'!AM49</f>
        <v>4913845.9202585723</v>
      </c>
      <c r="CD51" s="247">
        <f>'[10]Данные для переноса'!AN49</f>
        <v>5178144.6819780059</v>
      </c>
      <c r="CE51" s="247">
        <f>'[10]Данные для переноса'!AO49</f>
        <v>5543582.8303813329</v>
      </c>
      <c r="CF51" s="247">
        <f>'[10]Данные для переноса'!AP49</f>
        <v>5936066.3942922857</v>
      </c>
      <c r="CG51" s="247">
        <f>'[10]Данные для переноса'!AQ49</f>
        <v>6262452.994657998</v>
      </c>
      <c r="CH51" s="247">
        <f>'[10]Данные для переноса'!AR49</f>
        <v>6609076.3906786796</v>
      </c>
      <c r="CI51" s="247">
        <f>'[10]Данные для переноса'!AS49</f>
        <v>6977327.6330585573</v>
      </c>
      <c r="CJ51" s="247">
        <f>'[10]Данные для переноса'!AT49</f>
        <v>7368700.615260141</v>
      </c>
      <c r="CK51" s="247">
        <f>'[10]Данные для переноса'!AU49</f>
        <v>7784800.0239610663</v>
      </c>
      <c r="CL51" s="247">
        <f>'[10]Данные для переноса'!AV49</f>
        <v>8227349.9197486639</v>
      </c>
      <c r="CM51" s="426">
        <v>2202812.1657038503</v>
      </c>
      <c r="CN51" s="426">
        <v>2615057.5485975007</v>
      </c>
      <c r="CO51" s="426">
        <v>2979709.1039752001</v>
      </c>
      <c r="CP51" s="426">
        <v>3245344.9152376754</v>
      </c>
      <c r="CQ51" s="426">
        <v>3426876.6526149143</v>
      </c>
      <c r="CR51" s="426">
        <v>3613615.5873572999</v>
      </c>
      <c r="CS51" s="426">
        <v>3800473.4910738324</v>
      </c>
      <c r="CT51" s="426">
        <v>3998258.4746051612</v>
      </c>
      <c r="CU51" s="426">
        <v>4207689.3666590368</v>
      </c>
      <c r="CV51" s="426">
        <v>4429536.73952555</v>
      </c>
      <c r="CW51" s="426">
        <v>4664626.8548398577</v>
      </c>
      <c r="CX51" s="426">
        <v>4913845.9202585723</v>
      </c>
      <c r="CY51" s="426">
        <v>5178144.6819780059</v>
      </c>
      <c r="CZ51" s="426">
        <v>5543582.8303813329</v>
      </c>
      <c r="DA51" s="426">
        <v>5936066.3942922857</v>
      </c>
      <c r="DB51" s="426">
        <v>6262452.994657998</v>
      </c>
      <c r="DC51" s="426">
        <v>6609076.3906786796</v>
      </c>
      <c r="DD51" s="426">
        <v>6977327.6330585573</v>
      </c>
      <c r="DE51" s="426">
        <v>7368700.615260141</v>
      </c>
      <c r="DF51" s="426">
        <v>7784800.0239610663</v>
      </c>
      <c r="DG51" s="426">
        <v>8227349.9197486639</v>
      </c>
      <c r="DH51" s="430" t="b">
        <f t="shared" si="123"/>
        <v>1</v>
      </c>
      <c r="DI51" s="430" t="b">
        <f t="shared" si="123"/>
        <v>1</v>
      </c>
      <c r="DJ51" s="430" t="b">
        <f t="shared" si="123"/>
        <v>1</v>
      </c>
      <c r="DK51" s="430" t="b">
        <f t="shared" si="123"/>
        <v>1</v>
      </c>
      <c r="DL51" s="430" t="b">
        <f t="shared" si="123"/>
        <v>1</v>
      </c>
      <c r="DM51" s="430" t="b">
        <f t="shared" si="123"/>
        <v>1</v>
      </c>
      <c r="DN51" s="430" t="b">
        <f t="shared" si="123"/>
        <v>1</v>
      </c>
      <c r="DO51" s="430" t="b">
        <f t="shared" si="123"/>
        <v>1</v>
      </c>
      <c r="DP51" s="430" t="b">
        <f t="shared" si="123"/>
        <v>1</v>
      </c>
      <c r="DQ51" s="430" t="b">
        <f t="shared" si="123"/>
        <v>1</v>
      </c>
      <c r="DR51" s="430" t="b">
        <f t="shared" si="123"/>
        <v>1</v>
      </c>
      <c r="DS51" s="430" t="b">
        <f t="shared" si="125"/>
        <v>1</v>
      </c>
      <c r="DT51" s="430" t="b">
        <f t="shared" si="125"/>
        <v>1</v>
      </c>
      <c r="DU51" s="430" t="b">
        <f t="shared" si="125"/>
        <v>1</v>
      </c>
      <c r="DV51" s="430" t="b">
        <f t="shared" si="125"/>
        <v>1</v>
      </c>
      <c r="DW51" s="430" t="b">
        <f t="shared" si="125"/>
        <v>1</v>
      </c>
      <c r="DX51" s="430" t="b">
        <f t="shared" si="125"/>
        <v>1</v>
      </c>
      <c r="DY51" s="430" t="b">
        <f t="shared" si="125"/>
        <v>1</v>
      </c>
      <c r="DZ51" s="430" t="b">
        <f t="shared" si="125"/>
        <v>1</v>
      </c>
      <c r="EA51" s="430" t="b">
        <f t="shared" si="125"/>
        <v>1</v>
      </c>
      <c r="EB51" s="430" t="b">
        <f t="shared" si="125"/>
        <v>1</v>
      </c>
      <c r="EC51" s="244">
        <f>SUM(BV51:CL51)</f>
        <v>92942424.570950955</v>
      </c>
      <c r="ED51" s="223">
        <f t="shared" si="97"/>
        <v>0</v>
      </c>
      <c r="EE51" s="223">
        <f t="shared" si="98"/>
        <v>0</v>
      </c>
      <c r="EF51" s="223">
        <f t="shared" si="99"/>
        <v>0</v>
      </c>
      <c r="EG51" s="223">
        <f t="shared" si="100"/>
        <v>0</v>
      </c>
      <c r="EH51" s="223">
        <f t="shared" si="101"/>
        <v>0</v>
      </c>
      <c r="EI51" s="223">
        <f t="shared" si="102"/>
        <v>0</v>
      </c>
      <c r="EJ51" s="223">
        <f t="shared" si="103"/>
        <v>0</v>
      </c>
      <c r="EK51" s="223">
        <f t="shared" si="104"/>
        <v>0</v>
      </c>
      <c r="EL51" s="223">
        <f t="shared" si="105"/>
        <v>0</v>
      </c>
      <c r="EM51" s="223">
        <f t="shared" si="106"/>
        <v>0</v>
      </c>
      <c r="EN51" s="223">
        <f t="shared" si="107"/>
        <v>0</v>
      </c>
      <c r="EO51" s="223">
        <f t="shared" si="108"/>
        <v>0</v>
      </c>
      <c r="EP51" s="223">
        <f t="shared" si="109"/>
        <v>0</v>
      </c>
      <c r="EQ51" s="223">
        <f>CE51-S51</f>
        <v>85039.450342535041</v>
      </c>
      <c r="ER51" s="223">
        <f>CF51-T51</f>
        <v>179929.29875047691</v>
      </c>
      <c r="ES51" s="223">
        <f>CG51-U51</f>
        <v>190351.47340046149</v>
      </c>
      <c r="ET51" s="223">
        <f>CH51-V51</f>
        <v>201377.20101822913</v>
      </c>
      <c r="EU51" s="223">
        <f>CI51-W51</f>
        <v>213041.43788278662</v>
      </c>
      <c r="EV51" s="223">
        <f>CJ51-X51</f>
        <v>225381.16485343594</v>
      </c>
      <c r="EW51" s="223">
        <f>CK51-Y51</f>
        <v>238435.50462839939</v>
      </c>
      <c r="EX51" s="223">
        <f>CL51-Z51</f>
        <v>252245.84579476714</v>
      </c>
      <c r="EY51" s="244">
        <f>SUM(EH51:EX51)</f>
        <v>1585801.3766710917</v>
      </c>
    </row>
    <row r="52" spans="1:155" s="235" customFormat="1" x14ac:dyDescent="0.35">
      <c r="A52" s="221"/>
      <c r="B52" s="222"/>
      <c r="C52" s="241">
        <v>35</v>
      </c>
      <c r="D52" s="265" t="s">
        <v>41</v>
      </c>
      <c r="E52" s="243" t="s">
        <v>10</v>
      </c>
      <c r="F52" s="384">
        <f>'[10]Данные для переноса'!F50</f>
        <v>401669.92253558605</v>
      </c>
      <c r="G52" s="384">
        <f>'[10]Данные для переноса'!G50</f>
        <v>508416.37457994383</v>
      </c>
      <c r="H52" s="384">
        <f>'[10]Данные для переноса'!H50</f>
        <v>589158.9267859211</v>
      </c>
      <c r="I52" s="384">
        <f>'[10]Данные для переноса'!I50</f>
        <v>585285.45324208157</v>
      </c>
      <c r="J52" s="384">
        <f>'[10]Данные для переноса'!J50</f>
        <v>611073.76837028004</v>
      </c>
      <c r="K52" s="384">
        <f>'[10]Данные для переноса'!K50</f>
        <v>637205.54155753914</v>
      </c>
      <c r="L52" s="384">
        <f>'[10]Данные для переноса'!L50</f>
        <v>662693.76321984222</v>
      </c>
      <c r="M52" s="384">
        <f>'[10]Данные для переноса'!M50</f>
        <v>689201.51374863577</v>
      </c>
      <c r="N52" s="384">
        <f>'[10]Данные для переноса'!N50</f>
        <v>716769.57429858262</v>
      </c>
      <c r="O52" s="384">
        <f>'[10]Данные для переноса'!O50</f>
        <v>745440.35727052402</v>
      </c>
      <c r="P52" s="384">
        <f>'[10]Данные для переноса'!P50</f>
        <v>775257.97156134504</v>
      </c>
      <c r="Q52" s="384">
        <f>'[10]Данные для переноса'!Q50</f>
        <v>806268.29042379837</v>
      </c>
      <c r="R52" s="384">
        <f>'[10]Данные для переноса'!R50</f>
        <v>838519.02204075223</v>
      </c>
      <c r="S52" s="384">
        <f>'[10]Данные для переноса'!S50</f>
        <v>872059.78292238084</v>
      </c>
      <c r="T52" s="384">
        <f>'[10]Данные для переноса'!T50</f>
        <v>906942.17423927621</v>
      </c>
      <c r="U52" s="384">
        <f>'[10]Данные для переноса'!U50</f>
        <v>943219.86120884819</v>
      </c>
      <c r="V52" s="384">
        <f>'[10]Данные для переноса'!V50</f>
        <v>980948.65565720247</v>
      </c>
      <c r="W52" s="384">
        <f>'[10]Данные для переноса'!W50</f>
        <v>1020186.6018834901</v>
      </c>
      <c r="X52" s="384">
        <f>'[10]Данные для переноса'!X50</f>
        <v>1060994.0659588319</v>
      </c>
      <c r="Y52" s="384">
        <f>'[10]Данные для переноса'!Y50</f>
        <v>1103433.8285971812</v>
      </c>
      <c r="Z52" s="384">
        <f>'[10]Данные для переноса'!Z50</f>
        <v>1147571.1817410726</v>
      </c>
      <c r="AA52" s="426">
        <v>401669.92253558605</v>
      </c>
      <c r="AB52" s="426">
        <v>508416.37457994383</v>
      </c>
      <c r="AC52" s="426">
        <v>589158.9267859211</v>
      </c>
      <c r="AD52" s="426">
        <v>585285.45324208157</v>
      </c>
      <c r="AE52" s="426">
        <v>611073.76837028004</v>
      </c>
      <c r="AF52" s="426">
        <v>637205.54155753914</v>
      </c>
      <c r="AG52" s="426">
        <v>662693.76321984222</v>
      </c>
      <c r="AH52" s="426">
        <v>689201.51374863577</v>
      </c>
      <c r="AI52" s="426">
        <v>716769.57429858262</v>
      </c>
      <c r="AJ52" s="426">
        <v>745440.35727052402</v>
      </c>
      <c r="AK52" s="426">
        <v>775257.97156134504</v>
      </c>
      <c r="AL52" s="426">
        <v>806268.29042379837</v>
      </c>
      <c r="AM52" s="426">
        <v>838519.02204075223</v>
      </c>
      <c r="AN52" s="426">
        <v>872059.78292238084</v>
      </c>
      <c r="AO52" s="426">
        <v>906942.17423927621</v>
      </c>
      <c r="AP52" s="426">
        <v>943219.86120884819</v>
      </c>
      <c r="AQ52" s="426">
        <v>980948.65565720247</v>
      </c>
      <c r="AR52" s="426">
        <v>1020186.6018834901</v>
      </c>
      <c r="AS52" s="426">
        <v>1060994.0659588319</v>
      </c>
      <c r="AT52" s="426">
        <v>1103433.8285971812</v>
      </c>
      <c r="AU52" s="426">
        <v>1147571.1817410726</v>
      </c>
      <c r="AV52" s="430" t="b">
        <f t="shared" si="124"/>
        <v>1</v>
      </c>
      <c r="AW52" s="430" t="b">
        <f t="shared" si="124"/>
        <v>1</v>
      </c>
      <c r="AX52" s="430" t="b">
        <f t="shared" si="124"/>
        <v>1</v>
      </c>
      <c r="AY52" s="430" t="b">
        <f t="shared" si="124"/>
        <v>1</v>
      </c>
      <c r="AZ52" s="430" t="b">
        <f t="shared" si="124"/>
        <v>1</v>
      </c>
      <c r="BA52" s="430" t="b">
        <f t="shared" si="124"/>
        <v>1</v>
      </c>
      <c r="BB52" s="430" t="b">
        <f t="shared" si="124"/>
        <v>1</v>
      </c>
      <c r="BC52" s="430" t="b">
        <f t="shared" si="124"/>
        <v>1</v>
      </c>
      <c r="BD52" s="430" t="b">
        <f t="shared" si="124"/>
        <v>1</v>
      </c>
      <c r="BE52" s="430" t="b">
        <f t="shared" si="124"/>
        <v>1</v>
      </c>
      <c r="BF52" s="430" t="b">
        <f t="shared" si="124"/>
        <v>1</v>
      </c>
      <c r="BG52" s="430" t="b">
        <f t="shared" si="122"/>
        <v>1</v>
      </c>
      <c r="BH52" s="430" t="b">
        <f t="shared" si="122"/>
        <v>1</v>
      </c>
      <c r="BI52" s="430" t="b">
        <f t="shared" si="122"/>
        <v>1</v>
      </c>
      <c r="BJ52" s="430" t="b">
        <f t="shared" si="122"/>
        <v>1</v>
      </c>
      <c r="BK52" s="430" t="b">
        <f t="shared" si="122"/>
        <v>1</v>
      </c>
      <c r="BL52" s="430" t="b">
        <f t="shared" si="122"/>
        <v>1</v>
      </c>
      <c r="BM52" s="430" t="b">
        <f t="shared" si="122"/>
        <v>1</v>
      </c>
      <c r="BN52" s="430" t="b">
        <f t="shared" si="122"/>
        <v>1</v>
      </c>
      <c r="BO52" s="430" t="b">
        <f t="shared" si="122"/>
        <v>1</v>
      </c>
      <c r="BP52" s="430" t="b">
        <f t="shared" si="122"/>
        <v>1</v>
      </c>
      <c r="BQ52" s="244">
        <f t="shared" si="119"/>
        <v>14517785.95469958</v>
      </c>
      <c r="BR52" s="247">
        <f>'[10]Данные для переноса'!AB50</f>
        <v>401669.92253558617</v>
      </c>
      <c r="BS52" s="247">
        <f>'[10]Данные для переноса'!AC50</f>
        <v>508416.37457994372</v>
      </c>
      <c r="BT52" s="247">
        <f>'[10]Данные для переноса'!AD50</f>
        <v>589158.92678592121</v>
      </c>
      <c r="BU52" s="247">
        <f>'[10]Данные для переноса'!AE50</f>
        <v>585821.19005581015</v>
      </c>
      <c r="BV52" s="247">
        <f>'[10]Данные для переноса'!AF50</f>
        <v>646035.83369978773</v>
      </c>
      <c r="BW52" s="247">
        <f>'[10]Данные для переноса'!AG50</f>
        <v>672716.67555022333</v>
      </c>
      <c r="BX52" s="247">
        <f>'[10]Данные для переноса'!AH50</f>
        <v>702083.12841758365</v>
      </c>
      <c r="BY52" s="247">
        <f>'[10]Данные для переноса'!AI50</f>
        <v>729282.72328070446</v>
      </c>
      <c r="BZ52" s="247">
        <f>'[10]Данные для переноса'!AJ50</f>
        <v>757552.62733288459</v>
      </c>
      <c r="CA52" s="247">
        <f>'[10]Данные для переноса'!AK50</f>
        <v>786935.29944956559</v>
      </c>
      <c r="CB52" s="247">
        <f>'[10]Данные для переноса'!AL50</f>
        <v>817474.88979138411</v>
      </c>
      <c r="CC52" s="247">
        <f>'[10]Данные для переноса'!AM50</f>
        <v>849217.30731414969</v>
      </c>
      <c r="CD52" s="247">
        <f>'[10]Данные для переноса'!AN50</f>
        <v>882210.28997645027</v>
      </c>
      <c r="CE52" s="247">
        <f>'[10]Данные для переноса'!AO50</f>
        <v>916503.47775263677</v>
      </c>
      <c r="CF52" s="247">
        <f>'[10]Данные для переноса'!AP50</f>
        <v>952148.4885634114</v>
      </c>
      <c r="CG52" s="247">
        <f>'[10]Данные для переноса'!AQ50</f>
        <v>989198.99724063149</v>
      </c>
      <c r="CH52" s="247">
        <f>'[10]Данные для переноса'!AR50</f>
        <v>1027710.817647639</v>
      </c>
      <c r="CI52" s="247">
        <f>'[10]Данные для переноса'!AS50</f>
        <v>1067741.9880812685</v>
      </c>
      <c r="CJ52" s="247">
        <f>'[10]Данные для переноса'!AT50</f>
        <v>1109352.8600867991</v>
      </c>
      <c r="CK52" s="247">
        <f>'[10]Данные для переноса'!AU50</f>
        <v>1152606.1908221974</v>
      </c>
      <c r="CL52" s="247">
        <f>'[10]Данные для переноса'!AV50</f>
        <v>1197567.2391136468</v>
      </c>
      <c r="CM52" s="426">
        <v>401669.92253558617</v>
      </c>
      <c r="CN52" s="426">
        <v>508416.37457994372</v>
      </c>
      <c r="CO52" s="426">
        <v>589158.92678592121</v>
      </c>
      <c r="CP52" s="426">
        <v>585821.19005581015</v>
      </c>
      <c r="CQ52" s="426">
        <v>646035.83369978773</v>
      </c>
      <c r="CR52" s="426">
        <v>672716.67555022333</v>
      </c>
      <c r="CS52" s="426">
        <v>702083.12841758365</v>
      </c>
      <c r="CT52" s="426">
        <v>729282.72328070446</v>
      </c>
      <c r="CU52" s="426">
        <v>757552.62733288459</v>
      </c>
      <c r="CV52" s="426">
        <v>786935.29944956559</v>
      </c>
      <c r="CW52" s="426">
        <v>817474.88979138411</v>
      </c>
      <c r="CX52" s="426">
        <v>849217.30731414969</v>
      </c>
      <c r="CY52" s="426">
        <v>882210.28997645027</v>
      </c>
      <c r="CZ52" s="426">
        <v>916503.47775263677</v>
      </c>
      <c r="DA52" s="426">
        <v>952148.4885634114</v>
      </c>
      <c r="DB52" s="426">
        <v>989198.99724063149</v>
      </c>
      <c r="DC52" s="426">
        <v>1027710.817647639</v>
      </c>
      <c r="DD52" s="426">
        <v>1067741.9880812685</v>
      </c>
      <c r="DE52" s="426">
        <v>1109352.8600867991</v>
      </c>
      <c r="DF52" s="426">
        <v>1152606.1908221974</v>
      </c>
      <c r="DG52" s="426">
        <v>1197567.2391136468</v>
      </c>
      <c r="DH52" s="430" t="b">
        <f t="shared" si="123"/>
        <v>1</v>
      </c>
      <c r="DI52" s="430" t="b">
        <f t="shared" si="123"/>
        <v>1</v>
      </c>
      <c r="DJ52" s="430" t="b">
        <f t="shared" si="123"/>
        <v>1</v>
      </c>
      <c r="DK52" s="430" t="b">
        <f t="shared" si="123"/>
        <v>1</v>
      </c>
      <c r="DL52" s="430" t="b">
        <f t="shared" si="123"/>
        <v>1</v>
      </c>
      <c r="DM52" s="430" t="b">
        <f t="shared" si="123"/>
        <v>1</v>
      </c>
      <c r="DN52" s="430" t="b">
        <f t="shared" si="123"/>
        <v>1</v>
      </c>
      <c r="DO52" s="430" t="b">
        <f t="shared" si="123"/>
        <v>1</v>
      </c>
      <c r="DP52" s="430" t="b">
        <f t="shared" si="123"/>
        <v>1</v>
      </c>
      <c r="DQ52" s="430" t="b">
        <f t="shared" si="123"/>
        <v>1</v>
      </c>
      <c r="DR52" s="430" t="b">
        <f t="shared" si="123"/>
        <v>1</v>
      </c>
      <c r="DS52" s="430" t="b">
        <f t="shared" si="125"/>
        <v>1</v>
      </c>
      <c r="DT52" s="430" t="b">
        <f t="shared" si="125"/>
        <v>1</v>
      </c>
      <c r="DU52" s="430" t="b">
        <f t="shared" si="125"/>
        <v>1</v>
      </c>
      <c r="DV52" s="430" t="b">
        <f t="shared" si="125"/>
        <v>1</v>
      </c>
      <c r="DW52" s="430" t="b">
        <f t="shared" si="125"/>
        <v>1</v>
      </c>
      <c r="DX52" s="430" t="b">
        <f t="shared" si="125"/>
        <v>1</v>
      </c>
      <c r="DY52" s="430" t="b">
        <f t="shared" si="125"/>
        <v>1</v>
      </c>
      <c r="DZ52" s="430" t="b">
        <f t="shared" si="125"/>
        <v>1</v>
      </c>
      <c r="EA52" s="430" t="b">
        <f t="shared" si="125"/>
        <v>1</v>
      </c>
      <c r="EB52" s="430" t="b">
        <f t="shared" si="125"/>
        <v>1</v>
      </c>
      <c r="EC52" s="244">
        <f t="shared" si="120"/>
        <v>15256338.834120966</v>
      </c>
      <c r="ED52" s="223">
        <f t="shared" si="97"/>
        <v>0</v>
      </c>
      <c r="EE52" s="223">
        <f t="shared" si="98"/>
        <v>0</v>
      </c>
      <c r="EF52" s="223">
        <f t="shared" si="99"/>
        <v>0</v>
      </c>
      <c r="EG52" s="223">
        <f t="shared" si="100"/>
        <v>535.73681372858118</v>
      </c>
      <c r="EH52" s="223">
        <f t="shared" si="101"/>
        <v>34962.065329507692</v>
      </c>
      <c r="EI52" s="223">
        <f t="shared" si="102"/>
        <v>35511.13399268419</v>
      </c>
      <c r="EJ52" s="223">
        <f t="shared" si="103"/>
        <v>39389.365197741427</v>
      </c>
      <c r="EK52" s="223">
        <f t="shared" si="104"/>
        <v>40081.209532068693</v>
      </c>
      <c r="EL52" s="223">
        <f t="shared" si="105"/>
        <v>40783.053034301964</v>
      </c>
      <c r="EM52" s="223">
        <f t="shared" si="106"/>
        <v>41494.942179041565</v>
      </c>
      <c r="EN52" s="223">
        <f t="shared" si="107"/>
        <v>42216.918230039068</v>
      </c>
      <c r="EO52" s="223">
        <f t="shared" si="108"/>
        <v>42949.016890351311</v>
      </c>
      <c r="EP52" s="223">
        <f t="shared" si="109"/>
        <v>43691.267935698037</v>
      </c>
      <c r="EQ52" s="223">
        <f>CE52-S52</f>
        <v>44443.694830255932</v>
      </c>
      <c r="ER52" s="223">
        <f>CF52-T52</f>
        <v>45206.314324135194</v>
      </c>
      <c r="ES52" s="223">
        <f>CG52-U52</f>
        <v>45979.136031783302</v>
      </c>
      <c r="ET52" s="223">
        <f>CH52-V52</f>
        <v>46762.161990436492</v>
      </c>
      <c r="EU52" s="223">
        <f>CI52-W52</f>
        <v>47555.386197778396</v>
      </c>
      <c r="EV52" s="223">
        <f>CJ52-X52</f>
        <v>48358.794127967209</v>
      </c>
      <c r="EW52" s="223">
        <f>CK52-Y52</f>
        <v>49172.362225016113</v>
      </c>
      <c r="EX52" s="223">
        <f>CL52-Z52</f>
        <v>49996.057372574229</v>
      </c>
      <c r="EY52" s="244">
        <f t="shared" si="121"/>
        <v>738552.87942138081</v>
      </c>
    </row>
    <row r="53" spans="1:155" s="235" customFormat="1" x14ac:dyDescent="0.35">
      <c r="A53" s="221"/>
      <c r="B53" s="222"/>
      <c r="C53" s="241">
        <v>36</v>
      </c>
      <c r="D53" s="265" t="s">
        <v>42</v>
      </c>
      <c r="E53" s="243" t="s">
        <v>10</v>
      </c>
      <c r="F53" s="384">
        <f>'[10]Данные для переноса'!F51</f>
        <v>1192318</v>
      </c>
      <c r="G53" s="384">
        <f>'[10]Данные для переноса'!G51</f>
        <v>1406586.5</v>
      </c>
      <c r="H53" s="384">
        <f>'[10]Данные для переноса'!H51</f>
        <v>1386087.5</v>
      </c>
      <c r="I53" s="384">
        <f>'[10]Данные для переноса'!I51</f>
        <v>1448461.4375</v>
      </c>
      <c r="J53" s="384">
        <f>'[10]Данные для переноса'!J51</f>
        <v>1506399.8949999998</v>
      </c>
      <c r="K53" s="384">
        <f>'[10]Данные для переноса'!K51</f>
        <v>1566655.8907999999</v>
      </c>
      <c r="L53" s="384">
        <f>'[10]Данные для переноса'!L51</f>
        <v>1629322.126432</v>
      </c>
      <c r="M53" s="384">
        <f>'[10]Данные для переноса'!M51</f>
        <v>1694495.01148928</v>
      </c>
      <c r="N53" s="384">
        <f>'[10]Данные для переноса'!N51</f>
        <v>1762274.8119488512</v>
      </c>
      <c r="O53" s="384">
        <f>'[10]Данные для переноса'!O51</f>
        <v>1832765.8044268053</v>
      </c>
      <c r="P53" s="384">
        <f>'[10]Данные для переноса'!P51</f>
        <v>1906076.4366038777</v>
      </c>
      <c r="Q53" s="384">
        <f>'[10]Данные для переноса'!Q51</f>
        <v>1982319.4940680331</v>
      </c>
      <c r="R53" s="384">
        <f>'[10]Данные для переноса'!R51</f>
        <v>2061612.2738307542</v>
      </c>
      <c r="S53" s="384">
        <f>'[10]Данные для переноса'!S51</f>
        <v>2144076.7647839841</v>
      </c>
      <c r="T53" s="384">
        <f>'[10]Данные для переноса'!T51</f>
        <v>2229839.8353753434</v>
      </c>
      <c r="U53" s="384">
        <f>'[10]Данные для переноса'!U51</f>
        <v>2319033.4287903574</v>
      </c>
      <c r="V53" s="384">
        <f>'[10]Данные для переноса'!V51</f>
        <v>2411794.7659419719</v>
      </c>
      <c r="W53" s="384">
        <f>'[10]Данные для переноса'!W51</f>
        <v>2508266.5565796504</v>
      </c>
      <c r="X53" s="384">
        <f>'[10]Данные для переноса'!X51</f>
        <v>2608597.2188428366</v>
      </c>
      <c r="Y53" s="384">
        <f>'[10]Данные для переноса'!Y51</f>
        <v>2712941.1075965501</v>
      </c>
      <c r="Z53" s="384">
        <f>'[10]Данные для переноса'!Z51</f>
        <v>2821458.7519004121</v>
      </c>
      <c r="AA53" s="426">
        <v>1192318</v>
      </c>
      <c r="AB53" s="426">
        <v>1406586.5</v>
      </c>
      <c r="AC53" s="426">
        <v>1386087.5</v>
      </c>
      <c r="AD53" s="426">
        <v>1448461.4375</v>
      </c>
      <c r="AE53" s="426">
        <v>1506399.8949999998</v>
      </c>
      <c r="AF53" s="426">
        <v>1566655.8907999999</v>
      </c>
      <c r="AG53" s="426">
        <v>1629322.126432</v>
      </c>
      <c r="AH53" s="426">
        <v>1694495.01148928</v>
      </c>
      <c r="AI53" s="426">
        <v>1762274.8119488512</v>
      </c>
      <c r="AJ53" s="426">
        <v>1832765.8044268053</v>
      </c>
      <c r="AK53" s="426">
        <v>1906076.4366038777</v>
      </c>
      <c r="AL53" s="426">
        <v>1982319.4940680331</v>
      </c>
      <c r="AM53" s="426">
        <v>2061612.2738307542</v>
      </c>
      <c r="AN53" s="426">
        <v>2144076.7647839841</v>
      </c>
      <c r="AO53" s="426">
        <v>2229839.8353753434</v>
      </c>
      <c r="AP53" s="426">
        <v>2319033.4287903574</v>
      </c>
      <c r="AQ53" s="426">
        <v>2411794.7659419719</v>
      </c>
      <c r="AR53" s="426">
        <v>2508266.5565796504</v>
      </c>
      <c r="AS53" s="426">
        <v>2608597.2188428366</v>
      </c>
      <c r="AT53" s="426">
        <v>2712941.1075965501</v>
      </c>
      <c r="AU53" s="426">
        <v>2821458.7519004121</v>
      </c>
      <c r="AV53" s="430" t="b">
        <f t="shared" si="124"/>
        <v>1</v>
      </c>
      <c r="AW53" s="430" t="b">
        <f t="shared" si="124"/>
        <v>1</v>
      </c>
      <c r="AX53" s="430" t="b">
        <f t="shared" si="124"/>
        <v>1</v>
      </c>
      <c r="AY53" s="430" t="b">
        <f t="shared" si="124"/>
        <v>1</v>
      </c>
      <c r="AZ53" s="430" t="b">
        <f t="shared" si="124"/>
        <v>1</v>
      </c>
      <c r="BA53" s="430" t="b">
        <f t="shared" si="124"/>
        <v>1</v>
      </c>
      <c r="BB53" s="430" t="b">
        <f t="shared" si="124"/>
        <v>1</v>
      </c>
      <c r="BC53" s="430" t="b">
        <f t="shared" si="124"/>
        <v>1</v>
      </c>
      <c r="BD53" s="430" t="b">
        <f t="shared" si="124"/>
        <v>1</v>
      </c>
      <c r="BE53" s="430" t="b">
        <f t="shared" si="124"/>
        <v>1</v>
      </c>
      <c r="BF53" s="430" t="b">
        <f t="shared" si="124"/>
        <v>1</v>
      </c>
      <c r="BG53" s="430" t="b">
        <f t="shared" si="122"/>
        <v>1</v>
      </c>
      <c r="BH53" s="430" t="b">
        <f t="shared" si="122"/>
        <v>1</v>
      </c>
      <c r="BI53" s="430" t="b">
        <f t="shared" si="122"/>
        <v>1</v>
      </c>
      <c r="BJ53" s="430" t="b">
        <f t="shared" si="122"/>
        <v>1</v>
      </c>
      <c r="BK53" s="430" t="b">
        <f t="shared" si="122"/>
        <v>1</v>
      </c>
      <c r="BL53" s="430" t="b">
        <f t="shared" si="122"/>
        <v>1</v>
      </c>
      <c r="BM53" s="430" t="b">
        <f t="shared" si="122"/>
        <v>1</v>
      </c>
      <c r="BN53" s="430" t="b">
        <f t="shared" si="122"/>
        <v>1</v>
      </c>
      <c r="BO53" s="430" t="b">
        <f t="shared" si="122"/>
        <v>1</v>
      </c>
      <c r="BP53" s="430" t="b">
        <f t="shared" si="122"/>
        <v>1</v>
      </c>
      <c r="BQ53" s="244">
        <f t="shared" si="119"/>
        <v>35697930.174410708</v>
      </c>
      <c r="BR53" s="247">
        <f>'[10]Данные для переноса'!AB51</f>
        <v>1192318</v>
      </c>
      <c r="BS53" s="247">
        <f>'[10]Данные для переноса'!AC51</f>
        <v>1406586.5</v>
      </c>
      <c r="BT53" s="247">
        <f>'[10]Данные для переноса'!AD51</f>
        <v>1386087.5</v>
      </c>
      <c r="BU53" s="247">
        <f>'[10]Данные для переноса'!AE51</f>
        <v>1448461.4375</v>
      </c>
      <c r="BV53" s="247">
        <f>'[10]Данные для переноса'!AF51</f>
        <v>1506399.8949999998</v>
      </c>
      <c r="BW53" s="247">
        <f>'[10]Данные для переноса'!AG51</f>
        <v>1566655.8907999999</v>
      </c>
      <c r="BX53" s="247">
        <f>'[10]Данные для переноса'!AH51</f>
        <v>1629322.126432</v>
      </c>
      <c r="BY53" s="247">
        <f>'[10]Данные для переноса'!AI51</f>
        <v>1694495.01148928</v>
      </c>
      <c r="BZ53" s="247">
        <f>'[10]Данные для переноса'!AJ51</f>
        <v>1762274.8119488512</v>
      </c>
      <c r="CA53" s="247">
        <f>'[10]Данные для переноса'!AK51</f>
        <v>1832765.8044268053</v>
      </c>
      <c r="CB53" s="247">
        <f>'[10]Данные для переноса'!AL51</f>
        <v>1906076.4366038777</v>
      </c>
      <c r="CC53" s="247">
        <f>'[10]Данные для переноса'!AM51</f>
        <v>1982319.4940680331</v>
      </c>
      <c r="CD53" s="247">
        <f>'[10]Данные для переноса'!AN51</f>
        <v>2061612.2738307542</v>
      </c>
      <c r="CE53" s="247">
        <f>'[10]Данные для переноса'!AO51</f>
        <v>2369647.3377318098</v>
      </c>
      <c r="CF53" s="247">
        <f>'[10]Данные для переноса'!AP51</f>
        <v>2723153.1807039045</v>
      </c>
      <c r="CG53" s="247">
        <f>'[10]Данные для переноса'!AQ51</f>
        <v>2831980.6452629957</v>
      </c>
      <c r="CH53" s="247">
        <f>'[10]Данные для переноса'!AR51</f>
        <v>2945157.2816302208</v>
      </c>
      <c r="CI53" s="247">
        <f>'[10]Данные для переноса'!AS51</f>
        <v>3062856.9003922916</v>
      </c>
      <c r="CJ53" s="247">
        <f>'[10]Данные для переноса'!AT51</f>
        <v>3185260.2583392211</v>
      </c>
      <c r="CK53" s="247">
        <f>'[10]Данные для переноса'!AU51</f>
        <v>3312555.3360648905</v>
      </c>
      <c r="CL53" s="247">
        <f>'[10]Данные для переноса'!AV51</f>
        <v>3444937.6266617929</v>
      </c>
      <c r="CM53" s="426">
        <v>1192318</v>
      </c>
      <c r="CN53" s="426">
        <v>1406586.5</v>
      </c>
      <c r="CO53" s="426">
        <v>1386087.5</v>
      </c>
      <c r="CP53" s="426">
        <v>1448461.4375</v>
      </c>
      <c r="CQ53" s="426">
        <v>1506399.8949999998</v>
      </c>
      <c r="CR53" s="426">
        <v>1566655.8907999999</v>
      </c>
      <c r="CS53" s="426">
        <v>1629322.126432</v>
      </c>
      <c r="CT53" s="426">
        <v>1694495.01148928</v>
      </c>
      <c r="CU53" s="426">
        <v>1762274.8119488512</v>
      </c>
      <c r="CV53" s="426">
        <v>1832765.8044268053</v>
      </c>
      <c r="CW53" s="426">
        <v>1906076.4366038777</v>
      </c>
      <c r="CX53" s="426">
        <v>1982319.4940680331</v>
      </c>
      <c r="CY53" s="426">
        <v>2061612.2738307542</v>
      </c>
      <c r="CZ53" s="426">
        <v>2369647.3377318098</v>
      </c>
      <c r="DA53" s="426">
        <v>2723153.1807039045</v>
      </c>
      <c r="DB53" s="426">
        <v>2831980.6452629957</v>
      </c>
      <c r="DC53" s="426">
        <v>2945157.2816302208</v>
      </c>
      <c r="DD53" s="426">
        <v>3062856.9003922916</v>
      </c>
      <c r="DE53" s="426">
        <v>3185260.2583392211</v>
      </c>
      <c r="DF53" s="426">
        <v>3312555.3360648905</v>
      </c>
      <c r="DG53" s="426">
        <v>3444937.6266617929</v>
      </c>
      <c r="DH53" s="430" t="b">
        <f t="shared" si="123"/>
        <v>1</v>
      </c>
      <c r="DI53" s="430" t="b">
        <f t="shared" si="123"/>
        <v>1</v>
      </c>
      <c r="DJ53" s="430" t="b">
        <f t="shared" si="123"/>
        <v>1</v>
      </c>
      <c r="DK53" s="430" t="b">
        <f t="shared" si="123"/>
        <v>1</v>
      </c>
      <c r="DL53" s="430" t="b">
        <f t="shared" si="123"/>
        <v>1</v>
      </c>
      <c r="DM53" s="430" t="b">
        <f t="shared" si="123"/>
        <v>1</v>
      </c>
      <c r="DN53" s="430" t="b">
        <f t="shared" si="123"/>
        <v>1</v>
      </c>
      <c r="DO53" s="430" t="b">
        <f t="shared" si="123"/>
        <v>1</v>
      </c>
      <c r="DP53" s="430" t="b">
        <f t="shared" si="123"/>
        <v>1</v>
      </c>
      <c r="DQ53" s="430" t="b">
        <f t="shared" si="123"/>
        <v>1</v>
      </c>
      <c r="DR53" s="430" t="b">
        <f t="shared" si="123"/>
        <v>1</v>
      </c>
      <c r="DS53" s="430" t="b">
        <f t="shared" si="125"/>
        <v>1</v>
      </c>
      <c r="DT53" s="430" t="b">
        <f t="shared" si="125"/>
        <v>1</v>
      </c>
      <c r="DU53" s="430" t="b">
        <f t="shared" si="125"/>
        <v>1</v>
      </c>
      <c r="DV53" s="430" t="b">
        <f t="shared" si="125"/>
        <v>1</v>
      </c>
      <c r="DW53" s="430" t="b">
        <f t="shared" si="125"/>
        <v>1</v>
      </c>
      <c r="DX53" s="430" t="b">
        <f t="shared" si="125"/>
        <v>1</v>
      </c>
      <c r="DY53" s="430" t="b">
        <f t="shared" si="125"/>
        <v>1</v>
      </c>
      <c r="DZ53" s="430" t="b">
        <f t="shared" si="125"/>
        <v>1</v>
      </c>
      <c r="EA53" s="430" t="b">
        <f t="shared" si="125"/>
        <v>1</v>
      </c>
      <c r="EB53" s="430" t="b">
        <f t="shared" si="125"/>
        <v>1</v>
      </c>
      <c r="EC53" s="244">
        <f t="shared" si="120"/>
        <v>39817470.311386734</v>
      </c>
      <c r="ED53" s="223">
        <f t="shared" si="97"/>
        <v>0</v>
      </c>
      <c r="EE53" s="223">
        <f t="shared" si="98"/>
        <v>0</v>
      </c>
      <c r="EF53" s="223">
        <f t="shared" si="99"/>
        <v>0</v>
      </c>
      <c r="EG53" s="223">
        <f t="shared" si="100"/>
        <v>0</v>
      </c>
      <c r="EH53" s="223">
        <f t="shared" si="101"/>
        <v>0</v>
      </c>
      <c r="EI53" s="223">
        <f t="shared" si="102"/>
        <v>0</v>
      </c>
      <c r="EJ53" s="223">
        <f t="shared" si="103"/>
        <v>0</v>
      </c>
      <c r="EK53" s="223">
        <f t="shared" si="104"/>
        <v>0</v>
      </c>
      <c r="EL53" s="223">
        <f t="shared" si="105"/>
        <v>0</v>
      </c>
      <c r="EM53" s="223">
        <f t="shared" si="106"/>
        <v>0</v>
      </c>
      <c r="EN53" s="223">
        <f t="shared" si="107"/>
        <v>0</v>
      </c>
      <c r="EO53" s="223">
        <f t="shared" si="108"/>
        <v>0</v>
      </c>
      <c r="EP53" s="223">
        <f t="shared" si="109"/>
        <v>0</v>
      </c>
      <c r="EQ53" s="223">
        <f>CE53-S53</f>
        <v>225570.57294782577</v>
      </c>
      <c r="ER53" s="223">
        <f>CF53-T53</f>
        <v>493313.34532856103</v>
      </c>
      <c r="ES53" s="223">
        <f>CG53-U53</f>
        <v>512947.21647263831</v>
      </c>
      <c r="ET53" s="223">
        <f>CH53-V53</f>
        <v>533362.51568824891</v>
      </c>
      <c r="EU53" s="223">
        <f>CI53-W53</f>
        <v>554590.34381264122</v>
      </c>
      <c r="EV53" s="223">
        <f>CJ53-X53</f>
        <v>576663.03949638456</v>
      </c>
      <c r="EW53" s="223">
        <f>CK53-Y53</f>
        <v>599614.22846834036</v>
      </c>
      <c r="EX53" s="223">
        <f>CL53-Z53</f>
        <v>623478.87476138072</v>
      </c>
      <c r="EY53" s="244">
        <f t="shared" si="121"/>
        <v>4119540.1369760209</v>
      </c>
    </row>
    <row r="54" spans="1:155" s="235" customFormat="1" x14ac:dyDescent="0.35">
      <c r="A54" s="221"/>
      <c r="B54" s="222"/>
      <c r="C54" s="241">
        <v>37</v>
      </c>
      <c r="D54" s="265" t="s">
        <v>43</v>
      </c>
      <c r="E54" s="243" t="s">
        <v>10</v>
      </c>
      <c r="F54" s="384">
        <f>'[10]Данные для переноса'!F52</f>
        <v>15626.9</v>
      </c>
      <c r="G54" s="384">
        <f>'[10]Данные для переноса'!G52</f>
        <v>32891.599999999999</v>
      </c>
      <c r="H54" s="384">
        <f>'[10]Данные для переноса'!H52</f>
        <v>31208.9</v>
      </c>
      <c r="I54" s="384">
        <f>'[10]Данные для переноса'!I52</f>
        <v>32613.300499999994</v>
      </c>
      <c r="J54" s="384">
        <f>'[10]Данные для переноса'!J52</f>
        <v>33917.832519999996</v>
      </c>
      <c r="K54" s="384">
        <f>'[10]Данные для переноса'!K52</f>
        <v>35274.545820799998</v>
      </c>
      <c r="L54" s="384">
        <f>'[10]Данные для переноса'!L52</f>
        <v>36685.527653631994</v>
      </c>
      <c r="M54" s="384">
        <f>'[10]Данные для переноса'!M52</f>
        <v>38152.948759777275</v>
      </c>
      <c r="N54" s="384">
        <f>'[10]Данные для переноса'!N52</f>
        <v>39679.066710168365</v>
      </c>
      <c r="O54" s="384">
        <f>'[10]Данные для переноса'!O52</f>
        <v>41266.229378575103</v>
      </c>
      <c r="P54" s="384">
        <f>'[10]Данные для переноса'!P52</f>
        <v>42916.87855371811</v>
      </c>
      <c r="Q54" s="384">
        <f>'[10]Данные для переноса'!Q52</f>
        <v>44633.553695866831</v>
      </c>
      <c r="R54" s="384">
        <f>'[10]Данные для переноса'!R52</f>
        <v>46418.895843701503</v>
      </c>
      <c r="S54" s="384">
        <f>'[10]Данные для переноса'!S52</f>
        <v>48275.651677449569</v>
      </c>
      <c r="T54" s="384">
        <f>'[10]Данные для переноса'!T52</f>
        <v>50206.677744547553</v>
      </c>
      <c r="U54" s="384">
        <f>'[10]Данные для переноса'!U52</f>
        <v>52214.944854329457</v>
      </c>
      <c r="V54" s="384">
        <f>'[10]Данные для переноса'!V52</f>
        <v>54303.54264850264</v>
      </c>
      <c r="W54" s="384">
        <f>'[10]Данные для переноса'!W52</f>
        <v>56475.684354442747</v>
      </c>
      <c r="X54" s="384">
        <f>'[10]Данные для переноса'!X52</f>
        <v>58734.711728620459</v>
      </c>
      <c r="Y54" s="384">
        <f>'[10]Данные для переноса'!Y52</f>
        <v>61084.100197765285</v>
      </c>
      <c r="Z54" s="384">
        <f>'[10]Данные для переноса'!Z52</f>
        <v>63527.464205675889</v>
      </c>
      <c r="AA54" s="426">
        <v>15626.9</v>
      </c>
      <c r="AB54" s="426">
        <v>32891.599999999999</v>
      </c>
      <c r="AC54" s="426">
        <v>31208.9</v>
      </c>
      <c r="AD54" s="426">
        <v>32613.300499999994</v>
      </c>
      <c r="AE54" s="426">
        <v>33917.832519999996</v>
      </c>
      <c r="AF54" s="426">
        <v>35274.545820799998</v>
      </c>
      <c r="AG54" s="426">
        <v>36685.527653631994</v>
      </c>
      <c r="AH54" s="426">
        <v>38152.948759777275</v>
      </c>
      <c r="AI54" s="426">
        <v>39679.066710168365</v>
      </c>
      <c r="AJ54" s="426">
        <v>41266.229378575103</v>
      </c>
      <c r="AK54" s="426">
        <v>42916.87855371811</v>
      </c>
      <c r="AL54" s="426">
        <v>44633.553695866831</v>
      </c>
      <c r="AM54" s="426">
        <v>46418.895843701503</v>
      </c>
      <c r="AN54" s="426">
        <v>48275.651677449569</v>
      </c>
      <c r="AO54" s="426">
        <v>50206.677744547553</v>
      </c>
      <c r="AP54" s="426">
        <v>52214.944854329457</v>
      </c>
      <c r="AQ54" s="426">
        <v>54303.54264850264</v>
      </c>
      <c r="AR54" s="426">
        <v>56475.684354442747</v>
      </c>
      <c r="AS54" s="426">
        <v>58734.711728620459</v>
      </c>
      <c r="AT54" s="426">
        <v>61084.100197765285</v>
      </c>
      <c r="AU54" s="426">
        <v>63527.464205675889</v>
      </c>
      <c r="AV54" s="430" t="b">
        <f t="shared" si="124"/>
        <v>1</v>
      </c>
      <c r="AW54" s="430" t="b">
        <f t="shared" si="124"/>
        <v>1</v>
      </c>
      <c r="AX54" s="430" t="b">
        <f t="shared" si="124"/>
        <v>1</v>
      </c>
      <c r="AY54" s="430" t="b">
        <f t="shared" si="124"/>
        <v>1</v>
      </c>
      <c r="AZ54" s="430" t="b">
        <f t="shared" si="124"/>
        <v>1</v>
      </c>
      <c r="BA54" s="430" t="b">
        <f t="shared" si="124"/>
        <v>1</v>
      </c>
      <c r="BB54" s="430" t="b">
        <f t="shared" si="124"/>
        <v>1</v>
      </c>
      <c r="BC54" s="430" t="b">
        <f t="shared" si="124"/>
        <v>1</v>
      </c>
      <c r="BD54" s="430" t="b">
        <f t="shared" si="124"/>
        <v>1</v>
      </c>
      <c r="BE54" s="430" t="b">
        <f t="shared" si="124"/>
        <v>1</v>
      </c>
      <c r="BF54" s="430" t="b">
        <f t="shared" si="124"/>
        <v>1</v>
      </c>
      <c r="BG54" s="430" t="b">
        <f t="shared" si="122"/>
        <v>1</v>
      </c>
      <c r="BH54" s="430" t="b">
        <f t="shared" si="122"/>
        <v>1</v>
      </c>
      <c r="BI54" s="430" t="b">
        <f t="shared" si="122"/>
        <v>1</v>
      </c>
      <c r="BJ54" s="430" t="b">
        <f t="shared" si="122"/>
        <v>1</v>
      </c>
      <c r="BK54" s="430" t="b">
        <f t="shared" si="122"/>
        <v>1</v>
      </c>
      <c r="BL54" s="430" t="b">
        <f t="shared" si="122"/>
        <v>1</v>
      </c>
      <c r="BM54" s="430" t="b">
        <f t="shared" si="122"/>
        <v>1</v>
      </c>
      <c r="BN54" s="430" t="b">
        <f t="shared" si="122"/>
        <v>1</v>
      </c>
      <c r="BO54" s="430" t="b">
        <f t="shared" si="122"/>
        <v>1</v>
      </c>
      <c r="BP54" s="430" t="b">
        <f t="shared" si="122"/>
        <v>1</v>
      </c>
      <c r="BQ54" s="244">
        <f t="shared" si="119"/>
        <v>803768.25634757278</v>
      </c>
      <c r="BR54" s="247">
        <f>'[10]Данные для переноса'!AB52</f>
        <v>15626.9</v>
      </c>
      <c r="BS54" s="247">
        <f>'[10]Данные для переноса'!AC52</f>
        <v>32891.599999999999</v>
      </c>
      <c r="BT54" s="247">
        <f>'[10]Данные для переноса'!AD52</f>
        <v>31208.9</v>
      </c>
      <c r="BU54" s="247">
        <f>'[10]Данные для переноса'!AE52</f>
        <v>32613.300499999994</v>
      </c>
      <c r="BV54" s="247">
        <f>'[10]Данные для переноса'!AF52</f>
        <v>33917.832519999996</v>
      </c>
      <c r="BW54" s="247">
        <f>'[10]Данные для переноса'!AG52</f>
        <v>35274.545820799998</v>
      </c>
      <c r="BX54" s="247">
        <f>'[10]Данные для переноса'!AH52</f>
        <v>36685.527653631994</v>
      </c>
      <c r="BY54" s="247">
        <f>'[10]Данные для переноса'!AI52</f>
        <v>38152.948759777275</v>
      </c>
      <c r="BZ54" s="247">
        <f>'[10]Данные для переноса'!AJ52</f>
        <v>39679.066710168365</v>
      </c>
      <c r="CA54" s="247">
        <f>'[10]Данные для переноса'!AK52</f>
        <v>41266.229378575103</v>
      </c>
      <c r="CB54" s="247">
        <f>'[10]Данные для переноса'!AL52</f>
        <v>42916.87855371811</v>
      </c>
      <c r="CC54" s="247">
        <f>'[10]Данные для переноса'!AM52</f>
        <v>44633.553695866831</v>
      </c>
      <c r="CD54" s="247">
        <f>'[10]Данные для переноса'!AN52</f>
        <v>46418.895843701503</v>
      </c>
      <c r="CE54" s="247">
        <f>'[10]Данные для переноса'!AO52</f>
        <v>48275.651677449569</v>
      </c>
      <c r="CF54" s="247">
        <f>'[10]Данные для переноса'!AP52</f>
        <v>50206.677744547553</v>
      </c>
      <c r="CG54" s="247">
        <f>'[10]Данные для переноса'!AQ52</f>
        <v>52214.944854329457</v>
      </c>
      <c r="CH54" s="247">
        <f>'[10]Данные для переноса'!AR52</f>
        <v>54303.54264850264</v>
      </c>
      <c r="CI54" s="247">
        <f>'[10]Данные для переноса'!AS52</f>
        <v>56475.684354442747</v>
      </c>
      <c r="CJ54" s="247">
        <f>'[10]Данные для переноса'!AT52</f>
        <v>58734.711728620459</v>
      </c>
      <c r="CK54" s="247">
        <f>'[10]Данные для переноса'!AU52</f>
        <v>61084.100197765285</v>
      </c>
      <c r="CL54" s="247">
        <f>'[10]Данные для переноса'!AV52</f>
        <v>63527.464205675889</v>
      </c>
      <c r="CM54" s="426">
        <v>15626.9</v>
      </c>
      <c r="CN54" s="426">
        <v>32891.599999999999</v>
      </c>
      <c r="CO54" s="426">
        <v>31208.9</v>
      </c>
      <c r="CP54" s="426">
        <v>32613.300499999994</v>
      </c>
      <c r="CQ54" s="426">
        <v>33917.832519999996</v>
      </c>
      <c r="CR54" s="426">
        <v>35274.545820799998</v>
      </c>
      <c r="CS54" s="426">
        <v>36685.527653631994</v>
      </c>
      <c r="CT54" s="426">
        <v>38152.948759777275</v>
      </c>
      <c r="CU54" s="426">
        <v>39679.066710168365</v>
      </c>
      <c r="CV54" s="426">
        <v>41266.229378575103</v>
      </c>
      <c r="CW54" s="426">
        <v>42916.87855371811</v>
      </c>
      <c r="CX54" s="426">
        <v>44633.553695866831</v>
      </c>
      <c r="CY54" s="426">
        <v>46418.895843701503</v>
      </c>
      <c r="CZ54" s="426">
        <v>48275.651677449569</v>
      </c>
      <c r="DA54" s="426">
        <v>50206.677744547553</v>
      </c>
      <c r="DB54" s="426">
        <v>52214.944854329457</v>
      </c>
      <c r="DC54" s="426">
        <v>54303.54264850264</v>
      </c>
      <c r="DD54" s="426">
        <v>56475.684354442747</v>
      </c>
      <c r="DE54" s="426">
        <v>58734.711728620459</v>
      </c>
      <c r="DF54" s="426">
        <v>61084.100197765285</v>
      </c>
      <c r="DG54" s="426">
        <v>63527.464205675889</v>
      </c>
      <c r="DH54" s="430" t="b">
        <f t="shared" si="123"/>
        <v>1</v>
      </c>
      <c r="DI54" s="430" t="b">
        <f t="shared" si="123"/>
        <v>1</v>
      </c>
      <c r="DJ54" s="430" t="b">
        <f t="shared" si="123"/>
        <v>1</v>
      </c>
      <c r="DK54" s="430" t="b">
        <f t="shared" si="123"/>
        <v>1</v>
      </c>
      <c r="DL54" s="430" t="b">
        <f t="shared" si="123"/>
        <v>1</v>
      </c>
      <c r="DM54" s="430" t="b">
        <f t="shared" si="123"/>
        <v>1</v>
      </c>
      <c r="DN54" s="430" t="b">
        <f t="shared" si="123"/>
        <v>1</v>
      </c>
      <c r="DO54" s="430" t="b">
        <f t="shared" si="123"/>
        <v>1</v>
      </c>
      <c r="DP54" s="430" t="b">
        <f t="shared" si="123"/>
        <v>1</v>
      </c>
      <c r="DQ54" s="430" t="b">
        <f t="shared" si="123"/>
        <v>1</v>
      </c>
      <c r="DR54" s="430" t="b">
        <f t="shared" si="123"/>
        <v>1</v>
      </c>
      <c r="DS54" s="430" t="b">
        <f t="shared" si="125"/>
        <v>1</v>
      </c>
      <c r="DT54" s="430" t="b">
        <f t="shared" si="125"/>
        <v>1</v>
      </c>
      <c r="DU54" s="430" t="b">
        <f t="shared" si="125"/>
        <v>1</v>
      </c>
      <c r="DV54" s="430" t="b">
        <f t="shared" si="125"/>
        <v>1</v>
      </c>
      <c r="DW54" s="430" t="b">
        <f t="shared" si="125"/>
        <v>1</v>
      </c>
      <c r="DX54" s="430" t="b">
        <f t="shared" si="125"/>
        <v>1</v>
      </c>
      <c r="DY54" s="430" t="b">
        <f t="shared" si="125"/>
        <v>1</v>
      </c>
      <c r="DZ54" s="430" t="b">
        <f t="shared" si="125"/>
        <v>1</v>
      </c>
      <c r="EA54" s="430" t="b">
        <f t="shared" si="125"/>
        <v>1</v>
      </c>
      <c r="EB54" s="430" t="b">
        <f t="shared" si="125"/>
        <v>1</v>
      </c>
      <c r="EC54" s="244">
        <f t="shared" si="120"/>
        <v>803768.25634757278</v>
      </c>
      <c r="ED54" s="223">
        <f t="shared" si="97"/>
        <v>0</v>
      </c>
      <c r="EE54" s="223">
        <f t="shared" si="98"/>
        <v>0</v>
      </c>
      <c r="EF54" s="223">
        <f t="shared" si="99"/>
        <v>0</v>
      </c>
      <c r="EG54" s="223">
        <f t="shared" si="100"/>
        <v>0</v>
      </c>
      <c r="EH54" s="223">
        <f t="shared" si="101"/>
        <v>0</v>
      </c>
      <c r="EI54" s="223">
        <f t="shared" si="102"/>
        <v>0</v>
      </c>
      <c r="EJ54" s="223">
        <f t="shared" si="103"/>
        <v>0</v>
      </c>
      <c r="EK54" s="223">
        <f t="shared" si="104"/>
        <v>0</v>
      </c>
      <c r="EL54" s="223">
        <f t="shared" si="105"/>
        <v>0</v>
      </c>
      <c r="EM54" s="223">
        <f t="shared" si="106"/>
        <v>0</v>
      </c>
      <c r="EN54" s="223">
        <f t="shared" si="107"/>
        <v>0</v>
      </c>
      <c r="EO54" s="223">
        <f t="shared" si="108"/>
        <v>0</v>
      </c>
      <c r="EP54" s="223">
        <f t="shared" si="109"/>
        <v>0</v>
      </c>
      <c r="EQ54" s="223">
        <f>CE54-S54</f>
        <v>0</v>
      </c>
      <c r="ER54" s="223">
        <f>CF54-T54</f>
        <v>0</v>
      </c>
      <c r="ES54" s="223">
        <f>CG54-U54</f>
        <v>0</v>
      </c>
      <c r="ET54" s="223">
        <f>CH54-V54</f>
        <v>0</v>
      </c>
      <c r="EU54" s="223">
        <f>CI54-W54</f>
        <v>0</v>
      </c>
      <c r="EV54" s="223">
        <f>CJ54-X54</f>
        <v>0</v>
      </c>
      <c r="EW54" s="223">
        <f>CK54-Y54</f>
        <v>0</v>
      </c>
      <c r="EX54" s="223">
        <f>CL54-Z54</f>
        <v>0</v>
      </c>
      <c r="EY54" s="244">
        <f t="shared" si="121"/>
        <v>0</v>
      </c>
    </row>
    <row r="55" spans="1:155" s="235" customFormat="1" x14ac:dyDescent="0.35">
      <c r="A55" s="221"/>
      <c r="B55" s="222"/>
      <c r="C55" s="241">
        <v>38</v>
      </c>
      <c r="D55" s="265" t="s">
        <v>44</v>
      </c>
      <c r="E55" s="243" t="s">
        <v>10</v>
      </c>
      <c r="F55" s="384">
        <f>'[10]Данные для переноса'!F53</f>
        <v>745023</v>
      </c>
      <c r="G55" s="384">
        <f>'[10]Данные для переноса'!G53</f>
        <v>804128.79999999993</v>
      </c>
      <c r="H55" s="384">
        <f>'[10]Данные для переноса'!H53</f>
        <v>879574.70000000007</v>
      </c>
      <c r="I55" s="384">
        <f>'[10]Данные для переноса'!I53</f>
        <v>769467.85511492181</v>
      </c>
      <c r="J55" s="384">
        <f>'[10]Данные для переноса'!J53</f>
        <v>790443.51481219812</v>
      </c>
      <c r="K55" s="384">
        <f>'[10]Данные для переноса'!K53</f>
        <v>812295.06497736555</v>
      </c>
      <c r="L55" s="384">
        <f>'[10]Данные для переноса'!L53</f>
        <v>835054.6583491395</v>
      </c>
      <c r="M55" s="384">
        <f>'[10]Данные для переноса'!M53</f>
        <v>858758.61665578454</v>
      </c>
      <c r="N55" s="384">
        <f>'[10]Данные для переноса'!N53</f>
        <v>883444.7144946953</v>
      </c>
      <c r="O55" s="384">
        <f>'[10]Данные для переноса'!O53</f>
        <v>909152.23744716262</v>
      </c>
      <c r="P55" s="384">
        <f>'[10]Данные для переноса'!P53</f>
        <v>935922.04251772841</v>
      </c>
      <c r="Q55" s="384">
        <f>'[10]Данные для переноса'!Q53</f>
        <v>963796.62099111697</v>
      </c>
      <c r="R55" s="384">
        <f>'[10]Данные для переноса'!R53</f>
        <v>992820.16380344122</v>
      </c>
      <c r="S55" s="384">
        <f>'[10]Данные для переноса'!S53</f>
        <v>1023053.9744294748</v>
      </c>
      <c r="T55" s="384">
        <f>'[10]Данные для переноса'!T53</f>
        <v>1054545.5709546609</v>
      </c>
      <c r="U55" s="384">
        <f>'[10]Данные для переноса'!U53</f>
        <v>1087344.3884467427</v>
      </c>
      <c r="V55" s="384">
        <f>'[10]Данные для переноса'!V53</f>
        <v>1121501.8553364237</v>
      </c>
      <c r="W55" s="384">
        <f>'[10]Данные для переноса'!W53</f>
        <v>1157071.4728587964</v>
      </c>
      <c r="X55" s="384">
        <f>'[10]Данные для переноса'!X53</f>
        <v>1194108.8976778688</v>
      </c>
      <c r="Y55" s="384">
        <f>'[10]Данные для переноса'!Y53</f>
        <v>1232672.0278214086</v>
      </c>
      <c r="Z55" s="384">
        <f>'[10]Данные для переноса'!Z53</f>
        <v>1272821.0920584165</v>
      </c>
      <c r="AA55" s="426">
        <v>745023</v>
      </c>
      <c r="AB55" s="426">
        <v>804128.79999999993</v>
      </c>
      <c r="AC55" s="426">
        <v>879574.70000000007</v>
      </c>
      <c r="AD55" s="426">
        <v>769467.85511492181</v>
      </c>
      <c r="AE55" s="426">
        <v>790443.51481219812</v>
      </c>
      <c r="AF55" s="426">
        <v>812295.06497736555</v>
      </c>
      <c r="AG55" s="426">
        <v>835054.6583491395</v>
      </c>
      <c r="AH55" s="426">
        <v>858758.61665578454</v>
      </c>
      <c r="AI55" s="426">
        <v>883444.7144946953</v>
      </c>
      <c r="AJ55" s="426">
        <v>909152.23744716262</v>
      </c>
      <c r="AK55" s="426">
        <v>935922.04251772841</v>
      </c>
      <c r="AL55" s="426">
        <v>963796.62099111697</v>
      </c>
      <c r="AM55" s="426">
        <v>992820.16380344122</v>
      </c>
      <c r="AN55" s="426">
        <v>1023053.9744294748</v>
      </c>
      <c r="AO55" s="426">
        <v>1054545.5709546609</v>
      </c>
      <c r="AP55" s="426">
        <v>1087344.3884467427</v>
      </c>
      <c r="AQ55" s="426">
        <v>1121501.8553364237</v>
      </c>
      <c r="AR55" s="426">
        <v>1157071.4728587964</v>
      </c>
      <c r="AS55" s="426">
        <v>1194108.8976778688</v>
      </c>
      <c r="AT55" s="426">
        <v>1232672.0278214086</v>
      </c>
      <c r="AU55" s="426">
        <v>1272821.0920584165</v>
      </c>
      <c r="AV55" s="430" t="b">
        <f t="shared" si="124"/>
        <v>1</v>
      </c>
      <c r="AW55" s="430" t="b">
        <f>AB55=G55</f>
        <v>1</v>
      </c>
      <c r="AX55" s="430" t="b">
        <f t="shared" si="124"/>
        <v>1</v>
      </c>
      <c r="AY55" s="430" t="b">
        <f t="shared" si="124"/>
        <v>1</v>
      </c>
      <c r="AZ55" s="430" t="b">
        <f t="shared" si="124"/>
        <v>1</v>
      </c>
      <c r="BA55" s="430" t="b">
        <f t="shared" si="124"/>
        <v>1</v>
      </c>
      <c r="BB55" s="430" t="b">
        <f t="shared" si="124"/>
        <v>1</v>
      </c>
      <c r="BC55" s="430" t="b">
        <f t="shared" si="124"/>
        <v>1</v>
      </c>
      <c r="BD55" s="430" t="b">
        <f t="shared" si="124"/>
        <v>1</v>
      </c>
      <c r="BE55" s="430" t="b">
        <f t="shared" si="124"/>
        <v>1</v>
      </c>
      <c r="BF55" s="430" t="b">
        <f t="shared" si="124"/>
        <v>1</v>
      </c>
      <c r="BG55" s="430" t="b">
        <f t="shared" si="122"/>
        <v>1</v>
      </c>
      <c r="BH55" s="430" t="b">
        <f t="shared" si="122"/>
        <v>1</v>
      </c>
      <c r="BI55" s="430" t="b">
        <f t="shared" si="122"/>
        <v>1</v>
      </c>
      <c r="BJ55" s="430" t="b">
        <f t="shared" si="122"/>
        <v>1</v>
      </c>
      <c r="BK55" s="430" t="b">
        <f t="shared" si="122"/>
        <v>1</v>
      </c>
      <c r="BL55" s="430" t="b">
        <f t="shared" si="122"/>
        <v>1</v>
      </c>
      <c r="BM55" s="430" t="b">
        <f t="shared" si="122"/>
        <v>1</v>
      </c>
      <c r="BN55" s="430" t="b">
        <f t="shared" si="122"/>
        <v>1</v>
      </c>
      <c r="BO55" s="430" t="b">
        <f t="shared" si="122"/>
        <v>1</v>
      </c>
      <c r="BP55" s="430" t="b">
        <f t="shared" si="122"/>
        <v>1</v>
      </c>
      <c r="BQ55" s="244">
        <f t="shared" si="119"/>
        <v>17124806.913632423</v>
      </c>
      <c r="BR55" s="247">
        <f>'[10]Данные для переноса'!AB53</f>
        <v>745023</v>
      </c>
      <c r="BS55" s="247">
        <f>'[10]Данные для переноса'!AC53</f>
        <v>804128.79999999993</v>
      </c>
      <c r="BT55" s="247">
        <f>'[10]Данные для переноса'!AD53</f>
        <v>879574.70000000007</v>
      </c>
      <c r="BU55" s="247">
        <f>'[10]Данные для переноса'!AE53</f>
        <v>765493.81978632743</v>
      </c>
      <c r="BV55" s="247">
        <f>'[10]Данные для переноса'!AF53</f>
        <v>785795.91127550055</v>
      </c>
      <c r="BW55" s="247">
        <f>'[10]Данные для переноса'!AG53</f>
        <v>808542.29375090962</v>
      </c>
      <c r="BX55" s="247">
        <f>'[10]Данные для переноса'!AH53</f>
        <v>831473.58223554539</v>
      </c>
      <c r="BY55" s="247">
        <f>'[10]Данные для переноса'!AI53</f>
        <v>855448.76802643517</v>
      </c>
      <c r="BZ55" s="247">
        <f>'[10]Данные для переноса'!AJ53</f>
        <v>880521.65340952203</v>
      </c>
      <c r="CA55" s="247">
        <f>'[10]Данные для переноса'!AK53</f>
        <v>906749.75879336672</v>
      </c>
      <c r="CB55" s="247">
        <f>'[10]Данные для переноса'!AL53</f>
        <v>934194.67501810612</v>
      </c>
      <c r="CC55" s="247">
        <f>'[10]Данные для переноса'!AM53</f>
        <v>962922.45622269646</v>
      </c>
      <c r="CD55" s="247">
        <f>'[10]Данные для переноса'!AN53</f>
        <v>993004.05833334359</v>
      </c>
      <c r="CE55" s="247">
        <f>'[10]Данные для переноса'!AO53</f>
        <v>1142496.3673179518</v>
      </c>
      <c r="CF55" s="247">
        <f>'[10]Данные для переноса'!AP53</f>
        <v>1351047.9017610808</v>
      </c>
      <c r="CG55" s="247">
        <f>'[10]Данные для переноса'!AQ53</f>
        <v>1388988.7087556862</v>
      </c>
      <c r="CH55" s="247">
        <f>'[10]Данные для переноса'!AR53</f>
        <v>1428782.7906084992</v>
      </c>
      <c r="CI55" s="247">
        <f>'[10]Данные для переноса'!AS53</f>
        <v>1419593.2512377412</v>
      </c>
      <c r="CJ55" s="247">
        <f>'[10]Данные для переноса'!AT53</f>
        <v>1513427.9764626422</v>
      </c>
      <c r="CK55" s="247">
        <f>'[10]Данные для переноса'!AU53</f>
        <v>1558416.275715716</v>
      </c>
      <c r="CL55" s="247">
        <f>'[10]Данные для переноса'!AV53</f>
        <v>1605277.9436110987</v>
      </c>
      <c r="CM55" s="426">
        <v>745023</v>
      </c>
      <c r="CN55" s="426">
        <v>804128.79999999993</v>
      </c>
      <c r="CO55" s="426">
        <v>879574.70000000007</v>
      </c>
      <c r="CP55" s="426">
        <v>765493.81978632743</v>
      </c>
      <c r="CQ55" s="426">
        <v>785795.91127550055</v>
      </c>
      <c r="CR55" s="426">
        <v>808542.29375090962</v>
      </c>
      <c r="CS55" s="426">
        <v>831473.58223554539</v>
      </c>
      <c r="CT55" s="426">
        <v>855448.76802643517</v>
      </c>
      <c r="CU55" s="426">
        <v>880521.65340952203</v>
      </c>
      <c r="CV55" s="426">
        <v>906749.75879336672</v>
      </c>
      <c r="CW55" s="426">
        <v>934194.67501810612</v>
      </c>
      <c r="CX55" s="426">
        <v>962922.45622269646</v>
      </c>
      <c r="CY55" s="426">
        <v>993004.05833334359</v>
      </c>
      <c r="CZ55" s="426">
        <v>1142496.3673179518</v>
      </c>
      <c r="DA55" s="426">
        <v>1351047.9017610808</v>
      </c>
      <c r="DB55" s="426">
        <v>1388988.7087556862</v>
      </c>
      <c r="DC55" s="426">
        <v>1428782.7906084992</v>
      </c>
      <c r="DD55" s="426">
        <v>1419593.2512377412</v>
      </c>
      <c r="DE55" s="426">
        <v>1513427.9764626422</v>
      </c>
      <c r="DF55" s="426">
        <v>1558416.275715716</v>
      </c>
      <c r="DG55" s="426">
        <v>1605277.9436110987</v>
      </c>
      <c r="DH55" s="430" t="b">
        <f t="shared" si="123"/>
        <v>1</v>
      </c>
      <c r="DI55" s="430" t="b">
        <f>CN55=BS55</f>
        <v>1</v>
      </c>
      <c r="DJ55" s="430" t="b">
        <f t="shared" si="123"/>
        <v>1</v>
      </c>
      <c r="DK55" s="430" t="b">
        <f t="shared" si="123"/>
        <v>1</v>
      </c>
      <c r="DL55" s="430" t="b">
        <f t="shared" si="123"/>
        <v>1</v>
      </c>
      <c r="DM55" s="430" t="b">
        <f t="shared" si="123"/>
        <v>1</v>
      </c>
      <c r="DN55" s="430" t="b">
        <f t="shared" si="123"/>
        <v>1</v>
      </c>
      <c r="DO55" s="430" t="b">
        <f t="shared" si="123"/>
        <v>1</v>
      </c>
      <c r="DP55" s="430" t="b">
        <f t="shared" si="123"/>
        <v>1</v>
      </c>
      <c r="DQ55" s="430" t="b">
        <f t="shared" si="123"/>
        <v>1</v>
      </c>
      <c r="DR55" s="430" t="b">
        <f t="shared" si="123"/>
        <v>1</v>
      </c>
      <c r="DS55" s="430" t="b">
        <f t="shared" si="125"/>
        <v>1</v>
      </c>
      <c r="DT55" s="430" t="b">
        <f t="shared" si="125"/>
        <v>1</v>
      </c>
      <c r="DU55" s="430" t="b">
        <f t="shared" si="125"/>
        <v>1</v>
      </c>
      <c r="DV55" s="430" t="b">
        <f t="shared" si="125"/>
        <v>1</v>
      </c>
      <c r="DW55" s="430" t="b">
        <f t="shared" si="125"/>
        <v>1</v>
      </c>
      <c r="DX55" s="430" t="b">
        <f t="shared" si="125"/>
        <v>1</v>
      </c>
      <c r="DY55" s="430" t="b">
        <f t="shared" si="125"/>
        <v>1</v>
      </c>
      <c r="DZ55" s="430" t="b">
        <f t="shared" si="125"/>
        <v>1</v>
      </c>
      <c r="EA55" s="430" t="b">
        <f t="shared" si="125"/>
        <v>1</v>
      </c>
      <c r="EB55" s="430" t="b">
        <f t="shared" si="125"/>
        <v>1</v>
      </c>
      <c r="EC55" s="244">
        <f t="shared" si="120"/>
        <v>19366684.372535843</v>
      </c>
      <c r="ED55" s="223">
        <f t="shared" si="97"/>
        <v>0</v>
      </c>
      <c r="EE55" s="223">
        <f t="shared" si="98"/>
        <v>0</v>
      </c>
      <c r="EF55" s="223">
        <f t="shared" si="99"/>
        <v>0</v>
      </c>
      <c r="EG55" s="223">
        <f t="shared" si="100"/>
        <v>-3974.0353285943856</v>
      </c>
      <c r="EH55" s="223">
        <f t="shared" si="101"/>
        <v>-4647.6035366975702</v>
      </c>
      <c r="EI55" s="223">
        <f t="shared" si="102"/>
        <v>-3752.7712264559232</v>
      </c>
      <c r="EJ55" s="223">
        <f t="shared" si="103"/>
        <v>-3581.0761135941138</v>
      </c>
      <c r="EK55" s="223">
        <f t="shared" si="104"/>
        <v>-3309.848629349377</v>
      </c>
      <c r="EL55" s="223">
        <f t="shared" si="105"/>
        <v>-2923.0610851732781</v>
      </c>
      <c r="EM55" s="223">
        <f t="shared" si="106"/>
        <v>-2402.4786537959008</v>
      </c>
      <c r="EN55" s="223">
        <f t="shared" si="107"/>
        <v>-1727.3674996222835</v>
      </c>
      <c r="EO55" s="223">
        <f t="shared" si="108"/>
        <v>-874.16476842050906</v>
      </c>
      <c r="EP55" s="223">
        <f t="shared" si="109"/>
        <v>183.89452990237623</v>
      </c>
      <c r="EQ55" s="223">
        <f>CE55-S55</f>
        <v>119442.39288847696</v>
      </c>
      <c r="ER55" s="223">
        <f>CF55-T55</f>
        <v>296502.33080641995</v>
      </c>
      <c r="ES55" s="223">
        <f>CG55-U55</f>
        <v>301644.32030894351</v>
      </c>
      <c r="ET55" s="223">
        <f>CH55-V55</f>
        <v>307280.93527207547</v>
      </c>
      <c r="EU55" s="223">
        <f>CI55-W55</f>
        <v>262521.77837894484</v>
      </c>
      <c r="EV55" s="223">
        <f>CJ55-X55</f>
        <v>319319.07878477336</v>
      </c>
      <c r="EW55" s="223">
        <f>CK55-Y55</f>
        <v>325744.24789430737</v>
      </c>
      <c r="EX55" s="223">
        <f>CL55-Z55</f>
        <v>332456.85155268223</v>
      </c>
      <c r="EY55" s="244">
        <f t="shared" si="121"/>
        <v>2241877.458903417</v>
      </c>
    </row>
    <row r="56" spans="1:155" s="235" customFormat="1" x14ac:dyDescent="0.35">
      <c r="A56" s="221"/>
      <c r="B56" s="222"/>
      <c r="C56" s="241">
        <v>39</v>
      </c>
      <c r="D56" s="265" t="s">
        <v>45</v>
      </c>
      <c r="E56" s="243" t="s">
        <v>10</v>
      </c>
      <c r="F56" s="384">
        <f>'[10]Данные для переноса'!F54</f>
        <v>137348.54392068199</v>
      </c>
      <c r="G56" s="384">
        <f>'[10]Данные для переноса'!G54</f>
        <v>295325.62464699196</v>
      </c>
      <c r="H56" s="384">
        <f>'[10]Данные для переноса'!H54</f>
        <v>260466.48635206401</v>
      </c>
      <c r="I56" s="384">
        <f>'[10]Данные для переноса'!I54</f>
        <v>126216.41490739421</v>
      </c>
      <c r="J56" s="384">
        <f>'[10]Данные для переноса'!J54</f>
        <v>141097.45617263869</v>
      </c>
      <c r="K56" s="384">
        <f>'[10]Данные для переноса'!K54</f>
        <v>152984.24473158224</v>
      </c>
      <c r="L56" s="384">
        <f>'[10]Данные для переноса'!L54</f>
        <v>159071.07765321736</v>
      </c>
      <c r="M56" s="384">
        <f>'[10]Данные для переноса'!M54</f>
        <v>165293.2192218228</v>
      </c>
      <c r="N56" s="384">
        <f>'[10]Данные для переноса'!N54</f>
        <v>171978.92633089051</v>
      </c>
      <c r="O56" s="384">
        <f>'[10]Данные для переноса'!O54</f>
        <v>178938.09835688083</v>
      </c>
      <c r="P56" s="384">
        <f>'[10]Данные для переноса'!P54</f>
        <v>186182.1664856876</v>
      </c>
      <c r="Q56" s="384">
        <f>'[10]Данные для переноса'!Q54</f>
        <v>193723.05934592034</v>
      </c>
      <c r="R56" s="384">
        <f>'[10]Данные для переноса'!R54</f>
        <v>201573.22618654824</v>
      </c>
      <c r="S56" s="384">
        <f>'[10]Данные для переноса'!S54</f>
        <v>209745.66124929138</v>
      </c>
      <c r="T56" s="384">
        <f>'[10]Данные для переноса'!T54</f>
        <v>218253.92940539122</v>
      </c>
      <c r="U56" s="384">
        <f>'[10]Данные для переноса'!U54</f>
        <v>227112.19313095487</v>
      </c>
      <c r="V56" s="384">
        <f>'[10]Данные для переноса'!V54</f>
        <v>236335.24089996796</v>
      </c>
      <c r="W56" s="384">
        <f>'[10]Данные для переноса'!W54</f>
        <v>245938.51707931363</v>
      </c>
      <c r="X56" s="384">
        <f>'[10]Данные для переноса'!X54</f>
        <v>255938.1534157705</v>
      </c>
      <c r="Y56" s="384">
        <f>'[10]Данные для переноса'!Y54</f>
        <v>266351.00221099309</v>
      </c>
      <c r="Z56" s="384">
        <f>'[10]Данные для переноса'!Z54</f>
        <v>277194.67128696619</v>
      </c>
      <c r="AA56" s="426">
        <v>137348.54392068199</v>
      </c>
      <c r="AB56" s="426">
        <v>295325.62464699196</v>
      </c>
      <c r="AC56" s="426">
        <v>260466.48635206401</v>
      </c>
      <c r="AD56" s="426">
        <v>126216.41490739421</v>
      </c>
      <c r="AE56" s="426">
        <v>141097.45617263869</v>
      </c>
      <c r="AF56" s="426">
        <v>152984.24473158224</v>
      </c>
      <c r="AG56" s="426">
        <v>159071.07765321736</v>
      </c>
      <c r="AH56" s="426">
        <v>165293.2192218228</v>
      </c>
      <c r="AI56" s="426">
        <v>171978.92633089051</v>
      </c>
      <c r="AJ56" s="426">
        <v>178938.09835688083</v>
      </c>
      <c r="AK56" s="426">
        <v>186182.1664856876</v>
      </c>
      <c r="AL56" s="426">
        <v>193723.05934592034</v>
      </c>
      <c r="AM56" s="426">
        <v>201573.22618654824</v>
      </c>
      <c r="AN56" s="426">
        <v>209745.66124929138</v>
      </c>
      <c r="AO56" s="426">
        <v>218253.92940539122</v>
      </c>
      <c r="AP56" s="426">
        <v>227112.19313095487</v>
      </c>
      <c r="AQ56" s="426">
        <v>236335.24089996796</v>
      </c>
      <c r="AR56" s="426">
        <v>245938.51707931363</v>
      </c>
      <c r="AS56" s="426">
        <v>255938.1534157705</v>
      </c>
      <c r="AT56" s="426">
        <v>266351.00221099309</v>
      </c>
      <c r="AU56" s="426">
        <v>277194.67128696619</v>
      </c>
      <c r="AV56" s="430" t="b">
        <f t="shared" si="124"/>
        <v>1</v>
      </c>
      <c r="AW56" s="430" t="b">
        <f t="shared" si="124"/>
        <v>1</v>
      </c>
      <c r="AX56" s="430" t="b">
        <f t="shared" si="124"/>
        <v>1</v>
      </c>
      <c r="AY56" s="430" t="b">
        <f t="shared" si="124"/>
        <v>1</v>
      </c>
      <c r="AZ56" s="430" t="b">
        <f t="shared" si="124"/>
        <v>1</v>
      </c>
      <c r="BA56" s="430" t="b">
        <f t="shared" si="124"/>
        <v>1</v>
      </c>
      <c r="BB56" s="430" t="b">
        <f t="shared" si="124"/>
        <v>1</v>
      </c>
      <c r="BC56" s="430" t="b">
        <f t="shared" si="124"/>
        <v>1</v>
      </c>
      <c r="BD56" s="430" t="b">
        <f t="shared" si="124"/>
        <v>1</v>
      </c>
      <c r="BE56" s="430" t="b">
        <f t="shared" si="124"/>
        <v>1</v>
      </c>
      <c r="BF56" s="430" t="b">
        <f t="shared" si="124"/>
        <v>1</v>
      </c>
      <c r="BG56" s="430" t="b">
        <f t="shared" si="122"/>
        <v>1</v>
      </c>
      <c r="BH56" s="430" t="b">
        <f t="shared" si="122"/>
        <v>1</v>
      </c>
      <c r="BI56" s="430" t="b">
        <f t="shared" si="122"/>
        <v>1</v>
      </c>
      <c r="BJ56" s="430" t="b">
        <f t="shared" si="122"/>
        <v>1</v>
      </c>
      <c r="BK56" s="430" t="b">
        <f t="shared" si="122"/>
        <v>1</v>
      </c>
      <c r="BL56" s="430" t="b">
        <f t="shared" si="122"/>
        <v>1</v>
      </c>
      <c r="BM56" s="430" t="b">
        <f t="shared" si="122"/>
        <v>1</v>
      </c>
      <c r="BN56" s="430" t="b">
        <f t="shared" si="122"/>
        <v>1</v>
      </c>
      <c r="BO56" s="430" t="b">
        <f t="shared" si="122"/>
        <v>1</v>
      </c>
      <c r="BP56" s="430" t="b">
        <f t="shared" si="122"/>
        <v>1</v>
      </c>
      <c r="BQ56" s="244">
        <f t="shared" si="119"/>
        <v>3487710.8431638381</v>
      </c>
      <c r="BR56" s="247">
        <f>'[10]Данные для переноса'!AB54</f>
        <v>137348.54392068199</v>
      </c>
      <c r="BS56" s="247">
        <f>'[10]Данные для переноса'!AC54</f>
        <v>295325.62464699196</v>
      </c>
      <c r="BT56" s="247">
        <f>'[10]Данные для переноса'!AD54</f>
        <v>260466.48635206401</v>
      </c>
      <c r="BU56" s="247">
        <f>'[10]Данные для переноса'!AE54</f>
        <v>125527.61043260159</v>
      </c>
      <c r="BV56" s="247">
        <f>'[10]Данные для переноса'!AF54</f>
        <v>96146.229320418439</v>
      </c>
      <c r="BW56" s="247">
        <f>'[10]Данные для переноса'!AG54</f>
        <v>107327.07245527324</v>
      </c>
      <c r="BX56" s="247">
        <f>'[10]Данные для переноса'!AH54</f>
        <v>108427.60811326443</v>
      </c>
      <c r="BY56" s="247">
        <f>'[10]Данные для переноса'!AI54</f>
        <v>113760.23553773167</v>
      </c>
      <c r="BZ56" s="247">
        <f>'[10]Данные для переноса'!AJ54</f>
        <v>119543.57242964499</v>
      </c>
      <c r="CA56" s="247">
        <f>'[10]Данные для переноса'!AK54</f>
        <v>125587.45841239893</v>
      </c>
      <c r="CB56" s="247">
        <f>'[10]Данные для переноса'!AL54</f>
        <v>131903.27161849604</v>
      </c>
      <c r="CC56" s="247">
        <f>'[10]Данные для переноса'!AM54</f>
        <v>138502.89477261226</v>
      </c>
      <c r="CD56" s="247">
        <f>'[10]Данные для переноса'!AN54</f>
        <v>145398.73884065019</v>
      </c>
      <c r="CE56" s="247">
        <f>'[10]Данные для переноса'!AO54</f>
        <v>185426.49125248764</v>
      </c>
      <c r="CF56" s="247">
        <f>'[10]Данные для переноса'!AP54</f>
        <v>228389.66076628922</v>
      </c>
      <c r="CG56" s="247">
        <f>'[10]Данные для переноса'!AQ54</f>
        <v>238970.97037459631</v>
      </c>
      <c r="CH56" s="247">
        <f>'[10]Данные для переноса'!AR54</f>
        <v>250012.06789201219</v>
      </c>
      <c r="CI56" s="247">
        <f>'[10]Данные для переноса'!AS54</f>
        <v>261532.70872262539</v>
      </c>
      <c r="CJ56" s="247">
        <f>'[10]Данные для переноса'!AT54</f>
        <v>273553.51788138924</v>
      </c>
      <c r="CK56" s="247">
        <f>'[10]Данные для переноса'!AU54</f>
        <v>286096.03063709172</v>
      </c>
      <c r="CL56" s="247">
        <f>'[10]Данные для переноса'!AV54</f>
        <v>299182.73524741177</v>
      </c>
      <c r="CM56" s="426">
        <v>137348.54392068199</v>
      </c>
      <c r="CN56" s="426">
        <v>295325.62464699196</v>
      </c>
      <c r="CO56" s="426">
        <v>260466.48635206401</v>
      </c>
      <c r="CP56" s="426">
        <v>125527.61043260159</v>
      </c>
      <c r="CQ56" s="426">
        <v>96146.229320418439</v>
      </c>
      <c r="CR56" s="426">
        <v>107327.07245527324</v>
      </c>
      <c r="CS56" s="426">
        <v>108427.60811326443</v>
      </c>
      <c r="CT56" s="426">
        <v>113760.23553773167</v>
      </c>
      <c r="CU56" s="426">
        <v>119543.57242964499</v>
      </c>
      <c r="CV56" s="426">
        <v>125587.45841239893</v>
      </c>
      <c r="CW56" s="426">
        <v>131903.27161849604</v>
      </c>
      <c r="CX56" s="426">
        <v>138502.89477261226</v>
      </c>
      <c r="CY56" s="426">
        <v>145398.73884065019</v>
      </c>
      <c r="CZ56" s="426">
        <v>185426.49125248764</v>
      </c>
      <c r="DA56" s="426">
        <v>228389.66076628922</v>
      </c>
      <c r="DB56" s="426">
        <v>238970.97037459631</v>
      </c>
      <c r="DC56" s="426">
        <v>250012.06789201219</v>
      </c>
      <c r="DD56" s="426">
        <v>261532.70872262539</v>
      </c>
      <c r="DE56" s="426">
        <v>273553.51788138924</v>
      </c>
      <c r="DF56" s="426">
        <v>286096.03063709172</v>
      </c>
      <c r="DG56" s="426">
        <v>299182.73524741177</v>
      </c>
      <c r="DH56" s="430" t="b">
        <f t="shared" si="123"/>
        <v>1</v>
      </c>
      <c r="DI56" s="430" t="b">
        <f t="shared" si="123"/>
        <v>1</v>
      </c>
      <c r="DJ56" s="430" t="b">
        <f t="shared" si="123"/>
        <v>1</v>
      </c>
      <c r="DK56" s="430" t="b">
        <f t="shared" si="123"/>
        <v>1</v>
      </c>
      <c r="DL56" s="430" t="b">
        <f t="shared" si="123"/>
        <v>1</v>
      </c>
      <c r="DM56" s="430" t="b">
        <f t="shared" si="123"/>
        <v>1</v>
      </c>
      <c r="DN56" s="430" t="b">
        <f t="shared" si="123"/>
        <v>1</v>
      </c>
      <c r="DO56" s="430" t="b">
        <f t="shared" si="123"/>
        <v>1</v>
      </c>
      <c r="DP56" s="430" t="b">
        <f t="shared" si="123"/>
        <v>1</v>
      </c>
      <c r="DQ56" s="430" t="b">
        <f t="shared" si="123"/>
        <v>1</v>
      </c>
      <c r="DR56" s="430" t="b">
        <f t="shared" si="123"/>
        <v>1</v>
      </c>
      <c r="DS56" s="430" t="b">
        <f t="shared" si="125"/>
        <v>1</v>
      </c>
      <c r="DT56" s="430" t="b">
        <f t="shared" si="125"/>
        <v>1</v>
      </c>
      <c r="DU56" s="430" t="b">
        <f t="shared" si="125"/>
        <v>1</v>
      </c>
      <c r="DV56" s="430" t="b">
        <f t="shared" si="125"/>
        <v>1</v>
      </c>
      <c r="DW56" s="430" t="b">
        <f t="shared" si="125"/>
        <v>1</v>
      </c>
      <c r="DX56" s="430" t="b">
        <f t="shared" si="125"/>
        <v>1</v>
      </c>
      <c r="DY56" s="430" t="b">
        <f t="shared" si="125"/>
        <v>1</v>
      </c>
      <c r="DZ56" s="430" t="b">
        <f t="shared" si="125"/>
        <v>1</v>
      </c>
      <c r="EA56" s="430" t="b">
        <f t="shared" si="125"/>
        <v>1</v>
      </c>
      <c r="EB56" s="430" t="b">
        <f t="shared" si="125"/>
        <v>1</v>
      </c>
      <c r="EC56" s="244">
        <f t="shared" si="120"/>
        <v>3109761.2642743932</v>
      </c>
      <c r="ED56" s="223">
        <f t="shared" si="97"/>
        <v>0</v>
      </c>
      <c r="EE56" s="223">
        <f t="shared" si="98"/>
        <v>0</v>
      </c>
      <c r="EF56" s="223">
        <f t="shared" si="99"/>
        <v>0</v>
      </c>
      <c r="EG56" s="223">
        <f t="shared" si="100"/>
        <v>-688.80447479261784</v>
      </c>
      <c r="EH56" s="223">
        <f t="shared" si="101"/>
        <v>-44951.22685222025</v>
      </c>
      <c r="EI56" s="223">
        <f t="shared" si="102"/>
        <v>-45657.172276308993</v>
      </c>
      <c r="EJ56" s="223">
        <f t="shared" si="103"/>
        <v>-50643.46953995293</v>
      </c>
      <c r="EK56" s="223">
        <f t="shared" si="104"/>
        <v>-51532.98368409113</v>
      </c>
      <c r="EL56" s="223">
        <f t="shared" si="105"/>
        <v>-52435.353901245515</v>
      </c>
      <c r="EM56" s="223">
        <f t="shared" si="106"/>
        <v>-53350.639944481896</v>
      </c>
      <c r="EN56" s="223">
        <f t="shared" si="107"/>
        <v>-54278.894867191557</v>
      </c>
      <c r="EO56" s="223">
        <f t="shared" si="108"/>
        <v>-55220.16457330808</v>
      </c>
      <c r="EP56" s="223">
        <f t="shared" si="109"/>
        <v>-56174.487345898058</v>
      </c>
      <c r="EQ56" s="223">
        <f>CE56-S56</f>
        <v>-24319.169996803743</v>
      </c>
      <c r="ER56" s="223">
        <f>CF56-T56</f>
        <v>10135.731360898004</v>
      </c>
      <c r="ES56" s="223">
        <f>CG56-U56</f>
        <v>11858.777243641438</v>
      </c>
      <c r="ET56" s="223">
        <f>CH56-V56</f>
        <v>13676.826992044225</v>
      </c>
      <c r="EU56" s="223">
        <f>CI56-W56</f>
        <v>15594.191643311759</v>
      </c>
      <c r="EV56" s="223">
        <f>CJ56-X56</f>
        <v>17615.364465618739</v>
      </c>
      <c r="EW56" s="223">
        <f>CK56-Y56</f>
        <v>19745.028426098637</v>
      </c>
      <c r="EX56" s="223">
        <f>CL56-Z56</f>
        <v>21988.063960445579</v>
      </c>
      <c r="EY56" s="244">
        <f t="shared" si="121"/>
        <v>-377949.57888944377</v>
      </c>
    </row>
    <row r="57" spans="1:155" s="235" customFormat="1" ht="26.5" x14ac:dyDescent="0.35">
      <c r="A57" s="221"/>
      <c r="C57" s="262">
        <v>40</v>
      </c>
      <c r="D57" s="266" t="s">
        <v>46</v>
      </c>
      <c r="E57" s="264" t="s">
        <v>10</v>
      </c>
      <c r="F57" s="385">
        <f>'[10]Данные для переноса'!F55</f>
        <v>953855.1166500001</v>
      </c>
      <c r="G57" s="385">
        <f>'[10]Данные для переноса'!G55</f>
        <v>1058987.32889</v>
      </c>
      <c r="H57" s="385">
        <f>'[10]Данные для переноса'!H55</f>
        <v>1582124.6118800002</v>
      </c>
      <c r="I57" s="385">
        <f>'[10]Данные для переноса'!I55</f>
        <v>1653320.2194146002</v>
      </c>
      <c r="J57" s="385">
        <f>'[10]Данные для переноса'!J55</f>
        <v>1719453.0281911842</v>
      </c>
      <c r="K57" s="385">
        <f>'[10]Данные для переноса'!K55</f>
        <v>1788231.1493188315</v>
      </c>
      <c r="L57" s="385">
        <f>'[10]Данные для переноса'!L55</f>
        <v>1859760.3952915848</v>
      </c>
      <c r="M57" s="385">
        <f>'[10]Данные для переноса'!M55</f>
        <v>1934150.8111032483</v>
      </c>
      <c r="N57" s="385">
        <f>'[10]Данные для переноса'!N55</f>
        <v>2011516.8435473782</v>
      </c>
      <c r="O57" s="385">
        <f>'[10]Данные для переноса'!O55</f>
        <v>2091977.5172892734</v>
      </c>
      <c r="P57" s="385">
        <f>'[10]Данные для переноса'!P55</f>
        <v>2175656.6179808443</v>
      </c>
      <c r="Q57" s="385">
        <f>'[10]Данные для переноса'!Q55</f>
        <v>2262682.8827000782</v>
      </c>
      <c r="R57" s="385">
        <f>'[10]Данные для переноса'!R55</f>
        <v>2353190.1980080814</v>
      </c>
      <c r="S57" s="385">
        <f>'[10]Данные для переноса'!S55</f>
        <v>2447317.8059284049</v>
      </c>
      <c r="T57" s="385">
        <f>'[10]Данные для переноса'!T55</f>
        <v>2545210.5181655413</v>
      </c>
      <c r="U57" s="385">
        <f>'[10]Данные для переноса'!U55</f>
        <v>2647018.9388921629</v>
      </c>
      <c r="V57" s="385">
        <f>'[10]Данные для переноса'!V55</f>
        <v>2752899.6964478493</v>
      </c>
      <c r="W57" s="385">
        <f>'[10]Данные для переноса'!W55</f>
        <v>2863015.6843057633</v>
      </c>
      <c r="X57" s="385">
        <f>'[10]Данные для переноса'!X55</f>
        <v>2977536.3116779937</v>
      </c>
      <c r="Y57" s="385">
        <f>'[10]Данные для переноса'!Y55</f>
        <v>3096637.7641451135</v>
      </c>
      <c r="Z57" s="385">
        <f>'[10]Данные для переноса'!Z55</f>
        <v>3220503.2747109183</v>
      </c>
      <c r="AA57" s="439">
        <v>953855.1166500001</v>
      </c>
      <c r="AB57" s="439">
        <v>1058987.32889</v>
      </c>
      <c r="AC57" s="439">
        <v>1582124.6118800002</v>
      </c>
      <c r="AD57" s="439">
        <v>1653320.2194146002</v>
      </c>
      <c r="AE57" s="439">
        <v>1719453.0281911842</v>
      </c>
      <c r="AF57" s="439">
        <v>1788231.1493188315</v>
      </c>
      <c r="AG57" s="439">
        <v>1859760.3952915848</v>
      </c>
      <c r="AH57" s="439">
        <v>1934150.8111032483</v>
      </c>
      <c r="AI57" s="439">
        <v>2011516.8435473782</v>
      </c>
      <c r="AJ57" s="439">
        <v>2091977.5172892734</v>
      </c>
      <c r="AK57" s="439">
        <v>2175656.6179808443</v>
      </c>
      <c r="AL57" s="439">
        <v>2262682.8827000782</v>
      </c>
      <c r="AM57" s="439">
        <v>2353190.1980080814</v>
      </c>
      <c r="AN57" s="439">
        <v>2447317.8059284049</v>
      </c>
      <c r="AO57" s="439">
        <v>2545210.5181655413</v>
      </c>
      <c r="AP57" s="439">
        <v>2647018.9388921629</v>
      </c>
      <c r="AQ57" s="439">
        <v>2752899.6964478493</v>
      </c>
      <c r="AR57" s="439">
        <v>2863015.6843057633</v>
      </c>
      <c r="AS57" s="439">
        <v>2977536.3116779937</v>
      </c>
      <c r="AT57" s="439">
        <v>3096637.7641451135</v>
      </c>
      <c r="AU57" s="439">
        <v>3220503.2747109183</v>
      </c>
      <c r="AV57" s="441" t="b">
        <f t="shared" si="124"/>
        <v>1</v>
      </c>
      <c r="AW57" s="441" t="b">
        <f t="shared" si="124"/>
        <v>1</v>
      </c>
      <c r="AX57" s="441" t="b">
        <f t="shared" si="124"/>
        <v>1</v>
      </c>
      <c r="AY57" s="441" t="b">
        <f t="shared" si="124"/>
        <v>1</v>
      </c>
      <c r="AZ57" s="441" t="b">
        <f t="shared" si="124"/>
        <v>1</v>
      </c>
      <c r="BA57" s="441" t="b">
        <f t="shared" si="124"/>
        <v>1</v>
      </c>
      <c r="BB57" s="441" t="b">
        <f t="shared" si="124"/>
        <v>1</v>
      </c>
      <c r="BC57" s="441" t="b">
        <f t="shared" si="124"/>
        <v>1</v>
      </c>
      <c r="BD57" s="441" t="b">
        <f t="shared" si="124"/>
        <v>1</v>
      </c>
      <c r="BE57" s="441" t="b">
        <f t="shared" si="124"/>
        <v>1</v>
      </c>
      <c r="BF57" s="441" t="b">
        <f t="shared" si="124"/>
        <v>1</v>
      </c>
      <c r="BG57" s="441" t="b">
        <f t="shared" si="122"/>
        <v>1</v>
      </c>
      <c r="BH57" s="441" t="b">
        <f t="shared" si="122"/>
        <v>1</v>
      </c>
      <c r="BI57" s="441" t="b">
        <f t="shared" si="122"/>
        <v>1</v>
      </c>
      <c r="BJ57" s="441" t="b">
        <f t="shared" si="122"/>
        <v>1</v>
      </c>
      <c r="BK57" s="441" t="b">
        <f t="shared" si="122"/>
        <v>1</v>
      </c>
      <c r="BL57" s="441" t="b">
        <f t="shared" si="122"/>
        <v>1</v>
      </c>
      <c r="BM57" s="441" t="b">
        <f t="shared" si="122"/>
        <v>1</v>
      </c>
      <c r="BN57" s="441" t="b">
        <f t="shared" si="122"/>
        <v>1</v>
      </c>
      <c r="BO57" s="441" t="b">
        <f t="shared" si="122"/>
        <v>1</v>
      </c>
      <c r="BP57" s="441" t="b">
        <f t="shared" si="122"/>
        <v>1</v>
      </c>
      <c r="BQ57" s="244">
        <f t="shared" si="119"/>
        <v>40746759.43770425</v>
      </c>
      <c r="BR57" s="267">
        <f>'[10]Данные для переноса'!AB55</f>
        <v>953855.1166500001</v>
      </c>
      <c r="BS57" s="267">
        <f>'[10]Данные для переноса'!AC55</f>
        <v>1058987.32889</v>
      </c>
      <c r="BT57" s="267">
        <f>'[10]Данные для переноса'!AD55</f>
        <v>1582124.6118800002</v>
      </c>
      <c r="BU57" s="267">
        <f>'[10]Данные для переноса'!AE55</f>
        <v>1653320.2194146002</v>
      </c>
      <c r="BV57" s="267">
        <f>'[10]Данные для переноса'!AF55</f>
        <v>1719453.0281911842</v>
      </c>
      <c r="BW57" s="267">
        <f>'[10]Данные для переноса'!AG55</f>
        <v>2933214.2489968934</v>
      </c>
      <c r="BX57" s="267">
        <f>'[10]Данные для переноса'!AH55</f>
        <v>2457731.1014002259</v>
      </c>
      <c r="BY57" s="267">
        <f ca="1">'[10]Данные для переноса'!AI55</f>
        <v>2058528.7179738455</v>
      </c>
      <c r="BZ57" s="267">
        <f>'[10]Данные для переноса'!AJ55</f>
        <v>8791003.1662799995</v>
      </c>
      <c r="CA57" s="267">
        <f>'[10]Данные для переноса'!AK55</f>
        <v>9142643.2929311991</v>
      </c>
      <c r="CB57" s="267">
        <f>'[10]Данные для переноса'!AL55</f>
        <v>8047724.7798029641</v>
      </c>
      <c r="CC57" s="267">
        <f>'[10]Данные для переноса'!AM55</f>
        <v>8658158.3611590154</v>
      </c>
      <c r="CD57" s="267">
        <f>'[10]Данные для переноса'!AN55</f>
        <v>4900321.3453851305</v>
      </c>
      <c r="CE57" s="267">
        <f>'[10]Данные для переноса'!AO55</f>
        <v>4162481.7403546344</v>
      </c>
      <c r="CF57" s="267">
        <f>'[10]Данные для переноса'!AP55</f>
        <v>2545210.5181655413</v>
      </c>
      <c r="CG57" s="267">
        <f>'[10]Данные для переноса'!AQ55</f>
        <v>2647018.9388921629</v>
      </c>
      <c r="CH57" s="267">
        <f>'[10]Данные для переноса'!AR55</f>
        <v>2752899.6964478493</v>
      </c>
      <c r="CI57" s="267">
        <f>'[10]Данные для переноса'!AS55</f>
        <v>2863015.6843057633</v>
      </c>
      <c r="CJ57" s="267">
        <f>'[10]Данные для переноса'!AT55</f>
        <v>2977536.3116779937</v>
      </c>
      <c r="CK57" s="267">
        <f>'[10]Данные для переноса'!AU55</f>
        <v>3096637.7641451135</v>
      </c>
      <c r="CL57" s="267">
        <f>'[10]Данные для переноса'!AV55</f>
        <v>3220503.2747109183</v>
      </c>
      <c r="CM57" s="439">
        <v>953855.1166500001</v>
      </c>
      <c r="CN57" s="439">
        <v>1058987.32889</v>
      </c>
      <c r="CO57" s="439">
        <v>1582124.6118800002</v>
      </c>
      <c r="CP57" s="439">
        <v>1653320.2194146002</v>
      </c>
      <c r="CQ57" s="439">
        <v>1719453.0281911842</v>
      </c>
      <c r="CR57" s="439">
        <v>2933214.2489968934</v>
      </c>
      <c r="CS57" s="439">
        <v>2457731.1014002259</v>
      </c>
      <c r="CT57" s="439">
        <v>2058528.7179738455</v>
      </c>
      <c r="CU57" s="439">
        <v>8791003.1662799995</v>
      </c>
      <c r="CV57" s="439">
        <v>9142643.2929311991</v>
      </c>
      <c r="CW57" s="439">
        <v>8047724.7798029641</v>
      </c>
      <c r="CX57" s="439">
        <v>8658158.3611590154</v>
      </c>
      <c r="CY57" s="439">
        <v>4900321.3453851305</v>
      </c>
      <c r="CZ57" s="439">
        <v>4162481.7403546344</v>
      </c>
      <c r="DA57" s="439">
        <v>2545210.5181655413</v>
      </c>
      <c r="DB57" s="439">
        <v>2647018.9388921629</v>
      </c>
      <c r="DC57" s="439">
        <v>2752899.6964478493</v>
      </c>
      <c r="DD57" s="439">
        <v>2863015.6843057633</v>
      </c>
      <c r="DE57" s="439">
        <v>2977536.3116779937</v>
      </c>
      <c r="DF57" s="439">
        <v>3096637.7641451135</v>
      </c>
      <c r="DG57" s="439">
        <v>3220503.2747109183</v>
      </c>
      <c r="DH57" s="441" t="b">
        <f t="shared" si="123"/>
        <v>1</v>
      </c>
      <c r="DI57" s="441" t="b">
        <f t="shared" si="123"/>
        <v>1</v>
      </c>
      <c r="DJ57" s="441" t="b">
        <f t="shared" si="123"/>
        <v>1</v>
      </c>
      <c r="DK57" s="441" t="b">
        <f t="shared" si="123"/>
        <v>1</v>
      </c>
      <c r="DL57" s="441" t="b">
        <f t="shared" si="123"/>
        <v>1</v>
      </c>
      <c r="DM57" s="441" t="b">
        <f t="shared" si="123"/>
        <v>1</v>
      </c>
      <c r="DN57" s="441" t="b">
        <f t="shared" si="123"/>
        <v>1</v>
      </c>
      <c r="DO57" s="441" t="b">
        <f t="shared" ca="1" si="123"/>
        <v>1</v>
      </c>
      <c r="DP57" s="441" t="b">
        <f t="shared" si="123"/>
        <v>1</v>
      </c>
      <c r="DQ57" s="441" t="b">
        <f t="shared" si="123"/>
        <v>1</v>
      </c>
      <c r="DR57" s="441" t="b">
        <f t="shared" si="123"/>
        <v>1</v>
      </c>
      <c r="DS57" s="441" t="b">
        <f t="shared" si="125"/>
        <v>1</v>
      </c>
      <c r="DT57" s="441" t="b">
        <f t="shared" si="125"/>
        <v>1</v>
      </c>
      <c r="DU57" s="441" t="b">
        <f t="shared" si="125"/>
        <v>1</v>
      </c>
      <c r="DV57" s="441" t="b">
        <f t="shared" si="125"/>
        <v>1</v>
      </c>
      <c r="DW57" s="441" t="b">
        <f t="shared" si="125"/>
        <v>1</v>
      </c>
      <c r="DX57" s="441" t="b">
        <f t="shared" si="125"/>
        <v>1</v>
      </c>
      <c r="DY57" s="441" t="b">
        <f t="shared" si="125"/>
        <v>1</v>
      </c>
      <c r="DZ57" s="441" t="b">
        <f t="shared" si="125"/>
        <v>1</v>
      </c>
      <c r="EA57" s="441" t="b">
        <f t="shared" si="125"/>
        <v>1</v>
      </c>
      <c r="EB57" s="441" t="b">
        <f t="shared" si="125"/>
        <v>1</v>
      </c>
      <c r="EC57" s="244">
        <f t="shared" ca="1" si="120"/>
        <v>72974081.970820442</v>
      </c>
      <c r="ED57" s="224">
        <f t="shared" si="97"/>
        <v>0</v>
      </c>
      <c r="EE57" s="224">
        <f t="shared" si="98"/>
        <v>0</v>
      </c>
      <c r="EF57" s="224">
        <f t="shared" si="99"/>
        <v>0</v>
      </c>
      <c r="EG57" s="224">
        <f t="shared" si="100"/>
        <v>0</v>
      </c>
      <c r="EH57" s="224">
        <f t="shared" si="101"/>
        <v>0</v>
      </c>
      <c r="EI57" s="224">
        <f t="shared" si="102"/>
        <v>1144983.0996780619</v>
      </c>
      <c r="EJ57" s="224">
        <f t="shared" si="103"/>
        <v>597970.70610864111</v>
      </c>
      <c r="EK57" s="224">
        <f t="shared" ca="1" si="104"/>
        <v>124377.90687059727</v>
      </c>
      <c r="EL57" s="224">
        <f t="shared" si="105"/>
        <v>6779486.3227326218</v>
      </c>
      <c r="EM57" s="224">
        <f t="shared" si="106"/>
        <v>7050665.7756419256</v>
      </c>
      <c r="EN57" s="224">
        <f t="shared" si="107"/>
        <v>5872068.1618221197</v>
      </c>
      <c r="EO57" s="224">
        <f t="shared" si="108"/>
        <v>6395475.4784589373</v>
      </c>
      <c r="EP57" s="224">
        <f t="shared" si="109"/>
        <v>2547131.1473770491</v>
      </c>
      <c r="EQ57" s="224">
        <f>CE57-S57</f>
        <v>1715163.9344262294</v>
      </c>
      <c r="ER57" s="224">
        <f>CF57-T57</f>
        <v>0</v>
      </c>
      <c r="ES57" s="224">
        <f>CG57-U57</f>
        <v>0</v>
      </c>
      <c r="ET57" s="224">
        <f>CH57-V57</f>
        <v>0</v>
      </c>
      <c r="EU57" s="224">
        <f>CI57-W57</f>
        <v>0</v>
      </c>
      <c r="EV57" s="224">
        <f>CJ57-X57</f>
        <v>0</v>
      </c>
      <c r="EW57" s="224">
        <f>CK57-Y57</f>
        <v>0</v>
      </c>
      <c r="EX57" s="224">
        <f>CL57-Z57</f>
        <v>0</v>
      </c>
      <c r="EY57" s="244">
        <f t="shared" ca="1" si="121"/>
        <v>32227322.53311618</v>
      </c>
    </row>
    <row r="58" spans="1:155" s="235" customFormat="1" x14ac:dyDescent="0.35">
      <c r="A58" s="221"/>
      <c r="B58" s="222"/>
      <c r="C58" s="233"/>
      <c r="D58" s="234" t="s">
        <v>44</v>
      </c>
      <c r="E58" s="216"/>
      <c r="F58" s="245">
        <f t="shared" ref="F58:Y58" si="129">F59+F63+F67+F71+F75+F79+F80</f>
        <v>2705822.3429000005</v>
      </c>
      <c r="G58" s="245">
        <f t="shared" si="129"/>
        <v>3211463.0096999998</v>
      </c>
      <c r="H58" s="245">
        <f t="shared" si="129"/>
        <v>3847800.6630800003</v>
      </c>
      <c r="I58" s="245">
        <f t="shared" si="129"/>
        <v>3968248.3363387375</v>
      </c>
      <c r="J58" s="245">
        <f t="shared" si="129"/>
        <v>4209173.2078894256</v>
      </c>
      <c r="K58" s="245">
        <f t="shared" si="129"/>
        <v>4456263.2913664309</v>
      </c>
      <c r="L58" s="245">
        <f t="shared" si="129"/>
        <v>4637503.8117957171</v>
      </c>
      <c r="M58" s="245">
        <f t="shared" si="129"/>
        <v>4826696.9289552085</v>
      </c>
      <c r="N58" s="245">
        <f t="shared" si="129"/>
        <v>5025568.0151765235</v>
      </c>
      <c r="O58" s="245">
        <f t="shared" si="129"/>
        <v>5233690.0704473499</v>
      </c>
      <c r="P58" s="245">
        <f t="shared" si="129"/>
        <v>5451536.1245127609</v>
      </c>
      <c r="Q58" s="245">
        <f t="shared" si="129"/>
        <v>5679606.5323718581</v>
      </c>
      <c r="R58" s="245">
        <f t="shared" si="129"/>
        <v>5918430.7530595586</v>
      </c>
      <c r="S58" s="245">
        <f t="shared" si="129"/>
        <v>6168584.6004398689</v>
      </c>
      <c r="T58" s="245">
        <f t="shared" si="129"/>
        <v>6430661.3172253193</v>
      </c>
      <c r="U58" s="245">
        <f t="shared" si="129"/>
        <v>6705289.3936380148</v>
      </c>
      <c r="V58" s="245">
        <f t="shared" si="129"/>
        <v>6993134.9155372297</v>
      </c>
      <c r="W58" s="245">
        <f t="shared" si="129"/>
        <v>7294904.0830613514</v>
      </c>
      <c r="X58" s="245">
        <f t="shared" si="129"/>
        <v>7611345.9128538892</v>
      </c>
      <c r="Y58" s="245">
        <f t="shared" si="129"/>
        <v>7943255.1379759684</v>
      </c>
      <c r="Z58" s="245">
        <f>Z59+Z63+Z67+Z71+Z75+Z79+Z80</f>
        <v>8291475.3207233697</v>
      </c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 t="b">
        <f t="shared" si="124"/>
        <v>0</v>
      </c>
      <c r="AW58" s="442" t="b">
        <f t="shared" si="124"/>
        <v>0</v>
      </c>
      <c r="AX58" s="442" t="b">
        <f t="shared" si="124"/>
        <v>0</v>
      </c>
      <c r="AY58" s="442" t="b">
        <f t="shared" si="124"/>
        <v>0</v>
      </c>
      <c r="AZ58" s="442" t="b">
        <f t="shared" si="124"/>
        <v>0</v>
      </c>
      <c r="BA58" s="442" t="b">
        <f t="shared" si="124"/>
        <v>0</v>
      </c>
      <c r="BB58" s="442" t="b">
        <f t="shared" si="124"/>
        <v>0</v>
      </c>
      <c r="BC58" s="442" t="b">
        <f t="shared" si="124"/>
        <v>0</v>
      </c>
      <c r="BD58" s="442" t="b">
        <f t="shared" si="124"/>
        <v>0</v>
      </c>
      <c r="BE58" s="442" t="b">
        <f t="shared" si="124"/>
        <v>0</v>
      </c>
      <c r="BF58" s="442" t="b">
        <f t="shared" si="124"/>
        <v>0</v>
      </c>
      <c r="BG58" s="442" t="b">
        <f t="shared" si="122"/>
        <v>0</v>
      </c>
      <c r="BH58" s="442" t="b">
        <f t="shared" si="122"/>
        <v>0</v>
      </c>
      <c r="BI58" s="442" t="b">
        <f t="shared" si="122"/>
        <v>0</v>
      </c>
      <c r="BJ58" s="442" t="b">
        <f t="shared" si="122"/>
        <v>0</v>
      </c>
      <c r="BK58" s="442" t="b">
        <f t="shared" si="122"/>
        <v>0</v>
      </c>
      <c r="BL58" s="442" t="b">
        <f t="shared" si="122"/>
        <v>0</v>
      </c>
      <c r="BM58" s="442" t="b">
        <f t="shared" si="122"/>
        <v>0</v>
      </c>
      <c r="BN58" s="442" t="b">
        <f t="shared" si="122"/>
        <v>0</v>
      </c>
      <c r="BO58" s="442" t="b">
        <f t="shared" si="122"/>
        <v>0</v>
      </c>
      <c r="BP58" s="442" t="b">
        <f t="shared" si="122"/>
        <v>0</v>
      </c>
      <c r="BQ58" s="268">
        <f>BQ59+BQ63+BQ67+BQ71+BQ75+BQ79+BQ80</f>
        <v>102877119.41702984</v>
      </c>
      <c r="BR58" s="245">
        <f t="shared" ref="BR58:CK58" si="130">BR59+BR63+BR67+BR71+BR75+BR79+BR80</f>
        <v>2705822.3429000005</v>
      </c>
      <c r="BS58" s="245">
        <f t="shared" si="130"/>
        <v>3211463.0096999998</v>
      </c>
      <c r="BT58" s="245">
        <f t="shared" si="130"/>
        <v>3847800.6630800003</v>
      </c>
      <c r="BU58" s="245">
        <f t="shared" si="130"/>
        <v>4090750.6038135928</v>
      </c>
      <c r="BV58" s="245">
        <f t="shared" si="130"/>
        <v>4456435.6363208685</v>
      </c>
      <c r="BW58" s="245">
        <f t="shared" si="130"/>
        <v>4744473.9212047737</v>
      </c>
      <c r="BX58" s="245">
        <f t="shared" si="130"/>
        <v>4967210.366867776</v>
      </c>
      <c r="BY58" s="245">
        <f t="shared" si="130"/>
        <v>5182025.0705732703</v>
      </c>
      <c r="BZ58" s="245">
        <f t="shared" si="130"/>
        <v>5401413.2357201697</v>
      </c>
      <c r="CA58" s="245">
        <f t="shared" si="130"/>
        <v>5630957.2714092378</v>
      </c>
      <c r="CB58" s="245">
        <f t="shared" si="130"/>
        <v>5871623.7755265767</v>
      </c>
      <c r="CC58" s="245">
        <f t="shared" si="130"/>
        <v>6124009.0380981648</v>
      </c>
      <c r="CD58" s="245">
        <f t="shared" si="130"/>
        <v>6388745.6870514564</v>
      </c>
      <c r="CE58" s="245">
        <f t="shared" si="130"/>
        <v>6810102.8403235627</v>
      </c>
      <c r="CF58" s="245">
        <f t="shared" si="130"/>
        <v>7305592.1412919508</v>
      </c>
      <c r="CG58" s="245">
        <f t="shared" si="130"/>
        <v>7620280.8127305117</v>
      </c>
      <c r="CH58" s="245">
        <f t="shared" si="130"/>
        <v>7948074.1433553854</v>
      </c>
      <c r="CI58" s="245">
        <f t="shared" si="130"/>
        <v>8240037.2047898313</v>
      </c>
      <c r="CJ58" s="245">
        <f t="shared" si="130"/>
        <v>8651400.6468766481</v>
      </c>
      <c r="CK58" s="245">
        <f t="shared" si="130"/>
        <v>9028047.8029846624</v>
      </c>
      <c r="CL58" s="245">
        <f>CL59+CL63+CL67+CL71+CL75+CL79+CL80</f>
        <v>9424826.4836042374</v>
      </c>
      <c r="CM58" s="442"/>
      <c r="CN58" s="442"/>
      <c r="CO58" s="442"/>
      <c r="CP58" s="442"/>
      <c r="CQ58" s="442"/>
      <c r="CR58" s="442"/>
      <c r="CS58" s="442"/>
      <c r="CT58" s="442"/>
      <c r="CU58" s="442"/>
      <c r="CV58" s="442"/>
      <c r="CW58" s="442"/>
      <c r="CX58" s="442"/>
      <c r="CY58" s="442"/>
      <c r="CZ58" s="442"/>
      <c r="DA58" s="442"/>
      <c r="DB58" s="442"/>
      <c r="DC58" s="442"/>
      <c r="DD58" s="442"/>
      <c r="DE58" s="442"/>
      <c r="DF58" s="442"/>
      <c r="DG58" s="442"/>
      <c r="DH58" s="442" t="b">
        <f t="shared" si="123"/>
        <v>0</v>
      </c>
      <c r="DI58" s="442" t="b">
        <f t="shared" si="123"/>
        <v>0</v>
      </c>
      <c r="DJ58" s="442" t="b">
        <f t="shared" si="123"/>
        <v>0</v>
      </c>
      <c r="DK58" s="442" t="b">
        <f t="shared" si="123"/>
        <v>0</v>
      </c>
      <c r="DL58" s="442" t="b">
        <f t="shared" si="123"/>
        <v>0</v>
      </c>
      <c r="DM58" s="442" t="b">
        <f t="shared" si="123"/>
        <v>0</v>
      </c>
      <c r="DN58" s="442" t="b">
        <f t="shared" si="123"/>
        <v>0</v>
      </c>
      <c r="DO58" s="442" t="b">
        <f t="shared" si="123"/>
        <v>0</v>
      </c>
      <c r="DP58" s="442" t="b">
        <f t="shared" si="123"/>
        <v>0</v>
      </c>
      <c r="DQ58" s="442" t="b">
        <f t="shared" si="123"/>
        <v>0</v>
      </c>
      <c r="DR58" s="442" t="b">
        <f t="shared" si="123"/>
        <v>0</v>
      </c>
      <c r="DS58" s="442" t="b">
        <f t="shared" si="125"/>
        <v>0</v>
      </c>
      <c r="DT58" s="442" t="b">
        <f t="shared" si="125"/>
        <v>0</v>
      </c>
      <c r="DU58" s="442" t="b">
        <f t="shared" si="125"/>
        <v>0</v>
      </c>
      <c r="DV58" s="442" t="b">
        <f t="shared" si="125"/>
        <v>0</v>
      </c>
      <c r="DW58" s="442" t="b">
        <f t="shared" si="125"/>
        <v>0</v>
      </c>
      <c r="DX58" s="442" t="b">
        <f t="shared" si="125"/>
        <v>0</v>
      </c>
      <c r="DY58" s="442" t="b">
        <f t="shared" si="125"/>
        <v>0</v>
      </c>
      <c r="DZ58" s="442" t="b">
        <f t="shared" si="125"/>
        <v>0</v>
      </c>
      <c r="EA58" s="442" t="b">
        <f t="shared" si="125"/>
        <v>0</v>
      </c>
      <c r="EB58" s="442" t="b">
        <f t="shared" si="125"/>
        <v>0</v>
      </c>
      <c r="EC58" s="268">
        <f>EC59+EC63+EC67+EC71+EC75+EC79+EC80</f>
        <v>113795256.07872908</v>
      </c>
      <c r="ED58" s="239">
        <f t="shared" si="97"/>
        <v>0</v>
      </c>
      <c r="EE58" s="239">
        <f t="shared" si="98"/>
        <v>0</v>
      </c>
      <c r="EF58" s="239">
        <f t="shared" si="99"/>
        <v>0</v>
      </c>
      <c r="EG58" s="239">
        <f t="shared" si="100"/>
        <v>122502.2674748553</v>
      </c>
      <c r="EH58" s="239">
        <f t="shared" si="101"/>
        <v>247262.42843144294</v>
      </c>
      <c r="EI58" s="239">
        <f t="shared" si="102"/>
        <v>288210.62983834278</v>
      </c>
      <c r="EJ58" s="239">
        <f t="shared" si="103"/>
        <v>329706.55507205892</v>
      </c>
      <c r="EK58" s="239">
        <f t="shared" si="104"/>
        <v>355328.14161806181</v>
      </c>
      <c r="EL58" s="239">
        <f t="shared" si="105"/>
        <v>375845.22054364625</v>
      </c>
      <c r="EM58" s="239">
        <f t="shared" si="106"/>
        <v>397267.20096188784</v>
      </c>
      <c r="EN58" s="239">
        <f t="shared" si="107"/>
        <v>420087.65101381578</v>
      </c>
      <c r="EO58" s="239">
        <f t="shared" si="108"/>
        <v>444402.5057263067</v>
      </c>
      <c r="EP58" s="239">
        <f t="shared" si="109"/>
        <v>470314.93399189785</v>
      </c>
      <c r="EQ58" s="239">
        <f>CE58-S58</f>
        <v>641518.23988369387</v>
      </c>
      <c r="ER58" s="239">
        <f>CF58-T58</f>
        <v>874930.8240666315</v>
      </c>
      <c r="ES58" s="239">
        <f>CG58-U58</f>
        <v>914991.41909249686</v>
      </c>
      <c r="ET58" s="239">
        <f>CH58-V58</f>
        <v>954939.22781815566</v>
      </c>
      <c r="EU58" s="239">
        <f>CI58-W58</f>
        <v>945133.12172847986</v>
      </c>
      <c r="EV58" s="239">
        <f>CJ58-X58</f>
        <v>1040054.7340227589</v>
      </c>
      <c r="EW58" s="239">
        <f>CK58-Y58</f>
        <v>1084792.6650086939</v>
      </c>
      <c r="EX58" s="239">
        <f>CL58-Z58</f>
        <v>1133351.1628808677</v>
      </c>
      <c r="EY58" s="268">
        <f>EY59+EY63+EY67+EY71+EY75+EY79+EY80</f>
        <v>10918136.661699235</v>
      </c>
    </row>
    <row r="59" spans="1:155" x14ac:dyDescent="0.35">
      <c r="C59" s="269">
        <f>C57+1</f>
        <v>41</v>
      </c>
      <c r="D59" s="270" t="s">
        <v>47</v>
      </c>
      <c r="E59" s="243" t="s">
        <v>10</v>
      </c>
      <c r="F59" s="384">
        <f>'[10]Данные для переноса'!F60</f>
        <v>116339.85767647029</v>
      </c>
      <c r="G59" s="384">
        <f>'[10]Данные для переноса'!G60</f>
        <v>109330.07709616136</v>
      </c>
      <c r="H59" s="384">
        <f>'[10]Данные для переноса'!H60</f>
        <v>104057.32813292653</v>
      </c>
      <c r="I59" s="384">
        <f>'[10]Данные для переноса'!I60</f>
        <v>137242.73800000001</v>
      </c>
      <c r="J59" s="384">
        <f>'[10]Данные для переноса'!J60</f>
        <v>137242.73800000001</v>
      </c>
      <c r="K59" s="384">
        <f>'[10]Данные для переноса'!K60</f>
        <v>137242.73800000001</v>
      </c>
      <c r="L59" s="384">
        <f>'[10]Данные для переноса'!L60</f>
        <v>137242.73800000001</v>
      </c>
      <c r="M59" s="384">
        <f>'[10]Данные для переноса'!M60</f>
        <v>137242.73800000001</v>
      </c>
      <c r="N59" s="384">
        <f>'[10]Данные для переноса'!N60</f>
        <v>137242.73800000001</v>
      </c>
      <c r="O59" s="384">
        <f>'[10]Данные для переноса'!O60</f>
        <v>137242.73800000001</v>
      </c>
      <c r="P59" s="384">
        <f>'[10]Данные для переноса'!P60</f>
        <v>137242.73800000001</v>
      </c>
      <c r="Q59" s="384">
        <f>'[10]Данные для переноса'!Q60</f>
        <v>137242.73800000001</v>
      </c>
      <c r="R59" s="384">
        <f>'[10]Данные для переноса'!R60</f>
        <v>137242.73800000001</v>
      </c>
      <c r="S59" s="384">
        <f>'[10]Данные для переноса'!S60</f>
        <v>137242.73800000001</v>
      </c>
      <c r="T59" s="384">
        <f>'[10]Данные для переноса'!T60</f>
        <v>137242.73800000001</v>
      </c>
      <c r="U59" s="384">
        <f>'[10]Данные для переноса'!U60</f>
        <v>137242.73800000001</v>
      </c>
      <c r="V59" s="384">
        <f>'[10]Данные для переноса'!V60</f>
        <v>137242.73800000001</v>
      </c>
      <c r="W59" s="384">
        <f>'[10]Данные для переноса'!W60</f>
        <v>137242.73800000001</v>
      </c>
      <c r="X59" s="384">
        <f>'[10]Данные для переноса'!X60</f>
        <v>137242.73800000001</v>
      </c>
      <c r="Y59" s="384">
        <f>'[10]Данные для переноса'!Y60</f>
        <v>137242.73800000001</v>
      </c>
      <c r="Z59" s="384">
        <f>'[10]Данные для переноса'!Z60</f>
        <v>137242.73800000001</v>
      </c>
      <c r="AA59" s="426">
        <v>116339.85767647029</v>
      </c>
      <c r="AB59" s="426">
        <v>109330.07709616136</v>
      </c>
      <c r="AC59" s="426">
        <v>104057.32813292653</v>
      </c>
      <c r="AD59" s="426">
        <v>137242.73800000001</v>
      </c>
      <c r="AE59" s="426">
        <v>137242.73800000001</v>
      </c>
      <c r="AF59" s="426">
        <v>137242.73800000001</v>
      </c>
      <c r="AG59" s="426">
        <v>137242.73800000001</v>
      </c>
      <c r="AH59" s="426">
        <v>137242.73800000001</v>
      </c>
      <c r="AI59" s="426">
        <v>137242.73800000001</v>
      </c>
      <c r="AJ59" s="426">
        <v>137242.73800000001</v>
      </c>
      <c r="AK59" s="426">
        <v>137242.73800000001</v>
      </c>
      <c r="AL59" s="426">
        <v>137242.73800000001</v>
      </c>
      <c r="AM59" s="426">
        <v>137242.73800000001</v>
      </c>
      <c r="AN59" s="426">
        <v>137242.73800000001</v>
      </c>
      <c r="AO59" s="426">
        <v>137242.73800000001</v>
      </c>
      <c r="AP59" s="426">
        <v>137242.73800000001</v>
      </c>
      <c r="AQ59" s="426">
        <v>137242.73800000001</v>
      </c>
      <c r="AR59" s="426">
        <v>137242.73800000001</v>
      </c>
      <c r="AS59" s="426">
        <v>137242.73800000001</v>
      </c>
      <c r="AT59" s="426">
        <v>137242.73800000001</v>
      </c>
      <c r="AU59" s="426">
        <v>137242.73800000001</v>
      </c>
      <c r="AV59" s="430" t="b">
        <f t="shared" si="124"/>
        <v>1</v>
      </c>
      <c r="AW59" s="430" t="b">
        <f t="shared" si="124"/>
        <v>1</v>
      </c>
      <c r="AX59" s="430" t="b">
        <f t="shared" si="124"/>
        <v>1</v>
      </c>
      <c r="AY59" s="430" t="b">
        <f t="shared" si="124"/>
        <v>1</v>
      </c>
      <c r="AZ59" s="430" t="b">
        <f t="shared" si="124"/>
        <v>1</v>
      </c>
      <c r="BA59" s="430" t="b">
        <f t="shared" si="124"/>
        <v>1</v>
      </c>
      <c r="BB59" s="430" t="b">
        <f t="shared" si="124"/>
        <v>1</v>
      </c>
      <c r="BC59" s="430" t="b">
        <f t="shared" si="124"/>
        <v>1</v>
      </c>
      <c r="BD59" s="430" t="b">
        <f t="shared" si="124"/>
        <v>1</v>
      </c>
      <c r="BE59" s="430" t="b">
        <f t="shared" si="124"/>
        <v>1</v>
      </c>
      <c r="BF59" s="430" t="b">
        <f t="shared" si="124"/>
        <v>1</v>
      </c>
      <c r="BG59" s="430" t="b">
        <f t="shared" si="122"/>
        <v>1</v>
      </c>
      <c r="BH59" s="430" t="b">
        <f t="shared" si="122"/>
        <v>1</v>
      </c>
      <c r="BI59" s="430" t="b">
        <f t="shared" si="122"/>
        <v>1</v>
      </c>
      <c r="BJ59" s="430" t="b">
        <f t="shared" si="122"/>
        <v>1</v>
      </c>
      <c r="BK59" s="430" t="b">
        <f t="shared" si="122"/>
        <v>1</v>
      </c>
      <c r="BL59" s="430" t="b">
        <f t="shared" si="122"/>
        <v>1</v>
      </c>
      <c r="BM59" s="430" t="b">
        <f t="shared" si="122"/>
        <v>1</v>
      </c>
      <c r="BN59" s="430" t="b">
        <f t="shared" si="122"/>
        <v>1</v>
      </c>
      <c r="BO59" s="430" t="b">
        <f t="shared" si="122"/>
        <v>1</v>
      </c>
      <c r="BP59" s="430" t="b">
        <f t="shared" si="122"/>
        <v>1</v>
      </c>
      <c r="BQ59" s="244">
        <f>SUM(J59:Z59)</f>
        <v>2333126.5459999992</v>
      </c>
      <c r="BR59" s="247">
        <f>'[10]Данные для переноса'!AB60</f>
        <v>116339.85767647029</v>
      </c>
      <c r="BS59" s="247">
        <f>'[10]Данные для переноса'!AC60</f>
        <v>109330.07709616136</v>
      </c>
      <c r="BT59" s="247">
        <f>'[10]Данные для переноса'!AD60</f>
        <v>104057.32813292653</v>
      </c>
      <c r="BU59" s="247">
        <f>'[10]Данные для переноса'!AE60</f>
        <v>135414.74199999997</v>
      </c>
      <c r="BV59" s="247">
        <f>'[10]Данные для переноса'!AF60</f>
        <v>133399.34400000001</v>
      </c>
      <c r="BW59" s="247">
        <f>'[10]Данные для переноса'!AG60</f>
        <v>134207.84400000001</v>
      </c>
      <c r="BX59" s="247">
        <f>'[10]Данные для переноса'!AH60</f>
        <v>134207.84400000001</v>
      </c>
      <c r="BY59" s="247">
        <f>'[10]Данные для переноса'!AI60</f>
        <v>134207.84400000001</v>
      </c>
      <c r="BZ59" s="247">
        <f>'[10]Данные для переноса'!AJ60</f>
        <v>134207.84400000001</v>
      </c>
      <c r="CA59" s="247">
        <f>'[10]Данные для переноса'!AK60</f>
        <v>134207.84400000001</v>
      </c>
      <c r="CB59" s="247">
        <f>'[10]Данные для переноса'!AL60</f>
        <v>134207.84400000001</v>
      </c>
      <c r="CC59" s="247">
        <f>'[10]Данные для переноса'!AM60</f>
        <v>134207.84400000001</v>
      </c>
      <c r="CD59" s="247">
        <f>'[10]Данные для переноса'!AN60</f>
        <v>134207.84400000001</v>
      </c>
      <c r="CE59" s="247">
        <f>'[10]Данные для переноса'!AO60</f>
        <v>134207.84400000001</v>
      </c>
      <c r="CF59" s="247">
        <f>'[10]Данные для переноса'!AP60</f>
        <v>134207.84400000001</v>
      </c>
      <c r="CG59" s="247">
        <f>'[10]Данные для переноса'!AQ60</f>
        <v>134207.84400000001</v>
      </c>
      <c r="CH59" s="247">
        <f>'[10]Данные для переноса'!AR60</f>
        <v>134207.84400000001</v>
      </c>
      <c r="CI59" s="247">
        <f>'[10]Данные для переноса'!AS60</f>
        <v>134207.84400000001</v>
      </c>
      <c r="CJ59" s="247">
        <f>'[10]Данные для переноса'!AT60</f>
        <v>134207.84400000001</v>
      </c>
      <c r="CK59" s="247">
        <f>'[10]Данные для переноса'!AU60</f>
        <v>134207.84400000001</v>
      </c>
      <c r="CL59" s="247">
        <f>'[10]Данные для переноса'!AV60</f>
        <v>134207.84400000001</v>
      </c>
      <c r="CM59" s="426">
        <v>116339.85767647029</v>
      </c>
      <c r="CN59" s="426">
        <v>109330.07709616136</v>
      </c>
      <c r="CO59" s="426">
        <v>104057.32813292653</v>
      </c>
      <c r="CP59" s="426">
        <v>135414.74199999997</v>
      </c>
      <c r="CQ59" s="426">
        <v>133399.34400000001</v>
      </c>
      <c r="CR59" s="426">
        <v>134207.84400000001</v>
      </c>
      <c r="CS59" s="426">
        <v>134207.84400000001</v>
      </c>
      <c r="CT59" s="426">
        <v>134207.84400000001</v>
      </c>
      <c r="CU59" s="426">
        <v>134207.84400000001</v>
      </c>
      <c r="CV59" s="426">
        <v>134207.84400000001</v>
      </c>
      <c r="CW59" s="426">
        <v>134207.84400000001</v>
      </c>
      <c r="CX59" s="426">
        <v>134207.84400000001</v>
      </c>
      <c r="CY59" s="426">
        <v>134207.84400000001</v>
      </c>
      <c r="CZ59" s="426">
        <v>134207.84400000001</v>
      </c>
      <c r="DA59" s="426">
        <v>134207.84400000001</v>
      </c>
      <c r="DB59" s="426">
        <v>134207.84400000001</v>
      </c>
      <c r="DC59" s="426">
        <v>134207.84400000001</v>
      </c>
      <c r="DD59" s="426">
        <v>134207.84400000001</v>
      </c>
      <c r="DE59" s="426">
        <v>134207.84400000001</v>
      </c>
      <c r="DF59" s="426">
        <v>134207.84400000001</v>
      </c>
      <c r="DG59" s="426">
        <v>134207.84400000001</v>
      </c>
      <c r="DH59" s="430" t="b">
        <f t="shared" si="123"/>
        <v>1</v>
      </c>
      <c r="DI59" s="430" t="b">
        <f t="shared" si="123"/>
        <v>1</v>
      </c>
      <c r="DJ59" s="430" t="b">
        <f t="shared" si="123"/>
        <v>1</v>
      </c>
      <c r="DK59" s="430" t="b">
        <f t="shared" si="123"/>
        <v>1</v>
      </c>
      <c r="DL59" s="430" t="b">
        <f t="shared" si="123"/>
        <v>1</v>
      </c>
      <c r="DM59" s="430" t="b">
        <f t="shared" si="123"/>
        <v>1</v>
      </c>
      <c r="DN59" s="430" t="b">
        <f t="shared" si="123"/>
        <v>1</v>
      </c>
      <c r="DO59" s="430" t="b">
        <f t="shared" si="123"/>
        <v>1</v>
      </c>
      <c r="DP59" s="430" t="b">
        <f t="shared" si="123"/>
        <v>1</v>
      </c>
      <c r="DQ59" s="430" t="b">
        <f t="shared" si="123"/>
        <v>1</v>
      </c>
      <c r="DR59" s="430" t="b">
        <f t="shared" si="123"/>
        <v>1</v>
      </c>
      <c r="DS59" s="430" t="b">
        <f t="shared" si="125"/>
        <v>1</v>
      </c>
      <c r="DT59" s="430" t="b">
        <f t="shared" si="125"/>
        <v>1</v>
      </c>
      <c r="DU59" s="430" t="b">
        <f t="shared" si="125"/>
        <v>1</v>
      </c>
      <c r="DV59" s="430" t="b">
        <f t="shared" si="125"/>
        <v>1</v>
      </c>
      <c r="DW59" s="430" t="b">
        <f t="shared" si="125"/>
        <v>1</v>
      </c>
      <c r="DX59" s="430" t="b">
        <f t="shared" si="125"/>
        <v>1</v>
      </c>
      <c r="DY59" s="430" t="b">
        <f t="shared" si="125"/>
        <v>1</v>
      </c>
      <c r="DZ59" s="430" t="b">
        <f t="shared" si="125"/>
        <v>1</v>
      </c>
      <c r="EA59" s="430" t="b">
        <f t="shared" si="125"/>
        <v>1</v>
      </c>
      <c r="EB59" s="430" t="b">
        <f t="shared" si="125"/>
        <v>1</v>
      </c>
      <c r="EC59" s="244">
        <f>SUM(BV59:CL59)</f>
        <v>2280724.8480000002</v>
      </c>
      <c r="ED59" s="223">
        <f t="shared" si="97"/>
        <v>0</v>
      </c>
      <c r="EE59" s="223">
        <f t="shared" si="98"/>
        <v>0</v>
      </c>
      <c r="EF59" s="223">
        <f t="shared" si="99"/>
        <v>0</v>
      </c>
      <c r="EG59" s="223">
        <f t="shared" si="100"/>
        <v>-1827.9960000000428</v>
      </c>
      <c r="EH59" s="223">
        <f t="shared" si="101"/>
        <v>-3843.3940000000002</v>
      </c>
      <c r="EI59" s="223">
        <f t="shared" si="102"/>
        <v>-3034.8940000000002</v>
      </c>
      <c r="EJ59" s="223">
        <f t="shared" si="103"/>
        <v>-3034.8940000000002</v>
      </c>
      <c r="EK59" s="223">
        <f t="shared" si="104"/>
        <v>-3034.8940000000002</v>
      </c>
      <c r="EL59" s="223">
        <f t="shared" si="105"/>
        <v>-3034.8940000000002</v>
      </c>
      <c r="EM59" s="223">
        <f t="shared" si="106"/>
        <v>-3034.8940000000002</v>
      </c>
      <c r="EN59" s="223">
        <f t="shared" si="107"/>
        <v>-3034.8940000000002</v>
      </c>
      <c r="EO59" s="223">
        <f t="shared" si="108"/>
        <v>-3034.8940000000002</v>
      </c>
      <c r="EP59" s="223">
        <f t="shared" si="109"/>
        <v>-3034.8940000000002</v>
      </c>
      <c r="EQ59" s="223">
        <f>CE59-S59</f>
        <v>-3034.8940000000002</v>
      </c>
      <c r="ER59" s="223">
        <f>CF59-T59</f>
        <v>-3034.8940000000002</v>
      </c>
      <c r="ES59" s="223">
        <f>CG59-U59</f>
        <v>-3034.8940000000002</v>
      </c>
      <c r="ET59" s="223">
        <f>CH59-V59</f>
        <v>-3034.8940000000002</v>
      </c>
      <c r="EU59" s="223">
        <f>CI59-W59</f>
        <v>-3034.8940000000002</v>
      </c>
      <c r="EV59" s="223">
        <f>CJ59-X59</f>
        <v>-3034.8940000000002</v>
      </c>
      <c r="EW59" s="223">
        <f>CK59-Y59</f>
        <v>-3034.8940000000002</v>
      </c>
      <c r="EX59" s="223">
        <f>CL59-Z59</f>
        <v>-3034.8940000000002</v>
      </c>
      <c r="EY59" s="244">
        <f>SUM(EH59:EX59)</f>
        <v>-52401.698000000004</v>
      </c>
    </row>
    <row r="60" spans="1:155" ht="26" x14ac:dyDescent="0.35">
      <c r="C60" s="269"/>
      <c r="D60" s="271" t="s">
        <v>208</v>
      </c>
      <c r="E60" s="243" t="s">
        <v>10</v>
      </c>
      <c r="F60" s="384">
        <f>'[10]Данные для переноса'!F61</f>
        <v>0</v>
      </c>
      <c r="G60" s="384">
        <f>'[10]Данные для переноса'!G61</f>
        <v>0</v>
      </c>
      <c r="H60" s="384">
        <f>'[10]Данные для переноса'!H61</f>
        <v>0</v>
      </c>
      <c r="I60" s="384">
        <f>'[10]Данные для переноса'!I61</f>
        <v>0</v>
      </c>
      <c r="J60" s="384">
        <f>'[10]Данные для переноса'!J61</f>
        <v>0</v>
      </c>
      <c r="K60" s="384">
        <f>'[10]Данные для переноса'!K61</f>
        <v>0</v>
      </c>
      <c r="L60" s="384">
        <f>'[10]Данные для переноса'!L61</f>
        <v>0</v>
      </c>
      <c r="M60" s="384">
        <f>'[10]Данные для переноса'!M61</f>
        <v>0</v>
      </c>
      <c r="N60" s="384">
        <f>'[10]Данные для переноса'!N61</f>
        <v>0</v>
      </c>
      <c r="O60" s="384">
        <f>'[10]Данные для переноса'!O61</f>
        <v>0</v>
      </c>
      <c r="P60" s="384">
        <f>'[10]Данные для переноса'!P61</f>
        <v>0</v>
      </c>
      <c r="Q60" s="384">
        <f>'[10]Данные для переноса'!Q61</f>
        <v>0</v>
      </c>
      <c r="R60" s="384">
        <f>'[10]Данные для переноса'!R61</f>
        <v>0</v>
      </c>
      <c r="S60" s="384">
        <f>'[10]Данные для переноса'!S61</f>
        <v>0</v>
      </c>
      <c r="T60" s="384">
        <f>'[10]Данные для переноса'!T61</f>
        <v>0</v>
      </c>
      <c r="U60" s="384">
        <f>'[10]Данные для переноса'!U61</f>
        <v>0</v>
      </c>
      <c r="V60" s="384">
        <f>'[10]Данные для переноса'!V61</f>
        <v>0</v>
      </c>
      <c r="W60" s="384">
        <f>'[10]Данные для переноса'!W61</f>
        <v>0</v>
      </c>
      <c r="X60" s="384">
        <f>'[10]Данные для переноса'!X61</f>
        <v>0</v>
      </c>
      <c r="Y60" s="384">
        <f>'[10]Данные для переноса'!Y61</f>
        <v>0</v>
      </c>
      <c r="Z60" s="384">
        <f>'[10]Данные для переноса'!Z61</f>
        <v>0</v>
      </c>
      <c r="AA60" s="426"/>
      <c r="AB60" s="426"/>
      <c r="AC60" s="426"/>
      <c r="AD60" s="426"/>
      <c r="AE60" s="426"/>
      <c r="AF60" s="426"/>
      <c r="AG60" s="426"/>
      <c r="AH60" s="426"/>
      <c r="AI60" s="426"/>
      <c r="AJ60" s="426"/>
      <c r="AK60" s="426"/>
      <c r="AL60" s="426"/>
      <c r="AM60" s="426"/>
      <c r="AN60" s="426"/>
      <c r="AO60" s="426"/>
      <c r="AP60" s="426"/>
      <c r="AQ60" s="426"/>
      <c r="AR60" s="426"/>
      <c r="AS60" s="426"/>
      <c r="AT60" s="426"/>
      <c r="AU60" s="426"/>
      <c r="AV60" s="430" t="b">
        <f t="shared" si="124"/>
        <v>1</v>
      </c>
      <c r="AW60" s="430" t="b">
        <f t="shared" si="124"/>
        <v>1</v>
      </c>
      <c r="AX60" s="430" t="b">
        <f t="shared" si="124"/>
        <v>1</v>
      </c>
      <c r="AY60" s="430" t="b">
        <f t="shared" si="124"/>
        <v>1</v>
      </c>
      <c r="AZ60" s="430" t="b">
        <f t="shared" si="124"/>
        <v>1</v>
      </c>
      <c r="BA60" s="430" t="b">
        <f t="shared" si="124"/>
        <v>1</v>
      </c>
      <c r="BB60" s="430" t="b">
        <f t="shared" si="124"/>
        <v>1</v>
      </c>
      <c r="BC60" s="430" t="b">
        <f t="shared" si="124"/>
        <v>1</v>
      </c>
      <c r="BD60" s="430" t="b">
        <f t="shared" si="124"/>
        <v>1</v>
      </c>
      <c r="BE60" s="430" t="b">
        <f t="shared" si="124"/>
        <v>1</v>
      </c>
      <c r="BF60" s="430" t="b">
        <f t="shared" si="124"/>
        <v>1</v>
      </c>
      <c r="BG60" s="430" t="b">
        <f t="shared" si="122"/>
        <v>1</v>
      </c>
      <c r="BH60" s="430" t="b">
        <f t="shared" si="122"/>
        <v>1</v>
      </c>
      <c r="BI60" s="430" t="b">
        <f t="shared" si="122"/>
        <v>1</v>
      </c>
      <c r="BJ60" s="430" t="b">
        <f t="shared" si="122"/>
        <v>1</v>
      </c>
      <c r="BK60" s="430" t="b">
        <f t="shared" si="122"/>
        <v>1</v>
      </c>
      <c r="BL60" s="430" t="b">
        <f t="shared" si="122"/>
        <v>1</v>
      </c>
      <c r="BM60" s="430" t="b">
        <f t="shared" si="122"/>
        <v>1</v>
      </c>
      <c r="BN60" s="430" t="b">
        <f t="shared" si="122"/>
        <v>1</v>
      </c>
      <c r="BO60" s="430" t="b">
        <f t="shared" si="122"/>
        <v>1</v>
      </c>
      <c r="BP60" s="430" t="b">
        <f t="shared" si="122"/>
        <v>1</v>
      </c>
      <c r="BQ60" s="244">
        <f t="shared" ref="BQ60:BQ80" si="131">SUM(J60:Z60)</f>
        <v>0</v>
      </c>
      <c r="BR60" s="247">
        <f>'[10]Данные для переноса'!AB61</f>
        <v>0</v>
      </c>
      <c r="BS60" s="247">
        <f>'[10]Данные для переноса'!AC61</f>
        <v>0</v>
      </c>
      <c r="BT60" s="247">
        <f>'[10]Данные для переноса'!AD61</f>
        <v>0</v>
      </c>
      <c r="BU60" s="247">
        <f>'[10]Данные для переноса'!AE61</f>
        <v>0</v>
      </c>
      <c r="BV60" s="247">
        <f>'[10]Данные для переноса'!AF61</f>
        <v>0</v>
      </c>
      <c r="BW60" s="247">
        <f>'[10]Данные для переноса'!AG61</f>
        <v>0</v>
      </c>
      <c r="BX60" s="247">
        <f>'[10]Данные для переноса'!AH61</f>
        <v>0</v>
      </c>
      <c r="BY60" s="247">
        <f>'[10]Данные для переноса'!AI61</f>
        <v>0</v>
      </c>
      <c r="BZ60" s="247">
        <f>'[10]Данные для переноса'!AJ61</f>
        <v>0</v>
      </c>
      <c r="CA60" s="247">
        <f>'[10]Данные для переноса'!AK61</f>
        <v>0</v>
      </c>
      <c r="CB60" s="247">
        <f>'[10]Данные для переноса'!AL61</f>
        <v>0</v>
      </c>
      <c r="CC60" s="247">
        <f>'[10]Данные для переноса'!AM61</f>
        <v>0</v>
      </c>
      <c r="CD60" s="247">
        <f>'[10]Данные для переноса'!AN61</f>
        <v>0</v>
      </c>
      <c r="CE60" s="247">
        <f>'[10]Данные для переноса'!AO61</f>
        <v>0</v>
      </c>
      <c r="CF60" s="247">
        <f>'[10]Данные для переноса'!AP61</f>
        <v>0</v>
      </c>
      <c r="CG60" s="247">
        <f>'[10]Данные для переноса'!AQ61</f>
        <v>0</v>
      </c>
      <c r="CH60" s="247">
        <f>'[10]Данные для переноса'!AR61</f>
        <v>0</v>
      </c>
      <c r="CI60" s="247">
        <f>'[10]Данные для переноса'!AS61</f>
        <v>0</v>
      </c>
      <c r="CJ60" s="247">
        <f>'[10]Данные для переноса'!AT61</f>
        <v>0</v>
      </c>
      <c r="CK60" s="247">
        <f>'[10]Данные для переноса'!AU61</f>
        <v>0</v>
      </c>
      <c r="CL60" s="247">
        <f>'[10]Данные для переноса'!AV61</f>
        <v>0</v>
      </c>
      <c r="CM60" s="426"/>
      <c r="CN60" s="426"/>
      <c r="CO60" s="426"/>
      <c r="CP60" s="426"/>
      <c r="CQ60" s="426"/>
      <c r="CR60" s="426"/>
      <c r="CS60" s="426"/>
      <c r="CT60" s="426"/>
      <c r="CU60" s="426"/>
      <c r="CV60" s="426"/>
      <c r="CW60" s="426"/>
      <c r="CX60" s="426"/>
      <c r="CY60" s="426"/>
      <c r="CZ60" s="426"/>
      <c r="DA60" s="426"/>
      <c r="DB60" s="426"/>
      <c r="DC60" s="426"/>
      <c r="DD60" s="426"/>
      <c r="DE60" s="426"/>
      <c r="DF60" s="426"/>
      <c r="DG60" s="426"/>
      <c r="DH60" s="430" t="b">
        <f t="shared" si="123"/>
        <v>1</v>
      </c>
      <c r="DI60" s="430" t="b">
        <f t="shared" si="123"/>
        <v>1</v>
      </c>
      <c r="DJ60" s="430" t="b">
        <f t="shared" si="123"/>
        <v>1</v>
      </c>
      <c r="DK60" s="430" t="b">
        <f t="shared" si="123"/>
        <v>1</v>
      </c>
      <c r="DL60" s="430" t="b">
        <f t="shared" si="123"/>
        <v>1</v>
      </c>
      <c r="DM60" s="430" t="b">
        <f t="shared" si="123"/>
        <v>1</v>
      </c>
      <c r="DN60" s="430" t="b">
        <f t="shared" si="123"/>
        <v>1</v>
      </c>
      <c r="DO60" s="430" t="b">
        <f t="shared" si="123"/>
        <v>1</v>
      </c>
      <c r="DP60" s="430" t="b">
        <f t="shared" si="123"/>
        <v>1</v>
      </c>
      <c r="DQ60" s="430" t="b">
        <f t="shared" si="123"/>
        <v>1</v>
      </c>
      <c r="DR60" s="430" t="b">
        <f t="shared" si="123"/>
        <v>1</v>
      </c>
      <c r="DS60" s="430" t="b">
        <f t="shared" si="125"/>
        <v>1</v>
      </c>
      <c r="DT60" s="430" t="b">
        <f t="shared" si="125"/>
        <v>1</v>
      </c>
      <c r="DU60" s="430" t="b">
        <f t="shared" si="125"/>
        <v>1</v>
      </c>
      <c r="DV60" s="430" t="b">
        <f t="shared" si="125"/>
        <v>1</v>
      </c>
      <c r="DW60" s="430" t="b">
        <f t="shared" si="125"/>
        <v>1</v>
      </c>
      <c r="DX60" s="430" t="b">
        <f t="shared" si="125"/>
        <v>1</v>
      </c>
      <c r="DY60" s="430" t="b">
        <f t="shared" si="125"/>
        <v>1</v>
      </c>
      <c r="DZ60" s="430" t="b">
        <f t="shared" si="125"/>
        <v>1</v>
      </c>
      <c r="EA60" s="430" t="b">
        <f t="shared" si="125"/>
        <v>1</v>
      </c>
      <c r="EB60" s="430" t="b">
        <f t="shared" si="125"/>
        <v>1</v>
      </c>
      <c r="EC60" s="244">
        <f t="shared" ref="EC60:EC80" si="132">SUM(BV60:CL60)</f>
        <v>0</v>
      </c>
      <c r="ED60" s="223">
        <f t="shared" si="97"/>
        <v>0</v>
      </c>
      <c r="EE60" s="223">
        <f t="shared" si="98"/>
        <v>0</v>
      </c>
      <c r="EF60" s="223">
        <f t="shared" si="99"/>
        <v>0</v>
      </c>
      <c r="EG60" s="223">
        <f t="shared" si="100"/>
        <v>0</v>
      </c>
      <c r="EH60" s="223">
        <f t="shared" si="101"/>
        <v>0</v>
      </c>
      <c r="EI60" s="223">
        <f t="shared" si="102"/>
        <v>0</v>
      </c>
      <c r="EJ60" s="223">
        <f t="shared" si="103"/>
        <v>0</v>
      </c>
      <c r="EK60" s="223">
        <f t="shared" si="104"/>
        <v>0</v>
      </c>
      <c r="EL60" s="223">
        <f t="shared" si="105"/>
        <v>0</v>
      </c>
      <c r="EM60" s="223">
        <f t="shared" si="106"/>
        <v>0</v>
      </c>
      <c r="EN60" s="223">
        <f t="shared" si="107"/>
        <v>0</v>
      </c>
      <c r="EO60" s="223">
        <f t="shared" si="108"/>
        <v>0</v>
      </c>
      <c r="EP60" s="223">
        <f t="shared" si="109"/>
        <v>0</v>
      </c>
      <c r="EQ60" s="223">
        <f>CE60-S60</f>
        <v>0</v>
      </c>
      <c r="ER60" s="223">
        <f>CF60-T60</f>
        <v>0</v>
      </c>
      <c r="ES60" s="223">
        <f>CG60-U60</f>
        <v>0</v>
      </c>
      <c r="ET60" s="223">
        <f>CH60-V60</f>
        <v>0</v>
      </c>
      <c r="EU60" s="223">
        <f>CI60-W60</f>
        <v>0</v>
      </c>
      <c r="EV60" s="223">
        <f>CJ60-X60</f>
        <v>0</v>
      </c>
      <c r="EW60" s="223">
        <f>CK60-Y60</f>
        <v>0</v>
      </c>
      <c r="EX60" s="223">
        <f>CL60-Z60</f>
        <v>0</v>
      </c>
      <c r="EY60" s="244">
        <f t="shared" ref="EY60:EY78" si="133">SUM(EH60:EX60)</f>
        <v>0</v>
      </c>
    </row>
    <row r="61" spans="1:155" x14ac:dyDescent="0.35">
      <c r="C61" s="269"/>
      <c r="D61" s="272" t="s">
        <v>209</v>
      </c>
      <c r="E61" s="243" t="s">
        <v>10</v>
      </c>
      <c r="F61" s="384">
        <f>'[10]Данные для переноса'!F62</f>
        <v>0</v>
      </c>
      <c r="G61" s="384">
        <f>'[10]Данные для переноса'!G62</f>
        <v>0</v>
      </c>
      <c r="H61" s="384">
        <f>'[10]Данные для переноса'!H62</f>
        <v>0</v>
      </c>
      <c r="I61" s="384">
        <f>'[10]Данные для переноса'!I62</f>
        <v>0</v>
      </c>
      <c r="J61" s="384">
        <f>'[10]Данные для переноса'!J62</f>
        <v>0</v>
      </c>
      <c r="K61" s="384">
        <f>'[10]Данные для переноса'!K62</f>
        <v>0</v>
      </c>
      <c r="L61" s="384">
        <f>'[10]Данные для переноса'!L62</f>
        <v>0</v>
      </c>
      <c r="M61" s="384">
        <f>'[10]Данные для переноса'!M62</f>
        <v>0</v>
      </c>
      <c r="N61" s="384">
        <f>'[10]Данные для переноса'!N62</f>
        <v>0</v>
      </c>
      <c r="O61" s="384">
        <f>'[10]Данные для переноса'!O62</f>
        <v>0</v>
      </c>
      <c r="P61" s="384">
        <f>'[10]Данные для переноса'!P62</f>
        <v>0</v>
      </c>
      <c r="Q61" s="384">
        <f>'[10]Данные для переноса'!Q62</f>
        <v>0</v>
      </c>
      <c r="R61" s="384">
        <f>'[10]Данные для переноса'!R62</f>
        <v>0</v>
      </c>
      <c r="S61" s="384">
        <f>'[10]Данные для переноса'!S62</f>
        <v>0</v>
      </c>
      <c r="T61" s="384">
        <f>'[10]Данные для переноса'!T62</f>
        <v>0</v>
      </c>
      <c r="U61" s="384">
        <f>'[10]Данные для переноса'!U62</f>
        <v>0</v>
      </c>
      <c r="V61" s="384">
        <f>'[10]Данные для переноса'!V62</f>
        <v>0</v>
      </c>
      <c r="W61" s="384">
        <f>'[10]Данные для переноса'!W62</f>
        <v>0</v>
      </c>
      <c r="X61" s="384">
        <f>'[10]Данные для переноса'!X62</f>
        <v>0</v>
      </c>
      <c r="Y61" s="384">
        <f>'[10]Данные для переноса'!Y62</f>
        <v>0</v>
      </c>
      <c r="Z61" s="384">
        <f>'[10]Данные для переноса'!Z62</f>
        <v>0</v>
      </c>
      <c r="AA61" s="426"/>
      <c r="AB61" s="426"/>
      <c r="AC61" s="426"/>
      <c r="AD61" s="426"/>
      <c r="AE61" s="426"/>
      <c r="AF61" s="426"/>
      <c r="AG61" s="426"/>
      <c r="AH61" s="426"/>
      <c r="AI61" s="426"/>
      <c r="AJ61" s="426"/>
      <c r="AK61" s="426"/>
      <c r="AL61" s="426"/>
      <c r="AM61" s="426"/>
      <c r="AN61" s="426"/>
      <c r="AO61" s="426"/>
      <c r="AP61" s="426"/>
      <c r="AQ61" s="426"/>
      <c r="AR61" s="426"/>
      <c r="AS61" s="426"/>
      <c r="AT61" s="426"/>
      <c r="AU61" s="426"/>
      <c r="AV61" s="430" t="b">
        <f t="shared" si="124"/>
        <v>1</v>
      </c>
      <c r="AW61" s="430" t="b">
        <f t="shared" si="124"/>
        <v>1</v>
      </c>
      <c r="AX61" s="430" t="b">
        <f t="shared" si="124"/>
        <v>1</v>
      </c>
      <c r="AY61" s="430" t="b">
        <f t="shared" si="124"/>
        <v>1</v>
      </c>
      <c r="AZ61" s="430" t="b">
        <f t="shared" si="124"/>
        <v>1</v>
      </c>
      <c r="BA61" s="430" t="b">
        <f t="shared" si="124"/>
        <v>1</v>
      </c>
      <c r="BB61" s="430" t="b">
        <f t="shared" si="124"/>
        <v>1</v>
      </c>
      <c r="BC61" s="430" t="b">
        <f t="shared" si="124"/>
        <v>1</v>
      </c>
      <c r="BD61" s="430" t="b">
        <f t="shared" si="124"/>
        <v>1</v>
      </c>
      <c r="BE61" s="430" t="b">
        <f t="shared" si="124"/>
        <v>1</v>
      </c>
      <c r="BF61" s="430" t="b">
        <f t="shared" si="124"/>
        <v>1</v>
      </c>
      <c r="BG61" s="430" t="b">
        <f t="shared" si="122"/>
        <v>1</v>
      </c>
      <c r="BH61" s="430" t="b">
        <f t="shared" si="122"/>
        <v>1</v>
      </c>
      <c r="BI61" s="430" t="b">
        <f t="shared" si="122"/>
        <v>1</v>
      </c>
      <c r="BJ61" s="430" t="b">
        <f t="shared" si="122"/>
        <v>1</v>
      </c>
      <c r="BK61" s="430" t="b">
        <f t="shared" si="122"/>
        <v>1</v>
      </c>
      <c r="BL61" s="430" t="b">
        <f t="shared" si="122"/>
        <v>1</v>
      </c>
      <c r="BM61" s="430" t="b">
        <f t="shared" si="122"/>
        <v>1</v>
      </c>
      <c r="BN61" s="430" t="b">
        <f t="shared" si="122"/>
        <v>1</v>
      </c>
      <c r="BO61" s="430" t="b">
        <f t="shared" si="122"/>
        <v>1</v>
      </c>
      <c r="BP61" s="430" t="b">
        <f t="shared" si="122"/>
        <v>1</v>
      </c>
      <c r="BQ61" s="244">
        <f t="shared" si="131"/>
        <v>0</v>
      </c>
      <c r="BR61" s="247">
        <f>'[10]Данные для переноса'!AB62</f>
        <v>0</v>
      </c>
      <c r="BS61" s="247">
        <f>'[10]Данные для переноса'!AC62</f>
        <v>0</v>
      </c>
      <c r="BT61" s="247">
        <f>'[10]Данные для переноса'!AD62</f>
        <v>0</v>
      </c>
      <c r="BU61" s="247">
        <f>'[10]Данные для переноса'!AE62</f>
        <v>0</v>
      </c>
      <c r="BV61" s="247">
        <f>'[10]Данные для переноса'!AF62</f>
        <v>0</v>
      </c>
      <c r="BW61" s="247">
        <f>'[10]Данные для переноса'!AG62</f>
        <v>0</v>
      </c>
      <c r="BX61" s="247">
        <f>'[10]Данные для переноса'!AH62</f>
        <v>0</v>
      </c>
      <c r="BY61" s="247">
        <f>'[10]Данные для переноса'!AI62</f>
        <v>0</v>
      </c>
      <c r="BZ61" s="247">
        <f>'[10]Данные для переноса'!AJ62</f>
        <v>0</v>
      </c>
      <c r="CA61" s="247">
        <f>'[10]Данные для переноса'!AK62</f>
        <v>0</v>
      </c>
      <c r="CB61" s="247">
        <f>'[10]Данные для переноса'!AL62</f>
        <v>0</v>
      </c>
      <c r="CC61" s="247">
        <f>'[10]Данные для переноса'!AM62</f>
        <v>0</v>
      </c>
      <c r="CD61" s="247">
        <f>'[10]Данные для переноса'!AN62</f>
        <v>0</v>
      </c>
      <c r="CE61" s="247">
        <f>'[10]Данные для переноса'!AO62</f>
        <v>0</v>
      </c>
      <c r="CF61" s="247">
        <f>'[10]Данные для переноса'!AP62</f>
        <v>0</v>
      </c>
      <c r="CG61" s="247">
        <f>'[10]Данные для переноса'!AQ62</f>
        <v>0</v>
      </c>
      <c r="CH61" s="247">
        <f>'[10]Данные для переноса'!AR62</f>
        <v>0</v>
      </c>
      <c r="CI61" s="247">
        <f>'[10]Данные для переноса'!AS62</f>
        <v>0</v>
      </c>
      <c r="CJ61" s="247">
        <f>'[10]Данные для переноса'!AT62</f>
        <v>0</v>
      </c>
      <c r="CK61" s="247">
        <f>'[10]Данные для переноса'!AU62</f>
        <v>0</v>
      </c>
      <c r="CL61" s="247">
        <f>'[10]Данные для переноса'!AV62</f>
        <v>0</v>
      </c>
      <c r="CM61" s="426"/>
      <c r="CN61" s="426"/>
      <c r="CO61" s="426"/>
      <c r="CP61" s="426"/>
      <c r="CQ61" s="426"/>
      <c r="CR61" s="426"/>
      <c r="CS61" s="426"/>
      <c r="CT61" s="426"/>
      <c r="CU61" s="426"/>
      <c r="CV61" s="426"/>
      <c r="CW61" s="426"/>
      <c r="CX61" s="426"/>
      <c r="CY61" s="426"/>
      <c r="CZ61" s="426"/>
      <c r="DA61" s="426"/>
      <c r="DB61" s="426"/>
      <c r="DC61" s="426"/>
      <c r="DD61" s="426"/>
      <c r="DE61" s="426"/>
      <c r="DF61" s="426"/>
      <c r="DG61" s="426"/>
      <c r="DH61" s="430" t="b">
        <f t="shared" si="123"/>
        <v>1</v>
      </c>
      <c r="DI61" s="430" t="b">
        <f t="shared" si="123"/>
        <v>1</v>
      </c>
      <c r="DJ61" s="430" t="b">
        <f t="shared" si="123"/>
        <v>1</v>
      </c>
      <c r="DK61" s="430" t="b">
        <f t="shared" si="123"/>
        <v>1</v>
      </c>
      <c r="DL61" s="430" t="b">
        <f t="shared" si="123"/>
        <v>1</v>
      </c>
      <c r="DM61" s="430" t="b">
        <f t="shared" si="123"/>
        <v>1</v>
      </c>
      <c r="DN61" s="430" t="b">
        <f t="shared" si="123"/>
        <v>1</v>
      </c>
      <c r="DO61" s="430" t="b">
        <f t="shared" si="123"/>
        <v>1</v>
      </c>
      <c r="DP61" s="430" t="b">
        <f t="shared" si="123"/>
        <v>1</v>
      </c>
      <c r="DQ61" s="430" t="b">
        <f t="shared" si="123"/>
        <v>1</v>
      </c>
      <c r="DR61" s="430" t="b">
        <f t="shared" si="123"/>
        <v>1</v>
      </c>
      <c r="DS61" s="430" t="b">
        <f t="shared" si="125"/>
        <v>1</v>
      </c>
      <c r="DT61" s="430" t="b">
        <f t="shared" si="125"/>
        <v>1</v>
      </c>
      <c r="DU61" s="430" t="b">
        <f t="shared" si="125"/>
        <v>1</v>
      </c>
      <c r="DV61" s="430" t="b">
        <f t="shared" si="125"/>
        <v>1</v>
      </c>
      <c r="DW61" s="430" t="b">
        <f t="shared" si="125"/>
        <v>1</v>
      </c>
      <c r="DX61" s="430" t="b">
        <f t="shared" si="125"/>
        <v>1</v>
      </c>
      <c r="DY61" s="430" t="b">
        <f t="shared" si="125"/>
        <v>1</v>
      </c>
      <c r="DZ61" s="430" t="b">
        <f t="shared" si="125"/>
        <v>1</v>
      </c>
      <c r="EA61" s="430" t="b">
        <f t="shared" si="125"/>
        <v>1</v>
      </c>
      <c r="EB61" s="430" t="b">
        <f t="shared" si="125"/>
        <v>1</v>
      </c>
      <c r="EC61" s="244">
        <f t="shared" si="132"/>
        <v>0</v>
      </c>
      <c r="ED61" s="223">
        <f t="shared" si="97"/>
        <v>0</v>
      </c>
      <c r="EE61" s="223">
        <f t="shared" si="98"/>
        <v>0</v>
      </c>
      <c r="EF61" s="223">
        <f t="shared" si="99"/>
        <v>0</v>
      </c>
      <c r="EG61" s="223">
        <f t="shared" si="100"/>
        <v>0</v>
      </c>
      <c r="EH61" s="223">
        <f t="shared" si="101"/>
        <v>0</v>
      </c>
      <c r="EI61" s="223">
        <f t="shared" si="102"/>
        <v>0</v>
      </c>
      <c r="EJ61" s="223">
        <f t="shared" si="103"/>
        <v>0</v>
      </c>
      <c r="EK61" s="223">
        <f t="shared" si="104"/>
        <v>0</v>
      </c>
      <c r="EL61" s="223">
        <f t="shared" si="105"/>
        <v>0</v>
      </c>
      <c r="EM61" s="223">
        <f t="shared" si="106"/>
        <v>0</v>
      </c>
      <c r="EN61" s="223">
        <f t="shared" si="107"/>
        <v>0</v>
      </c>
      <c r="EO61" s="223">
        <f t="shared" si="108"/>
        <v>0</v>
      </c>
      <c r="EP61" s="223">
        <f t="shared" si="109"/>
        <v>0</v>
      </c>
      <c r="EQ61" s="223">
        <f>CE61-S61</f>
        <v>0</v>
      </c>
      <c r="ER61" s="223">
        <f>CF61-T61</f>
        <v>0</v>
      </c>
      <c r="ES61" s="223">
        <f>CG61-U61</f>
        <v>0</v>
      </c>
      <c r="ET61" s="223">
        <f>CH61-V61</f>
        <v>0</v>
      </c>
      <c r="EU61" s="223">
        <f>CI61-W61</f>
        <v>0</v>
      </c>
      <c r="EV61" s="223">
        <f>CJ61-X61</f>
        <v>0</v>
      </c>
      <c r="EW61" s="223">
        <f>CK61-Y61</f>
        <v>0</v>
      </c>
      <c r="EX61" s="223">
        <f>CL61-Z61</f>
        <v>0</v>
      </c>
      <c r="EY61" s="244">
        <f t="shared" si="133"/>
        <v>0</v>
      </c>
    </row>
    <row r="62" spans="1:155" x14ac:dyDescent="0.35">
      <c r="C62" s="269"/>
      <c r="D62" s="272" t="s">
        <v>210</v>
      </c>
      <c r="E62" s="243" t="s">
        <v>10</v>
      </c>
      <c r="F62" s="384">
        <f>'[10]Данные для переноса'!F63</f>
        <v>116339.85767647029</v>
      </c>
      <c r="G62" s="384">
        <f>'[10]Данные для переноса'!G63</f>
        <v>109330.07709616136</v>
      </c>
      <c r="H62" s="384">
        <f>'[10]Данные для переноса'!H63</f>
        <v>104057.32813292653</v>
      </c>
      <c r="I62" s="384">
        <f>'[10]Данные для переноса'!I63</f>
        <v>137242.73800000001</v>
      </c>
      <c r="J62" s="384">
        <f>'[10]Данные для переноса'!J63</f>
        <v>137242.73800000001</v>
      </c>
      <c r="K62" s="384">
        <f>'[10]Данные для переноса'!K63</f>
        <v>137242.73800000001</v>
      </c>
      <c r="L62" s="384">
        <f>'[10]Данные для переноса'!L63</f>
        <v>137242.73800000001</v>
      </c>
      <c r="M62" s="384">
        <f>'[10]Данные для переноса'!M63</f>
        <v>137242.73800000001</v>
      </c>
      <c r="N62" s="384">
        <f>'[10]Данные для переноса'!N63</f>
        <v>137242.73800000001</v>
      </c>
      <c r="O62" s="384">
        <f>'[10]Данные для переноса'!O63</f>
        <v>137242.73800000001</v>
      </c>
      <c r="P62" s="384">
        <f>'[10]Данные для переноса'!P63</f>
        <v>137242.73800000001</v>
      </c>
      <c r="Q62" s="384">
        <f>'[10]Данные для переноса'!Q63</f>
        <v>137242.73800000001</v>
      </c>
      <c r="R62" s="384">
        <f>'[10]Данные для переноса'!R63</f>
        <v>137242.73800000001</v>
      </c>
      <c r="S62" s="384">
        <f>'[10]Данные для переноса'!S63</f>
        <v>137242.73800000001</v>
      </c>
      <c r="T62" s="384">
        <f>'[10]Данные для переноса'!T63</f>
        <v>137242.73800000001</v>
      </c>
      <c r="U62" s="384">
        <f>'[10]Данные для переноса'!U63</f>
        <v>137242.73800000001</v>
      </c>
      <c r="V62" s="384">
        <f>'[10]Данные для переноса'!V63</f>
        <v>137242.73800000001</v>
      </c>
      <c r="W62" s="384">
        <f>'[10]Данные для переноса'!W63</f>
        <v>137242.73800000001</v>
      </c>
      <c r="X62" s="384">
        <f>'[10]Данные для переноса'!X63</f>
        <v>137242.73800000001</v>
      </c>
      <c r="Y62" s="384">
        <f>'[10]Данные для переноса'!Y63</f>
        <v>137242.73800000001</v>
      </c>
      <c r="Z62" s="384">
        <f>'[10]Данные для переноса'!Z63</f>
        <v>137242.73800000001</v>
      </c>
      <c r="AA62" s="426">
        <v>116339.85767647029</v>
      </c>
      <c r="AB62" s="426">
        <v>109330.07709616136</v>
      </c>
      <c r="AC62" s="426">
        <v>104057.32813292653</v>
      </c>
      <c r="AD62" s="426">
        <v>137242.73800000001</v>
      </c>
      <c r="AE62" s="426">
        <v>137242.73800000001</v>
      </c>
      <c r="AF62" s="426">
        <v>137242.73800000001</v>
      </c>
      <c r="AG62" s="426">
        <v>137242.73800000001</v>
      </c>
      <c r="AH62" s="426">
        <v>137242.73800000001</v>
      </c>
      <c r="AI62" s="426">
        <v>137242.73800000001</v>
      </c>
      <c r="AJ62" s="426">
        <v>137242.73800000001</v>
      </c>
      <c r="AK62" s="426">
        <v>137242.73800000001</v>
      </c>
      <c r="AL62" s="426">
        <v>137242.73800000001</v>
      </c>
      <c r="AM62" s="426">
        <v>137242.73800000001</v>
      </c>
      <c r="AN62" s="426">
        <v>137242.73800000001</v>
      </c>
      <c r="AO62" s="426">
        <v>137242.73800000001</v>
      </c>
      <c r="AP62" s="426">
        <v>137242.73800000001</v>
      </c>
      <c r="AQ62" s="426">
        <v>137242.73800000001</v>
      </c>
      <c r="AR62" s="426">
        <v>137242.73800000001</v>
      </c>
      <c r="AS62" s="426">
        <v>137242.73800000001</v>
      </c>
      <c r="AT62" s="426">
        <v>137242.73800000001</v>
      </c>
      <c r="AU62" s="426">
        <v>137242.73800000001</v>
      </c>
      <c r="AV62" s="430" t="b">
        <f t="shared" si="124"/>
        <v>1</v>
      </c>
      <c r="AW62" s="430" t="b">
        <f t="shared" si="124"/>
        <v>1</v>
      </c>
      <c r="AX62" s="430" t="b">
        <f t="shared" si="124"/>
        <v>1</v>
      </c>
      <c r="AY62" s="430" t="b">
        <f t="shared" si="124"/>
        <v>1</v>
      </c>
      <c r="AZ62" s="430" t="b">
        <f t="shared" si="124"/>
        <v>1</v>
      </c>
      <c r="BA62" s="430" t="b">
        <f t="shared" si="124"/>
        <v>1</v>
      </c>
      <c r="BB62" s="430" t="b">
        <f t="shared" si="124"/>
        <v>1</v>
      </c>
      <c r="BC62" s="430" t="b">
        <f t="shared" si="124"/>
        <v>1</v>
      </c>
      <c r="BD62" s="430" t="b">
        <f t="shared" si="124"/>
        <v>1</v>
      </c>
      <c r="BE62" s="430" t="b">
        <f t="shared" si="124"/>
        <v>1</v>
      </c>
      <c r="BF62" s="430" t="b">
        <f t="shared" si="124"/>
        <v>1</v>
      </c>
      <c r="BG62" s="430" t="b">
        <f t="shared" si="122"/>
        <v>1</v>
      </c>
      <c r="BH62" s="430" t="b">
        <f t="shared" si="122"/>
        <v>1</v>
      </c>
      <c r="BI62" s="430" t="b">
        <f t="shared" si="122"/>
        <v>1</v>
      </c>
      <c r="BJ62" s="430" t="b">
        <f t="shared" si="122"/>
        <v>1</v>
      </c>
      <c r="BK62" s="430" t="b">
        <f t="shared" si="122"/>
        <v>1</v>
      </c>
      <c r="BL62" s="430" t="b">
        <f t="shared" si="122"/>
        <v>1</v>
      </c>
      <c r="BM62" s="430" t="b">
        <f t="shared" si="122"/>
        <v>1</v>
      </c>
      <c r="BN62" s="430" t="b">
        <f t="shared" si="122"/>
        <v>1</v>
      </c>
      <c r="BO62" s="430" t="b">
        <f t="shared" si="122"/>
        <v>1</v>
      </c>
      <c r="BP62" s="430" t="b">
        <f t="shared" si="122"/>
        <v>1</v>
      </c>
      <c r="BQ62" s="244">
        <f t="shared" si="131"/>
        <v>2333126.5459999992</v>
      </c>
      <c r="BR62" s="247">
        <f>'[10]Данные для переноса'!AB63</f>
        <v>116339.85767647029</v>
      </c>
      <c r="BS62" s="247">
        <f>'[10]Данные для переноса'!AC63</f>
        <v>109330.07709616136</v>
      </c>
      <c r="BT62" s="247">
        <f>'[10]Данные для переноса'!AD63</f>
        <v>104057.32813292653</v>
      </c>
      <c r="BU62" s="247">
        <f>'[10]Данные для переноса'!AE63</f>
        <v>135414.74199999997</v>
      </c>
      <c r="BV62" s="247">
        <f>'[10]Данные для переноса'!AF63</f>
        <v>133399.34400000001</v>
      </c>
      <c r="BW62" s="247">
        <f>'[10]Данные для переноса'!AG63</f>
        <v>134207.84400000001</v>
      </c>
      <c r="BX62" s="247">
        <f>'[10]Данные для переноса'!AH63</f>
        <v>134207.84400000001</v>
      </c>
      <c r="BY62" s="247">
        <f>'[10]Данные для переноса'!AI63</f>
        <v>134207.84400000001</v>
      </c>
      <c r="BZ62" s="247">
        <f>'[10]Данные для переноса'!AJ63</f>
        <v>134207.84400000001</v>
      </c>
      <c r="CA62" s="247">
        <f>'[10]Данные для переноса'!AK63</f>
        <v>134207.84400000001</v>
      </c>
      <c r="CB62" s="247">
        <f>'[10]Данные для переноса'!AL63</f>
        <v>134207.84400000001</v>
      </c>
      <c r="CC62" s="247">
        <f>'[10]Данные для переноса'!AM63</f>
        <v>134207.84400000001</v>
      </c>
      <c r="CD62" s="247">
        <f>'[10]Данные для переноса'!AN63</f>
        <v>134207.84400000001</v>
      </c>
      <c r="CE62" s="247">
        <f>'[10]Данные для переноса'!AO63</f>
        <v>134207.84400000001</v>
      </c>
      <c r="CF62" s="247">
        <f>'[10]Данные для переноса'!AP63</f>
        <v>134207.84400000001</v>
      </c>
      <c r="CG62" s="247">
        <f>'[10]Данные для переноса'!AQ63</f>
        <v>134207.84400000001</v>
      </c>
      <c r="CH62" s="247">
        <f>'[10]Данные для переноса'!AR63</f>
        <v>134207.84400000001</v>
      </c>
      <c r="CI62" s="247">
        <f>'[10]Данные для переноса'!AS63</f>
        <v>134207.84400000001</v>
      </c>
      <c r="CJ62" s="247">
        <f>'[10]Данные для переноса'!AT63</f>
        <v>134207.84400000001</v>
      </c>
      <c r="CK62" s="247">
        <f>'[10]Данные для переноса'!AU63</f>
        <v>134207.84400000001</v>
      </c>
      <c r="CL62" s="247">
        <f>'[10]Данные для переноса'!AV63</f>
        <v>134207.84400000001</v>
      </c>
      <c r="CM62" s="426">
        <v>116339.85767647029</v>
      </c>
      <c r="CN62" s="426">
        <v>109330.07709616136</v>
      </c>
      <c r="CO62" s="426">
        <v>104057.32813292653</v>
      </c>
      <c r="CP62" s="426">
        <v>135414.74199999997</v>
      </c>
      <c r="CQ62" s="426">
        <v>133399.34400000001</v>
      </c>
      <c r="CR62" s="426">
        <v>134207.84400000001</v>
      </c>
      <c r="CS62" s="426">
        <v>134207.84400000001</v>
      </c>
      <c r="CT62" s="426">
        <v>134207.84400000001</v>
      </c>
      <c r="CU62" s="426">
        <v>134207.84400000001</v>
      </c>
      <c r="CV62" s="426">
        <v>134207.84400000001</v>
      </c>
      <c r="CW62" s="426">
        <v>134207.84400000001</v>
      </c>
      <c r="CX62" s="426">
        <v>134207.84400000001</v>
      </c>
      <c r="CY62" s="426">
        <v>134207.84400000001</v>
      </c>
      <c r="CZ62" s="426">
        <v>134207.84400000001</v>
      </c>
      <c r="DA62" s="426">
        <v>134207.84400000001</v>
      </c>
      <c r="DB62" s="426">
        <v>134207.84400000001</v>
      </c>
      <c r="DC62" s="426">
        <v>134207.84400000001</v>
      </c>
      <c r="DD62" s="426">
        <v>134207.84400000001</v>
      </c>
      <c r="DE62" s="426">
        <v>134207.84400000001</v>
      </c>
      <c r="DF62" s="426">
        <v>134207.84400000001</v>
      </c>
      <c r="DG62" s="426">
        <v>134207.84400000001</v>
      </c>
      <c r="DH62" s="430" t="b">
        <f t="shared" si="123"/>
        <v>1</v>
      </c>
      <c r="DI62" s="430" t="b">
        <f t="shared" si="123"/>
        <v>1</v>
      </c>
      <c r="DJ62" s="430" t="b">
        <f t="shared" si="123"/>
        <v>1</v>
      </c>
      <c r="DK62" s="430" t="b">
        <f t="shared" si="123"/>
        <v>1</v>
      </c>
      <c r="DL62" s="430" t="b">
        <f t="shared" si="123"/>
        <v>1</v>
      </c>
      <c r="DM62" s="430" t="b">
        <f t="shared" si="123"/>
        <v>1</v>
      </c>
      <c r="DN62" s="430" t="b">
        <f t="shared" si="123"/>
        <v>1</v>
      </c>
      <c r="DO62" s="430" t="b">
        <f t="shared" si="123"/>
        <v>1</v>
      </c>
      <c r="DP62" s="430" t="b">
        <f t="shared" si="123"/>
        <v>1</v>
      </c>
      <c r="DQ62" s="430" t="b">
        <f t="shared" si="123"/>
        <v>1</v>
      </c>
      <c r="DR62" s="430" t="b">
        <f t="shared" si="123"/>
        <v>1</v>
      </c>
      <c r="DS62" s="430" t="b">
        <f t="shared" si="125"/>
        <v>1</v>
      </c>
      <c r="DT62" s="430" t="b">
        <f t="shared" si="125"/>
        <v>1</v>
      </c>
      <c r="DU62" s="430" t="b">
        <f t="shared" si="125"/>
        <v>1</v>
      </c>
      <c r="DV62" s="430" t="b">
        <f t="shared" si="125"/>
        <v>1</v>
      </c>
      <c r="DW62" s="430" t="b">
        <f t="shared" si="125"/>
        <v>1</v>
      </c>
      <c r="DX62" s="430" t="b">
        <f t="shared" si="125"/>
        <v>1</v>
      </c>
      <c r="DY62" s="430" t="b">
        <f t="shared" si="125"/>
        <v>1</v>
      </c>
      <c r="DZ62" s="430" t="b">
        <f t="shared" si="125"/>
        <v>1</v>
      </c>
      <c r="EA62" s="430" t="b">
        <f t="shared" si="125"/>
        <v>1</v>
      </c>
      <c r="EB62" s="430" t="b">
        <f t="shared" si="125"/>
        <v>1</v>
      </c>
      <c r="EC62" s="244">
        <f t="shared" si="132"/>
        <v>2280724.8480000002</v>
      </c>
      <c r="ED62" s="223">
        <f t="shared" si="97"/>
        <v>0</v>
      </c>
      <c r="EE62" s="223">
        <f t="shared" si="98"/>
        <v>0</v>
      </c>
      <c r="EF62" s="223">
        <f t="shared" si="99"/>
        <v>0</v>
      </c>
      <c r="EG62" s="223">
        <f t="shared" si="100"/>
        <v>-1827.9960000000428</v>
      </c>
      <c r="EH62" s="223">
        <f t="shared" si="101"/>
        <v>-3843.3940000000002</v>
      </c>
      <c r="EI62" s="223">
        <f t="shared" si="102"/>
        <v>-3034.8940000000002</v>
      </c>
      <c r="EJ62" s="223">
        <f t="shared" si="103"/>
        <v>-3034.8940000000002</v>
      </c>
      <c r="EK62" s="223">
        <f t="shared" si="104"/>
        <v>-3034.8940000000002</v>
      </c>
      <c r="EL62" s="223">
        <f t="shared" si="105"/>
        <v>-3034.8940000000002</v>
      </c>
      <c r="EM62" s="223">
        <f t="shared" si="106"/>
        <v>-3034.8940000000002</v>
      </c>
      <c r="EN62" s="223">
        <f t="shared" si="107"/>
        <v>-3034.8940000000002</v>
      </c>
      <c r="EO62" s="223">
        <f t="shared" si="108"/>
        <v>-3034.8940000000002</v>
      </c>
      <c r="EP62" s="223">
        <f t="shared" si="109"/>
        <v>-3034.8940000000002</v>
      </c>
      <c r="EQ62" s="223">
        <f>CE62-S62</f>
        <v>-3034.8940000000002</v>
      </c>
      <c r="ER62" s="223">
        <f>CF62-T62</f>
        <v>-3034.8940000000002</v>
      </c>
      <c r="ES62" s="223">
        <f>CG62-U62</f>
        <v>-3034.8940000000002</v>
      </c>
      <c r="ET62" s="223">
        <f>CH62-V62</f>
        <v>-3034.8940000000002</v>
      </c>
      <c r="EU62" s="223">
        <f>CI62-W62</f>
        <v>-3034.8940000000002</v>
      </c>
      <c r="EV62" s="223">
        <f>CJ62-X62</f>
        <v>-3034.8940000000002</v>
      </c>
      <c r="EW62" s="223">
        <f>CK62-Y62</f>
        <v>-3034.8940000000002</v>
      </c>
      <c r="EX62" s="223">
        <f>CL62-Z62</f>
        <v>-3034.8940000000002</v>
      </c>
      <c r="EY62" s="244">
        <f t="shared" si="133"/>
        <v>-52401.698000000004</v>
      </c>
    </row>
    <row r="63" spans="1:155" x14ac:dyDescent="0.35">
      <c r="C63" s="269">
        <f>C59+1</f>
        <v>42</v>
      </c>
      <c r="D63" s="270" t="s">
        <v>48</v>
      </c>
      <c r="E63" s="243" t="s">
        <v>10</v>
      </c>
      <c r="F63" s="384">
        <f>'[10]Данные для переноса'!F64</f>
        <v>46159.790814072439</v>
      </c>
      <c r="G63" s="384">
        <f>'[10]Данные для переноса'!G64</f>
        <v>45073.411414308262</v>
      </c>
      <c r="H63" s="384">
        <f>'[10]Данные для переноса'!H64</f>
        <v>43159.023394352371</v>
      </c>
      <c r="I63" s="384">
        <f>'[10]Данные для переноса'!I64</f>
        <v>54048.764000000003</v>
      </c>
      <c r="J63" s="384">
        <f>'[10]Данные для переноса'!J64</f>
        <v>53196.462</v>
      </c>
      <c r="K63" s="384">
        <f>'[10]Данные для переноса'!K64</f>
        <v>52346.932000000001</v>
      </c>
      <c r="L63" s="384">
        <f>'[10]Данные для переноса'!L64</f>
        <v>51497.402000000002</v>
      </c>
      <c r="M63" s="384">
        <f>'[10]Данные для переноса'!M64</f>
        <v>50647.872000000003</v>
      </c>
      <c r="N63" s="384">
        <f>'[10]Данные для переноса'!N64</f>
        <v>49798.342000000004</v>
      </c>
      <c r="O63" s="384">
        <f>'[10]Данные для переноса'!O64</f>
        <v>48948.811999999998</v>
      </c>
      <c r="P63" s="384">
        <f>'[10]Данные для переноса'!P64</f>
        <v>48099.282000000007</v>
      </c>
      <c r="Q63" s="384">
        <f>'[10]Данные для переноса'!Q64</f>
        <v>47249.751999999986</v>
      </c>
      <c r="R63" s="384">
        <f>'[10]Данные для переноса'!R64</f>
        <v>46400.221999999994</v>
      </c>
      <c r="S63" s="384">
        <f>'[10]Данные для переноса'!S64</f>
        <v>45566.036901216525</v>
      </c>
      <c r="T63" s="384">
        <f>'[10]Данные для переноса'!T64</f>
        <v>44746.917872592843</v>
      </c>
      <c r="U63" s="384">
        <f>'[10]Данные для переноса'!U64</f>
        <v>43942.591188712526</v>
      </c>
      <c r="V63" s="384">
        <f>'[10]Данные для переноса'!V64</f>
        <v>43152.788135392737</v>
      </c>
      <c r="W63" s="384">
        <f>'[10]Данные для переноса'!W64</f>
        <v>42377.244917044678</v>
      </c>
      <c r="X63" s="384">
        <f>'[10]Данные для переноса'!X64</f>
        <v>41615.702565767715</v>
      </c>
      <c r="Y63" s="384">
        <f>'[10]Данные для переноса'!Y64</f>
        <v>40867.90685214402</v>
      </c>
      <c r="Z63" s="384">
        <f>'[10]Данные для переноса'!Z64</f>
        <v>40133.608197701724</v>
      </c>
      <c r="AA63" s="426">
        <v>46159.790814072439</v>
      </c>
      <c r="AB63" s="426">
        <v>45073.411414308262</v>
      </c>
      <c r="AC63" s="426">
        <v>43159.023394352371</v>
      </c>
      <c r="AD63" s="426">
        <v>54048.764000000003</v>
      </c>
      <c r="AE63" s="426">
        <v>53196.462</v>
      </c>
      <c r="AF63" s="426">
        <v>52346.932000000001</v>
      </c>
      <c r="AG63" s="426">
        <v>51497.402000000002</v>
      </c>
      <c r="AH63" s="426">
        <v>50647.872000000003</v>
      </c>
      <c r="AI63" s="426">
        <v>49798.342000000004</v>
      </c>
      <c r="AJ63" s="426">
        <v>48948.811999999998</v>
      </c>
      <c r="AK63" s="426">
        <v>48099.282000000007</v>
      </c>
      <c r="AL63" s="426">
        <v>47249.751999999986</v>
      </c>
      <c r="AM63" s="426">
        <v>46400.221999999994</v>
      </c>
      <c r="AN63" s="426">
        <v>45566.036901216525</v>
      </c>
      <c r="AO63" s="426">
        <v>44746.917872592843</v>
      </c>
      <c r="AP63" s="426">
        <v>43942.591188712526</v>
      </c>
      <c r="AQ63" s="426">
        <v>43152.788135392737</v>
      </c>
      <c r="AR63" s="426">
        <v>42377.244917044678</v>
      </c>
      <c r="AS63" s="426">
        <v>41615.702565767715</v>
      </c>
      <c r="AT63" s="426">
        <v>40867.90685214402</v>
      </c>
      <c r="AU63" s="426">
        <v>40133.608197701724</v>
      </c>
      <c r="AV63" s="430" t="b">
        <f t="shared" si="124"/>
        <v>1</v>
      </c>
      <c r="AW63" s="430" t="b">
        <f t="shared" si="124"/>
        <v>1</v>
      </c>
      <c r="AX63" s="430" t="b">
        <f t="shared" si="124"/>
        <v>1</v>
      </c>
      <c r="AY63" s="430" t="b">
        <f t="shared" si="124"/>
        <v>1</v>
      </c>
      <c r="AZ63" s="430" t="b">
        <f t="shared" si="124"/>
        <v>1</v>
      </c>
      <c r="BA63" s="430" t="b">
        <f t="shared" si="124"/>
        <v>1</v>
      </c>
      <c r="BB63" s="430" t="b">
        <f t="shared" si="124"/>
        <v>1</v>
      </c>
      <c r="BC63" s="430" t="b">
        <f t="shared" si="124"/>
        <v>1</v>
      </c>
      <c r="BD63" s="430" t="b">
        <f t="shared" si="124"/>
        <v>1</v>
      </c>
      <c r="BE63" s="430" t="b">
        <f t="shared" si="124"/>
        <v>1</v>
      </c>
      <c r="BF63" s="430" t="b">
        <f t="shared" si="124"/>
        <v>1</v>
      </c>
      <c r="BG63" s="430" t="b">
        <f t="shared" si="122"/>
        <v>1</v>
      </c>
      <c r="BH63" s="430" t="b">
        <f t="shared" si="122"/>
        <v>1</v>
      </c>
      <c r="BI63" s="430" t="b">
        <f t="shared" si="122"/>
        <v>1</v>
      </c>
      <c r="BJ63" s="430" t="b">
        <f t="shared" si="122"/>
        <v>1</v>
      </c>
      <c r="BK63" s="430" t="b">
        <f t="shared" si="122"/>
        <v>1</v>
      </c>
      <c r="BL63" s="430" t="b">
        <f t="shared" si="122"/>
        <v>1</v>
      </c>
      <c r="BM63" s="430" t="b">
        <f t="shared" si="122"/>
        <v>1</v>
      </c>
      <c r="BN63" s="430" t="b">
        <f t="shared" si="122"/>
        <v>1</v>
      </c>
      <c r="BO63" s="430" t="b">
        <f t="shared" si="122"/>
        <v>1</v>
      </c>
      <c r="BP63" s="430" t="b">
        <f t="shared" si="122"/>
        <v>1</v>
      </c>
      <c r="BQ63" s="244">
        <f t="shared" si="131"/>
        <v>790587.87463057274</v>
      </c>
      <c r="BR63" s="247">
        <f>'[10]Данные для переноса'!AB64</f>
        <v>46159.790814072439</v>
      </c>
      <c r="BS63" s="247">
        <f>'[10]Данные для переноса'!AC64</f>
        <v>45073.411414308262</v>
      </c>
      <c r="BT63" s="247">
        <f>'[10]Данные для переноса'!AD64</f>
        <v>43159.023394352371</v>
      </c>
      <c r="BU63" s="247">
        <f>'[10]Данные для переноса'!AE64</f>
        <v>54048.764000000003</v>
      </c>
      <c r="BV63" s="247">
        <f>'[10]Данные для переноса'!AF64</f>
        <v>53196.462</v>
      </c>
      <c r="BW63" s="247">
        <f>'[10]Данные для переноса'!AG64</f>
        <v>52346.932000000001</v>
      </c>
      <c r="BX63" s="247">
        <f>'[10]Данные для переноса'!AH64</f>
        <v>51497.402000000002</v>
      </c>
      <c r="BY63" s="247">
        <f>'[10]Данные для переноса'!AI64</f>
        <v>50647.872000000003</v>
      </c>
      <c r="BZ63" s="247">
        <f>'[10]Данные для переноса'!AJ64</f>
        <v>49798.342000000004</v>
      </c>
      <c r="CA63" s="247">
        <f>'[10]Данные для переноса'!AK64</f>
        <v>48948.811999999998</v>
      </c>
      <c r="CB63" s="247">
        <f>'[10]Данные для переноса'!AL64</f>
        <v>48099.282000000007</v>
      </c>
      <c r="CC63" s="247">
        <f>'[10]Данные для переноса'!AM64</f>
        <v>47249.751999999986</v>
      </c>
      <c r="CD63" s="247">
        <f>'[10]Данные для переноса'!AN64</f>
        <v>46400.221999999994</v>
      </c>
      <c r="CE63" s="247">
        <f>'[10]Данные для переноса'!AO64</f>
        <v>45566.036901216525</v>
      </c>
      <c r="CF63" s="247">
        <f>'[10]Данные для переноса'!AP64</f>
        <v>44746.917872592843</v>
      </c>
      <c r="CG63" s="247">
        <f>'[10]Данные для переноса'!AQ64</f>
        <v>43942.591188712526</v>
      </c>
      <c r="CH63" s="247">
        <f>'[10]Данные для переноса'!AR64</f>
        <v>43152.788135392737</v>
      </c>
      <c r="CI63" s="247">
        <f>'[10]Данные для переноса'!AS64</f>
        <v>42377.244917044678</v>
      </c>
      <c r="CJ63" s="247">
        <f>'[10]Данные для переноса'!AT64</f>
        <v>41615.702565767715</v>
      </c>
      <c r="CK63" s="247">
        <f>'[10]Данные для переноса'!AU64</f>
        <v>40867.90685214402</v>
      </c>
      <c r="CL63" s="247">
        <f>'[10]Данные для переноса'!AV64</f>
        <v>40133.608197701724</v>
      </c>
      <c r="CM63" s="426">
        <v>46159.790814072439</v>
      </c>
      <c r="CN63" s="426">
        <v>45073.411414308262</v>
      </c>
      <c r="CO63" s="426">
        <v>43159.023394352371</v>
      </c>
      <c r="CP63" s="426">
        <v>54048.764000000003</v>
      </c>
      <c r="CQ63" s="426">
        <v>53196.462</v>
      </c>
      <c r="CR63" s="426">
        <v>52346.932000000001</v>
      </c>
      <c r="CS63" s="426">
        <v>51497.402000000002</v>
      </c>
      <c r="CT63" s="426">
        <v>50647.872000000003</v>
      </c>
      <c r="CU63" s="426">
        <v>49798.342000000004</v>
      </c>
      <c r="CV63" s="426">
        <v>48948.811999999998</v>
      </c>
      <c r="CW63" s="426">
        <v>48099.282000000007</v>
      </c>
      <c r="CX63" s="426">
        <v>47249.751999999986</v>
      </c>
      <c r="CY63" s="426">
        <v>46400.221999999994</v>
      </c>
      <c r="CZ63" s="426">
        <v>45566.036901216525</v>
      </c>
      <c r="DA63" s="426">
        <v>44746.917872592843</v>
      </c>
      <c r="DB63" s="426">
        <v>43942.591188712526</v>
      </c>
      <c r="DC63" s="426">
        <v>43152.788135392737</v>
      </c>
      <c r="DD63" s="426">
        <v>42377.244917044678</v>
      </c>
      <c r="DE63" s="426">
        <v>41615.702565767715</v>
      </c>
      <c r="DF63" s="426">
        <v>40867.90685214402</v>
      </c>
      <c r="DG63" s="426">
        <v>40133.608197701724</v>
      </c>
      <c r="DH63" s="430" t="b">
        <f t="shared" si="123"/>
        <v>1</v>
      </c>
      <c r="DI63" s="430" t="b">
        <f t="shared" si="123"/>
        <v>1</v>
      </c>
      <c r="DJ63" s="430" t="b">
        <f t="shared" si="123"/>
        <v>1</v>
      </c>
      <c r="DK63" s="430" t="b">
        <f t="shared" si="123"/>
        <v>1</v>
      </c>
      <c r="DL63" s="430" t="b">
        <f t="shared" si="123"/>
        <v>1</v>
      </c>
      <c r="DM63" s="430" t="b">
        <f t="shared" si="123"/>
        <v>1</v>
      </c>
      <c r="DN63" s="430" t="b">
        <f t="shared" si="123"/>
        <v>1</v>
      </c>
      <c r="DO63" s="430" t="b">
        <f t="shared" si="123"/>
        <v>1</v>
      </c>
      <c r="DP63" s="430" t="b">
        <f t="shared" si="123"/>
        <v>1</v>
      </c>
      <c r="DQ63" s="430" t="b">
        <f t="shared" si="123"/>
        <v>1</v>
      </c>
      <c r="DR63" s="430" t="b">
        <f t="shared" si="123"/>
        <v>1</v>
      </c>
      <c r="DS63" s="430" t="b">
        <f t="shared" si="125"/>
        <v>1</v>
      </c>
      <c r="DT63" s="430" t="b">
        <f t="shared" si="125"/>
        <v>1</v>
      </c>
      <c r="DU63" s="430" t="b">
        <f t="shared" si="125"/>
        <v>1</v>
      </c>
      <c r="DV63" s="430" t="b">
        <f t="shared" si="125"/>
        <v>1</v>
      </c>
      <c r="DW63" s="430" t="b">
        <f t="shared" si="125"/>
        <v>1</v>
      </c>
      <c r="DX63" s="430" t="b">
        <f t="shared" si="125"/>
        <v>1</v>
      </c>
      <c r="DY63" s="430" t="b">
        <f t="shared" si="125"/>
        <v>1</v>
      </c>
      <c r="DZ63" s="430" t="b">
        <f t="shared" si="125"/>
        <v>1</v>
      </c>
      <c r="EA63" s="430" t="b">
        <f t="shared" si="125"/>
        <v>1</v>
      </c>
      <c r="EB63" s="430" t="b">
        <f t="shared" si="125"/>
        <v>1</v>
      </c>
      <c r="EC63" s="244">
        <f t="shared" si="132"/>
        <v>790587.87463057274</v>
      </c>
      <c r="ED63" s="223">
        <f t="shared" si="97"/>
        <v>0</v>
      </c>
      <c r="EE63" s="223">
        <f t="shared" si="98"/>
        <v>0</v>
      </c>
      <c r="EF63" s="223">
        <f t="shared" si="99"/>
        <v>0</v>
      </c>
      <c r="EG63" s="223">
        <f t="shared" si="100"/>
        <v>0</v>
      </c>
      <c r="EH63" s="223">
        <f t="shared" si="101"/>
        <v>0</v>
      </c>
      <c r="EI63" s="223">
        <f t="shared" si="102"/>
        <v>0</v>
      </c>
      <c r="EJ63" s="223">
        <f t="shared" si="103"/>
        <v>0</v>
      </c>
      <c r="EK63" s="223">
        <f t="shared" si="104"/>
        <v>0</v>
      </c>
      <c r="EL63" s="223">
        <f t="shared" si="105"/>
        <v>0</v>
      </c>
      <c r="EM63" s="223">
        <f t="shared" si="106"/>
        <v>0</v>
      </c>
      <c r="EN63" s="223">
        <f t="shared" si="107"/>
        <v>0</v>
      </c>
      <c r="EO63" s="223">
        <f t="shared" si="108"/>
        <v>0</v>
      </c>
      <c r="EP63" s="223">
        <f t="shared" si="109"/>
        <v>0</v>
      </c>
      <c r="EQ63" s="223">
        <f>CE63-S63</f>
        <v>0</v>
      </c>
      <c r="ER63" s="223">
        <f>CF63-T63</f>
        <v>0</v>
      </c>
      <c r="ES63" s="223">
        <f>CG63-U63</f>
        <v>0</v>
      </c>
      <c r="ET63" s="223">
        <f>CH63-V63</f>
        <v>0</v>
      </c>
      <c r="EU63" s="223">
        <f>CI63-W63</f>
        <v>0</v>
      </c>
      <c r="EV63" s="223">
        <f>CJ63-X63</f>
        <v>0</v>
      </c>
      <c r="EW63" s="223">
        <f>CK63-Y63</f>
        <v>0</v>
      </c>
      <c r="EX63" s="223">
        <f>CL63-Z63</f>
        <v>0</v>
      </c>
      <c r="EY63" s="244">
        <f t="shared" si="133"/>
        <v>0</v>
      </c>
    </row>
    <row r="64" spans="1:155" ht="26" x14ac:dyDescent="0.35">
      <c r="C64" s="269"/>
      <c r="D64" s="271" t="s">
        <v>208</v>
      </c>
      <c r="E64" s="243" t="s">
        <v>10</v>
      </c>
      <c r="F64" s="384">
        <f>'[10]Данные для переноса'!F65</f>
        <v>0</v>
      </c>
      <c r="G64" s="384">
        <f>'[10]Данные для переноса'!G65</f>
        <v>0</v>
      </c>
      <c r="H64" s="384">
        <f>'[10]Данные для переноса'!H65</f>
        <v>0</v>
      </c>
      <c r="I64" s="384">
        <f>'[10]Данные для переноса'!I65</f>
        <v>0</v>
      </c>
      <c r="J64" s="384">
        <f>'[10]Данные для переноса'!J65</f>
        <v>0</v>
      </c>
      <c r="K64" s="384">
        <f>'[10]Данные для переноса'!K65</f>
        <v>0</v>
      </c>
      <c r="L64" s="384">
        <f>'[10]Данные для переноса'!L65</f>
        <v>0</v>
      </c>
      <c r="M64" s="384">
        <f>'[10]Данные для переноса'!M65</f>
        <v>0</v>
      </c>
      <c r="N64" s="384">
        <f>'[10]Данные для переноса'!N65</f>
        <v>0</v>
      </c>
      <c r="O64" s="384">
        <f>'[10]Данные для переноса'!O65</f>
        <v>0</v>
      </c>
      <c r="P64" s="384">
        <f>'[10]Данные для переноса'!P65</f>
        <v>0</v>
      </c>
      <c r="Q64" s="384">
        <f>'[10]Данные для переноса'!Q65</f>
        <v>0</v>
      </c>
      <c r="R64" s="384">
        <f>'[10]Данные для переноса'!R65</f>
        <v>0</v>
      </c>
      <c r="S64" s="384">
        <f>'[10]Данные для переноса'!S65</f>
        <v>0</v>
      </c>
      <c r="T64" s="384">
        <f>'[10]Данные для переноса'!T65</f>
        <v>0</v>
      </c>
      <c r="U64" s="384">
        <f>'[10]Данные для переноса'!U65</f>
        <v>0</v>
      </c>
      <c r="V64" s="384">
        <f>'[10]Данные для переноса'!V65</f>
        <v>0</v>
      </c>
      <c r="W64" s="384">
        <f>'[10]Данные для переноса'!W65</f>
        <v>0</v>
      </c>
      <c r="X64" s="384">
        <f>'[10]Данные для переноса'!X65</f>
        <v>0</v>
      </c>
      <c r="Y64" s="384">
        <f>'[10]Данные для переноса'!Y65</f>
        <v>0</v>
      </c>
      <c r="Z64" s="384">
        <f>'[10]Данные для переноса'!Z65</f>
        <v>0</v>
      </c>
      <c r="AA64" s="426"/>
      <c r="AB64" s="426"/>
      <c r="AC64" s="426"/>
      <c r="AD64" s="426"/>
      <c r="AE64" s="426"/>
      <c r="AF64" s="426"/>
      <c r="AG64" s="426"/>
      <c r="AH64" s="426"/>
      <c r="AI64" s="426"/>
      <c r="AJ64" s="426"/>
      <c r="AK64" s="426"/>
      <c r="AL64" s="426"/>
      <c r="AM64" s="426"/>
      <c r="AN64" s="426"/>
      <c r="AO64" s="426"/>
      <c r="AP64" s="426"/>
      <c r="AQ64" s="426"/>
      <c r="AR64" s="426"/>
      <c r="AS64" s="426"/>
      <c r="AT64" s="426"/>
      <c r="AU64" s="426"/>
      <c r="AV64" s="430" t="b">
        <f t="shared" si="124"/>
        <v>1</v>
      </c>
      <c r="AW64" s="430" t="b">
        <f t="shared" si="124"/>
        <v>1</v>
      </c>
      <c r="AX64" s="430" t="b">
        <f t="shared" si="124"/>
        <v>1</v>
      </c>
      <c r="AY64" s="430" t="b">
        <f t="shared" si="124"/>
        <v>1</v>
      </c>
      <c r="AZ64" s="430" t="b">
        <f t="shared" si="124"/>
        <v>1</v>
      </c>
      <c r="BA64" s="430" t="b">
        <f t="shared" si="124"/>
        <v>1</v>
      </c>
      <c r="BB64" s="430" t="b">
        <f t="shared" si="124"/>
        <v>1</v>
      </c>
      <c r="BC64" s="430" t="b">
        <f t="shared" si="124"/>
        <v>1</v>
      </c>
      <c r="BD64" s="430" t="b">
        <f t="shared" si="124"/>
        <v>1</v>
      </c>
      <c r="BE64" s="430" t="b">
        <f t="shared" si="124"/>
        <v>1</v>
      </c>
      <c r="BF64" s="430" t="b">
        <f t="shared" si="124"/>
        <v>1</v>
      </c>
      <c r="BG64" s="430" t="b">
        <f t="shared" si="122"/>
        <v>1</v>
      </c>
      <c r="BH64" s="430" t="b">
        <f t="shared" si="122"/>
        <v>1</v>
      </c>
      <c r="BI64" s="430" t="b">
        <f t="shared" si="122"/>
        <v>1</v>
      </c>
      <c r="BJ64" s="430" t="b">
        <f t="shared" si="122"/>
        <v>1</v>
      </c>
      <c r="BK64" s="430" t="b">
        <f t="shared" si="122"/>
        <v>1</v>
      </c>
      <c r="BL64" s="430" t="b">
        <f t="shared" si="122"/>
        <v>1</v>
      </c>
      <c r="BM64" s="430" t="b">
        <f t="shared" si="122"/>
        <v>1</v>
      </c>
      <c r="BN64" s="430" t="b">
        <f t="shared" si="122"/>
        <v>1</v>
      </c>
      <c r="BO64" s="430" t="b">
        <f t="shared" si="122"/>
        <v>1</v>
      </c>
      <c r="BP64" s="430" t="b">
        <f t="shared" si="122"/>
        <v>1</v>
      </c>
      <c r="BQ64" s="244">
        <f t="shared" si="131"/>
        <v>0</v>
      </c>
      <c r="BR64" s="247">
        <f>'[10]Данные для переноса'!AB65</f>
        <v>0</v>
      </c>
      <c r="BS64" s="247">
        <f>'[10]Данные для переноса'!AC65</f>
        <v>0</v>
      </c>
      <c r="BT64" s="247">
        <f>'[10]Данные для переноса'!AD65</f>
        <v>0</v>
      </c>
      <c r="BU64" s="247">
        <f>'[10]Данные для переноса'!AE65</f>
        <v>0</v>
      </c>
      <c r="BV64" s="247">
        <f>'[10]Данные для переноса'!AF65</f>
        <v>0</v>
      </c>
      <c r="BW64" s="247">
        <f>'[10]Данные для переноса'!AG65</f>
        <v>0</v>
      </c>
      <c r="BX64" s="247">
        <f>'[10]Данные для переноса'!AH65</f>
        <v>0</v>
      </c>
      <c r="BY64" s="247">
        <f>'[10]Данные для переноса'!AI65</f>
        <v>0</v>
      </c>
      <c r="BZ64" s="247">
        <f>'[10]Данные для переноса'!AJ65</f>
        <v>0</v>
      </c>
      <c r="CA64" s="247">
        <f>'[10]Данные для переноса'!AK65</f>
        <v>0</v>
      </c>
      <c r="CB64" s="247">
        <f>'[10]Данные для переноса'!AL65</f>
        <v>0</v>
      </c>
      <c r="CC64" s="247">
        <f>'[10]Данные для переноса'!AM65</f>
        <v>0</v>
      </c>
      <c r="CD64" s="247">
        <f>'[10]Данные для переноса'!AN65</f>
        <v>0</v>
      </c>
      <c r="CE64" s="247">
        <f>'[10]Данные для переноса'!AO65</f>
        <v>0</v>
      </c>
      <c r="CF64" s="247">
        <f>'[10]Данные для переноса'!AP65</f>
        <v>0</v>
      </c>
      <c r="CG64" s="247">
        <f>'[10]Данные для переноса'!AQ65</f>
        <v>0</v>
      </c>
      <c r="CH64" s="247">
        <f>'[10]Данные для переноса'!AR65</f>
        <v>0</v>
      </c>
      <c r="CI64" s="247">
        <f>'[10]Данные для переноса'!AS65</f>
        <v>0</v>
      </c>
      <c r="CJ64" s="247">
        <f>'[10]Данные для переноса'!AT65</f>
        <v>0</v>
      </c>
      <c r="CK64" s="247">
        <f>'[10]Данные для переноса'!AU65</f>
        <v>0</v>
      </c>
      <c r="CL64" s="247">
        <f>'[10]Данные для переноса'!AV65</f>
        <v>0</v>
      </c>
      <c r="CM64" s="426"/>
      <c r="CN64" s="426"/>
      <c r="CO64" s="426"/>
      <c r="CP64" s="426"/>
      <c r="CQ64" s="426"/>
      <c r="CR64" s="426"/>
      <c r="CS64" s="426"/>
      <c r="CT64" s="426"/>
      <c r="CU64" s="426"/>
      <c r="CV64" s="426"/>
      <c r="CW64" s="426"/>
      <c r="CX64" s="426"/>
      <c r="CY64" s="426"/>
      <c r="CZ64" s="426"/>
      <c r="DA64" s="426"/>
      <c r="DB64" s="426"/>
      <c r="DC64" s="426"/>
      <c r="DD64" s="426"/>
      <c r="DE64" s="426"/>
      <c r="DF64" s="426"/>
      <c r="DG64" s="426"/>
      <c r="DH64" s="430" t="b">
        <f t="shared" si="123"/>
        <v>1</v>
      </c>
      <c r="DI64" s="430" t="b">
        <f t="shared" si="123"/>
        <v>1</v>
      </c>
      <c r="DJ64" s="430" t="b">
        <f t="shared" si="123"/>
        <v>1</v>
      </c>
      <c r="DK64" s="430" t="b">
        <f t="shared" si="123"/>
        <v>1</v>
      </c>
      <c r="DL64" s="430" t="b">
        <f t="shared" si="123"/>
        <v>1</v>
      </c>
      <c r="DM64" s="430" t="b">
        <f t="shared" si="123"/>
        <v>1</v>
      </c>
      <c r="DN64" s="430" t="b">
        <f t="shared" si="123"/>
        <v>1</v>
      </c>
      <c r="DO64" s="430" t="b">
        <f t="shared" si="123"/>
        <v>1</v>
      </c>
      <c r="DP64" s="430" t="b">
        <f t="shared" si="123"/>
        <v>1</v>
      </c>
      <c r="DQ64" s="430" t="b">
        <f t="shared" si="123"/>
        <v>1</v>
      </c>
      <c r="DR64" s="430" t="b">
        <f t="shared" si="123"/>
        <v>1</v>
      </c>
      <c r="DS64" s="430" t="b">
        <f t="shared" si="125"/>
        <v>1</v>
      </c>
      <c r="DT64" s="430" t="b">
        <f t="shared" si="125"/>
        <v>1</v>
      </c>
      <c r="DU64" s="430" t="b">
        <f t="shared" si="125"/>
        <v>1</v>
      </c>
      <c r="DV64" s="430" t="b">
        <f t="shared" si="125"/>
        <v>1</v>
      </c>
      <c r="DW64" s="430" t="b">
        <f t="shared" si="125"/>
        <v>1</v>
      </c>
      <c r="DX64" s="430" t="b">
        <f t="shared" si="125"/>
        <v>1</v>
      </c>
      <c r="DY64" s="430" t="b">
        <f t="shared" si="125"/>
        <v>1</v>
      </c>
      <c r="DZ64" s="430" t="b">
        <f t="shared" si="125"/>
        <v>1</v>
      </c>
      <c r="EA64" s="430" t="b">
        <f t="shared" si="125"/>
        <v>1</v>
      </c>
      <c r="EB64" s="430" t="b">
        <f t="shared" si="125"/>
        <v>1</v>
      </c>
      <c r="EC64" s="244">
        <f t="shared" si="132"/>
        <v>0</v>
      </c>
      <c r="ED64" s="223">
        <f t="shared" si="97"/>
        <v>0</v>
      </c>
      <c r="EE64" s="223">
        <f t="shared" si="98"/>
        <v>0</v>
      </c>
      <c r="EF64" s="223">
        <f t="shared" si="99"/>
        <v>0</v>
      </c>
      <c r="EG64" s="223">
        <f t="shared" si="100"/>
        <v>0</v>
      </c>
      <c r="EH64" s="223">
        <f t="shared" si="101"/>
        <v>0</v>
      </c>
      <c r="EI64" s="223">
        <f t="shared" si="102"/>
        <v>0</v>
      </c>
      <c r="EJ64" s="223">
        <f t="shared" si="103"/>
        <v>0</v>
      </c>
      <c r="EK64" s="223">
        <f t="shared" si="104"/>
        <v>0</v>
      </c>
      <c r="EL64" s="223">
        <f t="shared" si="105"/>
        <v>0</v>
      </c>
      <c r="EM64" s="223">
        <f t="shared" si="106"/>
        <v>0</v>
      </c>
      <c r="EN64" s="223">
        <f t="shared" si="107"/>
        <v>0</v>
      </c>
      <c r="EO64" s="223">
        <f t="shared" si="108"/>
        <v>0</v>
      </c>
      <c r="EP64" s="223">
        <f t="shared" si="109"/>
        <v>0</v>
      </c>
      <c r="EQ64" s="223">
        <f>CE64-S64</f>
        <v>0</v>
      </c>
      <c r="ER64" s="223">
        <f>CF64-T64</f>
        <v>0</v>
      </c>
      <c r="ES64" s="223">
        <f>CG64-U64</f>
        <v>0</v>
      </c>
      <c r="ET64" s="223">
        <f>CH64-V64</f>
        <v>0</v>
      </c>
      <c r="EU64" s="223">
        <f>CI64-W64</f>
        <v>0</v>
      </c>
      <c r="EV64" s="223">
        <f>CJ64-X64</f>
        <v>0</v>
      </c>
      <c r="EW64" s="223">
        <f>CK64-Y64</f>
        <v>0</v>
      </c>
      <c r="EX64" s="223">
        <f>CL64-Z64</f>
        <v>0</v>
      </c>
      <c r="EY64" s="244">
        <f t="shared" si="133"/>
        <v>0</v>
      </c>
    </row>
    <row r="65" spans="3:155" x14ac:dyDescent="0.35">
      <c r="C65" s="269"/>
      <c r="D65" s="272" t="s">
        <v>209</v>
      </c>
      <c r="E65" s="243" t="s">
        <v>10</v>
      </c>
      <c r="F65" s="384">
        <f>'[10]Данные для переноса'!F66</f>
        <v>46159.790814072439</v>
      </c>
      <c r="G65" s="384">
        <f>'[10]Данные для переноса'!G66</f>
        <v>45073.411414308262</v>
      </c>
      <c r="H65" s="384">
        <f>'[10]Данные для переноса'!H66</f>
        <v>43159.023394352371</v>
      </c>
      <c r="I65" s="384">
        <f>'[10]Данные для переноса'!I66</f>
        <v>54048.764000000003</v>
      </c>
      <c r="J65" s="384">
        <f>'[10]Данные для переноса'!J66</f>
        <v>53196.462</v>
      </c>
      <c r="K65" s="384">
        <f>'[10]Данные для переноса'!K66</f>
        <v>52346.932000000001</v>
      </c>
      <c r="L65" s="384">
        <f>'[10]Данные для переноса'!L66</f>
        <v>51497.402000000002</v>
      </c>
      <c r="M65" s="384">
        <f>'[10]Данные для переноса'!M66</f>
        <v>50647.872000000003</v>
      </c>
      <c r="N65" s="384">
        <f>'[10]Данные для переноса'!N66</f>
        <v>49798.342000000004</v>
      </c>
      <c r="O65" s="384">
        <f>'[10]Данные для переноса'!O66</f>
        <v>48948.811999999998</v>
      </c>
      <c r="P65" s="384">
        <f>'[10]Данные для переноса'!P66</f>
        <v>48099.282000000007</v>
      </c>
      <c r="Q65" s="384">
        <f>'[10]Данные для переноса'!Q66</f>
        <v>47249.751999999986</v>
      </c>
      <c r="R65" s="384">
        <f>'[10]Данные для переноса'!R66</f>
        <v>46400.221999999994</v>
      </c>
      <c r="S65" s="384">
        <f>'[10]Данные для переноса'!S66</f>
        <v>45566.036901216525</v>
      </c>
      <c r="T65" s="384">
        <f>'[10]Данные для переноса'!T66</f>
        <v>44746.917872592843</v>
      </c>
      <c r="U65" s="384">
        <f>'[10]Данные для переноса'!U66</f>
        <v>43942.591188712526</v>
      </c>
      <c r="V65" s="384">
        <f>'[10]Данные для переноса'!V66</f>
        <v>43152.788135392737</v>
      </c>
      <c r="W65" s="384">
        <f>'[10]Данные для переноса'!W66</f>
        <v>42377.244917044678</v>
      </c>
      <c r="X65" s="384">
        <f>'[10]Данные для переноса'!X66</f>
        <v>41615.702565767715</v>
      </c>
      <c r="Y65" s="384">
        <f>'[10]Данные для переноса'!Y66</f>
        <v>40867.90685214402</v>
      </c>
      <c r="Z65" s="384">
        <f>'[10]Данные для переноса'!Z66</f>
        <v>40133.608197701724</v>
      </c>
      <c r="AA65" s="426">
        <v>46159.790814072439</v>
      </c>
      <c r="AB65" s="426">
        <v>45073.411414308262</v>
      </c>
      <c r="AC65" s="426">
        <v>43159.023394352371</v>
      </c>
      <c r="AD65" s="426">
        <v>54048.764000000003</v>
      </c>
      <c r="AE65" s="426">
        <v>53196.462</v>
      </c>
      <c r="AF65" s="426">
        <v>52346.932000000001</v>
      </c>
      <c r="AG65" s="426">
        <v>51497.402000000002</v>
      </c>
      <c r="AH65" s="426">
        <v>50647.872000000003</v>
      </c>
      <c r="AI65" s="426">
        <v>49798.342000000004</v>
      </c>
      <c r="AJ65" s="426">
        <v>48948.811999999998</v>
      </c>
      <c r="AK65" s="426">
        <v>48099.282000000007</v>
      </c>
      <c r="AL65" s="426">
        <v>47249.751999999986</v>
      </c>
      <c r="AM65" s="426">
        <v>46400.221999999994</v>
      </c>
      <c r="AN65" s="426">
        <v>45566.036901216525</v>
      </c>
      <c r="AO65" s="426">
        <v>44746.917872592843</v>
      </c>
      <c r="AP65" s="426">
        <v>43942.591188712526</v>
      </c>
      <c r="AQ65" s="426">
        <v>43152.788135392737</v>
      </c>
      <c r="AR65" s="426">
        <v>42377.244917044678</v>
      </c>
      <c r="AS65" s="426">
        <v>41615.702565767715</v>
      </c>
      <c r="AT65" s="426">
        <v>40867.90685214402</v>
      </c>
      <c r="AU65" s="426">
        <v>40133.608197701724</v>
      </c>
      <c r="AV65" s="430" t="b">
        <f t="shared" si="124"/>
        <v>1</v>
      </c>
      <c r="AW65" s="430" t="b">
        <f t="shared" si="124"/>
        <v>1</v>
      </c>
      <c r="AX65" s="430" t="b">
        <f t="shared" si="124"/>
        <v>1</v>
      </c>
      <c r="AY65" s="430" t="b">
        <f t="shared" si="124"/>
        <v>1</v>
      </c>
      <c r="AZ65" s="430" t="b">
        <f t="shared" si="124"/>
        <v>1</v>
      </c>
      <c r="BA65" s="430" t="b">
        <f t="shared" si="124"/>
        <v>1</v>
      </c>
      <c r="BB65" s="430" t="b">
        <f t="shared" si="124"/>
        <v>1</v>
      </c>
      <c r="BC65" s="430" t="b">
        <f t="shared" si="124"/>
        <v>1</v>
      </c>
      <c r="BD65" s="430" t="b">
        <f t="shared" si="124"/>
        <v>1</v>
      </c>
      <c r="BE65" s="430" t="b">
        <f t="shared" si="124"/>
        <v>1</v>
      </c>
      <c r="BF65" s="430" t="b">
        <f t="shared" si="124"/>
        <v>1</v>
      </c>
      <c r="BG65" s="430" t="b">
        <f t="shared" si="122"/>
        <v>1</v>
      </c>
      <c r="BH65" s="430" t="b">
        <f t="shared" si="122"/>
        <v>1</v>
      </c>
      <c r="BI65" s="430" t="b">
        <f t="shared" si="122"/>
        <v>1</v>
      </c>
      <c r="BJ65" s="430" t="b">
        <f t="shared" si="122"/>
        <v>1</v>
      </c>
      <c r="BK65" s="430" t="b">
        <f t="shared" si="122"/>
        <v>1</v>
      </c>
      <c r="BL65" s="430" t="b">
        <f t="shared" si="122"/>
        <v>1</v>
      </c>
      <c r="BM65" s="430" t="b">
        <f t="shared" si="122"/>
        <v>1</v>
      </c>
      <c r="BN65" s="430" t="b">
        <f t="shared" si="122"/>
        <v>1</v>
      </c>
      <c r="BO65" s="430" t="b">
        <f t="shared" si="122"/>
        <v>1</v>
      </c>
      <c r="BP65" s="430" t="b">
        <f t="shared" si="122"/>
        <v>1</v>
      </c>
      <c r="BQ65" s="244">
        <f t="shared" si="131"/>
        <v>790587.87463057274</v>
      </c>
      <c r="BR65" s="247">
        <f>'[10]Данные для переноса'!AB66</f>
        <v>46159.790814072439</v>
      </c>
      <c r="BS65" s="247">
        <f>'[10]Данные для переноса'!AC66</f>
        <v>45073.411414308262</v>
      </c>
      <c r="BT65" s="247">
        <f>'[10]Данные для переноса'!AD66</f>
        <v>43159.023394352371</v>
      </c>
      <c r="BU65" s="247">
        <f>'[10]Данные для переноса'!AE66</f>
        <v>54048.764000000003</v>
      </c>
      <c r="BV65" s="247">
        <f>'[10]Данные для переноса'!AF66</f>
        <v>53196.462</v>
      </c>
      <c r="BW65" s="247">
        <f>'[10]Данные для переноса'!AG66</f>
        <v>52346.932000000001</v>
      </c>
      <c r="BX65" s="247">
        <f>'[10]Данные для переноса'!AH66</f>
        <v>51497.402000000002</v>
      </c>
      <c r="BY65" s="247">
        <f>'[10]Данные для переноса'!AI66</f>
        <v>50647.872000000003</v>
      </c>
      <c r="BZ65" s="247">
        <f>'[10]Данные для переноса'!AJ66</f>
        <v>49798.342000000004</v>
      </c>
      <c r="CA65" s="247">
        <f>'[10]Данные для переноса'!AK66</f>
        <v>48948.811999999998</v>
      </c>
      <c r="CB65" s="247">
        <f>'[10]Данные для переноса'!AL66</f>
        <v>48099.282000000007</v>
      </c>
      <c r="CC65" s="247">
        <f>'[10]Данные для переноса'!AM66</f>
        <v>47249.751999999986</v>
      </c>
      <c r="CD65" s="247">
        <f>'[10]Данные для переноса'!AN66</f>
        <v>46400.221999999994</v>
      </c>
      <c r="CE65" s="247">
        <f>'[10]Данные для переноса'!AO66</f>
        <v>45566.036901216525</v>
      </c>
      <c r="CF65" s="247">
        <f>'[10]Данные для переноса'!AP66</f>
        <v>44746.917872592843</v>
      </c>
      <c r="CG65" s="247">
        <f>'[10]Данные для переноса'!AQ66</f>
        <v>43942.591188712526</v>
      </c>
      <c r="CH65" s="247">
        <f>'[10]Данные для переноса'!AR66</f>
        <v>43152.788135392737</v>
      </c>
      <c r="CI65" s="247">
        <f>'[10]Данные для переноса'!AS66</f>
        <v>42377.244917044678</v>
      </c>
      <c r="CJ65" s="247">
        <f>'[10]Данные для переноса'!AT66</f>
        <v>41615.702565767715</v>
      </c>
      <c r="CK65" s="247">
        <f>'[10]Данные для переноса'!AU66</f>
        <v>40867.90685214402</v>
      </c>
      <c r="CL65" s="247">
        <f>'[10]Данные для переноса'!AV66</f>
        <v>40133.608197701724</v>
      </c>
      <c r="CM65" s="426">
        <v>46159.790814072439</v>
      </c>
      <c r="CN65" s="426">
        <v>45073.411414308262</v>
      </c>
      <c r="CO65" s="426">
        <v>43159.023394352371</v>
      </c>
      <c r="CP65" s="426">
        <v>54048.764000000003</v>
      </c>
      <c r="CQ65" s="426">
        <v>53196.462</v>
      </c>
      <c r="CR65" s="426">
        <v>52346.932000000001</v>
      </c>
      <c r="CS65" s="426">
        <v>51497.402000000002</v>
      </c>
      <c r="CT65" s="426">
        <v>50647.872000000003</v>
      </c>
      <c r="CU65" s="426">
        <v>49798.342000000004</v>
      </c>
      <c r="CV65" s="426">
        <v>48948.811999999998</v>
      </c>
      <c r="CW65" s="426">
        <v>48099.282000000007</v>
      </c>
      <c r="CX65" s="426">
        <v>47249.751999999986</v>
      </c>
      <c r="CY65" s="426">
        <v>46400.221999999994</v>
      </c>
      <c r="CZ65" s="426">
        <v>45566.036901216525</v>
      </c>
      <c r="DA65" s="426">
        <v>44746.917872592843</v>
      </c>
      <c r="DB65" s="426">
        <v>43942.591188712526</v>
      </c>
      <c r="DC65" s="426">
        <v>43152.788135392737</v>
      </c>
      <c r="DD65" s="426">
        <v>42377.244917044678</v>
      </c>
      <c r="DE65" s="426">
        <v>41615.702565767715</v>
      </c>
      <c r="DF65" s="426">
        <v>40867.90685214402</v>
      </c>
      <c r="DG65" s="426">
        <v>40133.608197701724</v>
      </c>
      <c r="DH65" s="430" t="b">
        <f t="shared" si="123"/>
        <v>1</v>
      </c>
      <c r="DI65" s="430" t="b">
        <f t="shared" si="123"/>
        <v>1</v>
      </c>
      <c r="DJ65" s="430" t="b">
        <f t="shared" si="123"/>
        <v>1</v>
      </c>
      <c r="DK65" s="430" t="b">
        <f t="shared" si="123"/>
        <v>1</v>
      </c>
      <c r="DL65" s="430" t="b">
        <f t="shared" si="123"/>
        <v>1</v>
      </c>
      <c r="DM65" s="430" t="b">
        <f t="shared" si="123"/>
        <v>1</v>
      </c>
      <c r="DN65" s="430" t="b">
        <f t="shared" si="123"/>
        <v>1</v>
      </c>
      <c r="DO65" s="430" t="b">
        <f t="shared" si="123"/>
        <v>1</v>
      </c>
      <c r="DP65" s="430" t="b">
        <f t="shared" si="123"/>
        <v>1</v>
      </c>
      <c r="DQ65" s="430" t="b">
        <f t="shared" si="123"/>
        <v>1</v>
      </c>
      <c r="DR65" s="430" t="b">
        <f t="shared" si="123"/>
        <v>1</v>
      </c>
      <c r="DS65" s="430" t="b">
        <f t="shared" si="125"/>
        <v>1</v>
      </c>
      <c r="DT65" s="430" t="b">
        <f t="shared" si="125"/>
        <v>1</v>
      </c>
      <c r="DU65" s="430" t="b">
        <f t="shared" si="125"/>
        <v>1</v>
      </c>
      <c r="DV65" s="430" t="b">
        <f t="shared" si="125"/>
        <v>1</v>
      </c>
      <c r="DW65" s="430" t="b">
        <f t="shared" si="125"/>
        <v>1</v>
      </c>
      <c r="DX65" s="430" t="b">
        <f t="shared" si="125"/>
        <v>1</v>
      </c>
      <c r="DY65" s="430" t="b">
        <f t="shared" si="125"/>
        <v>1</v>
      </c>
      <c r="DZ65" s="430" t="b">
        <f t="shared" si="125"/>
        <v>1</v>
      </c>
      <c r="EA65" s="430" t="b">
        <f t="shared" si="125"/>
        <v>1</v>
      </c>
      <c r="EB65" s="430" t="b">
        <f t="shared" si="125"/>
        <v>1</v>
      </c>
      <c r="EC65" s="244">
        <f t="shared" si="132"/>
        <v>790587.87463057274</v>
      </c>
      <c r="ED65" s="223">
        <f t="shared" si="97"/>
        <v>0</v>
      </c>
      <c r="EE65" s="223">
        <f t="shared" si="98"/>
        <v>0</v>
      </c>
      <c r="EF65" s="223">
        <f t="shared" si="99"/>
        <v>0</v>
      </c>
      <c r="EG65" s="223">
        <f t="shared" si="100"/>
        <v>0</v>
      </c>
      <c r="EH65" s="223">
        <f t="shared" si="101"/>
        <v>0</v>
      </c>
      <c r="EI65" s="223">
        <f t="shared" si="102"/>
        <v>0</v>
      </c>
      <c r="EJ65" s="223">
        <f t="shared" si="103"/>
        <v>0</v>
      </c>
      <c r="EK65" s="223">
        <f t="shared" si="104"/>
        <v>0</v>
      </c>
      <c r="EL65" s="223">
        <f t="shared" si="105"/>
        <v>0</v>
      </c>
      <c r="EM65" s="223">
        <f t="shared" si="106"/>
        <v>0</v>
      </c>
      <c r="EN65" s="223">
        <f t="shared" si="107"/>
        <v>0</v>
      </c>
      <c r="EO65" s="223">
        <f t="shared" si="108"/>
        <v>0</v>
      </c>
      <c r="EP65" s="223">
        <f t="shared" si="109"/>
        <v>0</v>
      </c>
      <c r="EQ65" s="223">
        <f>CE65-S65</f>
        <v>0</v>
      </c>
      <c r="ER65" s="223">
        <f>CF65-T65</f>
        <v>0</v>
      </c>
      <c r="ES65" s="223">
        <f>CG65-U65</f>
        <v>0</v>
      </c>
      <c r="ET65" s="223">
        <f>CH65-V65</f>
        <v>0</v>
      </c>
      <c r="EU65" s="223">
        <f>CI65-W65</f>
        <v>0</v>
      </c>
      <c r="EV65" s="223">
        <f>CJ65-X65</f>
        <v>0</v>
      </c>
      <c r="EW65" s="223">
        <f>CK65-Y65</f>
        <v>0</v>
      </c>
      <c r="EX65" s="223">
        <f>CL65-Z65</f>
        <v>0</v>
      </c>
      <c r="EY65" s="244">
        <f t="shared" si="133"/>
        <v>0</v>
      </c>
    </row>
    <row r="66" spans="3:155" x14ac:dyDescent="0.35">
      <c r="C66" s="269"/>
      <c r="D66" s="272" t="s">
        <v>210</v>
      </c>
      <c r="E66" s="243" t="s">
        <v>10</v>
      </c>
      <c r="F66" s="384">
        <f>'[10]Данные для переноса'!F67</f>
        <v>0</v>
      </c>
      <c r="G66" s="384">
        <f>'[10]Данные для переноса'!G67</f>
        <v>0</v>
      </c>
      <c r="H66" s="384">
        <f>'[10]Данные для переноса'!H67</f>
        <v>0</v>
      </c>
      <c r="I66" s="384">
        <f>'[10]Данные для переноса'!I67</f>
        <v>0</v>
      </c>
      <c r="J66" s="384">
        <f>'[10]Данные для переноса'!J67</f>
        <v>0</v>
      </c>
      <c r="K66" s="384">
        <f>'[10]Данные для переноса'!K67</f>
        <v>0</v>
      </c>
      <c r="L66" s="384">
        <f>'[10]Данные для переноса'!L67</f>
        <v>0</v>
      </c>
      <c r="M66" s="384">
        <f>'[10]Данные для переноса'!M67</f>
        <v>0</v>
      </c>
      <c r="N66" s="384">
        <f>'[10]Данные для переноса'!N67</f>
        <v>0</v>
      </c>
      <c r="O66" s="384">
        <f>'[10]Данные для переноса'!O67</f>
        <v>0</v>
      </c>
      <c r="P66" s="384">
        <f>'[10]Данные для переноса'!P67</f>
        <v>0</v>
      </c>
      <c r="Q66" s="384">
        <f>'[10]Данные для переноса'!Q67</f>
        <v>0</v>
      </c>
      <c r="R66" s="384">
        <f>'[10]Данные для переноса'!R67</f>
        <v>0</v>
      </c>
      <c r="S66" s="384">
        <f>'[10]Данные для переноса'!S67</f>
        <v>0</v>
      </c>
      <c r="T66" s="384">
        <f>'[10]Данные для переноса'!T67</f>
        <v>0</v>
      </c>
      <c r="U66" s="384">
        <f>'[10]Данные для переноса'!U67</f>
        <v>0</v>
      </c>
      <c r="V66" s="384">
        <f>'[10]Данные для переноса'!V67</f>
        <v>0</v>
      </c>
      <c r="W66" s="384">
        <f>'[10]Данные для переноса'!W67</f>
        <v>0</v>
      </c>
      <c r="X66" s="384">
        <f>'[10]Данные для переноса'!X67</f>
        <v>0</v>
      </c>
      <c r="Y66" s="384">
        <f>'[10]Данные для переноса'!Y67</f>
        <v>0</v>
      </c>
      <c r="Z66" s="384">
        <f>'[10]Данные для переноса'!Z67</f>
        <v>0</v>
      </c>
      <c r="AA66" s="426"/>
      <c r="AB66" s="426"/>
      <c r="AC66" s="426"/>
      <c r="AD66" s="426"/>
      <c r="AE66" s="426"/>
      <c r="AF66" s="426"/>
      <c r="AG66" s="426"/>
      <c r="AH66" s="426"/>
      <c r="AI66" s="426"/>
      <c r="AJ66" s="426"/>
      <c r="AK66" s="426"/>
      <c r="AL66" s="426"/>
      <c r="AM66" s="426"/>
      <c r="AN66" s="426"/>
      <c r="AO66" s="426"/>
      <c r="AP66" s="426"/>
      <c r="AQ66" s="426"/>
      <c r="AR66" s="426"/>
      <c r="AS66" s="426"/>
      <c r="AT66" s="426"/>
      <c r="AU66" s="426"/>
      <c r="AV66" s="430" t="b">
        <f t="shared" si="124"/>
        <v>1</v>
      </c>
      <c r="AW66" s="430" t="b">
        <f t="shared" si="124"/>
        <v>1</v>
      </c>
      <c r="AX66" s="430" t="b">
        <f t="shared" si="124"/>
        <v>1</v>
      </c>
      <c r="AY66" s="430" t="b">
        <f t="shared" si="124"/>
        <v>1</v>
      </c>
      <c r="AZ66" s="430" t="b">
        <f t="shared" si="124"/>
        <v>1</v>
      </c>
      <c r="BA66" s="430" t="b">
        <f t="shared" si="124"/>
        <v>1</v>
      </c>
      <c r="BB66" s="430" t="b">
        <f t="shared" si="124"/>
        <v>1</v>
      </c>
      <c r="BC66" s="430" t="b">
        <f t="shared" si="124"/>
        <v>1</v>
      </c>
      <c r="BD66" s="430" t="b">
        <f t="shared" si="124"/>
        <v>1</v>
      </c>
      <c r="BE66" s="430" t="b">
        <f t="shared" si="124"/>
        <v>1</v>
      </c>
      <c r="BF66" s="430" t="b">
        <f t="shared" si="124"/>
        <v>1</v>
      </c>
      <c r="BG66" s="430" t="b">
        <f t="shared" si="122"/>
        <v>1</v>
      </c>
      <c r="BH66" s="430" t="b">
        <f t="shared" si="122"/>
        <v>1</v>
      </c>
      <c r="BI66" s="430" t="b">
        <f t="shared" si="122"/>
        <v>1</v>
      </c>
      <c r="BJ66" s="430" t="b">
        <f t="shared" si="122"/>
        <v>1</v>
      </c>
      <c r="BK66" s="430" t="b">
        <f t="shared" si="122"/>
        <v>1</v>
      </c>
      <c r="BL66" s="430" t="b">
        <f t="shared" si="122"/>
        <v>1</v>
      </c>
      <c r="BM66" s="430" t="b">
        <f t="shared" si="122"/>
        <v>1</v>
      </c>
      <c r="BN66" s="430" t="b">
        <f t="shared" si="122"/>
        <v>1</v>
      </c>
      <c r="BO66" s="430" t="b">
        <f t="shared" si="122"/>
        <v>1</v>
      </c>
      <c r="BP66" s="430" t="b">
        <f t="shared" si="122"/>
        <v>1</v>
      </c>
      <c r="BQ66" s="244">
        <f t="shared" si="131"/>
        <v>0</v>
      </c>
      <c r="BR66" s="247">
        <f>'[10]Данные для переноса'!AB67</f>
        <v>0</v>
      </c>
      <c r="BS66" s="247">
        <f>'[10]Данные для переноса'!AC67</f>
        <v>0</v>
      </c>
      <c r="BT66" s="247">
        <f>'[10]Данные для переноса'!AD67</f>
        <v>0</v>
      </c>
      <c r="BU66" s="247">
        <f>'[10]Данные для переноса'!AE67</f>
        <v>0</v>
      </c>
      <c r="BV66" s="247">
        <f>'[10]Данные для переноса'!AF67</f>
        <v>0</v>
      </c>
      <c r="BW66" s="247">
        <f>'[10]Данные для переноса'!AG67</f>
        <v>0</v>
      </c>
      <c r="BX66" s="247">
        <f>'[10]Данные для переноса'!AH67</f>
        <v>0</v>
      </c>
      <c r="BY66" s="247">
        <f>'[10]Данные для переноса'!AI67</f>
        <v>0</v>
      </c>
      <c r="BZ66" s="247">
        <f>'[10]Данные для переноса'!AJ67</f>
        <v>0</v>
      </c>
      <c r="CA66" s="247">
        <f>'[10]Данные для переноса'!AK67</f>
        <v>0</v>
      </c>
      <c r="CB66" s="247">
        <f>'[10]Данные для переноса'!AL67</f>
        <v>0</v>
      </c>
      <c r="CC66" s="247">
        <f>'[10]Данные для переноса'!AM67</f>
        <v>0</v>
      </c>
      <c r="CD66" s="247">
        <f>'[10]Данные для переноса'!AN67</f>
        <v>0</v>
      </c>
      <c r="CE66" s="247">
        <f>'[10]Данные для переноса'!AO67</f>
        <v>0</v>
      </c>
      <c r="CF66" s="247">
        <f>'[10]Данные для переноса'!AP67</f>
        <v>0</v>
      </c>
      <c r="CG66" s="247">
        <f>'[10]Данные для переноса'!AQ67</f>
        <v>0</v>
      </c>
      <c r="CH66" s="247">
        <f>'[10]Данные для переноса'!AR67</f>
        <v>0</v>
      </c>
      <c r="CI66" s="247">
        <f>'[10]Данные для переноса'!AS67</f>
        <v>0</v>
      </c>
      <c r="CJ66" s="247">
        <f>'[10]Данные для переноса'!AT67</f>
        <v>0</v>
      </c>
      <c r="CK66" s="247">
        <f>'[10]Данные для переноса'!AU67</f>
        <v>0</v>
      </c>
      <c r="CL66" s="247">
        <f>'[10]Данные для переноса'!AV67</f>
        <v>0</v>
      </c>
      <c r="CM66" s="426"/>
      <c r="CN66" s="426"/>
      <c r="CO66" s="426"/>
      <c r="CP66" s="426"/>
      <c r="CQ66" s="426"/>
      <c r="CR66" s="426"/>
      <c r="CS66" s="426"/>
      <c r="CT66" s="426"/>
      <c r="CU66" s="426"/>
      <c r="CV66" s="426"/>
      <c r="CW66" s="426"/>
      <c r="CX66" s="426"/>
      <c r="CY66" s="426"/>
      <c r="CZ66" s="426"/>
      <c r="DA66" s="426"/>
      <c r="DB66" s="426"/>
      <c r="DC66" s="426"/>
      <c r="DD66" s="426"/>
      <c r="DE66" s="426"/>
      <c r="DF66" s="426"/>
      <c r="DG66" s="426"/>
      <c r="DH66" s="430" t="b">
        <f t="shared" si="123"/>
        <v>1</v>
      </c>
      <c r="DI66" s="430" t="b">
        <f t="shared" si="123"/>
        <v>1</v>
      </c>
      <c r="DJ66" s="430" t="b">
        <f t="shared" si="123"/>
        <v>1</v>
      </c>
      <c r="DK66" s="430" t="b">
        <f t="shared" si="123"/>
        <v>1</v>
      </c>
      <c r="DL66" s="430" t="b">
        <f t="shared" si="123"/>
        <v>1</v>
      </c>
      <c r="DM66" s="430" t="b">
        <f t="shared" si="123"/>
        <v>1</v>
      </c>
      <c r="DN66" s="430" t="b">
        <f t="shared" si="123"/>
        <v>1</v>
      </c>
      <c r="DO66" s="430" t="b">
        <f t="shared" si="123"/>
        <v>1</v>
      </c>
      <c r="DP66" s="430" t="b">
        <f t="shared" si="123"/>
        <v>1</v>
      </c>
      <c r="DQ66" s="430" t="b">
        <f t="shared" si="123"/>
        <v>1</v>
      </c>
      <c r="DR66" s="430" t="b">
        <f t="shared" si="123"/>
        <v>1</v>
      </c>
      <c r="DS66" s="430" t="b">
        <f t="shared" si="125"/>
        <v>1</v>
      </c>
      <c r="DT66" s="430" t="b">
        <f t="shared" si="125"/>
        <v>1</v>
      </c>
      <c r="DU66" s="430" t="b">
        <f t="shared" si="125"/>
        <v>1</v>
      </c>
      <c r="DV66" s="430" t="b">
        <f t="shared" si="125"/>
        <v>1</v>
      </c>
      <c r="DW66" s="430" t="b">
        <f t="shared" si="125"/>
        <v>1</v>
      </c>
      <c r="DX66" s="430" t="b">
        <f t="shared" si="125"/>
        <v>1</v>
      </c>
      <c r="DY66" s="430" t="b">
        <f t="shared" si="125"/>
        <v>1</v>
      </c>
      <c r="DZ66" s="430" t="b">
        <f t="shared" si="125"/>
        <v>1</v>
      </c>
      <c r="EA66" s="430" t="b">
        <f t="shared" si="125"/>
        <v>1</v>
      </c>
      <c r="EB66" s="430" t="b">
        <f t="shared" si="125"/>
        <v>1</v>
      </c>
      <c r="EC66" s="244">
        <f t="shared" si="132"/>
        <v>0</v>
      </c>
      <c r="ED66" s="223">
        <f t="shared" si="97"/>
        <v>0</v>
      </c>
      <c r="EE66" s="223">
        <f t="shared" si="98"/>
        <v>0</v>
      </c>
      <c r="EF66" s="223">
        <f t="shared" si="99"/>
        <v>0</v>
      </c>
      <c r="EG66" s="223">
        <f t="shared" si="100"/>
        <v>0</v>
      </c>
      <c r="EH66" s="223">
        <f t="shared" si="101"/>
        <v>0</v>
      </c>
      <c r="EI66" s="223">
        <f t="shared" si="102"/>
        <v>0</v>
      </c>
      <c r="EJ66" s="223">
        <f t="shared" si="103"/>
        <v>0</v>
      </c>
      <c r="EK66" s="223">
        <f t="shared" si="104"/>
        <v>0</v>
      </c>
      <c r="EL66" s="223">
        <f t="shared" si="105"/>
        <v>0</v>
      </c>
      <c r="EM66" s="223">
        <f t="shared" si="106"/>
        <v>0</v>
      </c>
      <c r="EN66" s="223">
        <f t="shared" si="107"/>
        <v>0</v>
      </c>
      <c r="EO66" s="223">
        <f t="shared" si="108"/>
        <v>0</v>
      </c>
      <c r="EP66" s="223">
        <f t="shared" si="109"/>
        <v>0</v>
      </c>
      <c r="EQ66" s="223">
        <f>CE66-S66</f>
        <v>0</v>
      </c>
      <c r="ER66" s="223">
        <f>CF66-T66</f>
        <v>0</v>
      </c>
      <c r="ES66" s="223">
        <f>CG66-U66</f>
        <v>0</v>
      </c>
      <c r="ET66" s="223">
        <f>CH66-V66</f>
        <v>0</v>
      </c>
      <c r="EU66" s="223">
        <f>CI66-W66</f>
        <v>0</v>
      </c>
      <c r="EV66" s="223">
        <f>CJ66-X66</f>
        <v>0</v>
      </c>
      <c r="EW66" s="223">
        <f>CK66-Y66</f>
        <v>0</v>
      </c>
      <c r="EX66" s="223">
        <f>CL66-Z66</f>
        <v>0</v>
      </c>
      <c r="EY66" s="244">
        <f t="shared" si="133"/>
        <v>0</v>
      </c>
    </row>
    <row r="67" spans="3:155" x14ac:dyDescent="0.35">
      <c r="C67" s="269">
        <f>C63+1</f>
        <v>43</v>
      </c>
      <c r="D67" s="270" t="s">
        <v>49</v>
      </c>
      <c r="E67" s="243" t="s">
        <v>10</v>
      </c>
      <c r="F67" s="384">
        <f>'[10]Данные для переноса'!F68</f>
        <v>26583.780250432901</v>
      </c>
      <c r="G67" s="384">
        <f>'[10]Данные для переноса'!G68</f>
        <v>37540.565729045498</v>
      </c>
      <c r="H67" s="384">
        <f>'[10]Данные для переноса'!H68</f>
        <v>27036.30803919095</v>
      </c>
      <c r="I67" s="384">
        <f>'[10]Данные для переноса'!I68</f>
        <v>36153.541377543952</v>
      </c>
      <c r="J67" s="384">
        <f>'[10]Данные для переноса'!J68</f>
        <v>37598.840724381254</v>
      </c>
      <c r="K67" s="384">
        <f>'[10]Данные для переноса'!K68</f>
        <v>39101.952045092039</v>
      </c>
      <c r="L67" s="384">
        <f>'[10]Данные для переноса'!L68</f>
        <v>40665.187818631253</v>
      </c>
      <c r="M67" s="384">
        <f>'[10]Данные для переноса'!M68</f>
        <v>42290.953023112044</v>
      </c>
      <c r="N67" s="384">
        <f>'[10]Данные для переноса'!N68</f>
        <v>43981.748835772058</v>
      </c>
      <c r="O67" s="384">
        <f>'[10]Данные для переноса'!O68</f>
        <v>45740.176480938477</v>
      </c>
      <c r="P67" s="384">
        <f>'[10]Данные для переноса'!P68</f>
        <v>47568.941231911544</v>
      </c>
      <c r="Q67" s="384">
        <f>'[10]Данные для переноса'!Q68</f>
        <v>49470.856572923542</v>
      </c>
      <c r="R67" s="384">
        <f>'[10]Данные для переноса'!R68</f>
        <v>51448.848527576018</v>
      </c>
      <c r="S67" s="384">
        <f>'[10]Данные для переноса'!S68</f>
        <v>53505.960160414594</v>
      </c>
      <c r="T67" s="384">
        <f>'[10]Данные для переноса'!T68</f>
        <v>55645.356258566724</v>
      </c>
      <c r="U67" s="384">
        <f>'[10]Данные для переноса'!U68</f>
        <v>57870.328200644923</v>
      </c>
      <c r="V67" s="384">
        <f>'[10]Данные для переноса'!V68</f>
        <v>60184.299020406259</v>
      </c>
      <c r="W67" s="384">
        <f>'[10]Данные для переноса'!W68</f>
        <v>62590.828672958029</v>
      </c>
      <c r="X67" s="384">
        <f>'[10]Данные для переноса'!X68</f>
        <v>65093.619511611898</v>
      </c>
      <c r="Y67" s="384">
        <f>'[10]Данные для переноса'!Y68</f>
        <v>67696.521983811908</v>
      </c>
      <c r="Z67" s="384">
        <f>'[10]Данные для переноса'!Z68</f>
        <v>70403.540554899926</v>
      </c>
      <c r="AA67" s="426">
        <v>26583.780250432901</v>
      </c>
      <c r="AB67" s="426">
        <v>37540.565729045498</v>
      </c>
      <c r="AC67" s="426">
        <v>27036.30803919095</v>
      </c>
      <c r="AD67" s="426">
        <v>36153.541377543952</v>
      </c>
      <c r="AE67" s="426">
        <v>37598.840724381254</v>
      </c>
      <c r="AF67" s="426">
        <v>39101.952045092039</v>
      </c>
      <c r="AG67" s="426">
        <v>40665.187818631253</v>
      </c>
      <c r="AH67" s="426">
        <v>42290.953023112044</v>
      </c>
      <c r="AI67" s="426">
        <v>43981.748835772058</v>
      </c>
      <c r="AJ67" s="426">
        <v>45740.176480938477</v>
      </c>
      <c r="AK67" s="426">
        <v>47568.941231911544</v>
      </c>
      <c r="AL67" s="426">
        <v>49470.856572923542</v>
      </c>
      <c r="AM67" s="426">
        <v>51448.848527576018</v>
      </c>
      <c r="AN67" s="426">
        <v>53505.960160414594</v>
      </c>
      <c r="AO67" s="426">
        <v>55645.356258566724</v>
      </c>
      <c r="AP67" s="426">
        <v>57870.328200644923</v>
      </c>
      <c r="AQ67" s="426">
        <v>60184.299020406259</v>
      </c>
      <c r="AR67" s="426">
        <v>62590.828672958029</v>
      </c>
      <c r="AS67" s="426">
        <v>65093.619511611898</v>
      </c>
      <c r="AT67" s="426">
        <v>67696.521983811908</v>
      </c>
      <c r="AU67" s="426">
        <v>70403.540554899926</v>
      </c>
      <c r="AV67" s="430" t="b">
        <f t="shared" si="124"/>
        <v>1</v>
      </c>
      <c r="AW67" s="430" t="b">
        <f t="shared" si="124"/>
        <v>1</v>
      </c>
      <c r="AX67" s="430" t="b">
        <f t="shared" si="124"/>
        <v>1</v>
      </c>
      <c r="AY67" s="430" t="b">
        <f t="shared" si="124"/>
        <v>1</v>
      </c>
      <c r="AZ67" s="430" t="b">
        <f t="shared" si="124"/>
        <v>1</v>
      </c>
      <c r="BA67" s="430" t="b">
        <f t="shared" si="124"/>
        <v>1</v>
      </c>
      <c r="BB67" s="430" t="b">
        <f t="shared" si="124"/>
        <v>1</v>
      </c>
      <c r="BC67" s="430" t="b">
        <f t="shared" si="124"/>
        <v>1</v>
      </c>
      <c r="BD67" s="430" t="b">
        <f t="shared" si="124"/>
        <v>1</v>
      </c>
      <c r="BE67" s="430" t="b">
        <f t="shared" si="124"/>
        <v>1</v>
      </c>
      <c r="BF67" s="430" t="b">
        <f t="shared" si="124"/>
        <v>1</v>
      </c>
      <c r="BG67" s="430" t="b">
        <f t="shared" si="122"/>
        <v>1</v>
      </c>
      <c r="BH67" s="430" t="b">
        <f t="shared" si="122"/>
        <v>1</v>
      </c>
      <c r="BI67" s="430" t="b">
        <f t="shared" si="122"/>
        <v>1</v>
      </c>
      <c r="BJ67" s="430" t="b">
        <f t="shared" si="122"/>
        <v>1</v>
      </c>
      <c r="BK67" s="430" t="b">
        <f t="shared" si="122"/>
        <v>1</v>
      </c>
      <c r="BL67" s="430" t="b">
        <f t="shared" si="122"/>
        <v>1</v>
      </c>
      <c r="BM67" s="430" t="b">
        <f t="shared" si="122"/>
        <v>1</v>
      </c>
      <c r="BN67" s="430" t="b">
        <f t="shared" si="122"/>
        <v>1</v>
      </c>
      <c r="BO67" s="430" t="b">
        <f t="shared" si="122"/>
        <v>1</v>
      </c>
      <c r="BP67" s="430" t="b">
        <f t="shared" si="122"/>
        <v>1</v>
      </c>
      <c r="BQ67" s="244">
        <f t="shared" si="131"/>
        <v>890857.95962365239</v>
      </c>
      <c r="BR67" s="247">
        <f>'[10]Данные для переноса'!AB68</f>
        <v>26583.780250432901</v>
      </c>
      <c r="BS67" s="247">
        <f>'[10]Данные для переноса'!AC68</f>
        <v>37540.565729045498</v>
      </c>
      <c r="BT67" s="247">
        <f>'[10]Данные для переноса'!AD68</f>
        <v>27036.30803919095</v>
      </c>
      <c r="BU67" s="247">
        <f>'[10]Данные для переноса'!AE68</f>
        <v>34007.50204894966</v>
      </c>
      <c r="BV67" s="247">
        <f>'[10]Данные для переноса'!AF68</f>
        <v>36794.631187683641</v>
      </c>
      <c r="BW67" s="247">
        <f>'[10]Данные для переноса'!AG68</f>
        <v>38384.074818636145</v>
      </c>
      <c r="BX67" s="247">
        <f>'[10]Данные для переноса'!AH68</f>
        <v>40119.005705037096</v>
      </c>
      <c r="BY67" s="247">
        <f>'[10]Данные для переноса'!AI68</f>
        <v>42015.998393762638</v>
      </c>
      <c r="BZ67" s="247">
        <f>'[10]Данные для переноса'!AJ68</f>
        <v>44093.581750598671</v>
      </c>
      <c r="CA67" s="247">
        <f>'[10]Данные для переноса'!AK68</f>
        <v>46372.591827142591</v>
      </c>
      <c r="CB67" s="247">
        <f>'[10]Данные для переноса'!AL68</f>
        <v>48876.467732289217</v>
      </c>
      <c r="CC67" s="247">
        <f>'[10]Данные для переноса'!AM68</f>
        <v>51631.585804503018</v>
      </c>
      <c r="CD67" s="247">
        <f>'[10]Данные для переноса'!AN68</f>
        <v>54667.637057478387</v>
      </c>
      <c r="CE67" s="247">
        <f>'[10]Данные для переноса'!AO68</f>
        <v>174113.14905222532</v>
      </c>
      <c r="CF67" s="247">
        <f>'[10]Данные для переноса'!AP68</f>
        <v>353312.4830683202</v>
      </c>
      <c r="CG67" s="247">
        <f>'[10]Данные для переноса'!AQ68</f>
        <v>362549.54250958824</v>
      </c>
      <c r="CH67" s="247">
        <f>'[10]Данные для переноса'!AR68</f>
        <v>370500.12829248171</v>
      </c>
      <c r="CI67" s="247">
        <f>'[10]Данные для переноса'!AS68</f>
        <v>328147.50105190283</v>
      </c>
      <c r="CJ67" s="247">
        <f>'[10]Данные для переноса'!AT68</f>
        <v>387447.59229638509</v>
      </c>
      <c r="CK67" s="247">
        <f>'[10]Данные для переноса'!AU68</f>
        <v>396475.6638781192</v>
      </c>
      <c r="CL67" s="247">
        <f>'[10]Данные для переноса'!AV68</f>
        <v>405895.28610758221</v>
      </c>
      <c r="CM67" s="426">
        <v>26583.780250432901</v>
      </c>
      <c r="CN67" s="426">
        <v>37540.565729045498</v>
      </c>
      <c r="CO67" s="426">
        <v>27036.30803919095</v>
      </c>
      <c r="CP67" s="426">
        <v>34007.50204894966</v>
      </c>
      <c r="CQ67" s="426">
        <v>36794.631187683641</v>
      </c>
      <c r="CR67" s="426">
        <v>38384.074818636145</v>
      </c>
      <c r="CS67" s="426">
        <v>40119.005705037096</v>
      </c>
      <c r="CT67" s="426">
        <v>42015.998393762638</v>
      </c>
      <c r="CU67" s="426">
        <v>44093.581750598671</v>
      </c>
      <c r="CV67" s="426">
        <v>46372.591827142591</v>
      </c>
      <c r="CW67" s="426">
        <v>48876.467732289217</v>
      </c>
      <c r="CX67" s="426">
        <v>51631.585804503018</v>
      </c>
      <c r="CY67" s="426">
        <v>54667.637057478387</v>
      </c>
      <c r="CZ67" s="426">
        <v>174113.14905222532</v>
      </c>
      <c r="DA67" s="426">
        <v>353312.4830683202</v>
      </c>
      <c r="DB67" s="426">
        <v>362549.54250958824</v>
      </c>
      <c r="DC67" s="426">
        <v>370500.12829248171</v>
      </c>
      <c r="DD67" s="426">
        <v>328147.50105190283</v>
      </c>
      <c r="DE67" s="426">
        <v>387447.59229638509</v>
      </c>
      <c r="DF67" s="426">
        <v>396475.6638781192</v>
      </c>
      <c r="DG67" s="426">
        <v>405895.28610758221</v>
      </c>
      <c r="DH67" s="430" t="b">
        <f t="shared" si="123"/>
        <v>1</v>
      </c>
      <c r="DI67" s="430" t="b">
        <f t="shared" si="123"/>
        <v>1</v>
      </c>
      <c r="DJ67" s="430" t="b">
        <f t="shared" si="123"/>
        <v>1</v>
      </c>
      <c r="DK67" s="430" t="b">
        <f t="shared" si="123"/>
        <v>1</v>
      </c>
      <c r="DL67" s="430" t="b">
        <f t="shared" si="123"/>
        <v>1</v>
      </c>
      <c r="DM67" s="430" t="b">
        <f t="shared" si="123"/>
        <v>1</v>
      </c>
      <c r="DN67" s="430" t="b">
        <f t="shared" si="123"/>
        <v>1</v>
      </c>
      <c r="DO67" s="430" t="b">
        <f t="shared" si="123"/>
        <v>1</v>
      </c>
      <c r="DP67" s="430" t="b">
        <f t="shared" si="123"/>
        <v>1</v>
      </c>
      <c r="DQ67" s="430" t="b">
        <f t="shared" si="123"/>
        <v>1</v>
      </c>
      <c r="DR67" s="430" t="b">
        <f t="shared" si="123"/>
        <v>1</v>
      </c>
      <c r="DS67" s="430" t="b">
        <f t="shared" si="125"/>
        <v>1</v>
      </c>
      <c r="DT67" s="430" t="b">
        <f t="shared" si="125"/>
        <v>1</v>
      </c>
      <c r="DU67" s="430" t="b">
        <f t="shared" si="125"/>
        <v>1</v>
      </c>
      <c r="DV67" s="430" t="b">
        <f t="shared" si="125"/>
        <v>1</v>
      </c>
      <c r="DW67" s="430" t="b">
        <f t="shared" si="125"/>
        <v>1</v>
      </c>
      <c r="DX67" s="430" t="b">
        <f t="shared" si="125"/>
        <v>1</v>
      </c>
      <c r="DY67" s="430" t="b">
        <f t="shared" si="125"/>
        <v>1</v>
      </c>
      <c r="DZ67" s="430" t="b">
        <f t="shared" si="125"/>
        <v>1</v>
      </c>
      <c r="EA67" s="430" t="b">
        <f t="shared" si="125"/>
        <v>1</v>
      </c>
      <c r="EB67" s="430" t="b">
        <f t="shared" si="125"/>
        <v>1</v>
      </c>
      <c r="EC67" s="244">
        <f t="shared" si="132"/>
        <v>3181396.9205337358</v>
      </c>
      <c r="ED67" s="223">
        <f t="shared" si="97"/>
        <v>0</v>
      </c>
      <c r="EE67" s="223">
        <f t="shared" si="98"/>
        <v>0</v>
      </c>
      <c r="EF67" s="223">
        <f t="shared" si="99"/>
        <v>0</v>
      </c>
      <c r="EG67" s="223">
        <f t="shared" si="100"/>
        <v>-2146.0393285942919</v>
      </c>
      <c r="EH67" s="223">
        <f t="shared" si="101"/>
        <v>-804.20953669761366</v>
      </c>
      <c r="EI67" s="223">
        <f t="shared" si="102"/>
        <v>-717.87722645589383</v>
      </c>
      <c r="EJ67" s="223">
        <f t="shared" si="103"/>
        <v>-546.18211359415727</v>
      </c>
      <c r="EK67" s="223">
        <f t="shared" si="104"/>
        <v>-274.95462934940588</v>
      </c>
      <c r="EL67" s="223">
        <f t="shared" si="105"/>
        <v>111.83291482661298</v>
      </c>
      <c r="EM67" s="223">
        <f t="shared" si="106"/>
        <v>632.41534620411403</v>
      </c>
      <c r="EN67" s="223">
        <f t="shared" si="107"/>
        <v>1307.5265003776731</v>
      </c>
      <c r="EO67" s="223">
        <f t="shared" si="108"/>
        <v>2160.7292315794766</v>
      </c>
      <c r="EP67" s="223">
        <f t="shared" si="109"/>
        <v>3218.7885299023692</v>
      </c>
      <c r="EQ67" s="223">
        <f>CE67-S67</f>
        <v>120607.18889181071</v>
      </c>
      <c r="ER67" s="223">
        <f>CF67-T67</f>
        <v>297667.12680975348</v>
      </c>
      <c r="ES67" s="223">
        <f>CG67-U67</f>
        <v>304679.21430894331</v>
      </c>
      <c r="ET67" s="223">
        <f>CH67-V67</f>
        <v>310315.82927207544</v>
      </c>
      <c r="EU67" s="223">
        <f>CI67-W67</f>
        <v>265556.67237894482</v>
      </c>
      <c r="EV67" s="223">
        <f>CJ67-X67</f>
        <v>322353.97278477321</v>
      </c>
      <c r="EW67" s="223">
        <f>CK67-Y67</f>
        <v>328779.14189430728</v>
      </c>
      <c r="EX67" s="223">
        <f>CL67-Z67</f>
        <v>335491.74555268232</v>
      </c>
      <c r="EY67" s="244">
        <f t="shared" si="133"/>
        <v>2290538.9609100837</v>
      </c>
    </row>
    <row r="68" spans="3:155" ht="26" x14ac:dyDescent="0.35">
      <c r="C68" s="269"/>
      <c r="D68" s="271" t="s">
        <v>208</v>
      </c>
      <c r="E68" s="243" t="s">
        <v>10</v>
      </c>
      <c r="F68" s="384">
        <f>'[10]Данные для переноса'!F69</f>
        <v>26583.780250432901</v>
      </c>
      <c r="G68" s="384">
        <f>'[10]Данные для переноса'!G69</f>
        <v>37540.565729045498</v>
      </c>
      <c r="H68" s="384">
        <f>'[10]Данные для переноса'!H69</f>
        <v>27036.30803919095</v>
      </c>
      <c r="I68" s="384">
        <f>'[10]Данные для переноса'!I69</f>
        <v>36153.541377543952</v>
      </c>
      <c r="J68" s="384">
        <f>'[10]Данные для переноса'!J69</f>
        <v>37598.840724381254</v>
      </c>
      <c r="K68" s="384">
        <f>'[10]Данные для переноса'!K69</f>
        <v>39101.952045092039</v>
      </c>
      <c r="L68" s="384">
        <f>'[10]Данные для переноса'!L69</f>
        <v>40665.187818631253</v>
      </c>
      <c r="M68" s="384">
        <f>'[10]Данные для переноса'!M69</f>
        <v>42290.953023112044</v>
      </c>
      <c r="N68" s="384">
        <f>'[10]Данные для переноса'!N69</f>
        <v>43981.748835772058</v>
      </c>
      <c r="O68" s="384">
        <f>'[10]Данные для переноса'!O69</f>
        <v>45740.176480938477</v>
      </c>
      <c r="P68" s="384">
        <f>'[10]Данные для переноса'!P69</f>
        <v>47568.941231911544</v>
      </c>
      <c r="Q68" s="384">
        <f>'[10]Данные для переноса'!Q69</f>
        <v>49470.856572923542</v>
      </c>
      <c r="R68" s="384">
        <f>'[10]Данные для переноса'!R69</f>
        <v>51448.848527576018</v>
      </c>
      <c r="S68" s="384">
        <f>'[10]Данные для переноса'!S69</f>
        <v>53505.960160414594</v>
      </c>
      <c r="T68" s="384">
        <f>'[10]Данные для переноса'!T69</f>
        <v>55645.356258566724</v>
      </c>
      <c r="U68" s="384">
        <f>'[10]Данные для переноса'!U69</f>
        <v>57870.328200644923</v>
      </c>
      <c r="V68" s="384">
        <f>'[10]Данные для переноса'!V69</f>
        <v>60184.299020406259</v>
      </c>
      <c r="W68" s="384">
        <f>'[10]Данные для переноса'!W69</f>
        <v>62590.828672958029</v>
      </c>
      <c r="X68" s="384">
        <f>'[10]Данные для переноса'!X69</f>
        <v>65093.619511611898</v>
      </c>
      <c r="Y68" s="384">
        <f>'[10]Данные для переноса'!Y69</f>
        <v>67696.521983811908</v>
      </c>
      <c r="Z68" s="384">
        <f>'[10]Данные для переноса'!Z69</f>
        <v>70403.540554899926</v>
      </c>
      <c r="AA68" s="426">
        <v>26583.780250432901</v>
      </c>
      <c r="AB68" s="426">
        <v>37540.565729045498</v>
      </c>
      <c r="AC68" s="426">
        <v>27036.30803919095</v>
      </c>
      <c r="AD68" s="426">
        <v>36153.541377543952</v>
      </c>
      <c r="AE68" s="426">
        <v>37598.840724381254</v>
      </c>
      <c r="AF68" s="426">
        <v>39101.952045092039</v>
      </c>
      <c r="AG68" s="426">
        <v>40665.187818631253</v>
      </c>
      <c r="AH68" s="426">
        <v>42290.953023112044</v>
      </c>
      <c r="AI68" s="426">
        <v>43981.748835772058</v>
      </c>
      <c r="AJ68" s="426">
        <v>45740.176480938477</v>
      </c>
      <c r="AK68" s="426">
        <v>47568.941231911544</v>
      </c>
      <c r="AL68" s="426">
        <v>49470.856572923542</v>
      </c>
      <c r="AM68" s="426">
        <v>51448.848527576018</v>
      </c>
      <c r="AN68" s="426">
        <v>53505.960160414594</v>
      </c>
      <c r="AO68" s="426">
        <v>55645.356258566724</v>
      </c>
      <c r="AP68" s="426">
        <v>57870.328200644923</v>
      </c>
      <c r="AQ68" s="426">
        <v>60184.299020406259</v>
      </c>
      <c r="AR68" s="426">
        <v>62590.828672958029</v>
      </c>
      <c r="AS68" s="426">
        <v>65093.619511611898</v>
      </c>
      <c r="AT68" s="426">
        <v>67696.521983811908</v>
      </c>
      <c r="AU68" s="426">
        <v>70403.540554899926</v>
      </c>
      <c r="AV68" s="430" t="b">
        <f t="shared" si="124"/>
        <v>1</v>
      </c>
      <c r="AW68" s="430" t="b">
        <f t="shared" si="124"/>
        <v>1</v>
      </c>
      <c r="AX68" s="430" t="b">
        <f t="shared" si="124"/>
        <v>1</v>
      </c>
      <c r="AY68" s="430" t="b">
        <f t="shared" si="124"/>
        <v>1</v>
      </c>
      <c r="AZ68" s="430" t="b">
        <f t="shared" si="124"/>
        <v>1</v>
      </c>
      <c r="BA68" s="430" t="b">
        <f t="shared" si="124"/>
        <v>1</v>
      </c>
      <c r="BB68" s="430" t="b">
        <f t="shared" si="124"/>
        <v>1</v>
      </c>
      <c r="BC68" s="430" t="b">
        <f t="shared" si="124"/>
        <v>1</v>
      </c>
      <c r="BD68" s="430" t="b">
        <f t="shared" si="124"/>
        <v>1</v>
      </c>
      <c r="BE68" s="430" t="b">
        <f t="shared" si="124"/>
        <v>1</v>
      </c>
      <c r="BF68" s="430" t="b">
        <f t="shared" si="124"/>
        <v>1</v>
      </c>
      <c r="BG68" s="430" t="b">
        <f t="shared" si="122"/>
        <v>1</v>
      </c>
      <c r="BH68" s="430" t="b">
        <f t="shared" si="122"/>
        <v>1</v>
      </c>
      <c r="BI68" s="430" t="b">
        <f t="shared" si="122"/>
        <v>1</v>
      </c>
      <c r="BJ68" s="430" t="b">
        <f t="shared" si="122"/>
        <v>1</v>
      </c>
      <c r="BK68" s="430" t="b">
        <f t="shared" si="122"/>
        <v>1</v>
      </c>
      <c r="BL68" s="430" t="b">
        <f t="shared" si="122"/>
        <v>1</v>
      </c>
      <c r="BM68" s="430" t="b">
        <f t="shared" si="122"/>
        <v>1</v>
      </c>
      <c r="BN68" s="430" t="b">
        <f t="shared" si="122"/>
        <v>1</v>
      </c>
      <c r="BO68" s="430" t="b">
        <f t="shared" si="122"/>
        <v>1</v>
      </c>
      <c r="BP68" s="430" t="b">
        <f t="shared" si="122"/>
        <v>1</v>
      </c>
      <c r="BQ68" s="244">
        <f t="shared" si="131"/>
        <v>890857.95962365239</v>
      </c>
      <c r="BR68" s="247">
        <f>'[10]Данные для переноса'!AB69</f>
        <v>26583.780250432901</v>
      </c>
      <c r="BS68" s="247">
        <f>'[10]Данные для переноса'!AC69</f>
        <v>37540.565729045498</v>
      </c>
      <c r="BT68" s="247">
        <f>'[10]Данные для переноса'!AD69</f>
        <v>27036.30803919095</v>
      </c>
      <c r="BU68" s="247">
        <f>'[10]Данные для переноса'!AE69</f>
        <v>34007.50204894966</v>
      </c>
      <c r="BV68" s="247">
        <f>'[10]Данные для переноса'!AF69</f>
        <v>36794.631187683641</v>
      </c>
      <c r="BW68" s="247">
        <f>'[10]Данные для переноса'!AG69</f>
        <v>38384.074818636145</v>
      </c>
      <c r="BX68" s="247">
        <f>'[10]Данные для переноса'!AH69</f>
        <v>40119.005705037096</v>
      </c>
      <c r="BY68" s="247">
        <f>'[10]Данные для переноса'!AI69</f>
        <v>42015.998393762638</v>
      </c>
      <c r="BZ68" s="247">
        <f>'[10]Данные для переноса'!AJ69</f>
        <v>44093.581750598671</v>
      </c>
      <c r="CA68" s="247">
        <f>'[10]Данные для переноса'!AK69</f>
        <v>46372.591827142591</v>
      </c>
      <c r="CB68" s="247">
        <f>'[10]Данные для переноса'!AL69</f>
        <v>48876.467732289217</v>
      </c>
      <c r="CC68" s="247">
        <f>'[10]Данные для переноса'!AM69</f>
        <v>51631.585804503018</v>
      </c>
      <c r="CD68" s="247">
        <f>'[10]Данные для переноса'!AN69</f>
        <v>54667.637057478387</v>
      </c>
      <c r="CE68" s="247">
        <f>'[10]Данные для переноса'!AO69</f>
        <v>174113.14905222532</v>
      </c>
      <c r="CF68" s="247">
        <f>'[10]Данные для переноса'!AP69</f>
        <v>353312.4830683202</v>
      </c>
      <c r="CG68" s="247">
        <f>'[10]Данные для переноса'!AQ69</f>
        <v>362549.54250958824</v>
      </c>
      <c r="CH68" s="247">
        <f>'[10]Данные для переноса'!AR69</f>
        <v>370500.12829248171</v>
      </c>
      <c r="CI68" s="247">
        <f>'[10]Данные для переноса'!AS69</f>
        <v>328147.50105190283</v>
      </c>
      <c r="CJ68" s="247">
        <f>'[10]Данные для переноса'!AT69</f>
        <v>387447.59229638509</v>
      </c>
      <c r="CK68" s="247">
        <f>'[10]Данные для переноса'!AU69</f>
        <v>396475.6638781192</v>
      </c>
      <c r="CL68" s="247">
        <f>'[10]Данные для переноса'!AV69</f>
        <v>405895.28610758221</v>
      </c>
      <c r="CM68" s="426">
        <v>26583.780250432901</v>
      </c>
      <c r="CN68" s="426">
        <v>37540.565729045498</v>
      </c>
      <c r="CO68" s="426">
        <v>27036.30803919095</v>
      </c>
      <c r="CP68" s="426">
        <v>34007.50204894966</v>
      </c>
      <c r="CQ68" s="426">
        <v>36794.631187683641</v>
      </c>
      <c r="CR68" s="426">
        <v>38384.074818636145</v>
      </c>
      <c r="CS68" s="426">
        <v>40119.005705037096</v>
      </c>
      <c r="CT68" s="426">
        <v>42015.998393762638</v>
      </c>
      <c r="CU68" s="426">
        <v>44093.581750598671</v>
      </c>
      <c r="CV68" s="426">
        <v>46372.591827142591</v>
      </c>
      <c r="CW68" s="426">
        <v>48876.467732289217</v>
      </c>
      <c r="CX68" s="426">
        <v>51631.585804503018</v>
      </c>
      <c r="CY68" s="426">
        <v>54667.637057478387</v>
      </c>
      <c r="CZ68" s="426">
        <v>174113.14905222532</v>
      </c>
      <c r="DA68" s="426">
        <v>353312.4830683202</v>
      </c>
      <c r="DB68" s="426">
        <v>362549.54250958824</v>
      </c>
      <c r="DC68" s="426">
        <v>370500.12829248171</v>
      </c>
      <c r="DD68" s="426">
        <v>328147.50105190283</v>
      </c>
      <c r="DE68" s="426">
        <v>387447.59229638509</v>
      </c>
      <c r="DF68" s="426">
        <v>396475.6638781192</v>
      </c>
      <c r="DG68" s="426">
        <v>405895.28610758221</v>
      </c>
      <c r="DH68" s="430" t="b">
        <f t="shared" si="123"/>
        <v>1</v>
      </c>
      <c r="DI68" s="430" t="b">
        <f t="shared" si="123"/>
        <v>1</v>
      </c>
      <c r="DJ68" s="430" t="b">
        <f t="shared" si="123"/>
        <v>1</v>
      </c>
      <c r="DK68" s="430" t="b">
        <f t="shared" si="123"/>
        <v>1</v>
      </c>
      <c r="DL68" s="430" t="b">
        <f t="shared" si="123"/>
        <v>1</v>
      </c>
      <c r="DM68" s="430" t="b">
        <f t="shared" si="123"/>
        <v>1</v>
      </c>
      <c r="DN68" s="430" t="b">
        <f t="shared" si="123"/>
        <v>1</v>
      </c>
      <c r="DO68" s="430" t="b">
        <f t="shared" si="123"/>
        <v>1</v>
      </c>
      <c r="DP68" s="430" t="b">
        <f t="shared" si="123"/>
        <v>1</v>
      </c>
      <c r="DQ68" s="430" t="b">
        <f t="shared" si="123"/>
        <v>1</v>
      </c>
      <c r="DR68" s="430" t="b">
        <f t="shared" si="123"/>
        <v>1</v>
      </c>
      <c r="DS68" s="430" t="b">
        <f t="shared" si="125"/>
        <v>1</v>
      </c>
      <c r="DT68" s="430" t="b">
        <f t="shared" si="125"/>
        <v>1</v>
      </c>
      <c r="DU68" s="430" t="b">
        <f t="shared" si="125"/>
        <v>1</v>
      </c>
      <c r="DV68" s="430" t="b">
        <f t="shared" si="125"/>
        <v>1</v>
      </c>
      <c r="DW68" s="430" t="b">
        <f t="shared" si="125"/>
        <v>1</v>
      </c>
      <c r="DX68" s="430" t="b">
        <f t="shared" si="125"/>
        <v>1</v>
      </c>
      <c r="DY68" s="430" t="b">
        <f t="shared" si="125"/>
        <v>1</v>
      </c>
      <c r="DZ68" s="430" t="b">
        <f t="shared" si="125"/>
        <v>1</v>
      </c>
      <c r="EA68" s="430" t="b">
        <f t="shared" si="125"/>
        <v>1</v>
      </c>
      <c r="EB68" s="430" t="b">
        <f t="shared" si="125"/>
        <v>1</v>
      </c>
      <c r="EC68" s="244">
        <f t="shared" si="132"/>
        <v>3181396.9205337358</v>
      </c>
      <c r="ED68" s="223">
        <f t="shared" si="97"/>
        <v>0</v>
      </c>
      <c r="EE68" s="223">
        <f t="shared" si="98"/>
        <v>0</v>
      </c>
      <c r="EF68" s="223">
        <f t="shared" si="99"/>
        <v>0</v>
      </c>
      <c r="EG68" s="223">
        <f t="shared" si="100"/>
        <v>-2146.0393285942919</v>
      </c>
      <c r="EH68" s="223">
        <f t="shared" si="101"/>
        <v>-804.20953669761366</v>
      </c>
      <c r="EI68" s="223">
        <f t="shared" si="102"/>
        <v>-717.87722645589383</v>
      </c>
      <c r="EJ68" s="223">
        <f t="shared" si="103"/>
        <v>-546.18211359415727</v>
      </c>
      <c r="EK68" s="223">
        <f t="shared" si="104"/>
        <v>-274.95462934940588</v>
      </c>
      <c r="EL68" s="223">
        <f t="shared" si="105"/>
        <v>111.83291482661298</v>
      </c>
      <c r="EM68" s="223">
        <f t="shared" si="106"/>
        <v>632.41534620411403</v>
      </c>
      <c r="EN68" s="223">
        <f t="shared" si="107"/>
        <v>1307.5265003776731</v>
      </c>
      <c r="EO68" s="223">
        <f t="shared" si="108"/>
        <v>2160.7292315794766</v>
      </c>
      <c r="EP68" s="223">
        <f t="shared" si="109"/>
        <v>3218.7885299023692</v>
      </c>
      <c r="EQ68" s="223">
        <f>CE68-S68</f>
        <v>120607.18889181071</v>
      </c>
      <c r="ER68" s="223">
        <f>CF68-T68</f>
        <v>297667.12680975348</v>
      </c>
      <c r="ES68" s="223">
        <f>CG68-U68</f>
        <v>304679.21430894331</v>
      </c>
      <c r="ET68" s="223">
        <f>CH68-V68</f>
        <v>310315.82927207544</v>
      </c>
      <c r="EU68" s="223">
        <f>CI68-W68</f>
        <v>265556.67237894482</v>
      </c>
      <c r="EV68" s="223">
        <f>CJ68-X68</f>
        <v>322353.97278477321</v>
      </c>
      <c r="EW68" s="223">
        <f>CK68-Y68</f>
        <v>328779.14189430728</v>
      </c>
      <c r="EX68" s="223">
        <f>CL68-Z68</f>
        <v>335491.74555268232</v>
      </c>
      <c r="EY68" s="244">
        <f t="shared" si="133"/>
        <v>2290538.9609100837</v>
      </c>
    </row>
    <row r="69" spans="3:155" x14ac:dyDescent="0.35">
      <c r="C69" s="269"/>
      <c r="D69" s="272" t="s">
        <v>209</v>
      </c>
      <c r="E69" s="243" t="s">
        <v>10</v>
      </c>
      <c r="F69" s="384">
        <f>'[10]Данные для переноса'!F70</f>
        <v>0</v>
      </c>
      <c r="G69" s="384">
        <f>'[10]Данные для переноса'!G70</f>
        <v>0</v>
      </c>
      <c r="H69" s="384">
        <f>'[10]Данные для переноса'!H70</f>
        <v>0</v>
      </c>
      <c r="I69" s="384">
        <f>'[10]Данные для переноса'!I70</f>
        <v>0</v>
      </c>
      <c r="J69" s="384">
        <f>'[10]Данные для переноса'!J70</f>
        <v>0</v>
      </c>
      <c r="K69" s="384">
        <f>'[10]Данные для переноса'!K70</f>
        <v>0</v>
      </c>
      <c r="L69" s="384">
        <f>'[10]Данные для переноса'!L70</f>
        <v>0</v>
      </c>
      <c r="M69" s="384">
        <f>'[10]Данные для переноса'!M70</f>
        <v>0</v>
      </c>
      <c r="N69" s="384">
        <f>'[10]Данные для переноса'!N70</f>
        <v>0</v>
      </c>
      <c r="O69" s="384">
        <f>'[10]Данные для переноса'!O70</f>
        <v>0</v>
      </c>
      <c r="P69" s="384">
        <f>'[10]Данные для переноса'!P70</f>
        <v>0</v>
      </c>
      <c r="Q69" s="384">
        <f>'[10]Данные для переноса'!Q70</f>
        <v>0</v>
      </c>
      <c r="R69" s="384">
        <f>'[10]Данные для переноса'!R70</f>
        <v>0</v>
      </c>
      <c r="S69" s="384">
        <f>'[10]Данные для переноса'!S70</f>
        <v>0</v>
      </c>
      <c r="T69" s="384">
        <f>'[10]Данные для переноса'!T70</f>
        <v>0</v>
      </c>
      <c r="U69" s="384">
        <f>'[10]Данные для переноса'!U70</f>
        <v>0</v>
      </c>
      <c r="V69" s="384">
        <f>'[10]Данные для переноса'!V70</f>
        <v>0</v>
      </c>
      <c r="W69" s="384">
        <f>'[10]Данные для переноса'!W70</f>
        <v>0</v>
      </c>
      <c r="X69" s="384">
        <f>'[10]Данные для переноса'!X70</f>
        <v>0</v>
      </c>
      <c r="Y69" s="384">
        <f>'[10]Данные для переноса'!Y70</f>
        <v>0</v>
      </c>
      <c r="Z69" s="384">
        <f>'[10]Данные для переноса'!Z70</f>
        <v>0</v>
      </c>
      <c r="AA69" s="426"/>
      <c r="AB69" s="426"/>
      <c r="AC69" s="426"/>
      <c r="AD69" s="426"/>
      <c r="AE69" s="426"/>
      <c r="AF69" s="426"/>
      <c r="AG69" s="426"/>
      <c r="AH69" s="426"/>
      <c r="AI69" s="426"/>
      <c r="AJ69" s="426"/>
      <c r="AK69" s="426"/>
      <c r="AL69" s="426"/>
      <c r="AM69" s="426"/>
      <c r="AN69" s="426"/>
      <c r="AO69" s="426"/>
      <c r="AP69" s="426"/>
      <c r="AQ69" s="426"/>
      <c r="AR69" s="426"/>
      <c r="AS69" s="426"/>
      <c r="AT69" s="426"/>
      <c r="AU69" s="426"/>
      <c r="AV69" s="430" t="b">
        <f t="shared" si="124"/>
        <v>1</v>
      </c>
      <c r="AW69" s="430" t="b">
        <f t="shared" si="124"/>
        <v>1</v>
      </c>
      <c r="AX69" s="430" t="b">
        <f t="shared" si="124"/>
        <v>1</v>
      </c>
      <c r="AY69" s="430" t="b">
        <f t="shared" si="124"/>
        <v>1</v>
      </c>
      <c r="AZ69" s="430" t="b">
        <f t="shared" si="124"/>
        <v>1</v>
      </c>
      <c r="BA69" s="430" t="b">
        <f t="shared" si="124"/>
        <v>1</v>
      </c>
      <c r="BB69" s="430" t="b">
        <f t="shared" si="124"/>
        <v>1</v>
      </c>
      <c r="BC69" s="430" t="b">
        <f t="shared" si="124"/>
        <v>1</v>
      </c>
      <c r="BD69" s="430" t="b">
        <f t="shared" si="124"/>
        <v>1</v>
      </c>
      <c r="BE69" s="430" t="b">
        <f t="shared" si="124"/>
        <v>1</v>
      </c>
      <c r="BF69" s="430" t="b">
        <f t="shared" si="124"/>
        <v>1</v>
      </c>
      <c r="BG69" s="430" t="b">
        <f t="shared" si="122"/>
        <v>1</v>
      </c>
      <c r="BH69" s="430" t="b">
        <f t="shared" si="122"/>
        <v>1</v>
      </c>
      <c r="BI69" s="430" t="b">
        <f t="shared" si="122"/>
        <v>1</v>
      </c>
      <c r="BJ69" s="430" t="b">
        <f t="shared" si="122"/>
        <v>1</v>
      </c>
      <c r="BK69" s="430" t="b">
        <f t="shared" si="122"/>
        <v>1</v>
      </c>
      <c r="BL69" s="430" t="b">
        <f t="shared" si="122"/>
        <v>1</v>
      </c>
      <c r="BM69" s="430" t="b">
        <f t="shared" si="122"/>
        <v>1</v>
      </c>
      <c r="BN69" s="430" t="b">
        <f t="shared" si="122"/>
        <v>1</v>
      </c>
      <c r="BO69" s="430" t="b">
        <f t="shared" si="122"/>
        <v>1</v>
      </c>
      <c r="BP69" s="430" t="b">
        <f t="shared" si="122"/>
        <v>1</v>
      </c>
      <c r="BQ69" s="244">
        <f t="shared" si="131"/>
        <v>0</v>
      </c>
      <c r="BR69" s="247">
        <f>'[10]Данные для переноса'!AB70</f>
        <v>0</v>
      </c>
      <c r="BS69" s="247">
        <f>'[10]Данные для переноса'!AC70</f>
        <v>0</v>
      </c>
      <c r="BT69" s="247">
        <f>'[10]Данные для переноса'!AD70</f>
        <v>0</v>
      </c>
      <c r="BU69" s="247">
        <f>'[10]Данные для переноса'!AE70</f>
        <v>0</v>
      </c>
      <c r="BV69" s="247">
        <f>'[10]Данные для переноса'!AF70</f>
        <v>0</v>
      </c>
      <c r="BW69" s="247">
        <f>'[10]Данные для переноса'!AG70</f>
        <v>0</v>
      </c>
      <c r="BX69" s="247">
        <f>'[10]Данные для переноса'!AH70</f>
        <v>0</v>
      </c>
      <c r="BY69" s="247">
        <f>'[10]Данные для переноса'!AI70</f>
        <v>0</v>
      </c>
      <c r="BZ69" s="247">
        <f>'[10]Данные для переноса'!AJ70</f>
        <v>0</v>
      </c>
      <c r="CA69" s="247">
        <f>'[10]Данные для переноса'!AK70</f>
        <v>0</v>
      </c>
      <c r="CB69" s="247">
        <f>'[10]Данные для переноса'!AL70</f>
        <v>0</v>
      </c>
      <c r="CC69" s="247">
        <f>'[10]Данные для переноса'!AM70</f>
        <v>0</v>
      </c>
      <c r="CD69" s="247">
        <f>'[10]Данные для переноса'!AN70</f>
        <v>0</v>
      </c>
      <c r="CE69" s="247">
        <f>'[10]Данные для переноса'!AO70</f>
        <v>0</v>
      </c>
      <c r="CF69" s="247">
        <f>'[10]Данные для переноса'!AP70</f>
        <v>0</v>
      </c>
      <c r="CG69" s="247">
        <f>'[10]Данные для переноса'!AQ70</f>
        <v>0</v>
      </c>
      <c r="CH69" s="247">
        <f>'[10]Данные для переноса'!AR70</f>
        <v>0</v>
      </c>
      <c r="CI69" s="247">
        <f>'[10]Данные для переноса'!AS70</f>
        <v>0</v>
      </c>
      <c r="CJ69" s="247">
        <f>'[10]Данные для переноса'!AT70</f>
        <v>0</v>
      </c>
      <c r="CK69" s="247">
        <f>'[10]Данные для переноса'!AU70</f>
        <v>0</v>
      </c>
      <c r="CL69" s="247">
        <f>'[10]Данные для переноса'!AV70</f>
        <v>0</v>
      </c>
      <c r="CM69" s="426"/>
      <c r="CN69" s="426"/>
      <c r="CO69" s="426"/>
      <c r="CP69" s="426"/>
      <c r="CQ69" s="426"/>
      <c r="CR69" s="426"/>
      <c r="CS69" s="426"/>
      <c r="CT69" s="426"/>
      <c r="CU69" s="426"/>
      <c r="CV69" s="426"/>
      <c r="CW69" s="426"/>
      <c r="CX69" s="426"/>
      <c r="CY69" s="426"/>
      <c r="CZ69" s="426"/>
      <c r="DA69" s="426"/>
      <c r="DB69" s="426"/>
      <c r="DC69" s="426"/>
      <c r="DD69" s="426"/>
      <c r="DE69" s="426"/>
      <c r="DF69" s="426"/>
      <c r="DG69" s="426"/>
      <c r="DH69" s="430" t="b">
        <f t="shared" si="123"/>
        <v>1</v>
      </c>
      <c r="DI69" s="430" t="b">
        <f t="shared" si="123"/>
        <v>1</v>
      </c>
      <c r="DJ69" s="430" t="b">
        <f t="shared" si="123"/>
        <v>1</v>
      </c>
      <c r="DK69" s="430" t="b">
        <f t="shared" si="123"/>
        <v>1</v>
      </c>
      <c r="DL69" s="430" t="b">
        <f t="shared" si="123"/>
        <v>1</v>
      </c>
      <c r="DM69" s="430" t="b">
        <f t="shared" si="123"/>
        <v>1</v>
      </c>
      <c r="DN69" s="430" t="b">
        <f t="shared" si="123"/>
        <v>1</v>
      </c>
      <c r="DO69" s="430" t="b">
        <f t="shared" si="123"/>
        <v>1</v>
      </c>
      <c r="DP69" s="430" t="b">
        <f t="shared" si="123"/>
        <v>1</v>
      </c>
      <c r="DQ69" s="430" t="b">
        <f t="shared" si="123"/>
        <v>1</v>
      </c>
      <c r="DR69" s="430" t="b">
        <f t="shared" si="123"/>
        <v>1</v>
      </c>
      <c r="DS69" s="430" t="b">
        <f t="shared" si="125"/>
        <v>1</v>
      </c>
      <c r="DT69" s="430" t="b">
        <f t="shared" si="125"/>
        <v>1</v>
      </c>
      <c r="DU69" s="430" t="b">
        <f t="shared" si="125"/>
        <v>1</v>
      </c>
      <c r="DV69" s="430" t="b">
        <f t="shared" si="125"/>
        <v>1</v>
      </c>
      <c r="DW69" s="430" t="b">
        <f t="shared" si="125"/>
        <v>1</v>
      </c>
      <c r="DX69" s="430" t="b">
        <f t="shared" si="125"/>
        <v>1</v>
      </c>
      <c r="DY69" s="430" t="b">
        <f t="shared" si="125"/>
        <v>1</v>
      </c>
      <c r="DZ69" s="430" t="b">
        <f t="shared" si="125"/>
        <v>1</v>
      </c>
      <c r="EA69" s="430" t="b">
        <f t="shared" si="125"/>
        <v>1</v>
      </c>
      <c r="EB69" s="430" t="b">
        <f t="shared" si="125"/>
        <v>1</v>
      </c>
      <c r="EC69" s="244">
        <f t="shared" si="132"/>
        <v>0</v>
      </c>
      <c r="ED69" s="223">
        <f t="shared" si="97"/>
        <v>0</v>
      </c>
      <c r="EE69" s="223">
        <f t="shared" si="98"/>
        <v>0</v>
      </c>
      <c r="EF69" s="223">
        <f t="shared" si="99"/>
        <v>0</v>
      </c>
      <c r="EG69" s="223">
        <f t="shared" si="100"/>
        <v>0</v>
      </c>
      <c r="EH69" s="223">
        <f t="shared" si="101"/>
        <v>0</v>
      </c>
      <c r="EI69" s="223">
        <f t="shared" si="102"/>
        <v>0</v>
      </c>
      <c r="EJ69" s="223">
        <f t="shared" si="103"/>
        <v>0</v>
      </c>
      <c r="EK69" s="223">
        <f t="shared" si="104"/>
        <v>0</v>
      </c>
      <c r="EL69" s="223">
        <f t="shared" si="105"/>
        <v>0</v>
      </c>
      <c r="EM69" s="223">
        <f t="shared" si="106"/>
        <v>0</v>
      </c>
      <c r="EN69" s="223">
        <f t="shared" si="107"/>
        <v>0</v>
      </c>
      <c r="EO69" s="223">
        <f t="shared" si="108"/>
        <v>0</v>
      </c>
      <c r="EP69" s="223">
        <f t="shared" si="109"/>
        <v>0</v>
      </c>
      <c r="EQ69" s="223">
        <f>CE69-S69</f>
        <v>0</v>
      </c>
      <c r="ER69" s="223">
        <f>CF69-T69</f>
        <v>0</v>
      </c>
      <c r="ES69" s="223">
        <f>CG69-U69</f>
        <v>0</v>
      </c>
      <c r="ET69" s="223">
        <f>CH69-V69</f>
        <v>0</v>
      </c>
      <c r="EU69" s="223">
        <f>CI69-W69</f>
        <v>0</v>
      </c>
      <c r="EV69" s="223">
        <f>CJ69-X69</f>
        <v>0</v>
      </c>
      <c r="EW69" s="223">
        <f>CK69-Y69</f>
        <v>0</v>
      </c>
      <c r="EX69" s="223">
        <f>CL69-Z69</f>
        <v>0</v>
      </c>
      <c r="EY69" s="244">
        <f t="shared" si="133"/>
        <v>0</v>
      </c>
    </row>
    <row r="70" spans="3:155" x14ac:dyDescent="0.35">
      <c r="C70" s="269"/>
      <c r="D70" s="272" t="s">
        <v>210</v>
      </c>
      <c r="E70" s="243" t="s">
        <v>10</v>
      </c>
      <c r="F70" s="384">
        <f>'[10]Данные для переноса'!F71</f>
        <v>0</v>
      </c>
      <c r="G70" s="384">
        <f>'[10]Данные для переноса'!G71</f>
        <v>0</v>
      </c>
      <c r="H70" s="384">
        <f>'[10]Данные для переноса'!H71</f>
        <v>0</v>
      </c>
      <c r="I70" s="384">
        <f>'[10]Данные для переноса'!I71</f>
        <v>0</v>
      </c>
      <c r="J70" s="384">
        <f>'[10]Данные для переноса'!J71</f>
        <v>0</v>
      </c>
      <c r="K70" s="384">
        <f>'[10]Данные для переноса'!K71</f>
        <v>0</v>
      </c>
      <c r="L70" s="384">
        <f>'[10]Данные для переноса'!L71</f>
        <v>0</v>
      </c>
      <c r="M70" s="384">
        <f>'[10]Данные для переноса'!M71</f>
        <v>0</v>
      </c>
      <c r="N70" s="384">
        <f>'[10]Данные для переноса'!N71</f>
        <v>0</v>
      </c>
      <c r="O70" s="384">
        <f>'[10]Данные для переноса'!O71</f>
        <v>0</v>
      </c>
      <c r="P70" s="384">
        <f>'[10]Данные для переноса'!P71</f>
        <v>0</v>
      </c>
      <c r="Q70" s="384">
        <f>'[10]Данные для переноса'!Q71</f>
        <v>0</v>
      </c>
      <c r="R70" s="384">
        <f>'[10]Данные для переноса'!R71</f>
        <v>0</v>
      </c>
      <c r="S70" s="384">
        <f>'[10]Данные для переноса'!S71</f>
        <v>0</v>
      </c>
      <c r="T70" s="384">
        <f>'[10]Данные для переноса'!T71</f>
        <v>0</v>
      </c>
      <c r="U70" s="384">
        <f>'[10]Данные для переноса'!U71</f>
        <v>0</v>
      </c>
      <c r="V70" s="384">
        <f>'[10]Данные для переноса'!V71</f>
        <v>0</v>
      </c>
      <c r="W70" s="384">
        <f>'[10]Данные для переноса'!W71</f>
        <v>0</v>
      </c>
      <c r="X70" s="384">
        <f>'[10]Данные для переноса'!X71</f>
        <v>0</v>
      </c>
      <c r="Y70" s="384">
        <f>'[10]Данные для переноса'!Y71</f>
        <v>0</v>
      </c>
      <c r="Z70" s="384">
        <f>'[10]Данные для переноса'!Z71</f>
        <v>0</v>
      </c>
      <c r="AA70" s="426"/>
      <c r="AB70" s="426"/>
      <c r="AC70" s="426"/>
      <c r="AD70" s="426"/>
      <c r="AE70" s="426"/>
      <c r="AF70" s="426"/>
      <c r="AG70" s="426"/>
      <c r="AH70" s="426"/>
      <c r="AI70" s="426"/>
      <c r="AJ70" s="426"/>
      <c r="AK70" s="426"/>
      <c r="AL70" s="426"/>
      <c r="AM70" s="426"/>
      <c r="AN70" s="426"/>
      <c r="AO70" s="426"/>
      <c r="AP70" s="426"/>
      <c r="AQ70" s="426"/>
      <c r="AR70" s="426"/>
      <c r="AS70" s="426"/>
      <c r="AT70" s="426"/>
      <c r="AU70" s="426"/>
      <c r="AV70" s="430" t="b">
        <f t="shared" si="124"/>
        <v>1</v>
      </c>
      <c r="AW70" s="430" t="b">
        <f t="shared" si="124"/>
        <v>1</v>
      </c>
      <c r="AX70" s="430" t="b">
        <f t="shared" si="124"/>
        <v>1</v>
      </c>
      <c r="AY70" s="430" t="b">
        <f t="shared" si="124"/>
        <v>1</v>
      </c>
      <c r="AZ70" s="430" t="b">
        <f t="shared" si="124"/>
        <v>1</v>
      </c>
      <c r="BA70" s="430" t="b">
        <f t="shared" si="124"/>
        <v>1</v>
      </c>
      <c r="BB70" s="430" t="b">
        <f t="shared" si="124"/>
        <v>1</v>
      </c>
      <c r="BC70" s="430" t="b">
        <f t="shared" si="124"/>
        <v>1</v>
      </c>
      <c r="BD70" s="430" t="b">
        <f t="shared" si="124"/>
        <v>1</v>
      </c>
      <c r="BE70" s="430" t="b">
        <f t="shared" si="124"/>
        <v>1</v>
      </c>
      <c r="BF70" s="430" t="b">
        <f t="shared" si="124"/>
        <v>1</v>
      </c>
      <c r="BG70" s="430" t="b">
        <f t="shared" si="122"/>
        <v>1</v>
      </c>
      <c r="BH70" s="430" t="b">
        <f t="shared" si="122"/>
        <v>1</v>
      </c>
      <c r="BI70" s="430" t="b">
        <f t="shared" si="122"/>
        <v>1</v>
      </c>
      <c r="BJ70" s="430" t="b">
        <f t="shared" si="122"/>
        <v>1</v>
      </c>
      <c r="BK70" s="430" t="b">
        <f t="shared" si="122"/>
        <v>1</v>
      </c>
      <c r="BL70" s="430" t="b">
        <f t="shared" si="122"/>
        <v>1</v>
      </c>
      <c r="BM70" s="430" t="b">
        <f t="shared" si="122"/>
        <v>1</v>
      </c>
      <c r="BN70" s="430" t="b">
        <f t="shared" si="122"/>
        <v>1</v>
      </c>
      <c r="BO70" s="430" t="b">
        <f t="shared" si="122"/>
        <v>1</v>
      </c>
      <c r="BP70" s="430" t="b">
        <f t="shared" si="122"/>
        <v>1</v>
      </c>
      <c r="BQ70" s="244">
        <f t="shared" si="131"/>
        <v>0</v>
      </c>
      <c r="BR70" s="247">
        <f>'[10]Данные для переноса'!AB71</f>
        <v>0</v>
      </c>
      <c r="BS70" s="247">
        <f>'[10]Данные для переноса'!AC71</f>
        <v>0</v>
      </c>
      <c r="BT70" s="247">
        <f>'[10]Данные для переноса'!AD71</f>
        <v>0</v>
      </c>
      <c r="BU70" s="247">
        <f>'[10]Данные для переноса'!AE71</f>
        <v>0</v>
      </c>
      <c r="BV70" s="247">
        <f>'[10]Данные для переноса'!AF71</f>
        <v>0</v>
      </c>
      <c r="BW70" s="247">
        <f>'[10]Данные для переноса'!AG71</f>
        <v>0</v>
      </c>
      <c r="BX70" s="247">
        <f>'[10]Данные для переноса'!AH71</f>
        <v>0</v>
      </c>
      <c r="BY70" s="247">
        <f>'[10]Данные для переноса'!AI71</f>
        <v>0</v>
      </c>
      <c r="BZ70" s="247">
        <f>'[10]Данные для переноса'!AJ71</f>
        <v>0</v>
      </c>
      <c r="CA70" s="247">
        <f>'[10]Данные для переноса'!AK71</f>
        <v>0</v>
      </c>
      <c r="CB70" s="247">
        <f>'[10]Данные для переноса'!AL71</f>
        <v>0</v>
      </c>
      <c r="CC70" s="247">
        <f>'[10]Данные для переноса'!AM71</f>
        <v>0</v>
      </c>
      <c r="CD70" s="247">
        <f>'[10]Данные для переноса'!AN71</f>
        <v>0</v>
      </c>
      <c r="CE70" s="247">
        <f>'[10]Данные для переноса'!AO71</f>
        <v>0</v>
      </c>
      <c r="CF70" s="247">
        <f>'[10]Данные для переноса'!AP71</f>
        <v>0</v>
      </c>
      <c r="CG70" s="247">
        <f>'[10]Данные для переноса'!AQ71</f>
        <v>0</v>
      </c>
      <c r="CH70" s="247">
        <f>'[10]Данные для переноса'!AR71</f>
        <v>0</v>
      </c>
      <c r="CI70" s="247">
        <f>'[10]Данные для переноса'!AS71</f>
        <v>0</v>
      </c>
      <c r="CJ70" s="247">
        <f>'[10]Данные для переноса'!AT71</f>
        <v>0</v>
      </c>
      <c r="CK70" s="247">
        <f>'[10]Данные для переноса'!AU71</f>
        <v>0</v>
      </c>
      <c r="CL70" s="247">
        <f>'[10]Данные для переноса'!AV71</f>
        <v>0</v>
      </c>
      <c r="CM70" s="426"/>
      <c r="CN70" s="426"/>
      <c r="CO70" s="426"/>
      <c r="CP70" s="426"/>
      <c r="CQ70" s="426"/>
      <c r="CR70" s="426"/>
      <c r="CS70" s="426"/>
      <c r="CT70" s="426"/>
      <c r="CU70" s="426"/>
      <c r="CV70" s="426"/>
      <c r="CW70" s="426"/>
      <c r="CX70" s="426"/>
      <c r="CY70" s="426"/>
      <c r="CZ70" s="426"/>
      <c r="DA70" s="426"/>
      <c r="DB70" s="426"/>
      <c r="DC70" s="426"/>
      <c r="DD70" s="426"/>
      <c r="DE70" s="426"/>
      <c r="DF70" s="426"/>
      <c r="DG70" s="426"/>
      <c r="DH70" s="430" t="b">
        <f t="shared" si="123"/>
        <v>1</v>
      </c>
      <c r="DI70" s="430" t="b">
        <f t="shared" si="123"/>
        <v>1</v>
      </c>
      <c r="DJ70" s="430" t="b">
        <f t="shared" si="123"/>
        <v>1</v>
      </c>
      <c r="DK70" s="430" t="b">
        <f t="shared" si="123"/>
        <v>1</v>
      </c>
      <c r="DL70" s="430" t="b">
        <f t="shared" si="123"/>
        <v>1</v>
      </c>
      <c r="DM70" s="430" t="b">
        <f t="shared" si="123"/>
        <v>1</v>
      </c>
      <c r="DN70" s="430" t="b">
        <f t="shared" si="123"/>
        <v>1</v>
      </c>
      <c r="DO70" s="430" t="b">
        <f t="shared" si="123"/>
        <v>1</v>
      </c>
      <c r="DP70" s="430" t="b">
        <f t="shared" si="123"/>
        <v>1</v>
      </c>
      <c r="DQ70" s="430" t="b">
        <f t="shared" si="123"/>
        <v>1</v>
      </c>
      <c r="DR70" s="430" t="b">
        <f t="shared" si="123"/>
        <v>1</v>
      </c>
      <c r="DS70" s="430" t="b">
        <f t="shared" si="125"/>
        <v>1</v>
      </c>
      <c r="DT70" s="430" t="b">
        <f t="shared" si="125"/>
        <v>1</v>
      </c>
      <c r="DU70" s="430" t="b">
        <f t="shared" si="125"/>
        <v>1</v>
      </c>
      <c r="DV70" s="430" t="b">
        <f t="shared" si="125"/>
        <v>1</v>
      </c>
      <c r="DW70" s="430" t="b">
        <f t="shared" si="125"/>
        <v>1</v>
      </c>
      <c r="DX70" s="430" t="b">
        <f t="shared" si="125"/>
        <v>1</v>
      </c>
      <c r="DY70" s="430" t="b">
        <f t="shared" si="125"/>
        <v>1</v>
      </c>
      <c r="DZ70" s="430" t="b">
        <f t="shared" si="125"/>
        <v>1</v>
      </c>
      <c r="EA70" s="430" t="b">
        <f t="shared" si="125"/>
        <v>1</v>
      </c>
      <c r="EB70" s="430" t="b">
        <f t="shared" si="125"/>
        <v>1</v>
      </c>
      <c r="EC70" s="244">
        <f t="shared" si="132"/>
        <v>0</v>
      </c>
      <c r="ED70" s="223">
        <f t="shared" si="97"/>
        <v>0</v>
      </c>
      <c r="EE70" s="223">
        <f t="shared" si="98"/>
        <v>0</v>
      </c>
      <c r="EF70" s="223">
        <f t="shared" si="99"/>
        <v>0</v>
      </c>
      <c r="EG70" s="223">
        <f t="shared" si="100"/>
        <v>0</v>
      </c>
      <c r="EH70" s="223">
        <f t="shared" si="101"/>
        <v>0</v>
      </c>
      <c r="EI70" s="223">
        <f t="shared" si="102"/>
        <v>0</v>
      </c>
      <c r="EJ70" s="223">
        <f t="shared" si="103"/>
        <v>0</v>
      </c>
      <c r="EK70" s="223">
        <f t="shared" si="104"/>
        <v>0</v>
      </c>
      <c r="EL70" s="223">
        <f t="shared" si="105"/>
        <v>0</v>
      </c>
      <c r="EM70" s="223">
        <f t="shared" si="106"/>
        <v>0</v>
      </c>
      <c r="EN70" s="223">
        <f t="shared" si="107"/>
        <v>0</v>
      </c>
      <c r="EO70" s="223">
        <f t="shared" si="108"/>
        <v>0</v>
      </c>
      <c r="EP70" s="223">
        <f t="shared" si="109"/>
        <v>0</v>
      </c>
      <c r="EQ70" s="223">
        <f>CE70-S70</f>
        <v>0</v>
      </c>
      <c r="ER70" s="223">
        <f>CF70-T70</f>
        <v>0</v>
      </c>
      <c r="ES70" s="223">
        <f>CG70-U70</f>
        <v>0</v>
      </c>
      <c r="ET70" s="223">
        <f>CH70-V70</f>
        <v>0</v>
      </c>
      <c r="EU70" s="223">
        <f>CI70-W70</f>
        <v>0</v>
      </c>
      <c r="EV70" s="223">
        <f>CJ70-X70</f>
        <v>0</v>
      </c>
      <c r="EW70" s="223">
        <f>CK70-Y70</f>
        <v>0</v>
      </c>
      <c r="EX70" s="223">
        <f>CL70-Z70</f>
        <v>0</v>
      </c>
      <c r="EY70" s="244">
        <f t="shared" si="133"/>
        <v>0</v>
      </c>
    </row>
    <row r="71" spans="3:155" x14ac:dyDescent="0.35">
      <c r="C71" s="269">
        <f>C67+1</f>
        <v>44</v>
      </c>
      <c r="D71" s="270" t="s">
        <v>107</v>
      </c>
      <c r="E71" s="243" t="s">
        <v>10</v>
      </c>
      <c r="F71" s="384">
        <f>'[10]Данные для переноса'!F72</f>
        <v>111941.94367051781</v>
      </c>
      <c r="G71" s="384">
        <f>'[10]Данные для переноса'!G72</f>
        <v>128805.58625912273</v>
      </c>
      <c r="H71" s="384">
        <f>'[10]Данные для переноса'!H72</f>
        <v>185242.2862504528</v>
      </c>
      <c r="I71" s="384">
        <f>'[10]Данные для переноса'!I72</f>
        <v>0</v>
      </c>
      <c r="J71" s="384">
        <f>'[10]Данные для переноса'!J72</f>
        <v>0</v>
      </c>
      <c r="K71" s="384">
        <f>'[10]Данные для переноса'!K72</f>
        <v>0</v>
      </c>
      <c r="L71" s="384">
        <f>'[10]Данные для переноса'!L72</f>
        <v>0</v>
      </c>
      <c r="M71" s="384">
        <f>'[10]Данные для переноса'!M72</f>
        <v>0</v>
      </c>
      <c r="N71" s="384">
        <f>'[10]Данные для переноса'!N72</f>
        <v>0</v>
      </c>
      <c r="O71" s="384">
        <f>'[10]Данные для переноса'!O72</f>
        <v>0</v>
      </c>
      <c r="P71" s="384">
        <f>'[10]Данные для переноса'!P72</f>
        <v>0</v>
      </c>
      <c r="Q71" s="384">
        <f>'[10]Данные для переноса'!Q72</f>
        <v>0</v>
      </c>
      <c r="R71" s="384">
        <f>'[10]Данные для переноса'!R72</f>
        <v>0</v>
      </c>
      <c r="S71" s="384">
        <f>'[10]Данные для переноса'!S72</f>
        <v>0</v>
      </c>
      <c r="T71" s="384">
        <f>'[10]Данные для переноса'!T72</f>
        <v>0</v>
      </c>
      <c r="U71" s="384">
        <f>'[10]Данные для переноса'!U72</f>
        <v>0</v>
      </c>
      <c r="V71" s="384">
        <f>'[10]Данные для переноса'!V72</f>
        <v>0</v>
      </c>
      <c r="W71" s="384">
        <f>'[10]Данные для переноса'!W72</f>
        <v>0</v>
      </c>
      <c r="X71" s="384">
        <f>'[10]Данные для переноса'!X72</f>
        <v>0</v>
      </c>
      <c r="Y71" s="384">
        <f>'[10]Данные для переноса'!Y72</f>
        <v>0</v>
      </c>
      <c r="Z71" s="384">
        <f>'[10]Данные для переноса'!Z72</f>
        <v>0</v>
      </c>
      <c r="AA71" s="426">
        <v>111941.94367051781</v>
      </c>
      <c r="AB71" s="426">
        <v>128805.58625912273</v>
      </c>
      <c r="AC71" s="426">
        <v>185242.2862504528</v>
      </c>
      <c r="AD71" s="426">
        <v>0</v>
      </c>
      <c r="AE71" s="426">
        <v>0</v>
      </c>
      <c r="AF71" s="426">
        <v>0</v>
      </c>
      <c r="AG71" s="426">
        <v>0</v>
      </c>
      <c r="AH71" s="426">
        <v>0</v>
      </c>
      <c r="AI71" s="426">
        <v>0</v>
      </c>
      <c r="AJ71" s="426">
        <v>0</v>
      </c>
      <c r="AK71" s="426">
        <v>0</v>
      </c>
      <c r="AL71" s="426">
        <v>0</v>
      </c>
      <c r="AM71" s="426">
        <v>0</v>
      </c>
      <c r="AN71" s="426">
        <v>0</v>
      </c>
      <c r="AO71" s="426">
        <v>0</v>
      </c>
      <c r="AP71" s="426">
        <v>0</v>
      </c>
      <c r="AQ71" s="426">
        <v>0</v>
      </c>
      <c r="AR71" s="426">
        <v>0</v>
      </c>
      <c r="AS71" s="426">
        <v>0</v>
      </c>
      <c r="AT71" s="426">
        <v>0</v>
      </c>
      <c r="AU71" s="426">
        <v>0</v>
      </c>
      <c r="AV71" s="430" t="b">
        <f t="shared" si="124"/>
        <v>1</v>
      </c>
      <c r="AW71" s="430" t="b">
        <f t="shared" si="124"/>
        <v>1</v>
      </c>
      <c r="AX71" s="430" t="b">
        <f t="shared" si="124"/>
        <v>1</v>
      </c>
      <c r="AY71" s="430" t="b">
        <f t="shared" si="124"/>
        <v>1</v>
      </c>
      <c r="AZ71" s="430" t="b">
        <f t="shared" si="124"/>
        <v>1</v>
      </c>
      <c r="BA71" s="430" t="b">
        <f t="shared" si="124"/>
        <v>1</v>
      </c>
      <c r="BB71" s="430" t="b">
        <f t="shared" si="124"/>
        <v>1</v>
      </c>
      <c r="BC71" s="430" t="b">
        <f t="shared" si="124"/>
        <v>1</v>
      </c>
      <c r="BD71" s="430" t="b">
        <f t="shared" si="124"/>
        <v>1</v>
      </c>
      <c r="BE71" s="430" t="b">
        <f t="shared" si="124"/>
        <v>1</v>
      </c>
      <c r="BF71" s="430" t="b">
        <f t="shared" si="124"/>
        <v>1</v>
      </c>
      <c r="BG71" s="430" t="b">
        <f t="shared" si="122"/>
        <v>1</v>
      </c>
      <c r="BH71" s="430" t="b">
        <f t="shared" si="122"/>
        <v>1</v>
      </c>
      <c r="BI71" s="430" t="b">
        <f t="shared" si="122"/>
        <v>1</v>
      </c>
      <c r="BJ71" s="430" t="b">
        <f t="shared" si="122"/>
        <v>1</v>
      </c>
      <c r="BK71" s="430" t="b">
        <f t="shared" si="122"/>
        <v>1</v>
      </c>
      <c r="BL71" s="430" t="b">
        <f t="shared" si="122"/>
        <v>1</v>
      </c>
      <c r="BM71" s="430" t="b">
        <f t="shared" si="122"/>
        <v>1</v>
      </c>
      <c r="BN71" s="430" t="b">
        <f t="shared" si="122"/>
        <v>1</v>
      </c>
      <c r="BO71" s="430" t="b">
        <f t="shared" si="122"/>
        <v>1</v>
      </c>
      <c r="BP71" s="430" t="b">
        <f t="shared" si="122"/>
        <v>1</v>
      </c>
      <c r="BQ71" s="244">
        <f t="shared" si="131"/>
        <v>0</v>
      </c>
      <c r="BR71" s="247">
        <f>'[10]Данные для переноса'!AB72</f>
        <v>111941.94367051781</v>
      </c>
      <c r="BS71" s="247">
        <f>'[10]Данные для переноса'!AC72</f>
        <v>128805.58625912273</v>
      </c>
      <c r="BT71" s="247">
        <f>'[10]Данные для переноса'!AD72</f>
        <v>185242.2862504528</v>
      </c>
      <c r="BU71" s="247">
        <f>'[10]Данные для переноса'!AE72</f>
        <v>0</v>
      </c>
      <c r="BV71" s="247">
        <f>'[10]Данные для переноса'!AF72</f>
        <v>0</v>
      </c>
      <c r="BW71" s="247">
        <f>'[10]Данные для переноса'!AG72</f>
        <v>0</v>
      </c>
      <c r="BX71" s="247">
        <f>'[10]Данные для переноса'!AH72</f>
        <v>0</v>
      </c>
      <c r="BY71" s="247">
        <f>'[10]Данные для переноса'!AI72</f>
        <v>0</v>
      </c>
      <c r="BZ71" s="247">
        <f>'[10]Данные для переноса'!AJ72</f>
        <v>0</v>
      </c>
      <c r="CA71" s="247">
        <f>'[10]Данные для переноса'!AK72</f>
        <v>0</v>
      </c>
      <c r="CB71" s="247">
        <f>'[10]Данные для переноса'!AL72</f>
        <v>0</v>
      </c>
      <c r="CC71" s="247">
        <f>'[10]Данные для переноса'!AM72</f>
        <v>0</v>
      </c>
      <c r="CD71" s="247">
        <f>'[10]Данные для переноса'!AN72</f>
        <v>0</v>
      </c>
      <c r="CE71" s="247">
        <f>'[10]Данные для переноса'!AO72</f>
        <v>1870.0979966664288</v>
      </c>
      <c r="CF71" s="247">
        <f>'[10]Данные для переноса'!AP72</f>
        <v>1870.0979966664288</v>
      </c>
      <c r="CG71" s="247">
        <f>'[10]Данные для переноса'!AQ72</f>
        <v>0</v>
      </c>
      <c r="CH71" s="247">
        <f>'[10]Данные для переноса'!AR72</f>
        <v>0</v>
      </c>
      <c r="CI71" s="247">
        <f>'[10]Данные для переноса'!AS72</f>
        <v>0</v>
      </c>
      <c r="CJ71" s="247">
        <f>'[10]Данные для переноса'!AT72</f>
        <v>0</v>
      </c>
      <c r="CK71" s="247">
        <f>'[10]Данные для переноса'!AU72</f>
        <v>0</v>
      </c>
      <c r="CL71" s="247">
        <f>'[10]Данные для переноса'!AV72</f>
        <v>0</v>
      </c>
      <c r="CM71" s="426">
        <v>111941.94367051781</v>
      </c>
      <c r="CN71" s="426">
        <v>128805.58625912273</v>
      </c>
      <c r="CO71" s="426">
        <v>185242.2862504528</v>
      </c>
      <c r="CP71" s="426">
        <v>0</v>
      </c>
      <c r="CQ71" s="426">
        <v>0</v>
      </c>
      <c r="CR71" s="426">
        <v>0</v>
      </c>
      <c r="CS71" s="426">
        <v>0</v>
      </c>
      <c r="CT71" s="426">
        <v>0</v>
      </c>
      <c r="CU71" s="426">
        <v>0</v>
      </c>
      <c r="CV71" s="426">
        <v>0</v>
      </c>
      <c r="CW71" s="426">
        <v>0</v>
      </c>
      <c r="CX71" s="426">
        <v>0</v>
      </c>
      <c r="CY71" s="426">
        <v>0</v>
      </c>
      <c r="CZ71" s="426">
        <v>1870.0979966664288</v>
      </c>
      <c r="DA71" s="426">
        <v>1870.0979966664288</v>
      </c>
      <c r="DB71" s="426">
        <v>0</v>
      </c>
      <c r="DC71" s="426">
        <v>0</v>
      </c>
      <c r="DD71" s="426">
        <v>0</v>
      </c>
      <c r="DE71" s="426">
        <v>0</v>
      </c>
      <c r="DF71" s="426">
        <v>0</v>
      </c>
      <c r="DG71" s="426">
        <v>0</v>
      </c>
      <c r="DH71" s="430" t="b">
        <f t="shared" si="123"/>
        <v>1</v>
      </c>
      <c r="DI71" s="430" t="b">
        <f t="shared" si="123"/>
        <v>1</v>
      </c>
      <c r="DJ71" s="430" t="b">
        <f t="shared" si="123"/>
        <v>1</v>
      </c>
      <c r="DK71" s="430" t="b">
        <f t="shared" si="123"/>
        <v>1</v>
      </c>
      <c r="DL71" s="430" t="b">
        <f t="shared" si="123"/>
        <v>1</v>
      </c>
      <c r="DM71" s="430" t="b">
        <f t="shared" si="123"/>
        <v>1</v>
      </c>
      <c r="DN71" s="430" t="b">
        <f t="shared" si="123"/>
        <v>1</v>
      </c>
      <c r="DO71" s="430" t="b">
        <f t="shared" si="123"/>
        <v>1</v>
      </c>
      <c r="DP71" s="430" t="b">
        <f t="shared" ref="DH71:DR110" si="134">CU71=BZ71</f>
        <v>1</v>
      </c>
      <c r="DQ71" s="430" t="b">
        <f t="shared" si="134"/>
        <v>1</v>
      </c>
      <c r="DR71" s="430" t="b">
        <f t="shared" si="134"/>
        <v>1</v>
      </c>
      <c r="DS71" s="430" t="b">
        <f t="shared" si="125"/>
        <v>1</v>
      </c>
      <c r="DT71" s="430" t="b">
        <f t="shared" si="125"/>
        <v>1</v>
      </c>
      <c r="DU71" s="430" t="b">
        <f t="shared" si="125"/>
        <v>1</v>
      </c>
      <c r="DV71" s="430" t="b">
        <f t="shared" si="125"/>
        <v>1</v>
      </c>
      <c r="DW71" s="430" t="b">
        <f t="shared" si="125"/>
        <v>1</v>
      </c>
      <c r="DX71" s="430" t="b">
        <f t="shared" si="125"/>
        <v>1</v>
      </c>
      <c r="DY71" s="430" t="b">
        <f t="shared" si="125"/>
        <v>1</v>
      </c>
      <c r="DZ71" s="430" t="b">
        <f t="shared" si="125"/>
        <v>1</v>
      </c>
      <c r="EA71" s="430" t="b">
        <f t="shared" si="125"/>
        <v>1</v>
      </c>
      <c r="EB71" s="430" t="b">
        <f t="shared" si="125"/>
        <v>1</v>
      </c>
      <c r="EC71" s="244">
        <f t="shared" si="132"/>
        <v>3740.1959933328576</v>
      </c>
      <c r="ED71" s="223">
        <f t="shared" si="97"/>
        <v>0</v>
      </c>
      <c r="EE71" s="223">
        <f t="shared" si="98"/>
        <v>0</v>
      </c>
      <c r="EF71" s="223">
        <f t="shared" si="99"/>
        <v>0</v>
      </c>
      <c r="EG71" s="223">
        <f t="shared" si="100"/>
        <v>0</v>
      </c>
      <c r="EH71" s="223">
        <f t="shared" si="101"/>
        <v>0</v>
      </c>
      <c r="EI71" s="223">
        <f t="shared" si="102"/>
        <v>0</v>
      </c>
      <c r="EJ71" s="223">
        <f t="shared" si="103"/>
        <v>0</v>
      </c>
      <c r="EK71" s="223">
        <f t="shared" si="104"/>
        <v>0</v>
      </c>
      <c r="EL71" s="223">
        <f t="shared" si="105"/>
        <v>0</v>
      </c>
      <c r="EM71" s="223">
        <f t="shared" si="106"/>
        <v>0</v>
      </c>
      <c r="EN71" s="223">
        <f t="shared" si="107"/>
        <v>0</v>
      </c>
      <c r="EO71" s="223">
        <f t="shared" si="108"/>
        <v>0</v>
      </c>
      <c r="EP71" s="223">
        <f t="shared" si="109"/>
        <v>0</v>
      </c>
      <c r="EQ71" s="223">
        <f>CE71-S71</f>
        <v>1870.0979966664288</v>
      </c>
      <c r="ER71" s="223">
        <f>CF71-T71</f>
        <v>1870.0979966664288</v>
      </c>
      <c r="ES71" s="223">
        <f>CG71-U71</f>
        <v>0</v>
      </c>
      <c r="ET71" s="223">
        <f>CH71-V71</f>
        <v>0</v>
      </c>
      <c r="EU71" s="223">
        <f>CI71-W71</f>
        <v>0</v>
      </c>
      <c r="EV71" s="223">
        <f>CJ71-X71</f>
        <v>0</v>
      </c>
      <c r="EW71" s="223">
        <f>CK71-Y71</f>
        <v>0</v>
      </c>
      <c r="EX71" s="223">
        <f>CL71-Z71</f>
        <v>0</v>
      </c>
      <c r="EY71" s="244">
        <f t="shared" si="133"/>
        <v>3740.1959933328576</v>
      </c>
    </row>
    <row r="72" spans="3:155" ht="26" x14ac:dyDescent="0.35">
      <c r="C72" s="269"/>
      <c r="D72" s="271" t="s">
        <v>208</v>
      </c>
      <c r="E72" s="243" t="s">
        <v>10</v>
      </c>
      <c r="F72" s="384">
        <f>'[10]Данные для переноса'!F73</f>
        <v>31343.744227744988</v>
      </c>
      <c r="G72" s="384">
        <f>'[10]Данные для переноса'!G73</f>
        <v>36065.564152554369</v>
      </c>
      <c r="H72" s="384">
        <f>'[10]Данные для переноса'!H73</f>
        <v>51867.840150126787</v>
      </c>
      <c r="I72" s="384">
        <f>'[10]Данные для переноса'!I73</f>
        <v>0</v>
      </c>
      <c r="J72" s="384">
        <f>'[10]Данные для переноса'!J73</f>
        <v>0</v>
      </c>
      <c r="K72" s="384">
        <f>'[10]Данные для переноса'!K73</f>
        <v>0</v>
      </c>
      <c r="L72" s="384">
        <f>'[10]Данные для переноса'!L73</f>
        <v>0</v>
      </c>
      <c r="M72" s="384">
        <f>'[10]Данные для переноса'!M73</f>
        <v>0</v>
      </c>
      <c r="N72" s="384">
        <f>'[10]Данные для переноса'!N73</f>
        <v>0</v>
      </c>
      <c r="O72" s="384">
        <f>'[10]Данные для переноса'!O73</f>
        <v>0</v>
      </c>
      <c r="P72" s="384">
        <f>'[10]Данные для переноса'!P73</f>
        <v>0</v>
      </c>
      <c r="Q72" s="384">
        <f>'[10]Данные для переноса'!Q73</f>
        <v>0</v>
      </c>
      <c r="R72" s="384">
        <f>'[10]Данные для переноса'!R73</f>
        <v>0</v>
      </c>
      <c r="S72" s="384">
        <f>'[10]Данные для переноса'!S73</f>
        <v>0</v>
      </c>
      <c r="T72" s="384">
        <f>'[10]Данные для переноса'!T73</f>
        <v>0</v>
      </c>
      <c r="U72" s="384">
        <f>'[10]Данные для переноса'!U73</f>
        <v>0</v>
      </c>
      <c r="V72" s="384">
        <f>'[10]Данные для переноса'!V73</f>
        <v>0</v>
      </c>
      <c r="W72" s="384">
        <f>'[10]Данные для переноса'!W73</f>
        <v>0</v>
      </c>
      <c r="X72" s="384">
        <f>'[10]Данные для переноса'!X73</f>
        <v>0</v>
      </c>
      <c r="Y72" s="384">
        <f>'[10]Данные для переноса'!Y73</f>
        <v>0</v>
      </c>
      <c r="Z72" s="384">
        <f>'[10]Данные для переноса'!Z73</f>
        <v>0</v>
      </c>
      <c r="AA72" s="426">
        <v>31343.744227744988</v>
      </c>
      <c r="AB72" s="426">
        <v>36065.564152554369</v>
      </c>
      <c r="AC72" s="426">
        <v>51867.840150126787</v>
      </c>
      <c r="AD72" s="426">
        <v>0</v>
      </c>
      <c r="AE72" s="426">
        <v>0</v>
      </c>
      <c r="AF72" s="426">
        <v>0</v>
      </c>
      <c r="AG72" s="426">
        <v>0</v>
      </c>
      <c r="AH72" s="426">
        <v>0</v>
      </c>
      <c r="AI72" s="426">
        <v>0</v>
      </c>
      <c r="AJ72" s="426">
        <v>0</v>
      </c>
      <c r="AK72" s="426">
        <v>0</v>
      </c>
      <c r="AL72" s="426">
        <v>0</v>
      </c>
      <c r="AM72" s="426">
        <v>0</v>
      </c>
      <c r="AN72" s="426">
        <v>0</v>
      </c>
      <c r="AO72" s="426">
        <v>0</v>
      </c>
      <c r="AP72" s="426">
        <v>0</v>
      </c>
      <c r="AQ72" s="426">
        <v>0</v>
      </c>
      <c r="AR72" s="426">
        <v>0</v>
      </c>
      <c r="AS72" s="426">
        <v>0</v>
      </c>
      <c r="AT72" s="426">
        <v>0</v>
      </c>
      <c r="AU72" s="426">
        <v>0</v>
      </c>
      <c r="AV72" s="430" t="b">
        <f t="shared" si="124"/>
        <v>1</v>
      </c>
      <c r="AW72" s="430" t="b">
        <f t="shared" si="124"/>
        <v>1</v>
      </c>
      <c r="AX72" s="430" t="b">
        <f t="shared" si="124"/>
        <v>1</v>
      </c>
      <c r="AY72" s="430" t="b">
        <f t="shared" si="124"/>
        <v>1</v>
      </c>
      <c r="AZ72" s="430" t="b">
        <f t="shared" ref="AX72:BM99" si="135">AE72=J72</f>
        <v>1</v>
      </c>
      <c r="BA72" s="430" t="b">
        <f t="shared" si="135"/>
        <v>1</v>
      </c>
      <c r="BB72" s="430" t="b">
        <f t="shared" si="135"/>
        <v>1</v>
      </c>
      <c r="BC72" s="430" t="b">
        <f t="shared" si="135"/>
        <v>1</v>
      </c>
      <c r="BD72" s="430" t="b">
        <f t="shared" si="135"/>
        <v>1</v>
      </c>
      <c r="BE72" s="430" t="b">
        <f t="shared" si="135"/>
        <v>1</v>
      </c>
      <c r="BF72" s="430" t="b">
        <f t="shared" si="135"/>
        <v>1</v>
      </c>
      <c r="BG72" s="430" t="b">
        <f t="shared" si="122"/>
        <v>1</v>
      </c>
      <c r="BH72" s="430" t="b">
        <f t="shared" si="122"/>
        <v>1</v>
      </c>
      <c r="BI72" s="430" t="b">
        <f t="shared" si="122"/>
        <v>1</v>
      </c>
      <c r="BJ72" s="430" t="b">
        <f t="shared" si="122"/>
        <v>1</v>
      </c>
      <c r="BK72" s="430" t="b">
        <f t="shared" si="122"/>
        <v>1</v>
      </c>
      <c r="BL72" s="430" t="b">
        <f t="shared" si="122"/>
        <v>1</v>
      </c>
      <c r="BM72" s="430" t="b">
        <f t="shared" si="122"/>
        <v>1</v>
      </c>
      <c r="BN72" s="430" t="b">
        <f t="shared" si="122"/>
        <v>1</v>
      </c>
      <c r="BO72" s="430" t="b">
        <f t="shared" si="122"/>
        <v>1</v>
      </c>
      <c r="BP72" s="430" t="b">
        <f t="shared" si="122"/>
        <v>1</v>
      </c>
      <c r="BQ72" s="244">
        <f t="shared" si="131"/>
        <v>0</v>
      </c>
      <c r="BR72" s="247">
        <f>'[10]Данные для переноса'!AB73</f>
        <v>31343.744227744988</v>
      </c>
      <c r="BS72" s="247">
        <f>'[10]Данные для переноса'!AC73</f>
        <v>36065.564152554369</v>
      </c>
      <c r="BT72" s="247">
        <f>'[10]Данные для переноса'!AD73</f>
        <v>51867.840150126787</v>
      </c>
      <c r="BU72" s="247">
        <f>'[10]Данные для переноса'!AE73</f>
        <v>0</v>
      </c>
      <c r="BV72" s="247">
        <f>'[10]Данные для переноса'!AF73</f>
        <v>0</v>
      </c>
      <c r="BW72" s="247">
        <f>'[10]Данные для переноса'!AG73</f>
        <v>0</v>
      </c>
      <c r="BX72" s="247">
        <f>'[10]Данные для переноса'!AH73</f>
        <v>0</v>
      </c>
      <c r="BY72" s="247">
        <f>'[10]Данные для переноса'!AI73</f>
        <v>0</v>
      </c>
      <c r="BZ72" s="247">
        <f>'[10]Данные для переноса'!AJ73</f>
        <v>0</v>
      </c>
      <c r="CA72" s="247">
        <f>'[10]Данные для переноса'!AK73</f>
        <v>0</v>
      </c>
      <c r="CB72" s="247">
        <f>'[10]Данные для переноса'!AL73</f>
        <v>0</v>
      </c>
      <c r="CC72" s="247">
        <f>'[10]Данные для переноса'!AM73</f>
        <v>0</v>
      </c>
      <c r="CD72" s="247">
        <f>'[10]Данные для переноса'!AN73</f>
        <v>0</v>
      </c>
      <c r="CE72" s="247">
        <f>'[10]Данные для переноса'!AO73</f>
        <v>598.43135893325723</v>
      </c>
      <c r="CF72" s="247">
        <f>'[10]Данные для переноса'!AP73</f>
        <v>598.43135893325723</v>
      </c>
      <c r="CG72" s="247">
        <f>'[10]Данные для переноса'!AQ73</f>
        <v>0</v>
      </c>
      <c r="CH72" s="247">
        <f>'[10]Данные для переноса'!AR73</f>
        <v>0</v>
      </c>
      <c r="CI72" s="247">
        <f>'[10]Данные для переноса'!AS73</f>
        <v>0</v>
      </c>
      <c r="CJ72" s="247">
        <f>'[10]Данные для переноса'!AT73</f>
        <v>0</v>
      </c>
      <c r="CK72" s="247">
        <f>'[10]Данные для переноса'!AU73</f>
        <v>0</v>
      </c>
      <c r="CL72" s="247">
        <f>'[10]Данные для переноса'!AV73</f>
        <v>0</v>
      </c>
      <c r="CM72" s="426">
        <v>31343.744227744988</v>
      </c>
      <c r="CN72" s="426">
        <v>36065.564152554369</v>
      </c>
      <c r="CO72" s="426">
        <v>51867.840150126787</v>
      </c>
      <c r="CP72" s="426">
        <v>0</v>
      </c>
      <c r="CQ72" s="426">
        <v>0</v>
      </c>
      <c r="CR72" s="426">
        <v>0</v>
      </c>
      <c r="CS72" s="426">
        <v>0</v>
      </c>
      <c r="CT72" s="426">
        <v>0</v>
      </c>
      <c r="CU72" s="426">
        <v>0</v>
      </c>
      <c r="CV72" s="426">
        <v>0</v>
      </c>
      <c r="CW72" s="426">
        <v>0</v>
      </c>
      <c r="CX72" s="426">
        <v>0</v>
      </c>
      <c r="CY72" s="426">
        <v>0</v>
      </c>
      <c r="CZ72" s="426">
        <v>598.43135893325723</v>
      </c>
      <c r="DA72" s="426">
        <v>598.43135893325723</v>
      </c>
      <c r="DB72" s="426">
        <v>0</v>
      </c>
      <c r="DC72" s="426">
        <v>0</v>
      </c>
      <c r="DD72" s="426">
        <v>0</v>
      </c>
      <c r="DE72" s="426">
        <v>0</v>
      </c>
      <c r="DF72" s="426">
        <v>0</v>
      </c>
      <c r="DG72" s="426">
        <v>0</v>
      </c>
      <c r="DH72" s="430" t="b">
        <f t="shared" si="134"/>
        <v>1</v>
      </c>
      <c r="DI72" s="430" t="b">
        <f t="shared" si="134"/>
        <v>1</v>
      </c>
      <c r="DJ72" s="430" t="b">
        <f t="shared" si="134"/>
        <v>1</v>
      </c>
      <c r="DK72" s="430" t="b">
        <f t="shared" si="134"/>
        <v>1</v>
      </c>
      <c r="DL72" s="430" t="b">
        <f t="shared" ref="DL72:DL99" si="136">CQ72=BV72</f>
        <v>1</v>
      </c>
      <c r="DM72" s="430" t="b">
        <f t="shared" ref="DM72:DM99" si="137">CR72=BW72</f>
        <v>1</v>
      </c>
      <c r="DN72" s="430" t="b">
        <f t="shared" ref="DN72:DN99" si="138">CS72=BX72</f>
        <v>1</v>
      </c>
      <c r="DO72" s="430" t="b">
        <f t="shared" ref="DO72:DO99" si="139">CT72=BY72</f>
        <v>1</v>
      </c>
      <c r="DP72" s="430" t="b">
        <f t="shared" si="134"/>
        <v>1</v>
      </c>
      <c r="DQ72" s="430" t="b">
        <f t="shared" si="134"/>
        <v>1</v>
      </c>
      <c r="DR72" s="430" t="b">
        <f t="shared" si="134"/>
        <v>1</v>
      </c>
      <c r="DS72" s="430" t="b">
        <f t="shared" si="125"/>
        <v>1</v>
      </c>
      <c r="DT72" s="430" t="b">
        <f t="shared" si="125"/>
        <v>1</v>
      </c>
      <c r="DU72" s="430" t="b">
        <f t="shared" si="125"/>
        <v>1</v>
      </c>
      <c r="DV72" s="430" t="b">
        <f t="shared" si="125"/>
        <v>1</v>
      </c>
      <c r="DW72" s="430" t="b">
        <f t="shared" si="125"/>
        <v>1</v>
      </c>
      <c r="DX72" s="430" t="b">
        <f t="shared" si="125"/>
        <v>1</v>
      </c>
      <c r="DY72" s="430" t="b">
        <f t="shared" si="125"/>
        <v>1</v>
      </c>
      <c r="DZ72" s="430" t="b">
        <f t="shared" si="125"/>
        <v>1</v>
      </c>
      <c r="EA72" s="430" t="b">
        <f t="shared" si="125"/>
        <v>1</v>
      </c>
      <c r="EB72" s="430" t="b">
        <f t="shared" si="125"/>
        <v>1</v>
      </c>
      <c r="EC72" s="244">
        <f t="shared" si="132"/>
        <v>1196.8627178665145</v>
      </c>
      <c r="ED72" s="223">
        <f t="shared" si="97"/>
        <v>0</v>
      </c>
      <c r="EE72" s="223">
        <f t="shared" si="98"/>
        <v>0</v>
      </c>
      <c r="EF72" s="223">
        <f t="shared" si="99"/>
        <v>0</v>
      </c>
      <c r="EG72" s="223">
        <f t="shared" si="100"/>
        <v>0</v>
      </c>
      <c r="EH72" s="223">
        <f t="shared" si="101"/>
        <v>0</v>
      </c>
      <c r="EI72" s="223">
        <f t="shared" si="102"/>
        <v>0</v>
      </c>
      <c r="EJ72" s="223">
        <f t="shared" si="103"/>
        <v>0</v>
      </c>
      <c r="EK72" s="223">
        <f t="shared" si="104"/>
        <v>0</v>
      </c>
      <c r="EL72" s="223">
        <f t="shared" si="105"/>
        <v>0</v>
      </c>
      <c r="EM72" s="223">
        <f t="shared" si="106"/>
        <v>0</v>
      </c>
      <c r="EN72" s="223">
        <f t="shared" si="107"/>
        <v>0</v>
      </c>
      <c r="EO72" s="223">
        <f t="shared" si="108"/>
        <v>0</v>
      </c>
      <c r="EP72" s="223">
        <f t="shared" si="109"/>
        <v>0</v>
      </c>
      <c r="EQ72" s="223">
        <f>CE72-S72</f>
        <v>598.43135893325723</v>
      </c>
      <c r="ER72" s="223">
        <f>CF72-T72</f>
        <v>598.43135893325723</v>
      </c>
      <c r="ES72" s="223">
        <f>CG72-U72</f>
        <v>0</v>
      </c>
      <c r="ET72" s="223">
        <f>CH72-V72</f>
        <v>0</v>
      </c>
      <c r="EU72" s="223">
        <f>CI72-W72</f>
        <v>0</v>
      </c>
      <c r="EV72" s="223">
        <f>CJ72-X72</f>
        <v>0</v>
      </c>
      <c r="EW72" s="223">
        <f>CK72-Y72</f>
        <v>0</v>
      </c>
      <c r="EX72" s="223">
        <f>CL72-Z72</f>
        <v>0</v>
      </c>
      <c r="EY72" s="244">
        <f>SUM(EH72:EX72)</f>
        <v>1196.8627178665145</v>
      </c>
    </row>
    <row r="73" spans="3:155" x14ac:dyDescent="0.35">
      <c r="C73" s="269"/>
      <c r="D73" s="272" t="s">
        <v>209</v>
      </c>
      <c r="E73" s="243" t="s">
        <v>10</v>
      </c>
      <c r="F73" s="384">
        <f>'[10]Данные для переноса'!F74</f>
        <v>80598.19944277282</v>
      </c>
      <c r="G73" s="384">
        <f>'[10]Данные для переноса'!G74</f>
        <v>92740.022106568358</v>
      </c>
      <c r="H73" s="384">
        <f>'[10]Данные для переноса'!H74</f>
        <v>133374.44610032602</v>
      </c>
      <c r="I73" s="384">
        <f>'[10]Данные для переноса'!I74</f>
        <v>0</v>
      </c>
      <c r="J73" s="384">
        <f>'[10]Данные для переноса'!J74</f>
        <v>0</v>
      </c>
      <c r="K73" s="384">
        <f>'[10]Данные для переноса'!K74</f>
        <v>0</v>
      </c>
      <c r="L73" s="384">
        <f>'[10]Данные для переноса'!L74</f>
        <v>0</v>
      </c>
      <c r="M73" s="384">
        <f>'[10]Данные для переноса'!M74</f>
        <v>0</v>
      </c>
      <c r="N73" s="384">
        <f>'[10]Данные для переноса'!N74</f>
        <v>0</v>
      </c>
      <c r="O73" s="384">
        <f>'[10]Данные для переноса'!O74</f>
        <v>0</v>
      </c>
      <c r="P73" s="384">
        <f>'[10]Данные для переноса'!P74</f>
        <v>0</v>
      </c>
      <c r="Q73" s="384">
        <f>'[10]Данные для переноса'!Q74</f>
        <v>0</v>
      </c>
      <c r="R73" s="384">
        <f>'[10]Данные для переноса'!R74</f>
        <v>0</v>
      </c>
      <c r="S73" s="384">
        <f>'[10]Данные для переноса'!S74</f>
        <v>0</v>
      </c>
      <c r="T73" s="384">
        <f>'[10]Данные для переноса'!T74</f>
        <v>0</v>
      </c>
      <c r="U73" s="384">
        <f>'[10]Данные для переноса'!U74</f>
        <v>0</v>
      </c>
      <c r="V73" s="384">
        <f>'[10]Данные для переноса'!V74</f>
        <v>0</v>
      </c>
      <c r="W73" s="384">
        <f>'[10]Данные для переноса'!W74</f>
        <v>0</v>
      </c>
      <c r="X73" s="384">
        <f>'[10]Данные для переноса'!X74</f>
        <v>0</v>
      </c>
      <c r="Y73" s="384">
        <f>'[10]Данные для переноса'!Y74</f>
        <v>0</v>
      </c>
      <c r="Z73" s="384">
        <f>'[10]Данные для переноса'!Z74</f>
        <v>0</v>
      </c>
      <c r="AA73" s="426">
        <v>80598.19944277282</v>
      </c>
      <c r="AB73" s="426">
        <v>92740.022106568358</v>
      </c>
      <c r="AC73" s="426">
        <v>133374.44610032602</v>
      </c>
      <c r="AD73" s="426">
        <v>0</v>
      </c>
      <c r="AE73" s="426">
        <v>0</v>
      </c>
      <c r="AF73" s="426">
        <v>0</v>
      </c>
      <c r="AG73" s="426">
        <v>0</v>
      </c>
      <c r="AH73" s="426">
        <v>0</v>
      </c>
      <c r="AI73" s="426">
        <v>0</v>
      </c>
      <c r="AJ73" s="426">
        <v>0</v>
      </c>
      <c r="AK73" s="426">
        <v>0</v>
      </c>
      <c r="AL73" s="426">
        <v>0</v>
      </c>
      <c r="AM73" s="426">
        <v>0</v>
      </c>
      <c r="AN73" s="426">
        <v>0</v>
      </c>
      <c r="AO73" s="426">
        <v>0</v>
      </c>
      <c r="AP73" s="426">
        <v>0</v>
      </c>
      <c r="AQ73" s="426">
        <v>0</v>
      </c>
      <c r="AR73" s="426">
        <v>0</v>
      </c>
      <c r="AS73" s="426">
        <v>0</v>
      </c>
      <c r="AT73" s="426">
        <v>0</v>
      </c>
      <c r="AU73" s="426">
        <v>0</v>
      </c>
      <c r="AV73" s="430" t="b">
        <f t="shared" ref="AV73:BI125" si="140">AA73=F73</f>
        <v>1</v>
      </c>
      <c r="AW73" s="430" t="b">
        <f t="shared" si="140"/>
        <v>1</v>
      </c>
      <c r="AX73" s="430" t="b">
        <f t="shared" si="135"/>
        <v>1</v>
      </c>
      <c r="AY73" s="430" t="b">
        <f t="shared" si="135"/>
        <v>1</v>
      </c>
      <c r="AZ73" s="430" t="b">
        <f t="shared" si="135"/>
        <v>1</v>
      </c>
      <c r="BA73" s="430" t="b">
        <f t="shared" si="135"/>
        <v>1</v>
      </c>
      <c r="BB73" s="430" t="b">
        <f t="shared" si="135"/>
        <v>1</v>
      </c>
      <c r="BC73" s="430" t="b">
        <f t="shared" si="135"/>
        <v>1</v>
      </c>
      <c r="BD73" s="430" t="b">
        <f t="shared" si="135"/>
        <v>1</v>
      </c>
      <c r="BE73" s="430" t="b">
        <f t="shared" si="135"/>
        <v>1</v>
      </c>
      <c r="BF73" s="430" t="b">
        <f t="shared" si="135"/>
        <v>1</v>
      </c>
      <c r="BG73" s="430" t="b">
        <f t="shared" si="122"/>
        <v>1</v>
      </c>
      <c r="BH73" s="430" t="b">
        <f t="shared" si="122"/>
        <v>1</v>
      </c>
      <c r="BI73" s="430" t="b">
        <f t="shared" si="122"/>
        <v>1</v>
      </c>
      <c r="BJ73" s="430" t="b">
        <f t="shared" si="122"/>
        <v>1</v>
      </c>
      <c r="BK73" s="430" t="b">
        <f t="shared" si="122"/>
        <v>1</v>
      </c>
      <c r="BL73" s="430" t="b">
        <f t="shared" si="122"/>
        <v>1</v>
      </c>
      <c r="BM73" s="430" t="b">
        <f t="shared" si="122"/>
        <v>1</v>
      </c>
      <c r="BN73" s="430" t="b">
        <f t="shared" si="122"/>
        <v>1</v>
      </c>
      <c r="BO73" s="430" t="b">
        <f t="shared" si="122"/>
        <v>1</v>
      </c>
      <c r="BP73" s="430" t="b">
        <f t="shared" si="122"/>
        <v>1</v>
      </c>
      <c r="BQ73" s="244">
        <f t="shared" si="131"/>
        <v>0</v>
      </c>
      <c r="BR73" s="247">
        <f>'[10]Данные для переноса'!AB74</f>
        <v>80598.19944277282</v>
      </c>
      <c r="BS73" s="247">
        <f>'[10]Данные для переноса'!AC74</f>
        <v>92740.022106568358</v>
      </c>
      <c r="BT73" s="247">
        <f>'[10]Данные для переноса'!AD74</f>
        <v>133374.44610032602</v>
      </c>
      <c r="BU73" s="247">
        <f>'[10]Данные для переноса'!AE74</f>
        <v>0</v>
      </c>
      <c r="BV73" s="247">
        <f>'[10]Данные для переноса'!AF74</f>
        <v>0</v>
      </c>
      <c r="BW73" s="247">
        <f>'[10]Данные для переноса'!AG74</f>
        <v>0</v>
      </c>
      <c r="BX73" s="247">
        <f>'[10]Данные для переноса'!AH74</f>
        <v>0</v>
      </c>
      <c r="BY73" s="247">
        <f>'[10]Данные для переноса'!AI74</f>
        <v>0</v>
      </c>
      <c r="BZ73" s="247">
        <f>'[10]Данные для переноса'!AJ74</f>
        <v>0</v>
      </c>
      <c r="CA73" s="247">
        <f>'[10]Данные для переноса'!AK74</f>
        <v>0</v>
      </c>
      <c r="CB73" s="247">
        <f>'[10]Данные для переноса'!AL74</f>
        <v>0</v>
      </c>
      <c r="CC73" s="247">
        <f>'[10]Данные для переноса'!AM74</f>
        <v>0</v>
      </c>
      <c r="CD73" s="247">
        <f>'[10]Данные для переноса'!AN74</f>
        <v>0</v>
      </c>
      <c r="CE73" s="247">
        <f>'[10]Данные для переноса'!AO74</f>
        <v>1271.6666377331717</v>
      </c>
      <c r="CF73" s="247">
        <f>'[10]Данные для переноса'!AP74</f>
        <v>1271.6666377331717</v>
      </c>
      <c r="CG73" s="247">
        <f>'[10]Данные для переноса'!AQ74</f>
        <v>0</v>
      </c>
      <c r="CH73" s="247">
        <f>'[10]Данные для переноса'!AR74</f>
        <v>0</v>
      </c>
      <c r="CI73" s="247">
        <f>'[10]Данные для переноса'!AS74</f>
        <v>0</v>
      </c>
      <c r="CJ73" s="247">
        <f>'[10]Данные для переноса'!AT74</f>
        <v>0</v>
      </c>
      <c r="CK73" s="247">
        <f>'[10]Данные для переноса'!AU74</f>
        <v>0</v>
      </c>
      <c r="CL73" s="247">
        <f>'[10]Данные для переноса'!AV74</f>
        <v>0</v>
      </c>
      <c r="CM73" s="426">
        <v>80598.19944277282</v>
      </c>
      <c r="CN73" s="426">
        <v>92740.022106568358</v>
      </c>
      <c r="CO73" s="426">
        <v>133374.44610032602</v>
      </c>
      <c r="CP73" s="426">
        <v>0</v>
      </c>
      <c r="CQ73" s="426">
        <v>0</v>
      </c>
      <c r="CR73" s="426">
        <v>0</v>
      </c>
      <c r="CS73" s="426">
        <v>0</v>
      </c>
      <c r="CT73" s="426">
        <v>0</v>
      </c>
      <c r="CU73" s="426">
        <v>0</v>
      </c>
      <c r="CV73" s="426">
        <v>0</v>
      </c>
      <c r="CW73" s="426">
        <v>0</v>
      </c>
      <c r="CX73" s="426">
        <v>0</v>
      </c>
      <c r="CY73" s="426">
        <v>0</v>
      </c>
      <c r="CZ73" s="426">
        <v>1271.6666377331717</v>
      </c>
      <c r="DA73" s="426">
        <v>1271.6666377331717</v>
      </c>
      <c r="DB73" s="426">
        <v>0</v>
      </c>
      <c r="DC73" s="426">
        <v>0</v>
      </c>
      <c r="DD73" s="426">
        <v>0</v>
      </c>
      <c r="DE73" s="426">
        <v>0</v>
      </c>
      <c r="DF73" s="426">
        <v>0</v>
      </c>
      <c r="DG73" s="426">
        <v>0</v>
      </c>
      <c r="DH73" s="430" t="b">
        <f t="shared" si="134"/>
        <v>1</v>
      </c>
      <c r="DI73" s="430" t="b">
        <f t="shared" si="134"/>
        <v>1</v>
      </c>
      <c r="DJ73" s="430" t="b">
        <f t="shared" si="134"/>
        <v>1</v>
      </c>
      <c r="DK73" s="430" t="b">
        <f t="shared" si="134"/>
        <v>1</v>
      </c>
      <c r="DL73" s="430" t="b">
        <f t="shared" si="136"/>
        <v>1</v>
      </c>
      <c r="DM73" s="430" t="b">
        <f t="shared" si="137"/>
        <v>1</v>
      </c>
      <c r="DN73" s="430" t="b">
        <f t="shared" si="138"/>
        <v>1</v>
      </c>
      <c r="DO73" s="430" t="b">
        <f t="shared" si="139"/>
        <v>1</v>
      </c>
      <c r="DP73" s="430" t="b">
        <f t="shared" si="134"/>
        <v>1</v>
      </c>
      <c r="DQ73" s="430" t="b">
        <f t="shared" si="134"/>
        <v>1</v>
      </c>
      <c r="DR73" s="430" t="b">
        <f t="shared" si="134"/>
        <v>1</v>
      </c>
      <c r="DS73" s="430" t="b">
        <f t="shared" si="125"/>
        <v>1</v>
      </c>
      <c r="DT73" s="430" t="b">
        <f t="shared" si="125"/>
        <v>1</v>
      </c>
      <c r="DU73" s="430" t="b">
        <f t="shared" si="125"/>
        <v>1</v>
      </c>
      <c r="DV73" s="430" t="b">
        <f t="shared" si="125"/>
        <v>1</v>
      </c>
      <c r="DW73" s="430" t="b">
        <f t="shared" si="125"/>
        <v>1</v>
      </c>
      <c r="DX73" s="430" t="b">
        <f t="shared" si="125"/>
        <v>1</v>
      </c>
      <c r="DY73" s="430" t="b">
        <f t="shared" si="125"/>
        <v>1</v>
      </c>
      <c r="DZ73" s="430" t="b">
        <f t="shared" si="125"/>
        <v>1</v>
      </c>
      <c r="EA73" s="430" t="b">
        <f t="shared" si="125"/>
        <v>1</v>
      </c>
      <c r="EB73" s="430" t="b">
        <f t="shared" si="125"/>
        <v>1</v>
      </c>
      <c r="EC73" s="244">
        <f t="shared" si="132"/>
        <v>2543.3332754663434</v>
      </c>
      <c r="ED73" s="223">
        <f t="shared" si="97"/>
        <v>0</v>
      </c>
      <c r="EE73" s="223">
        <f t="shared" si="98"/>
        <v>0</v>
      </c>
      <c r="EF73" s="223">
        <f t="shared" si="99"/>
        <v>0</v>
      </c>
      <c r="EG73" s="223">
        <f t="shared" si="100"/>
        <v>0</v>
      </c>
      <c r="EH73" s="223">
        <f t="shared" si="101"/>
        <v>0</v>
      </c>
      <c r="EI73" s="223">
        <f t="shared" si="102"/>
        <v>0</v>
      </c>
      <c r="EJ73" s="223">
        <f t="shared" si="103"/>
        <v>0</v>
      </c>
      <c r="EK73" s="223">
        <f t="shared" si="104"/>
        <v>0</v>
      </c>
      <c r="EL73" s="223">
        <f t="shared" si="105"/>
        <v>0</v>
      </c>
      <c r="EM73" s="223">
        <f t="shared" si="106"/>
        <v>0</v>
      </c>
      <c r="EN73" s="223">
        <f t="shared" si="107"/>
        <v>0</v>
      </c>
      <c r="EO73" s="223">
        <f t="shared" si="108"/>
        <v>0</v>
      </c>
      <c r="EP73" s="223">
        <f t="shared" si="109"/>
        <v>0</v>
      </c>
      <c r="EQ73" s="223">
        <f>CE73-S73</f>
        <v>1271.6666377331717</v>
      </c>
      <c r="ER73" s="223">
        <f>CF73-T73</f>
        <v>1271.6666377331717</v>
      </c>
      <c r="ES73" s="223">
        <f>CG73-U73</f>
        <v>0</v>
      </c>
      <c r="ET73" s="223">
        <f>CH73-V73</f>
        <v>0</v>
      </c>
      <c r="EU73" s="223">
        <f>CI73-W73</f>
        <v>0</v>
      </c>
      <c r="EV73" s="223">
        <f>CJ73-X73</f>
        <v>0</v>
      </c>
      <c r="EW73" s="223">
        <f>CK73-Y73</f>
        <v>0</v>
      </c>
      <c r="EX73" s="223">
        <f>CL73-Z73</f>
        <v>0</v>
      </c>
      <c r="EY73" s="244">
        <f t="shared" si="133"/>
        <v>2543.3332754663434</v>
      </c>
    </row>
    <row r="74" spans="3:155" x14ac:dyDescent="0.35">
      <c r="C74" s="269"/>
      <c r="D74" s="272" t="s">
        <v>210</v>
      </c>
      <c r="E74" s="243" t="s">
        <v>10</v>
      </c>
      <c r="F74" s="384">
        <f>'[10]Данные для переноса'!F75</f>
        <v>0</v>
      </c>
      <c r="G74" s="384">
        <f>'[10]Данные для переноса'!G75</f>
        <v>0</v>
      </c>
      <c r="H74" s="384">
        <f>'[10]Данные для переноса'!H75</f>
        <v>0</v>
      </c>
      <c r="I74" s="384">
        <f>'[10]Данные для переноса'!I75</f>
        <v>0</v>
      </c>
      <c r="J74" s="384">
        <f>'[10]Данные для переноса'!J75</f>
        <v>0</v>
      </c>
      <c r="K74" s="384">
        <f>'[10]Данные для переноса'!K75</f>
        <v>0</v>
      </c>
      <c r="L74" s="384">
        <f>'[10]Данные для переноса'!L75</f>
        <v>0</v>
      </c>
      <c r="M74" s="384">
        <f>'[10]Данные для переноса'!M75</f>
        <v>0</v>
      </c>
      <c r="N74" s="384">
        <f>'[10]Данные для переноса'!N75</f>
        <v>0</v>
      </c>
      <c r="O74" s="384">
        <f>'[10]Данные для переноса'!O75</f>
        <v>0</v>
      </c>
      <c r="P74" s="384">
        <f>'[10]Данные для переноса'!P75</f>
        <v>0</v>
      </c>
      <c r="Q74" s="384">
        <f>'[10]Данные для переноса'!Q75</f>
        <v>0</v>
      </c>
      <c r="R74" s="384">
        <f>'[10]Данные для переноса'!R75</f>
        <v>0</v>
      </c>
      <c r="S74" s="384">
        <f>'[10]Данные для переноса'!S75</f>
        <v>0</v>
      </c>
      <c r="T74" s="384">
        <f>'[10]Данные для переноса'!T75</f>
        <v>0</v>
      </c>
      <c r="U74" s="384">
        <f>'[10]Данные для переноса'!U75</f>
        <v>0</v>
      </c>
      <c r="V74" s="384">
        <f>'[10]Данные для переноса'!V75</f>
        <v>0</v>
      </c>
      <c r="W74" s="384">
        <f>'[10]Данные для переноса'!W75</f>
        <v>0</v>
      </c>
      <c r="X74" s="384">
        <f>'[10]Данные для переноса'!X75</f>
        <v>0</v>
      </c>
      <c r="Y74" s="384">
        <f>'[10]Данные для переноса'!Y75</f>
        <v>0</v>
      </c>
      <c r="Z74" s="384">
        <f>'[10]Данные для переноса'!Z75</f>
        <v>0</v>
      </c>
      <c r="AA74" s="435"/>
      <c r="AB74" s="435"/>
      <c r="AC74" s="435"/>
      <c r="AD74" s="435"/>
      <c r="AE74" s="435"/>
      <c r="AF74" s="435"/>
      <c r="AG74" s="435"/>
      <c r="AH74" s="435"/>
      <c r="AI74" s="435"/>
      <c r="AJ74" s="435"/>
      <c r="AK74" s="435"/>
      <c r="AL74" s="435"/>
      <c r="AM74" s="435"/>
      <c r="AN74" s="435"/>
      <c r="AO74" s="435"/>
      <c r="AP74" s="435"/>
      <c r="AQ74" s="435"/>
      <c r="AR74" s="435"/>
      <c r="AS74" s="435"/>
      <c r="AT74" s="435"/>
      <c r="AU74" s="435"/>
      <c r="AV74" s="430" t="b">
        <f t="shared" si="140"/>
        <v>1</v>
      </c>
      <c r="AW74" s="430" t="b">
        <f t="shared" si="140"/>
        <v>1</v>
      </c>
      <c r="AX74" s="430" t="b">
        <f t="shared" si="135"/>
        <v>1</v>
      </c>
      <c r="AY74" s="430" t="b">
        <f t="shared" si="135"/>
        <v>1</v>
      </c>
      <c r="AZ74" s="430" t="b">
        <f t="shared" si="135"/>
        <v>1</v>
      </c>
      <c r="BA74" s="430" t="b">
        <f t="shared" si="135"/>
        <v>1</v>
      </c>
      <c r="BB74" s="430" t="b">
        <f t="shared" si="135"/>
        <v>1</v>
      </c>
      <c r="BC74" s="430" t="b">
        <f t="shared" si="135"/>
        <v>1</v>
      </c>
      <c r="BD74" s="430" t="b">
        <f t="shared" si="135"/>
        <v>1</v>
      </c>
      <c r="BE74" s="430" t="b">
        <f t="shared" si="135"/>
        <v>1</v>
      </c>
      <c r="BF74" s="430" t="b">
        <f t="shared" si="135"/>
        <v>1</v>
      </c>
      <c r="BG74" s="430" t="b">
        <f t="shared" si="135"/>
        <v>1</v>
      </c>
      <c r="BH74" s="430" t="b">
        <f t="shared" si="135"/>
        <v>1</v>
      </c>
      <c r="BI74" s="430" t="b">
        <f t="shared" si="135"/>
        <v>1</v>
      </c>
      <c r="BJ74" s="430" t="b">
        <f t="shared" si="135"/>
        <v>1</v>
      </c>
      <c r="BK74" s="430" t="b">
        <f t="shared" si="135"/>
        <v>1</v>
      </c>
      <c r="BL74" s="430" t="b">
        <f t="shared" si="135"/>
        <v>1</v>
      </c>
      <c r="BM74" s="430" t="b">
        <f t="shared" si="135"/>
        <v>1</v>
      </c>
      <c r="BN74" s="430" t="b">
        <f t="shared" ref="BJ74:BP110" si="141">AS74=X74</f>
        <v>1</v>
      </c>
      <c r="BO74" s="430" t="b">
        <f t="shared" si="141"/>
        <v>1</v>
      </c>
      <c r="BP74" s="430" t="b">
        <f t="shared" si="141"/>
        <v>1</v>
      </c>
      <c r="BQ74" s="244">
        <f t="shared" si="131"/>
        <v>0</v>
      </c>
      <c r="BR74" s="247">
        <f>'[10]Данные для переноса'!AB75</f>
        <v>0</v>
      </c>
      <c r="BS74" s="247">
        <f>'[10]Данные для переноса'!AC75</f>
        <v>0</v>
      </c>
      <c r="BT74" s="247">
        <f>'[10]Данные для переноса'!AD75</f>
        <v>0</v>
      </c>
      <c r="BU74" s="247">
        <f>'[10]Данные для переноса'!AE75</f>
        <v>0</v>
      </c>
      <c r="BV74" s="247">
        <f>'[10]Данные для переноса'!AF75</f>
        <v>0</v>
      </c>
      <c r="BW74" s="247">
        <f>'[10]Данные для переноса'!AG75</f>
        <v>0</v>
      </c>
      <c r="BX74" s="247">
        <f>'[10]Данные для переноса'!AH75</f>
        <v>0</v>
      </c>
      <c r="BY74" s="247">
        <f>'[10]Данные для переноса'!AI75</f>
        <v>0</v>
      </c>
      <c r="BZ74" s="247">
        <f>'[10]Данные для переноса'!AJ75</f>
        <v>0</v>
      </c>
      <c r="CA74" s="247">
        <f>'[10]Данные для переноса'!AK75</f>
        <v>0</v>
      </c>
      <c r="CB74" s="247">
        <f>'[10]Данные для переноса'!AL75</f>
        <v>0</v>
      </c>
      <c r="CC74" s="247">
        <f>'[10]Данные для переноса'!AM75</f>
        <v>0</v>
      </c>
      <c r="CD74" s="247">
        <f>'[10]Данные для переноса'!AN75</f>
        <v>0</v>
      </c>
      <c r="CE74" s="247">
        <f>'[10]Данные для переноса'!AO75</f>
        <v>0</v>
      </c>
      <c r="CF74" s="247">
        <f>'[10]Данные для переноса'!AP75</f>
        <v>0</v>
      </c>
      <c r="CG74" s="247">
        <f>'[10]Данные для переноса'!AQ75</f>
        <v>0</v>
      </c>
      <c r="CH74" s="247">
        <f>'[10]Данные для переноса'!AR75</f>
        <v>0</v>
      </c>
      <c r="CI74" s="247">
        <f>'[10]Данные для переноса'!AS75</f>
        <v>0</v>
      </c>
      <c r="CJ74" s="247">
        <f>'[10]Данные для переноса'!AT75</f>
        <v>0</v>
      </c>
      <c r="CK74" s="247">
        <f>'[10]Данные для переноса'!AU75</f>
        <v>0</v>
      </c>
      <c r="CL74" s="247">
        <f>'[10]Данные для переноса'!AV75</f>
        <v>0</v>
      </c>
      <c r="CM74" s="435"/>
      <c r="CN74" s="435"/>
      <c r="CO74" s="435"/>
      <c r="CP74" s="435"/>
      <c r="CQ74" s="435"/>
      <c r="CR74" s="435"/>
      <c r="CS74" s="435"/>
      <c r="CT74" s="435"/>
      <c r="CU74" s="435"/>
      <c r="CV74" s="435"/>
      <c r="CW74" s="435"/>
      <c r="CX74" s="435"/>
      <c r="CY74" s="435"/>
      <c r="CZ74" s="435"/>
      <c r="DA74" s="435"/>
      <c r="DB74" s="435"/>
      <c r="DC74" s="435"/>
      <c r="DD74" s="435"/>
      <c r="DE74" s="435"/>
      <c r="DF74" s="435"/>
      <c r="DG74" s="435"/>
      <c r="DH74" s="430" t="b">
        <f t="shared" si="134"/>
        <v>1</v>
      </c>
      <c r="DI74" s="430" t="b">
        <f t="shared" si="134"/>
        <v>1</v>
      </c>
      <c r="DJ74" s="430" t="b">
        <f t="shared" si="134"/>
        <v>1</v>
      </c>
      <c r="DK74" s="430" t="b">
        <f t="shared" si="134"/>
        <v>1</v>
      </c>
      <c r="DL74" s="430" t="b">
        <f t="shared" si="136"/>
        <v>1</v>
      </c>
      <c r="DM74" s="430" t="b">
        <f t="shared" si="137"/>
        <v>1</v>
      </c>
      <c r="DN74" s="430" t="b">
        <f t="shared" si="138"/>
        <v>1</v>
      </c>
      <c r="DO74" s="430" t="b">
        <f t="shared" si="139"/>
        <v>1</v>
      </c>
      <c r="DP74" s="430" t="b">
        <f t="shared" si="134"/>
        <v>1</v>
      </c>
      <c r="DQ74" s="430" t="b">
        <f t="shared" si="134"/>
        <v>1</v>
      </c>
      <c r="DR74" s="430" t="b">
        <f t="shared" si="134"/>
        <v>1</v>
      </c>
      <c r="DS74" s="430" t="b">
        <f t="shared" si="125"/>
        <v>1</v>
      </c>
      <c r="DT74" s="430" t="b">
        <f t="shared" si="125"/>
        <v>1</v>
      </c>
      <c r="DU74" s="430" t="b">
        <f t="shared" si="125"/>
        <v>1</v>
      </c>
      <c r="DV74" s="430" t="b">
        <f t="shared" si="125"/>
        <v>1</v>
      </c>
      <c r="DW74" s="430" t="b">
        <f t="shared" si="125"/>
        <v>1</v>
      </c>
      <c r="DX74" s="430" t="b">
        <f t="shared" si="125"/>
        <v>1</v>
      </c>
      <c r="DY74" s="430" t="b">
        <f t="shared" si="125"/>
        <v>1</v>
      </c>
      <c r="DZ74" s="430" t="b">
        <f t="shared" si="125"/>
        <v>1</v>
      </c>
      <c r="EA74" s="430" t="b">
        <f t="shared" si="125"/>
        <v>1</v>
      </c>
      <c r="EB74" s="430" t="b">
        <f t="shared" si="125"/>
        <v>1</v>
      </c>
      <c r="EC74" s="244">
        <f t="shared" si="132"/>
        <v>0</v>
      </c>
      <c r="ED74" s="223">
        <f t="shared" si="97"/>
        <v>0</v>
      </c>
      <c r="EE74" s="223">
        <f t="shared" si="98"/>
        <v>0</v>
      </c>
      <c r="EF74" s="223">
        <f t="shared" si="99"/>
        <v>0</v>
      </c>
      <c r="EG74" s="223">
        <f t="shared" si="100"/>
        <v>0</v>
      </c>
      <c r="EH74" s="223">
        <f t="shared" si="101"/>
        <v>0</v>
      </c>
      <c r="EI74" s="223">
        <f t="shared" si="102"/>
        <v>0</v>
      </c>
      <c r="EJ74" s="223">
        <f t="shared" si="103"/>
        <v>0</v>
      </c>
      <c r="EK74" s="223">
        <f t="shared" si="104"/>
        <v>0</v>
      </c>
      <c r="EL74" s="223">
        <f t="shared" si="105"/>
        <v>0</v>
      </c>
      <c r="EM74" s="223">
        <f t="shared" si="106"/>
        <v>0</v>
      </c>
      <c r="EN74" s="223">
        <f t="shared" si="107"/>
        <v>0</v>
      </c>
      <c r="EO74" s="223">
        <f t="shared" si="108"/>
        <v>0</v>
      </c>
      <c r="EP74" s="223">
        <f t="shared" si="109"/>
        <v>0</v>
      </c>
      <c r="EQ74" s="223">
        <f>CE74-S74</f>
        <v>0</v>
      </c>
      <c r="ER74" s="223">
        <f>CF74-T74</f>
        <v>0</v>
      </c>
      <c r="ES74" s="223">
        <f>CG74-U74</f>
        <v>0</v>
      </c>
      <c r="ET74" s="223">
        <f>CH74-V74</f>
        <v>0</v>
      </c>
      <c r="EU74" s="223">
        <f>CI74-W74</f>
        <v>0</v>
      </c>
      <c r="EV74" s="223">
        <f>CJ74-X74</f>
        <v>0</v>
      </c>
      <c r="EW74" s="223">
        <f>CK74-Y74</f>
        <v>0</v>
      </c>
      <c r="EX74" s="223">
        <f>CL74-Z74</f>
        <v>0</v>
      </c>
      <c r="EY74" s="244">
        <f t="shared" si="133"/>
        <v>0</v>
      </c>
    </row>
    <row r="75" spans="3:155" x14ac:dyDescent="0.35">
      <c r="C75" s="269">
        <f>C71+1</f>
        <v>45</v>
      </c>
      <c r="D75" s="270" t="s">
        <v>211</v>
      </c>
      <c r="E75" s="243" t="s">
        <v>10</v>
      </c>
      <c r="F75" s="384">
        <f>'[10]Данные для переноса'!F76</f>
        <v>652970.66900000011</v>
      </c>
      <c r="G75" s="384">
        <f>'[10]Данные для переноса'!G76</f>
        <v>791141.35100000002</v>
      </c>
      <c r="H75" s="384">
        <f>'[10]Данные для переноса'!H76</f>
        <v>975718.1590000001</v>
      </c>
      <c r="I75" s="384">
        <f>'[10]Данные для переноса'!I76</f>
        <v>1051512.0858532246</v>
      </c>
      <c r="J75" s="384">
        <f>'[10]Данные для переноса'!J76</f>
        <v>1123819.7595720773</v>
      </c>
      <c r="K75" s="384">
        <f>'[10]Данные для переноса'!K76</f>
        <v>1197866.1638308768</v>
      </c>
      <c r="L75" s="384">
        <f>'[10]Данные для переноса'!L76</f>
        <v>1249963.6271272919</v>
      </c>
      <c r="M75" s="384">
        <f>'[10]Данные для переноса'!M76</f>
        <v>1304364.9416937891</v>
      </c>
      <c r="N75" s="384">
        <f>'[10]Данные для переноса'!N76</f>
        <v>1361624.9446871746</v>
      </c>
      <c r="O75" s="384">
        <f>'[10]Данные для переноса'!O76</f>
        <v>1421590.3168748668</v>
      </c>
      <c r="P75" s="384">
        <f>'[10]Данные для переноса'!P76</f>
        <v>1484403.1345011233</v>
      </c>
      <c r="Q75" s="384">
        <f>'[10]Данные для переноса'!Q76</f>
        <v>1550213.9199564536</v>
      </c>
      <c r="R75" s="384">
        <f>'[10]Данные для переноса'!R76</f>
        <v>1619182.20509214</v>
      </c>
      <c r="S75" s="384">
        <f>'[10]Данные для переноса'!S76</f>
        <v>1691477.1354655884</v>
      </c>
      <c r="T75" s="384">
        <f>'[10]Данные для переноса'!T76</f>
        <v>1767278.1186550271</v>
      </c>
      <c r="U75" s="384">
        <f>'[10]Данные для переноса'!U76</f>
        <v>1846775.5200301418</v>
      </c>
      <c r="V75" s="384">
        <f>'[10]Данные для переноса'!V76</f>
        <v>1930171.4096331801</v>
      </c>
      <c r="W75" s="384">
        <f>'[10]Данные для переноса'!W76</f>
        <v>2017680.36411457</v>
      </c>
      <c r="X75" s="384">
        <f>'[10]Данные для переноса'!X76</f>
        <v>2109530.3279798543</v>
      </c>
      <c r="Y75" s="384">
        <f>'[10]Данные для переноса'!Y76</f>
        <v>2205963.5387426871</v>
      </c>
      <c r="Z75" s="384">
        <f>'[10]Данные для переноса'!Z76</f>
        <v>2307237.5209437539</v>
      </c>
      <c r="AA75" s="435">
        <v>652970.66900000011</v>
      </c>
      <c r="AB75" s="435">
        <v>791141.35100000002</v>
      </c>
      <c r="AC75" s="435">
        <v>975718.1590000001</v>
      </c>
      <c r="AD75" s="435">
        <v>1051512.0858532246</v>
      </c>
      <c r="AE75" s="435">
        <v>1123819.7595720773</v>
      </c>
      <c r="AF75" s="435">
        <v>1197866.1638308768</v>
      </c>
      <c r="AG75" s="435">
        <v>1249963.6271272919</v>
      </c>
      <c r="AH75" s="435">
        <v>1304364.9416937891</v>
      </c>
      <c r="AI75" s="435">
        <v>1361624.9446871746</v>
      </c>
      <c r="AJ75" s="435">
        <v>1421590.3168748668</v>
      </c>
      <c r="AK75" s="435">
        <v>1484403.1345011233</v>
      </c>
      <c r="AL75" s="435">
        <v>1550213.9199564536</v>
      </c>
      <c r="AM75" s="435">
        <v>1619182.20509214</v>
      </c>
      <c r="AN75" s="435">
        <v>1691477.1354655884</v>
      </c>
      <c r="AO75" s="435">
        <v>1767278.1186550271</v>
      </c>
      <c r="AP75" s="435">
        <v>1846775.5200301418</v>
      </c>
      <c r="AQ75" s="435">
        <v>1930171.4096331801</v>
      </c>
      <c r="AR75" s="435">
        <v>2017680.36411457</v>
      </c>
      <c r="AS75" s="435">
        <v>2109530.3279798543</v>
      </c>
      <c r="AT75" s="435">
        <v>2205963.5387426871</v>
      </c>
      <c r="AU75" s="435">
        <v>2307237.5209437539</v>
      </c>
      <c r="AV75" s="430" t="b">
        <f t="shared" si="140"/>
        <v>1</v>
      </c>
      <c r="AW75" s="430" t="b">
        <f t="shared" si="140"/>
        <v>1</v>
      </c>
      <c r="AX75" s="430" t="b">
        <f t="shared" si="135"/>
        <v>1</v>
      </c>
      <c r="AY75" s="430" t="b">
        <f t="shared" si="135"/>
        <v>1</v>
      </c>
      <c r="AZ75" s="430" t="b">
        <f t="shared" si="135"/>
        <v>1</v>
      </c>
      <c r="BA75" s="430" t="b">
        <f t="shared" si="135"/>
        <v>1</v>
      </c>
      <c r="BB75" s="430" t="b">
        <f t="shared" si="135"/>
        <v>1</v>
      </c>
      <c r="BC75" s="430" t="b">
        <f t="shared" si="135"/>
        <v>1</v>
      </c>
      <c r="BD75" s="430" t="b">
        <f t="shared" si="135"/>
        <v>1</v>
      </c>
      <c r="BE75" s="430" t="b">
        <f t="shared" si="135"/>
        <v>1</v>
      </c>
      <c r="BF75" s="430" t="b">
        <f t="shared" si="135"/>
        <v>1</v>
      </c>
      <c r="BG75" s="430" t="b">
        <f t="shared" si="135"/>
        <v>1</v>
      </c>
      <c r="BH75" s="430" t="b">
        <f t="shared" si="135"/>
        <v>1</v>
      </c>
      <c r="BI75" s="430" t="b">
        <f t="shared" si="135"/>
        <v>1</v>
      </c>
      <c r="BJ75" s="430" t="b">
        <f t="shared" si="141"/>
        <v>1</v>
      </c>
      <c r="BK75" s="430" t="b">
        <f t="shared" si="141"/>
        <v>1</v>
      </c>
      <c r="BL75" s="430" t="b">
        <f t="shared" si="141"/>
        <v>1</v>
      </c>
      <c r="BM75" s="430" t="b">
        <f t="shared" si="141"/>
        <v>1</v>
      </c>
      <c r="BN75" s="430" t="b">
        <f t="shared" si="141"/>
        <v>1</v>
      </c>
      <c r="BO75" s="430" t="b">
        <f t="shared" si="141"/>
        <v>1</v>
      </c>
      <c r="BP75" s="430" t="b">
        <f t="shared" si="141"/>
        <v>1</v>
      </c>
      <c r="BQ75" s="244">
        <f t="shared" si="131"/>
        <v>28189142.948900595</v>
      </c>
      <c r="BR75" s="247">
        <f>'[10]Данные для переноса'!AB76</f>
        <v>652970.66900000011</v>
      </c>
      <c r="BS75" s="247">
        <f>'[10]Данные для переноса'!AC76</f>
        <v>791141.35100000002</v>
      </c>
      <c r="BT75" s="247">
        <f>'[10]Данные для переноса'!AD76</f>
        <v>975718.1590000001</v>
      </c>
      <c r="BU75" s="247">
        <f>'[10]Данные для переноса'!AE76</f>
        <v>1092857.9075652561</v>
      </c>
      <c r="BV75" s="247">
        <f>'[10]Данные для переноса'!AF76</f>
        <v>1191592.4705618196</v>
      </c>
      <c r="BW75" s="247">
        <f>'[10]Данные для переноса'!AG76</f>
        <v>1279023.2786114954</v>
      </c>
      <c r="BX75" s="247">
        <f>'[10]Данные для переноса'!AH76</f>
        <v>1343608.6153896202</v>
      </c>
      <c r="BY75" s="247">
        <f>'[10]Данные для переноса'!AI76</f>
        <v>1406616.5606276072</v>
      </c>
      <c r="BZ75" s="247">
        <f>'[10]Данные для переноса'!AJ76</f>
        <v>1470804.6718817672</v>
      </c>
      <c r="CA75" s="247">
        <f>'[10]Данные для переноса'!AK76</f>
        <v>1537991.900167655</v>
      </c>
      <c r="CB75" s="247">
        <f>'[10]Данные для переноса'!AL76</f>
        <v>1608478.4052560946</v>
      </c>
      <c r="CC75" s="247">
        <f>'[10]Данные для переноса'!AM76</f>
        <v>1682441.2741671358</v>
      </c>
      <c r="CD75" s="247">
        <f>'[10]Данные для переноса'!AN76</f>
        <v>1760068.0815907433</v>
      </c>
      <c r="CE75" s="247">
        <f>'[10]Данные для переноса'!AO76</f>
        <v>1849976.483073472</v>
      </c>
      <c r="CF75" s="247">
        <f>'[10]Данные для переноса'!AP76</f>
        <v>1944894.6197711232</v>
      </c>
      <c r="CG75" s="247">
        <f>'[10]Данные для переноса'!AQ76</f>
        <v>2036523.8418813299</v>
      </c>
      <c r="CH75" s="247">
        <f>'[10]Данные для переноса'!AR76</f>
        <v>2131913.7342580906</v>
      </c>
      <c r="CI75" s="247">
        <f>'[10]Данные для переноса'!AS76</f>
        <v>2231693.4129165472</v>
      </c>
      <c r="CJ75" s="247">
        <f>'[10]Данные для переноса'!AT76</f>
        <v>2336926.448268503</v>
      </c>
      <c r="CK75" s="247">
        <f>'[10]Данные для переноса'!AU76</f>
        <v>2446878.6040981263</v>
      </c>
      <c r="CL75" s="247">
        <f>'[10]Данные для переноса'!AV76</f>
        <v>2562911.5123717152</v>
      </c>
      <c r="CM75" s="435">
        <v>652970.66900000011</v>
      </c>
      <c r="CN75" s="435">
        <v>791141.35100000002</v>
      </c>
      <c r="CO75" s="435">
        <v>975718.1590000001</v>
      </c>
      <c r="CP75" s="435">
        <v>1092857.9075652561</v>
      </c>
      <c r="CQ75" s="435">
        <v>1191592.4705618196</v>
      </c>
      <c r="CR75" s="435">
        <v>1279023.2786114954</v>
      </c>
      <c r="CS75" s="435">
        <v>1343608.6153896202</v>
      </c>
      <c r="CT75" s="435">
        <v>1406616.5606276072</v>
      </c>
      <c r="CU75" s="435">
        <v>1470804.6718817672</v>
      </c>
      <c r="CV75" s="435">
        <v>1537991.900167655</v>
      </c>
      <c r="CW75" s="435">
        <v>1608478.4052560946</v>
      </c>
      <c r="CX75" s="435">
        <v>1682441.2741671358</v>
      </c>
      <c r="CY75" s="435">
        <v>1760068.0815907433</v>
      </c>
      <c r="CZ75" s="435">
        <v>1849976.483073472</v>
      </c>
      <c r="DA75" s="435">
        <v>1944894.6197711232</v>
      </c>
      <c r="DB75" s="435">
        <v>2036523.8418813299</v>
      </c>
      <c r="DC75" s="435">
        <v>2131913.7342580906</v>
      </c>
      <c r="DD75" s="435">
        <v>2231693.4129165472</v>
      </c>
      <c r="DE75" s="435">
        <v>2336926.448268503</v>
      </c>
      <c r="DF75" s="435">
        <v>2446878.6040981263</v>
      </c>
      <c r="DG75" s="435">
        <v>2562911.5123717152</v>
      </c>
      <c r="DH75" s="430" t="b">
        <f t="shared" si="134"/>
        <v>1</v>
      </c>
      <c r="DI75" s="430" t="b">
        <f t="shared" si="134"/>
        <v>1</v>
      </c>
      <c r="DJ75" s="430" t="b">
        <f t="shared" si="134"/>
        <v>1</v>
      </c>
      <c r="DK75" s="430" t="b">
        <f t="shared" si="134"/>
        <v>1</v>
      </c>
      <c r="DL75" s="430" t="b">
        <f t="shared" si="136"/>
        <v>1</v>
      </c>
      <c r="DM75" s="430" t="b">
        <f t="shared" si="137"/>
        <v>1</v>
      </c>
      <c r="DN75" s="430" t="b">
        <f t="shared" si="138"/>
        <v>1</v>
      </c>
      <c r="DO75" s="430" t="b">
        <f t="shared" si="139"/>
        <v>1</v>
      </c>
      <c r="DP75" s="430" t="b">
        <f t="shared" si="134"/>
        <v>1</v>
      </c>
      <c r="DQ75" s="430" t="b">
        <f t="shared" si="134"/>
        <v>1</v>
      </c>
      <c r="DR75" s="430" t="b">
        <f t="shared" si="134"/>
        <v>1</v>
      </c>
      <c r="DS75" s="430" t="b">
        <f t="shared" si="125"/>
        <v>1</v>
      </c>
      <c r="DT75" s="430" t="b">
        <f t="shared" si="125"/>
        <v>1</v>
      </c>
      <c r="DU75" s="430" t="b">
        <f t="shared" ref="DU75:EB102" si="142">CZ75=CE75</f>
        <v>1</v>
      </c>
      <c r="DV75" s="430" t="b">
        <f t="shared" si="142"/>
        <v>1</v>
      </c>
      <c r="DW75" s="430" t="b">
        <f t="shared" si="142"/>
        <v>1</v>
      </c>
      <c r="DX75" s="430" t="b">
        <f t="shared" si="142"/>
        <v>1</v>
      </c>
      <c r="DY75" s="430" t="b">
        <f t="shared" si="142"/>
        <v>1</v>
      </c>
      <c r="DZ75" s="430" t="b">
        <f t="shared" si="142"/>
        <v>1</v>
      </c>
      <c r="EA75" s="430" t="b">
        <f t="shared" si="142"/>
        <v>1</v>
      </c>
      <c r="EB75" s="430" t="b">
        <f t="shared" si="142"/>
        <v>1</v>
      </c>
      <c r="EC75" s="244">
        <f>SUM(BV75:CL75)</f>
        <v>30822343.914892845</v>
      </c>
      <c r="ED75" s="223">
        <f t="shared" si="97"/>
        <v>0</v>
      </c>
      <c r="EE75" s="223">
        <f t="shared" si="98"/>
        <v>0</v>
      </c>
      <c r="EF75" s="223">
        <f t="shared" si="99"/>
        <v>0</v>
      </c>
      <c r="EG75" s="223">
        <f t="shared" si="100"/>
        <v>41345.821712031495</v>
      </c>
      <c r="EH75" s="223">
        <f t="shared" si="101"/>
        <v>67772.710989742307</v>
      </c>
      <c r="EI75" s="223">
        <f t="shared" si="102"/>
        <v>81157.114780618576</v>
      </c>
      <c r="EJ75" s="223">
        <f t="shared" si="103"/>
        <v>93644.988262328319</v>
      </c>
      <c r="EK75" s="223">
        <f t="shared" si="104"/>
        <v>102251.61893381807</v>
      </c>
      <c r="EL75" s="223">
        <f t="shared" si="105"/>
        <v>109179.72719459259</v>
      </c>
      <c r="EM75" s="223">
        <f t="shared" si="106"/>
        <v>116401.58329278813</v>
      </c>
      <c r="EN75" s="223">
        <f t="shared" si="107"/>
        <v>124075.27075497131</v>
      </c>
      <c r="EO75" s="223">
        <f t="shared" si="108"/>
        <v>132227.35421068221</v>
      </c>
      <c r="EP75" s="223">
        <f t="shared" si="109"/>
        <v>140885.87649860326</v>
      </c>
      <c r="EQ75" s="223">
        <f>CE75-S75</f>
        <v>158499.34760788362</v>
      </c>
      <c r="ER75" s="223">
        <f>CF75-T75</f>
        <v>177616.50111609604</v>
      </c>
      <c r="ES75" s="223">
        <f>CG75-U75</f>
        <v>189748.32185118808</v>
      </c>
      <c r="ET75" s="223">
        <f>CH75-V75</f>
        <v>201742.32462491048</v>
      </c>
      <c r="EU75" s="223">
        <f>CI75-W75</f>
        <v>214013.04880197719</v>
      </c>
      <c r="EV75" s="223">
        <f>CJ75-X75</f>
        <v>227396.12028864864</v>
      </c>
      <c r="EW75" s="223">
        <f>CK75-Y75</f>
        <v>240915.0653554392</v>
      </c>
      <c r="EX75" s="223">
        <f>CL75-Z75</f>
        <v>255673.99142796127</v>
      </c>
      <c r="EY75" s="244">
        <f>SUM(EH75:EX75)</f>
        <v>2633200.9659922495</v>
      </c>
    </row>
    <row r="76" spans="3:155" ht="26" x14ac:dyDescent="0.35">
      <c r="C76" s="269"/>
      <c r="D76" s="271" t="s">
        <v>208</v>
      </c>
      <c r="E76" s="243" t="s">
        <v>10</v>
      </c>
      <c r="F76" s="384">
        <f>'[10]Данные для переноса'!F77</f>
        <v>0</v>
      </c>
      <c r="G76" s="384">
        <f>'[10]Данные для переноса'!G77</f>
        <v>0</v>
      </c>
      <c r="H76" s="384">
        <f>'[10]Данные для переноса'!H77</f>
        <v>0</v>
      </c>
      <c r="I76" s="384">
        <f>'[10]Данные для переноса'!I77</f>
        <v>0</v>
      </c>
      <c r="J76" s="384">
        <f>'[10]Данные для переноса'!J77</f>
        <v>0</v>
      </c>
      <c r="K76" s="384">
        <f>'[10]Данные для переноса'!K77</f>
        <v>0</v>
      </c>
      <c r="L76" s="384">
        <f>'[10]Данные для переноса'!L77</f>
        <v>0</v>
      </c>
      <c r="M76" s="384">
        <f>'[10]Данные для переноса'!M77</f>
        <v>0</v>
      </c>
      <c r="N76" s="384">
        <f>'[10]Данные для переноса'!N77</f>
        <v>0</v>
      </c>
      <c r="O76" s="384">
        <f>'[10]Данные для переноса'!O77</f>
        <v>0</v>
      </c>
      <c r="P76" s="384">
        <f>'[10]Данные для переноса'!P77</f>
        <v>0</v>
      </c>
      <c r="Q76" s="384">
        <f>'[10]Данные для переноса'!Q77</f>
        <v>0</v>
      </c>
      <c r="R76" s="384">
        <f>'[10]Данные для переноса'!R77</f>
        <v>0</v>
      </c>
      <c r="S76" s="384">
        <f>'[10]Данные для переноса'!S77</f>
        <v>0</v>
      </c>
      <c r="T76" s="384">
        <f>'[10]Данные для переноса'!T77</f>
        <v>0</v>
      </c>
      <c r="U76" s="384">
        <f>'[10]Данные для переноса'!U77</f>
        <v>0</v>
      </c>
      <c r="V76" s="384">
        <f>'[10]Данные для переноса'!V77</f>
        <v>0</v>
      </c>
      <c r="W76" s="384">
        <f>'[10]Данные для переноса'!W77</f>
        <v>0</v>
      </c>
      <c r="X76" s="384">
        <f>'[10]Данные для переноса'!X77</f>
        <v>0</v>
      </c>
      <c r="Y76" s="384">
        <f>'[10]Данные для переноса'!Y77</f>
        <v>0</v>
      </c>
      <c r="Z76" s="384">
        <f>'[10]Данные для переноса'!Z77</f>
        <v>0</v>
      </c>
      <c r="AA76" s="426"/>
      <c r="AB76" s="426"/>
      <c r="AC76" s="426"/>
      <c r="AD76" s="426"/>
      <c r="AE76" s="426"/>
      <c r="AF76" s="426"/>
      <c r="AG76" s="426"/>
      <c r="AH76" s="426"/>
      <c r="AI76" s="426"/>
      <c r="AJ76" s="426"/>
      <c r="AK76" s="426"/>
      <c r="AL76" s="426"/>
      <c r="AM76" s="426"/>
      <c r="AN76" s="426"/>
      <c r="AO76" s="426"/>
      <c r="AP76" s="426"/>
      <c r="AQ76" s="426"/>
      <c r="AR76" s="426"/>
      <c r="AS76" s="426"/>
      <c r="AT76" s="426"/>
      <c r="AU76" s="426"/>
      <c r="AV76" s="430" t="b">
        <f t="shared" si="140"/>
        <v>1</v>
      </c>
      <c r="AW76" s="430" t="b">
        <f t="shared" si="140"/>
        <v>1</v>
      </c>
      <c r="AX76" s="430" t="b">
        <f t="shared" si="135"/>
        <v>1</v>
      </c>
      <c r="AY76" s="430" t="b">
        <f t="shared" si="135"/>
        <v>1</v>
      </c>
      <c r="AZ76" s="430" t="b">
        <f t="shared" si="135"/>
        <v>1</v>
      </c>
      <c r="BA76" s="430" t="b">
        <f t="shared" si="135"/>
        <v>1</v>
      </c>
      <c r="BB76" s="430" t="b">
        <f t="shared" si="135"/>
        <v>1</v>
      </c>
      <c r="BC76" s="430" t="b">
        <f t="shared" si="135"/>
        <v>1</v>
      </c>
      <c r="BD76" s="430" t="b">
        <f t="shared" si="135"/>
        <v>1</v>
      </c>
      <c r="BE76" s="430" t="b">
        <f t="shared" si="135"/>
        <v>1</v>
      </c>
      <c r="BF76" s="430" t="b">
        <f t="shared" si="135"/>
        <v>1</v>
      </c>
      <c r="BG76" s="430" t="b">
        <f t="shared" si="135"/>
        <v>1</v>
      </c>
      <c r="BH76" s="430" t="b">
        <f t="shared" si="135"/>
        <v>1</v>
      </c>
      <c r="BI76" s="430" t="b">
        <f t="shared" si="135"/>
        <v>1</v>
      </c>
      <c r="BJ76" s="430" t="b">
        <f t="shared" si="141"/>
        <v>1</v>
      </c>
      <c r="BK76" s="430" t="b">
        <f t="shared" si="141"/>
        <v>1</v>
      </c>
      <c r="BL76" s="430" t="b">
        <f t="shared" si="141"/>
        <v>1</v>
      </c>
      <c r="BM76" s="430" t="b">
        <f t="shared" si="141"/>
        <v>1</v>
      </c>
      <c r="BN76" s="430" t="b">
        <f t="shared" si="141"/>
        <v>1</v>
      </c>
      <c r="BO76" s="430" t="b">
        <f t="shared" si="141"/>
        <v>1</v>
      </c>
      <c r="BP76" s="430" t="b">
        <f t="shared" si="141"/>
        <v>1</v>
      </c>
      <c r="BQ76" s="244">
        <f t="shared" si="131"/>
        <v>0</v>
      </c>
      <c r="BR76" s="247">
        <f>'[10]Данные для переноса'!AB77</f>
        <v>0</v>
      </c>
      <c r="BS76" s="247">
        <f>'[10]Данные для переноса'!AC77</f>
        <v>0</v>
      </c>
      <c r="BT76" s="247">
        <f>'[10]Данные для переноса'!AD77</f>
        <v>0</v>
      </c>
      <c r="BU76" s="247">
        <f>'[10]Данные для переноса'!AE77</f>
        <v>0</v>
      </c>
      <c r="BV76" s="247">
        <f>'[10]Данные для переноса'!AF77</f>
        <v>0</v>
      </c>
      <c r="BW76" s="247">
        <f>'[10]Данные для переноса'!AG77</f>
        <v>0</v>
      </c>
      <c r="BX76" s="247">
        <f>'[10]Данные для переноса'!AH77</f>
        <v>0</v>
      </c>
      <c r="BY76" s="247">
        <f>'[10]Данные для переноса'!AI77</f>
        <v>0</v>
      </c>
      <c r="BZ76" s="247">
        <f>'[10]Данные для переноса'!AJ77</f>
        <v>0</v>
      </c>
      <c r="CA76" s="247">
        <f>'[10]Данные для переноса'!AK77</f>
        <v>0</v>
      </c>
      <c r="CB76" s="247">
        <f>'[10]Данные для переноса'!AL77</f>
        <v>0</v>
      </c>
      <c r="CC76" s="247">
        <f>'[10]Данные для переноса'!AM77</f>
        <v>0</v>
      </c>
      <c r="CD76" s="247">
        <f>'[10]Данные для переноса'!AN77</f>
        <v>0</v>
      </c>
      <c r="CE76" s="247">
        <f>'[10]Данные для переноса'!AO77</f>
        <v>0</v>
      </c>
      <c r="CF76" s="247">
        <f>'[10]Данные для переноса'!AP77</f>
        <v>0</v>
      </c>
      <c r="CG76" s="247">
        <f>'[10]Данные для переноса'!AQ77</f>
        <v>0</v>
      </c>
      <c r="CH76" s="247">
        <f>'[10]Данные для переноса'!AR77</f>
        <v>0</v>
      </c>
      <c r="CI76" s="247">
        <f>'[10]Данные для переноса'!AS77</f>
        <v>0</v>
      </c>
      <c r="CJ76" s="247">
        <f>'[10]Данные для переноса'!AT77</f>
        <v>0</v>
      </c>
      <c r="CK76" s="247">
        <f>'[10]Данные для переноса'!AU77</f>
        <v>0</v>
      </c>
      <c r="CL76" s="247">
        <f>'[10]Данные для переноса'!AV77</f>
        <v>0</v>
      </c>
      <c r="CM76" s="426"/>
      <c r="CN76" s="426"/>
      <c r="CO76" s="426"/>
      <c r="CP76" s="426"/>
      <c r="CQ76" s="426"/>
      <c r="CR76" s="426"/>
      <c r="CS76" s="426"/>
      <c r="CT76" s="426"/>
      <c r="CU76" s="426"/>
      <c r="CV76" s="426"/>
      <c r="CW76" s="426"/>
      <c r="CX76" s="426"/>
      <c r="CY76" s="426"/>
      <c r="CZ76" s="426"/>
      <c r="DA76" s="426"/>
      <c r="DB76" s="426"/>
      <c r="DC76" s="426"/>
      <c r="DD76" s="426"/>
      <c r="DE76" s="426"/>
      <c r="DF76" s="426"/>
      <c r="DG76" s="426"/>
      <c r="DH76" s="430" t="b">
        <f t="shared" si="134"/>
        <v>1</v>
      </c>
      <c r="DI76" s="430" t="b">
        <f t="shared" si="134"/>
        <v>1</v>
      </c>
      <c r="DJ76" s="430" t="b">
        <f t="shared" si="134"/>
        <v>1</v>
      </c>
      <c r="DK76" s="430" t="b">
        <f t="shared" si="134"/>
        <v>1</v>
      </c>
      <c r="DL76" s="430" t="b">
        <f t="shared" si="136"/>
        <v>1</v>
      </c>
      <c r="DM76" s="430" t="b">
        <f t="shared" si="137"/>
        <v>1</v>
      </c>
      <c r="DN76" s="430" t="b">
        <f t="shared" si="138"/>
        <v>1</v>
      </c>
      <c r="DO76" s="430" t="b">
        <f t="shared" si="139"/>
        <v>1</v>
      </c>
      <c r="DP76" s="430" t="b">
        <f t="shared" si="134"/>
        <v>1</v>
      </c>
      <c r="DQ76" s="430" t="b">
        <f t="shared" si="134"/>
        <v>1</v>
      </c>
      <c r="DR76" s="430" t="b">
        <f t="shared" si="134"/>
        <v>1</v>
      </c>
      <c r="DS76" s="430" t="b">
        <f t="shared" ref="DS76:DS103" si="143">CX76=CC76</f>
        <v>1</v>
      </c>
      <c r="DT76" s="430" t="b">
        <f t="shared" ref="DT76:DT103" si="144">CY76=CD76</f>
        <v>1</v>
      </c>
      <c r="DU76" s="430" t="b">
        <f t="shared" si="142"/>
        <v>1</v>
      </c>
      <c r="DV76" s="430" t="b">
        <f t="shared" si="142"/>
        <v>1</v>
      </c>
      <c r="DW76" s="430" t="b">
        <f t="shared" si="142"/>
        <v>1</v>
      </c>
      <c r="DX76" s="430" t="b">
        <f t="shared" si="142"/>
        <v>1</v>
      </c>
      <c r="DY76" s="430" t="b">
        <f t="shared" si="142"/>
        <v>1</v>
      </c>
      <c r="DZ76" s="430" t="b">
        <f t="shared" si="142"/>
        <v>1</v>
      </c>
      <c r="EA76" s="430" t="b">
        <f t="shared" si="142"/>
        <v>1</v>
      </c>
      <c r="EB76" s="430" t="b">
        <f t="shared" si="142"/>
        <v>1</v>
      </c>
      <c r="EC76" s="244">
        <f>SUM(BV76:CL76)</f>
        <v>0</v>
      </c>
      <c r="ED76" s="223">
        <f t="shared" si="97"/>
        <v>0</v>
      </c>
      <c r="EE76" s="223">
        <f t="shared" si="98"/>
        <v>0</v>
      </c>
      <c r="EF76" s="223">
        <f t="shared" si="99"/>
        <v>0</v>
      </c>
      <c r="EG76" s="223">
        <f t="shared" si="100"/>
        <v>0</v>
      </c>
      <c r="EH76" s="223">
        <f t="shared" si="101"/>
        <v>0</v>
      </c>
      <c r="EI76" s="223">
        <f t="shared" si="102"/>
        <v>0</v>
      </c>
      <c r="EJ76" s="223">
        <f t="shared" si="103"/>
        <v>0</v>
      </c>
      <c r="EK76" s="223">
        <f t="shared" si="104"/>
        <v>0</v>
      </c>
      <c r="EL76" s="223">
        <f t="shared" si="105"/>
        <v>0</v>
      </c>
      <c r="EM76" s="223">
        <f t="shared" si="106"/>
        <v>0</v>
      </c>
      <c r="EN76" s="223">
        <f t="shared" si="107"/>
        <v>0</v>
      </c>
      <c r="EO76" s="223">
        <f t="shared" si="108"/>
        <v>0</v>
      </c>
      <c r="EP76" s="223">
        <f t="shared" si="109"/>
        <v>0</v>
      </c>
      <c r="EQ76" s="223">
        <f>CE76-S76</f>
        <v>0</v>
      </c>
      <c r="ER76" s="223">
        <f>CF76-T76</f>
        <v>0</v>
      </c>
      <c r="ES76" s="223">
        <f>CG76-U76</f>
        <v>0</v>
      </c>
      <c r="ET76" s="223">
        <f>CH76-V76</f>
        <v>0</v>
      </c>
      <c r="EU76" s="223">
        <f>CI76-W76</f>
        <v>0</v>
      </c>
      <c r="EV76" s="223">
        <f>CJ76-X76</f>
        <v>0</v>
      </c>
      <c r="EW76" s="223">
        <f>CK76-Y76</f>
        <v>0</v>
      </c>
      <c r="EX76" s="223">
        <f>CL76-Z76</f>
        <v>0</v>
      </c>
      <c r="EY76" s="244">
        <f>SUM(EH76:EX76)</f>
        <v>0</v>
      </c>
    </row>
    <row r="77" spans="3:155" x14ac:dyDescent="0.35">
      <c r="C77" s="269"/>
      <c r="D77" s="272" t="s">
        <v>209</v>
      </c>
      <c r="E77" s="243" t="s">
        <v>10</v>
      </c>
      <c r="F77" s="384">
        <f>'[10]Данные для переноса'!F78</f>
        <v>555025.06865000003</v>
      </c>
      <c r="G77" s="384">
        <f>'[10]Данные для переноса'!G78</f>
        <v>672470.14835000003</v>
      </c>
      <c r="H77" s="384">
        <f>'[10]Данные для переноса'!H78</f>
        <v>829360.43515000003</v>
      </c>
      <c r="I77" s="384">
        <f>'[10]Данные для переноса'!I78</f>
        <v>893785.27297524095</v>
      </c>
      <c r="J77" s="384">
        <f>'[10]Данные для переноса'!J78</f>
        <v>955246.79563626566</v>
      </c>
      <c r="K77" s="384">
        <f>'[10]Данные для переноса'!K78</f>
        <v>1018186.2392562453</v>
      </c>
      <c r="L77" s="384">
        <f>'[10]Данные для переноса'!L78</f>
        <v>1062469.083058198</v>
      </c>
      <c r="M77" s="384">
        <f>'[10]Данные для переноса'!M78</f>
        <v>1108710.2004397206</v>
      </c>
      <c r="N77" s="384">
        <f>'[10]Данные для переноса'!N78</f>
        <v>1157381.2029840983</v>
      </c>
      <c r="O77" s="384">
        <f>'[10]Данные для переноса'!O78</f>
        <v>1208351.7693436367</v>
      </c>
      <c r="P77" s="384">
        <f>'[10]Данные для переноса'!P78</f>
        <v>1261742.6643259549</v>
      </c>
      <c r="Q77" s="384">
        <f>'[10]Данные для переноса'!Q78</f>
        <v>1317681.8319629855</v>
      </c>
      <c r="R77" s="384">
        <f>'[10]Данные для переноса'!R78</f>
        <v>1376304.874328319</v>
      </c>
      <c r="S77" s="384">
        <f>'[10]Данные для переноса'!S78</f>
        <v>1437755.5651457501</v>
      </c>
      <c r="T77" s="384">
        <f>'[10]Данные для переноса'!T78</f>
        <v>1502186.4008567729</v>
      </c>
      <c r="U77" s="384">
        <f>'[10]Данные для переноса'!U78</f>
        <v>1569759.1920256205</v>
      </c>
      <c r="V77" s="384">
        <f>'[10]Данные для переноса'!V78</f>
        <v>1640645.6981882032</v>
      </c>
      <c r="W77" s="384">
        <f>'[10]Данные для переноса'!W78</f>
        <v>1715028.3094973844</v>
      </c>
      <c r="X77" s="384">
        <f>'[10]Данные для переноса'!X78</f>
        <v>1793100.7787828762</v>
      </c>
      <c r="Y77" s="384">
        <f>'[10]Данные для переноса'!Y78</f>
        <v>1875069.0079312839</v>
      </c>
      <c r="Z77" s="384">
        <f>'[10]Данные для переноса'!Z78</f>
        <v>1961151.8928021907</v>
      </c>
      <c r="AA77" s="426">
        <v>555025.06865000003</v>
      </c>
      <c r="AB77" s="426">
        <v>672470.14835000003</v>
      </c>
      <c r="AC77" s="426">
        <v>829360.43515000003</v>
      </c>
      <c r="AD77" s="426">
        <v>893785.27297524095</v>
      </c>
      <c r="AE77" s="426">
        <v>955246.79563626566</v>
      </c>
      <c r="AF77" s="426">
        <v>1018186.2392562453</v>
      </c>
      <c r="AG77" s="426">
        <v>1062469.083058198</v>
      </c>
      <c r="AH77" s="426">
        <v>1108710.2004397206</v>
      </c>
      <c r="AI77" s="426">
        <v>1157381.2029840983</v>
      </c>
      <c r="AJ77" s="426">
        <v>1208351.7693436367</v>
      </c>
      <c r="AK77" s="426">
        <v>1261742.6643259549</v>
      </c>
      <c r="AL77" s="426">
        <v>1317681.8319629855</v>
      </c>
      <c r="AM77" s="426">
        <v>1376304.874328319</v>
      </c>
      <c r="AN77" s="426">
        <v>1437755.5651457501</v>
      </c>
      <c r="AO77" s="426">
        <v>1502186.4008567729</v>
      </c>
      <c r="AP77" s="426">
        <v>1569759.1920256205</v>
      </c>
      <c r="AQ77" s="426">
        <v>1640645.6981882032</v>
      </c>
      <c r="AR77" s="426">
        <v>1715028.3094973844</v>
      </c>
      <c r="AS77" s="426">
        <v>1793100.7787828762</v>
      </c>
      <c r="AT77" s="426">
        <v>1875069.0079312839</v>
      </c>
      <c r="AU77" s="426">
        <v>1961151.8928021907</v>
      </c>
      <c r="AV77" s="430" t="b">
        <f t="shared" si="140"/>
        <v>1</v>
      </c>
      <c r="AW77" s="430" t="b">
        <f t="shared" si="140"/>
        <v>1</v>
      </c>
      <c r="AX77" s="430" t="b">
        <f t="shared" si="135"/>
        <v>1</v>
      </c>
      <c r="AY77" s="430" t="b">
        <f t="shared" si="135"/>
        <v>1</v>
      </c>
      <c r="AZ77" s="430" t="b">
        <f t="shared" si="135"/>
        <v>1</v>
      </c>
      <c r="BA77" s="430" t="b">
        <f t="shared" si="135"/>
        <v>1</v>
      </c>
      <c r="BB77" s="430" t="b">
        <f t="shared" si="135"/>
        <v>1</v>
      </c>
      <c r="BC77" s="430" t="b">
        <f t="shared" si="135"/>
        <v>1</v>
      </c>
      <c r="BD77" s="430" t="b">
        <f t="shared" si="135"/>
        <v>1</v>
      </c>
      <c r="BE77" s="430" t="b">
        <f t="shared" si="135"/>
        <v>1</v>
      </c>
      <c r="BF77" s="430" t="b">
        <f t="shared" si="135"/>
        <v>1</v>
      </c>
      <c r="BG77" s="430" t="b">
        <f t="shared" si="135"/>
        <v>1</v>
      </c>
      <c r="BH77" s="430" t="b">
        <f t="shared" si="135"/>
        <v>1</v>
      </c>
      <c r="BI77" s="430" t="b">
        <f t="shared" si="135"/>
        <v>1</v>
      </c>
      <c r="BJ77" s="430" t="b">
        <f t="shared" si="141"/>
        <v>1</v>
      </c>
      <c r="BK77" s="430" t="b">
        <f t="shared" si="141"/>
        <v>1</v>
      </c>
      <c r="BL77" s="430" t="b">
        <f t="shared" si="141"/>
        <v>1</v>
      </c>
      <c r="BM77" s="430" t="b">
        <f t="shared" si="141"/>
        <v>1</v>
      </c>
      <c r="BN77" s="430" t="b">
        <f t="shared" si="141"/>
        <v>1</v>
      </c>
      <c r="BO77" s="430" t="b">
        <f t="shared" si="141"/>
        <v>1</v>
      </c>
      <c r="BP77" s="430" t="b">
        <f t="shared" si="141"/>
        <v>1</v>
      </c>
      <c r="BQ77" s="244">
        <f t="shared" si="131"/>
        <v>23960771.506565508</v>
      </c>
      <c r="BR77" s="247">
        <f>'[10]Данные для переноса'!AB78</f>
        <v>555025.06865000003</v>
      </c>
      <c r="BS77" s="247">
        <f>'[10]Данные для переноса'!AC78</f>
        <v>672470.14835000003</v>
      </c>
      <c r="BT77" s="247">
        <f>'[10]Данные для переноса'!AD78</f>
        <v>829360.43515000003</v>
      </c>
      <c r="BU77" s="247">
        <f>'[10]Данные для переноса'!AE78</f>
        <v>928929.22143046767</v>
      </c>
      <c r="BV77" s="247">
        <f>'[10]Данные для переноса'!AF78</f>
        <v>1012853.5999775466</v>
      </c>
      <c r="BW77" s="247">
        <f>'[10]Данные для переноса'!AG78</f>
        <v>1087169.7868197712</v>
      </c>
      <c r="BX77" s="247">
        <f>'[10]Данные для переноса'!AH78</f>
        <v>1142067.3230811772</v>
      </c>
      <c r="BY77" s="247">
        <f>'[10]Данные для переноса'!AI78</f>
        <v>1195624.0765334661</v>
      </c>
      <c r="BZ77" s="247">
        <f>'[10]Данные для переноса'!AJ78</f>
        <v>1250183.9710995022</v>
      </c>
      <c r="CA77" s="247">
        <f>'[10]Данные для переноса'!AK78</f>
        <v>1307293.1151425068</v>
      </c>
      <c r="CB77" s="247">
        <f>'[10]Данные для переноса'!AL78</f>
        <v>1367206.6444676805</v>
      </c>
      <c r="CC77" s="247">
        <f>'[10]Данные для переноса'!AM78</f>
        <v>1430075.0830420654</v>
      </c>
      <c r="CD77" s="247">
        <f>'[10]Данные для переноса'!AN78</f>
        <v>1496057.8693521318</v>
      </c>
      <c r="CE77" s="247">
        <f>'[10]Данные для переноса'!AO78</f>
        <v>1572480.0106124512</v>
      </c>
      <c r="CF77" s="247">
        <f>'[10]Данные для переноса'!AP78</f>
        <v>1653160.4268054545</v>
      </c>
      <c r="CG77" s="247">
        <f>'[10]Данные для переноса'!AQ78</f>
        <v>1731045.2655991304</v>
      </c>
      <c r="CH77" s="247">
        <f>'[10]Данные для переноса'!AR78</f>
        <v>1812126.674119377</v>
      </c>
      <c r="CI77" s="247">
        <f>'[10]Данные для переноса'!AS78</f>
        <v>1896939.4009790651</v>
      </c>
      <c r="CJ77" s="247">
        <f>'[10]Данные для переноса'!AT78</f>
        <v>1986387.4810282274</v>
      </c>
      <c r="CK77" s="247">
        <f>'[10]Данные для переноса'!AU78</f>
        <v>2079846.8134834073</v>
      </c>
      <c r="CL77" s="247">
        <f>'[10]Данные для переноса'!AV78</f>
        <v>2178474.785515958</v>
      </c>
      <c r="CM77" s="426">
        <v>555025.06865000003</v>
      </c>
      <c r="CN77" s="426">
        <v>672470.14835000003</v>
      </c>
      <c r="CO77" s="426">
        <v>829360.43515000003</v>
      </c>
      <c r="CP77" s="426">
        <v>928929.22143046767</v>
      </c>
      <c r="CQ77" s="426">
        <v>1012853.5999775466</v>
      </c>
      <c r="CR77" s="426">
        <v>1087169.7868197712</v>
      </c>
      <c r="CS77" s="426">
        <v>1142067.3230811772</v>
      </c>
      <c r="CT77" s="426">
        <v>1195624.0765334661</v>
      </c>
      <c r="CU77" s="426">
        <v>1250183.9710995022</v>
      </c>
      <c r="CV77" s="426">
        <v>1307293.1151425068</v>
      </c>
      <c r="CW77" s="426">
        <v>1367206.6444676805</v>
      </c>
      <c r="CX77" s="426">
        <v>1430075.0830420654</v>
      </c>
      <c r="CY77" s="426">
        <v>1496057.8693521318</v>
      </c>
      <c r="CZ77" s="426">
        <v>1572480.0106124512</v>
      </c>
      <c r="DA77" s="426">
        <v>1653160.4268054545</v>
      </c>
      <c r="DB77" s="426">
        <v>1731045.2655991304</v>
      </c>
      <c r="DC77" s="426">
        <v>1812126.674119377</v>
      </c>
      <c r="DD77" s="426">
        <v>1896939.4009790651</v>
      </c>
      <c r="DE77" s="426">
        <v>1986387.4810282274</v>
      </c>
      <c r="DF77" s="426">
        <v>2079846.8134834073</v>
      </c>
      <c r="DG77" s="426">
        <v>2178474.785515958</v>
      </c>
      <c r="DH77" s="430" t="b">
        <f t="shared" si="134"/>
        <v>1</v>
      </c>
      <c r="DI77" s="430" t="b">
        <f t="shared" si="134"/>
        <v>1</v>
      </c>
      <c r="DJ77" s="430" t="b">
        <f t="shared" si="134"/>
        <v>1</v>
      </c>
      <c r="DK77" s="430" t="b">
        <f t="shared" si="134"/>
        <v>1</v>
      </c>
      <c r="DL77" s="430" t="b">
        <f t="shared" si="136"/>
        <v>1</v>
      </c>
      <c r="DM77" s="430" t="b">
        <f t="shared" si="137"/>
        <v>1</v>
      </c>
      <c r="DN77" s="430" t="b">
        <f t="shared" si="138"/>
        <v>1</v>
      </c>
      <c r="DO77" s="430" t="b">
        <f t="shared" si="139"/>
        <v>1</v>
      </c>
      <c r="DP77" s="430" t="b">
        <f t="shared" si="134"/>
        <v>1</v>
      </c>
      <c r="DQ77" s="430" t="b">
        <f t="shared" si="134"/>
        <v>1</v>
      </c>
      <c r="DR77" s="430" t="b">
        <f t="shared" si="134"/>
        <v>1</v>
      </c>
      <c r="DS77" s="430" t="b">
        <f t="shared" si="143"/>
        <v>1</v>
      </c>
      <c r="DT77" s="430" t="b">
        <f t="shared" si="144"/>
        <v>1</v>
      </c>
      <c r="DU77" s="430" t="b">
        <f t="shared" si="142"/>
        <v>1</v>
      </c>
      <c r="DV77" s="430" t="b">
        <f t="shared" si="142"/>
        <v>1</v>
      </c>
      <c r="DW77" s="430" t="b">
        <f t="shared" si="142"/>
        <v>1</v>
      </c>
      <c r="DX77" s="430" t="b">
        <f t="shared" si="142"/>
        <v>1</v>
      </c>
      <c r="DY77" s="430" t="b">
        <f t="shared" si="142"/>
        <v>1</v>
      </c>
      <c r="DZ77" s="430" t="b">
        <f t="shared" si="142"/>
        <v>1</v>
      </c>
      <c r="EA77" s="430" t="b">
        <f t="shared" si="142"/>
        <v>1</v>
      </c>
      <c r="EB77" s="430" t="b">
        <f t="shared" si="142"/>
        <v>1</v>
      </c>
      <c r="EC77" s="244">
        <f t="shared" si="132"/>
        <v>26198992.327658918</v>
      </c>
      <c r="ED77" s="223">
        <f t="shared" si="97"/>
        <v>0</v>
      </c>
      <c r="EE77" s="223">
        <f t="shared" si="98"/>
        <v>0</v>
      </c>
      <c r="EF77" s="223">
        <f t="shared" si="99"/>
        <v>0</v>
      </c>
      <c r="EG77" s="223">
        <f t="shared" si="100"/>
        <v>35143.948455226724</v>
      </c>
      <c r="EH77" s="223">
        <f t="shared" si="101"/>
        <v>57606.804341280949</v>
      </c>
      <c r="EI77" s="223">
        <f t="shared" si="102"/>
        <v>68983.547563525848</v>
      </c>
      <c r="EJ77" s="223">
        <f t="shared" si="103"/>
        <v>79598.240022979211</v>
      </c>
      <c r="EK77" s="223">
        <f t="shared" si="104"/>
        <v>86913.876093745464</v>
      </c>
      <c r="EL77" s="223">
        <f t="shared" si="105"/>
        <v>92802.768115403829</v>
      </c>
      <c r="EM77" s="223">
        <f t="shared" si="106"/>
        <v>98941.345798870083</v>
      </c>
      <c r="EN77" s="223">
        <f t="shared" si="107"/>
        <v>105463.98014172562</v>
      </c>
      <c r="EO77" s="223">
        <f t="shared" si="108"/>
        <v>112393.25107907993</v>
      </c>
      <c r="EP77" s="223">
        <f t="shared" si="109"/>
        <v>119752.99502381287</v>
      </c>
      <c r="EQ77" s="223">
        <f>CE77-S77</f>
        <v>134724.44546670117</v>
      </c>
      <c r="ER77" s="223">
        <f>CF77-T77</f>
        <v>150974.02594868164</v>
      </c>
      <c r="ES77" s="223">
        <f>CG77-U77</f>
        <v>161286.07357350993</v>
      </c>
      <c r="ET77" s="223">
        <f>CH77-V77</f>
        <v>171480.97593117389</v>
      </c>
      <c r="EU77" s="223">
        <f>CI77-W77</f>
        <v>181911.09148168075</v>
      </c>
      <c r="EV77" s="223">
        <f>CJ77-X77</f>
        <v>193286.70224535116</v>
      </c>
      <c r="EW77" s="223">
        <f>CK77-Y77</f>
        <v>204777.80555212335</v>
      </c>
      <c r="EX77" s="223">
        <f>CL77-Z77</f>
        <v>217322.89271376724</v>
      </c>
      <c r="EY77" s="244">
        <f t="shared" si="133"/>
        <v>2238220.821093413</v>
      </c>
    </row>
    <row r="78" spans="3:155" x14ac:dyDescent="0.35">
      <c r="C78" s="269"/>
      <c r="D78" s="272" t="s">
        <v>210</v>
      </c>
      <c r="E78" s="243" t="s">
        <v>10</v>
      </c>
      <c r="F78" s="384">
        <f>'[10]Данные для переноса'!F79</f>
        <v>97945.600350000081</v>
      </c>
      <c r="G78" s="384">
        <f>'[10]Данные для переноса'!G79</f>
        <v>118671.20264999999</v>
      </c>
      <c r="H78" s="384">
        <f>'[10]Данные для переноса'!H79</f>
        <v>146357.72385000007</v>
      </c>
      <c r="I78" s="384">
        <f>'[10]Данные для переноса'!I79</f>
        <v>157726.81287798367</v>
      </c>
      <c r="J78" s="384">
        <f>'[10]Данные для переноса'!J79</f>
        <v>168572.96393581165</v>
      </c>
      <c r="K78" s="384">
        <f>'[10]Данные для переноса'!K79</f>
        <v>179679.9245746315</v>
      </c>
      <c r="L78" s="384">
        <f>'[10]Данные для переноса'!L79</f>
        <v>187494.54406909388</v>
      </c>
      <c r="M78" s="384">
        <f>'[10]Данные для переноса'!M79</f>
        <v>195654.74125406845</v>
      </c>
      <c r="N78" s="384">
        <f>'[10]Данные для переноса'!N79</f>
        <v>204243.74170307629</v>
      </c>
      <c r="O78" s="384">
        <f>'[10]Данные для переноса'!O79</f>
        <v>213238.54753123014</v>
      </c>
      <c r="P78" s="384">
        <f>'[10]Данные для переноса'!P79</f>
        <v>222660.47017516848</v>
      </c>
      <c r="Q78" s="384">
        <f>'[10]Данные для переноса'!Q79</f>
        <v>232532.08799346816</v>
      </c>
      <c r="R78" s="384">
        <f>'[10]Данные для переноса'!R79</f>
        <v>242877.33076382102</v>
      </c>
      <c r="S78" s="384">
        <f>'[10]Данные для переноса'!S79</f>
        <v>253721.57031983836</v>
      </c>
      <c r="T78" s="384">
        <f>'[10]Данные для переноса'!T79</f>
        <v>265091.71779825422</v>
      </c>
      <c r="U78" s="384">
        <f>'[10]Данные для переноса'!U79</f>
        <v>277016.32800452132</v>
      </c>
      <c r="V78" s="384">
        <f>'[10]Данные для переноса'!V79</f>
        <v>289525.71144497697</v>
      </c>
      <c r="W78" s="384">
        <f>'[10]Данные для переноса'!W79</f>
        <v>302652.05461718561</v>
      </c>
      <c r="X78" s="384">
        <f>'[10]Данные для переноса'!X79</f>
        <v>316429.5491969781</v>
      </c>
      <c r="Y78" s="384">
        <f>'[10]Данные для переноса'!Y79</f>
        <v>330894.53081140318</v>
      </c>
      <c r="Z78" s="384">
        <f>'[10]Данные для переноса'!Z79</f>
        <v>346085.62814156315</v>
      </c>
      <c r="AA78" s="426">
        <v>97945.600350000081</v>
      </c>
      <c r="AB78" s="426">
        <v>118671.20264999999</v>
      </c>
      <c r="AC78" s="426">
        <v>146357.72385000007</v>
      </c>
      <c r="AD78" s="426">
        <v>157726.81287798367</v>
      </c>
      <c r="AE78" s="426">
        <v>168572.96393581165</v>
      </c>
      <c r="AF78" s="426">
        <v>179679.9245746315</v>
      </c>
      <c r="AG78" s="426">
        <v>187494.54406909388</v>
      </c>
      <c r="AH78" s="426">
        <v>195654.74125406845</v>
      </c>
      <c r="AI78" s="426">
        <v>204243.74170307629</v>
      </c>
      <c r="AJ78" s="426">
        <v>213238.54753123014</v>
      </c>
      <c r="AK78" s="426">
        <v>222660.47017516848</v>
      </c>
      <c r="AL78" s="426">
        <v>232532.08799346816</v>
      </c>
      <c r="AM78" s="426">
        <v>242877.33076382102</v>
      </c>
      <c r="AN78" s="426">
        <v>253721.57031983836</v>
      </c>
      <c r="AO78" s="426">
        <v>265091.71779825422</v>
      </c>
      <c r="AP78" s="426">
        <v>277016.32800452132</v>
      </c>
      <c r="AQ78" s="426">
        <v>289525.71144497697</v>
      </c>
      <c r="AR78" s="426">
        <v>302652.05461718561</v>
      </c>
      <c r="AS78" s="426">
        <v>316429.5491969781</v>
      </c>
      <c r="AT78" s="426">
        <v>330894.53081140318</v>
      </c>
      <c r="AU78" s="426">
        <v>346085.62814156315</v>
      </c>
      <c r="AV78" s="430" t="b">
        <f t="shared" si="140"/>
        <v>1</v>
      </c>
      <c r="AW78" s="430" t="b">
        <f t="shared" si="140"/>
        <v>1</v>
      </c>
      <c r="AX78" s="430" t="b">
        <f t="shared" si="140"/>
        <v>1</v>
      </c>
      <c r="AY78" s="430" t="b">
        <f t="shared" si="140"/>
        <v>1</v>
      </c>
      <c r="AZ78" s="430" t="b">
        <f t="shared" si="140"/>
        <v>1</v>
      </c>
      <c r="BA78" s="430" t="b">
        <f t="shared" si="140"/>
        <v>1</v>
      </c>
      <c r="BB78" s="430" t="b">
        <f t="shared" si="140"/>
        <v>1</v>
      </c>
      <c r="BC78" s="430" t="b">
        <f t="shared" si="140"/>
        <v>1</v>
      </c>
      <c r="BD78" s="430" t="b">
        <f t="shared" si="135"/>
        <v>1</v>
      </c>
      <c r="BE78" s="430" t="b">
        <f t="shared" si="135"/>
        <v>1</v>
      </c>
      <c r="BF78" s="430" t="b">
        <f t="shared" si="135"/>
        <v>1</v>
      </c>
      <c r="BG78" s="430" t="b">
        <f t="shared" si="135"/>
        <v>1</v>
      </c>
      <c r="BH78" s="430" t="b">
        <f t="shared" si="135"/>
        <v>1</v>
      </c>
      <c r="BI78" s="430" t="b">
        <f t="shared" si="135"/>
        <v>1</v>
      </c>
      <c r="BJ78" s="430" t="b">
        <f t="shared" si="141"/>
        <v>1</v>
      </c>
      <c r="BK78" s="430" t="b">
        <f t="shared" si="141"/>
        <v>1</v>
      </c>
      <c r="BL78" s="430" t="b">
        <f t="shared" si="141"/>
        <v>1</v>
      </c>
      <c r="BM78" s="430" t="b">
        <f t="shared" si="141"/>
        <v>1</v>
      </c>
      <c r="BN78" s="430" t="b">
        <f t="shared" si="141"/>
        <v>1</v>
      </c>
      <c r="BO78" s="430" t="b">
        <f t="shared" si="141"/>
        <v>1</v>
      </c>
      <c r="BP78" s="430" t="b">
        <f t="shared" si="141"/>
        <v>1</v>
      </c>
      <c r="BQ78" s="244">
        <f t="shared" si="131"/>
        <v>4228371.4423350906</v>
      </c>
      <c r="BR78" s="247">
        <f>'[10]Данные для переноса'!AB79</f>
        <v>97945.600350000081</v>
      </c>
      <c r="BS78" s="247">
        <f>'[10]Данные для переноса'!AC79</f>
        <v>118671.20264999999</v>
      </c>
      <c r="BT78" s="247">
        <f>'[10]Данные для переноса'!AD79</f>
        <v>146357.72385000007</v>
      </c>
      <c r="BU78" s="247">
        <f>'[10]Данные для переноса'!AE79</f>
        <v>163928.68613478844</v>
      </c>
      <c r="BV78" s="247">
        <f>'[10]Данные для переноса'!AF79</f>
        <v>178738.87058427301</v>
      </c>
      <c r="BW78" s="247">
        <f>'[10]Данные для переноса'!AG79</f>
        <v>191853.49179172423</v>
      </c>
      <c r="BX78" s="247">
        <f>'[10]Данные для переноса'!AH79</f>
        <v>201541.29230844299</v>
      </c>
      <c r="BY78" s="247">
        <f>'[10]Данные для переноса'!AI79</f>
        <v>210992.48409414105</v>
      </c>
      <c r="BZ78" s="247">
        <f>'[10]Данные для переноса'!AJ79</f>
        <v>220620.70078226505</v>
      </c>
      <c r="CA78" s="247">
        <f>'[10]Данные для переноса'!AK79</f>
        <v>230698.78502514819</v>
      </c>
      <c r="CB78" s="247">
        <f>'[10]Данные для переноса'!AL79</f>
        <v>241271.76078841416</v>
      </c>
      <c r="CC78" s="247">
        <f>'[10]Данные для переноса'!AM79</f>
        <v>252366.19112507044</v>
      </c>
      <c r="CD78" s="247">
        <f>'[10]Данные для переноса'!AN79</f>
        <v>264010.21223861142</v>
      </c>
      <c r="CE78" s="247">
        <f>'[10]Данные для переноса'!AO79</f>
        <v>277496.47246102081</v>
      </c>
      <c r="CF78" s="247">
        <f>'[10]Данные для переноса'!AP79</f>
        <v>291734.19296566863</v>
      </c>
      <c r="CG78" s="247">
        <f>'[10]Данные для переноса'!AQ79</f>
        <v>305478.57628219947</v>
      </c>
      <c r="CH78" s="247">
        <f>'[10]Данные для переноса'!AR79</f>
        <v>319787.06013871357</v>
      </c>
      <c r="CI78" s="247">
        <f>'[10]Данные для переноса'!AS79</f>
        <v>334754.01193748205</v>
      </c>
      <c r="CJ78" s="247">
        <f>'[10]Данные для переноса'!AT79</f>
        <v>350538.96724027558</v>
      </c>
      <c r="CK78" s="247">
        <f>'[10]Данные для переноса'!AU79</f>
        <v>367031.79061471904</v>
      </c>
      <c r="CL78" s="247">
        <f>'[10]Данные для переноса'!AV79</f>
        <v>384436.72685575718</v>
      </c>
      <c r="CM78" s="426">
        <v>97945.600350000081</v>
      </c>
      <c r="CN78" s="426">
        <v>118671.20264999999</v>
      </c>
      <c r="CO78" s="426">
        <v>146357.72385000007</v>
      </c>
      <c r="CP78" s="426">
        <v>163928.68613478844</v>
      </c>
      <c r="CQ78" s="426">
        <v>178738.87058427301</v>
      </c>
      <c r="CR78" s="426">
        <v>191853.49179172423</v>
      </c>
      <c r="CS78" s="426">
        <v>201541.29230844299</v>
      </c>
      <c r="CT78" s="426">
        <v>210992.48409414105</v>
      </c>
      <c r="CU78" s="426">
        <v>220620.70078226505</v>
      </c>
      <c r="CV78" s="426">
        <v>230698.78502514819</v>
      </c>
      <c r="CW78" s="426">
        <v>241271.76078841416</v>
      </c>
      <c r="CX78" s="426">
        <v>252366.19112507044</v>
      </c>
      <c r="CY78" s="426">
        <v>264010.21223861142</v>
      </c>
      <c r="CZ78" s="426">
        <v>277496.47246102081</v>
      </c>
      <c r="DA78" s="426">
        <v>291734.19296566863</v>
      </c>
      <c r="DB78" s="426">
        <v>305478.57628219947</v>
      </c>
      <c r="DC78" s="426">
        <v>319787.06013871357</v>
      </c>
      <c r="DD78" s="426">
        <v>334754.01193748205</v>
      </c>
      <c r="DE78" s="426">
        <v>350538.96724027558</v>
      </c>
      <c r="DF78" s="426">
        <v>367031.79061471904</v>
      </c>
      <c r="DG78" s="426">
        <v>384436.72685575718</v>
      </c>
      <c r="DH78" s="430" t="b">
        <f t="shared" si="134"/>
        <v>1</v>
      </c>
      <c r="DI78" s="430" t="b">
        <f t="shared" si="134"/>
        <v>1</v>
      </c>
      <c r="DJ78" s="430" t="b">
        <f t="shared" si="134"/>
        <v>1</v>
      </c>
      <c r="DK78" s="430" t="b">
        <f t="shared" si="134"/>
        <v>1</v>
      </c>
      <c r="DL78" s="430" t="b">
        <f t="shared" si="134"/>
        <v>1</v>
      </c>
      <c r="DM78" s="430" t="b">
        <f t="shared" si="134"/>
        <v>1</v>
      </c>
      <c r="DN78" s="430" t="b">
        <f t="shared" si="134"/>
        <v>1</v>
      </c>
      <c r="DO78" s="430" t="b">
        <f t="shared" si="134"/>
        <v>1</v>
      </c>
      <c r="DP78" s="430" t="b">
        <f t="shared" si="134"/>
        <v>1</v>
      </c>
      <c r="DQ78" s="430" t="b">
        <f t="shared" si="134"/>
        <v>1</v>
      </c>
      <c r="DR78" s="430" t="b">
        <f t="shared" si="134"/>
        <v>1</v>
      </c>
      <c r="DS78" s="430" t="b">
        <f t="shared" si="143"/>
        <v>1</v>
      </c>
      <c r="DT78" s="430" t="b">
        <f t="shared" si="144"/>
        <v>1</v>
      </c>
      <c r="DU78" s="430" t="b">
        <f t="shared" si="142"/>
        <v>1</v>
      </c>
      <c r="DV78" s="430" t="b">
        <f t="shared" si="142"/>
        <v>1</v>
      </c>
      <c r="DW78" s="430" t="b">
        <f t="shared" si="142"/>
        <v>1</v>
      </c>
      <c r="DX78" s="430" t="b">
        <f t="shared" si="142"/>
        <v>1</v>
      </c>
      <c r="DY78" s="430" t="b">
        <f t="shared" si="142"/>
        <v>1</v>
      </c>
      <c r="DZ78" s="430" t="b">
        <f t="shared" si="142"/>
        <v>1</v>
      </c>
      <c r="EA78" s="430" t="b">
        <f t="shared" si="142"/>
        <v>1</v>
      </c>
      <c r="EB78" s="430" t="b">
        <f t="shared" si="142"/>
        <v>1</v>
      </c>
      <c r="EC78" s="244">
        <f t="shared" si="132"/>
        <v>4623351.5872339271</v>
      </c>
      <c r="ED78" s="223">
        <f t="shared" si="97"/>
        <v>0</v>
      </c>
      <c r="EE78" s="223">
        <f t="shared" si="98"/>
        <v>0</v>
      </c>
      <c r="EF78" s="223">
        <f t="shared" si="99"/>
        <v>0</v>
      </c>
      <c r="EG78" s="223">
        <f t="shared" si="100"/>
        <v>6201.8732568047708</v>
      </c>
      <c r="EH78" s="223">
        <f t="shared" si="101"/>
        <v>10165.906648461358</v>
      </c>
      <c r="EI78" s="223">
        <f t="shared" si="102"/>
        <v>12173.567217092728</v>
      </c>
      <c r="EJ78" s="223">
        <f t="shared" si="103"/>
        <v>14046.748239349108</v>
      </c>
      <c r="EK78" s="223">
        <f t="shared" si="104"/>
        <v>15337.742840072606</v>
      </c>
      <c r="EL78" s="223">
        <f t="shared" si="105"/>
        <v>16376.95907918876</v>
      </c>
      <c r="EM78" s="223">
        <f t="shared" si="106"/>
        <v>17460.237493918044</v>
      </c>
      <c r="EN78" s="223">
        <f t="shared" si="107"/>
        <v>18611.290613245685</v>
      </c>
      <c r="EO78" s="223">
        <f t="shared" si="108"/>
        <v>19834.103131602285</v>
      </c>
      <c r="EP78" s="223">
        <f t="shared" si="109"/>
        <v>21132.881474790396</v>
      </c>
      <c r="EQ78" s="223">
        <f>CE78-S78</f>
        <v>23774.902141182451</v>
      </c>
      <c r="ER78" s="223">
        <f>CF78-T78</f>
        <v>26642.475167414406</v>
      </c>
      <c r="ES78" s="223">
        <f>CG78-U78</f>
        <v>28462.248277678154</v>
      </c>
      <c r="ET78" s="223">
        <f>CH78-V78</f>
        <v>30261.348693736596</v>
      </c>
      <c r="EU78" s="223">
        <f>CI78-W78</f>
        <v>32101.957320296438</v>
      </c>
      <c r="EV78" s="223">
        <f>CJ78-X78</f>
        <v>34109.418043297483</v>
      </c>
      <c r="EW78" s="223">
        <f>CK78-Y78</f>
        <v>36137.259803315857</v>
      </c>
      <c r="EX78" s="223">
        <f>CL78-Z78</f>
        <v>38351.098714194028</v>
      </c>
      <c r="EY78" s="244">
        <f t="shared" si="133"/>
        <v>394980.14489883638</v>
      </c>
    </row>
    <row r="79" spans="3:155" x14ac:dyDescent="0.35">
      <c r="C79" s="269">
        <f>C75+1</f>
        <v>46</v>
      </c>
      <c r="D79" s="270" t="s">
        <v>212</v>
      </c>
      <c r="E79" s="243" t="s">
        <v>10</v>
      </c>
      <c r="F79" s="384">
        <f>'[10]Данные для переноса'!F80</f>
        <v>1307828.6739000001</v>
      </c>
      <c r="G79" s="384">
        <f>'[10]Данные для переноса'!G80</f>
        <v>1616192.8587</v>
      </c>
      <c r="H79" s="384">
        <f>'[10]Данные для переноса'!H80</f>
        <v>1992507.8040800001</v>
      </c>
      <c r="I79" s="384">
        <f>'[10]Данные для переноса'!I80</f>
        <v>2147268.395370591</v>
      </c>
      <c r="J79" s="384">
        <f>'[10]Данные для переноса'!J80</f>
        <v>2294909.9335051505</v>
      </c>
      <c r="K79" s="384">
        <f>'[10]Данные для переноса'!K80</f>
        <v>2446102.062558189</v>
      </c>
      <c r="L79" s="384">
        <f>'[10]Данные для переноса'!L80</f>
        <v>2552485.5263192859</v>
      </c>
      <c r="M79" s="384">
        <f>'[10]Данные для переноса'!M80</f>
        <v>2663573.3706056345</v>
      </c>
      <c r="N79" s="384">
        <f>'[10]Данные для переноса'!N80</f>
        <v>2780498.3559946534</v>
      </c>
      <c r="O79" s="384">
        <f>'[10]Данные для переноса'!O80</f>
        <v>2902947.51612532</v>
      </c>
      <c r="P79" s="384">
        <f>'[10]Данные для переноса'!P80</f>
        <v>3031210.9474939094</v>
      </c>
      <c r="Q79" s="384">
        <f>'[10]Данные для переноса'!Q80</f>
        <v>3165595.9914242867</v>
      </c>
      <c r="R79" s="384">
        <f>'[10]Данные для переноса'!R80</f>
        <v>3306428.3841639776</v>
      </c>
      <c r="S79" s="384">
        <f>'[10]Данные для переноса'!S80</f>
        <v>3454053.4905448058</v>
      </c>
      <c r="T79" s="384">
        <f>'[10]Данные для переноса'!T80</f>
        <v>3608837.6276156311</v>
      </c>
      <c r="U79" s="384">
        <f>'[10]Данные для переноса'!U80</f>
        <v>3771169.4851611308</v>
      </c>
      <c r="V79" s="384">
        <f>'[10]Данные для переноса'!V80</f>
        <v>3941461.6505676261</v>
      </c>
      <c r="W79" s="384">
        <f>'[10]Данные для переноса'!W80</f>
        <v>4120152.2460879851</v>
      </c>
      <c r="X79" s="384">
        <f>'[10]Данные для переноса'!X80</f>
        <v>4307706.6871961663</v>
      </c>
      <c r="Y79" s="384">
        <f>'[10]Данные для переноса'!Y80</f>
        <v>4504619.5714118723</v>
      </c>
      <c r="Z79" s="384">
        <f>'[10]Данные для переноса'!Z80</f>
        <v>4711416.7077211998</v>
      </c>
      <c r="AA79" s="426">
        <v>1307828.6739000001</v>
      </c>
      <c r="AB79" s="426">
        <v>1616192.8587</v>
      </c>
      <c r="AC79" s="426">
        <v>1992507.8040800001</v>
      </c>
      <c r="AD79" s="426">
        <v>2147268.395370591</v>
      </c>
      <c r="AE79" s="426">
        <v>2294909.9335051505</v>
      </c>
      <c r="AF79" s="426">
        <v>2446102.062558189</v>
      </c>
      <c r="AG79" s="426">
        <v>2552485.5263192859</v>
      </c>
      <c r="AH79" s="426">
        <v>2663573.3706056345</v>
      </c>
      <c r="AI79" s="426">
        <v>2780498.3559946534</v>
      </c>
      <c r="AJ79" s="426">
        <v>2902947.51612532</v>
      </c>
      <c r="AK79" s="426">
        <v>3031210.9474939094</v>
      </c>
      <c r="AL79" s="426">
        <v>3165595.9914242867</v>
      </c>
      <c r="AM79" s="426">
        <v>3306428.3841639776</v>
      </c>
      <c r="AN79" s="426">
        <v>3454053.4905448058</v>
      </c>
      <c r="AO79" s="426">
        <v>3608837.6276156311</v>
      </c>
      <c r="AP79" s="426">
        <v>3771169.4851611308</v>
      </c>
      <c r="AQ79" s="426">
        <v>3941461.6505676261</v>
      </c>
      <c r="AR79" s="426">
        <v>4120152.2460879851</v>
      </c>
      <c r="AS79" s="426">
        <v>4307706.6871961663</v>
      </c>
      <c r="AT79" s="426">
        <v>4504619.5714118723</v>
      </c>
      <c r="AU79" s="426">
        <v>4711416.7077211998</v>
      </c>
      <c r="AV79" s="430" t="b">
        <f t="shared" si="140"/>
        <v>1</v>
      </c>
      <c r="AW79" s="430" t="b">
        <f t="shared" si="140"/>
        <v>1</v>
      </c>
      <c r="AX79" s="430" t="b">
        <f t="shared" si="140"/>
        <v>1</v>
      </c>
      <c r="AY79" s="430" t="b">
        <f t="shared" si="140"/>
        <v>1</v>
      </c>
      <c r="AZ79" s="430" t="b">
        <f t="shared" si="140"/>
        <v>1</v>
      </c>
      <c r="BA79" s="430" t="b">
        <f t="shared" si="140"/>
        <v>1</v>
      </c>
      <c r="BB79" s="430" t="b">
        <f t="shared" si="140"/>
        <v>1</v>
      </c>
      <c r="BC79" s="430" t="b">
        <f t="shared" si="140"/>
        <v>1</v>
      </c>
      <c r="BD79" s="430" t="b">
        <f t="shared" si="135"/>
        <v>1</v>
      </c>
      <c r="BE79" s="430" t="b">
        <f t="shared" si="135"/>
        <v>1</v>
      </c>
      <c r="BF79" s="430" t="b">
        <f t="shared" si="135"/>
        <v>1</v>
      </c>
      <c r="BG79" s="430" t="b">
        <f t="shared" si="135"/>
        <v>1</v>
      </c>
      <c r="BH79" s="430" t="b">
        <f t="shared" si="135"/>
        <v>1</v>
      </c>
      <c r="BI79" s="430" t="b">
        <f t="shared" si="135"/>
        <v>1</v>
      </c>
      <c r="BJ79" s="430" t="b">
        <f t="shared" si="141"/>
        <v>1</v>
      </c>
      <c r="BK79" s="430" t="b">
        <f t="shared" si="141"/>
        <v>1</v>
      </c>
      <c r="BL79" s="430" t="b">
        <f t="shared" si="141"/>
        <v>1</v>
      </c>
      <c r="BM79" s="430" t="b">
        <f t="shared" si="141"/>
        <v>1</v>
      </c>
      <c r="BN79" s="430" t="b">
        <f t="shared" si="141"/>
        <v>1</v>
      </c>
      <c r="BO79" s="430" t="b">
        <f t="shared" si="141"/>
        <v>1</v>
      </c>
      <c r="BP79" s="430" t="b">
        <f t="shared" si="141"/>
        <v>1</v>
      </c>
      <c r="BQ79" s="244">
        <f t="shared" si="131"/>
        <v>57563169.554496825</v>
      </c>
      <c r="BR79" s="247">
        <f>'[10]Данные для переноса'!AB80</f>
        <v>1307828.6739000001</v>
      </c>
      <c r="BS79" s="247">
        <f>'[10]Данные для переноса'!AC80</f>
        <v>1616192.8587</v>
      </c>
      <c r="BT79" s="247">
        <f>'[10]Данные для переноса'!AD80</f>
        <v>1992507.8040800001</v>
      </c>
      <c r="BU79" s="247">
        <f>'[10]Данные для переноса'!AE80</f>
        <v>2232398.8764620093</v>
      </c>
      <c r="BV79" s="247">
        <f>'[10]Данные для переноса'!AF80</f>
        <v>2479047.254483548</v>
      </c>
      <c r="BW79" s="247">
        <f>'[10]Данные для переноса'!AG80</f>
        <v>2656908.3488423685</v>
      </c>
      <c r="BX79" s="247">
        <f>'[10]Данные для переноса'!AH80</f>
        <v>2792128.1692426098</v>
      </c>
      <c r="BY79" s="247">
        <f>'[10]Данные для переноса'!AI80</f>
        <v>2919959.7419192279</v>
      </c>
      <c r="BZ79" s="247">
        <f>'[10]Данные для переноса'!AJ80</f>
        <v>3050086.9104288802</v>
      </c>
      <c r="CA79" s="247">
        <f>'[10]Данные для переноса'!AK80</f>
        <v>3186215.6124482164</v>
      </c>
      <c r="CB79" s="247">
        <f>'[10]Данные для переноса'!AL80</f>
        <v>3328950.6952523761</v>
      </c>
      <c r="CC79" s="247">
        <f>'[10]Данные для переноса'!AM80</f>
        <v>3478645.3077083323</v>
      </c>
      <c r="CD79" s="247">
        <f>'[10]Данные для переноса'!AN80</f>
        <v>3635673.5471273693</v>
      </c>
      <c r="CE79" s="247">
        <f>'[10]Данные для переноса'!AO80</f>
        <v>3817629.9899321389</v>
      </c>
      <c r="CF79" s="247">
        <f>'[10]Данные для переноса'!AP80</f>
        <v>4009649.6197597464</v>
      </c>
      <c r="CG79" s="247">
        <f>'[10]Данные для переноса'!AQ80</f>
        <v>4194768.2620934956</v>
      </c>
      <c r="CH79" s="247">
        <f>'[10]Данные для переноса'!AR80</f>
        <v>4387377.6184887951</v>
      </c>
      <c r="CI79" s="247">
        <f>'[10]Данные для переноса'!AS80</f>
        <v>4588750.540635542</v>
      </c>
      <c r="CJ79" s="247">
        <f>'[10]Данные для переноса'!AT80</f>
        <v>4801046.2221455025</v>
      </c>
      <c r="CK79" s="247">
        <f>'[10]Данные для переноса'!AU80</f>
        <v>5022752.9231708208</v>
      </c>
      <c r="CL79" s="247">
        <f>'[10]Данные для переноса'!AV80</f>
        <v>5256637.0276214238</v>
      </c>
      <c r="CM79" s="426">
        <v>1307828.6739000001</v>
      </c>
      <c r="CN79" s="426">
        <v>1616192.8587</v>
      </c>
      <c r="CO79" s="426">
        <v>1992507.8040800001</v>
      </c>
      <c r="CP79" s="426">
        <v>2232398.8764620093</v>
      </c>
      <c r="CQ79" s="426">
        <v>2479047.254483548</v>
      </c>
      <c r="CR79" s="426">
        <v>2656908.3488423685</v>
      </c>
      <c r="CS79" s="426">
        <v>2792128.1692426098</v>
      </c>
      <c r="CT79" s="426">
        <v>2919959.7419192279</v>
      </c>
      <c r="CU79" s="426">
        <v>3050086.9104288802</v>
      </c>
      <c r="CV79" s="426">
        <v>3186215.6124482164</v>
      </c>
      <c r="CW79" s="426">
        <v>3328950.6952523761</v>
      </c>
      <c r="CX79" s="426">
        <v>3478645.3077083323</v>
      </c>
      <c r="CY79" s="426">
        <v>3635673.5471273693</v>
      </c>
      <c r="CZ79" s="426">
        <v>3817629.9899321389</v>
      </c>
      <c r="DA79" s="426">
        <v>4009649.6197597464</v>
      </c>
      <c r="DB79" s="426">
        <v>4194768.2620934956</v>
      </c>
      <c r="DC79" s="426">
        <v>4387377.6184887951</v>
      </c>
      <c r="DD79" s="426">
        <v>4588750.540635542</v>
      </c>
      <c r="DE79" s="426">
        <v>4801046.2221455025</v>
      </c>
      <c r="DF79" s="426">
        <v>5022752.9231708208</v>
      </c>
      <c r="DG79" s="426">
        <v>5256637.0276214238</v>
      </c>
      <c r="DH79" s="430" t="b">
        <f t="shared" si="134"/>
        <v>1</v>
      </c>
      <c r="DI79" s="430" t="b">
        <f t="shared" si="134"/>
        <v>1</v>
      </c>
      <c r="DJ79" s="430" t="b">
        <f t="shared" si="134"/>
        <v>1</v>
      </c>
      <c r="DK79" s="430" t="b">
        <f t="shared" si="134"/>
        <v>1</v>
      </c>
      <c r="DL79" s="430" t="b">
        <f t="shared" si="134"/>
        <v>1</v>
      </c>
      <c r="DM79" s="430" t="b">
        <f t="shared" si="134"/>
        <v>1</v>
      </c>
      <c r="DN79" s="430" t="b">
        <f t="shared" si="134"/>
        <v>1</v>
      </c>
      <c r="DO79" s="430" t="b">
        <f t="shared" si="134"/>
        <v>1</v>
      </c>
      <c r="DP79" s="430" t="b">
        <f t="shared" si="134"/>
        <v>1</v>
      </c>
      <c r="DQ79" s="430" t="b">
        <f t="shared" si="134"/>
        <v>1</v>
      </c>
      <c r="DR79" s="430" t="b">
        <f t="shared" si="134"/>
        <v>1</v>
      </c>
      <c r="DS79" s="430" t="b">
        <f t="shared" si="143"/>
        <v>1</v>
      </c>
      <c r="DT79" s="430" t="b">
        <f t="shared" si="144"/>
        <v>1</v>
      </c>
      <c r="DU79" s="430" t="b">
        <f t="shared" si="142"/>
        <v>1</v>
      </c>
      <c r="DV79" s="430" t="b">
        <f t="shared" si="142"/>
        <v>1</v>
      </c>
      <c r="DW79" s="430" t="b">
        <f t="shared" si="142"/>
        <v>1</v>
      </c>
      <c r="DX79" s="430" t="b">
        <f t="shared" si="142"/>
        <v>1</v>
      </c>
      <c r="DY79" s="430" t="b">
        <f t="shared" si="142"/>
        <v>1</v>
      </c>
      <c r="DZ79" s="430" t="b">
        <f t="shared" si="142"/>
        <v>1</v>
      </c>
      <c r="EA79" s="430" t="b">
        <f t="shared" si="142"/>
        <v>1</v>
      </c>
      <c r="EB79" s="430" t="b">
        <f t="shared" si="142"/>
        <v>1</v>
      </c>
      <c r="EC79" s="244">
        <f>SUM(BV79:CL79)</f>
        <v>63606227.791300394</v>
      </c>
      <c r="ED79" s="223">
        <f t="shared" si="97"/>
        <v>0</v>
      </c>
      <c r="EE79" s="223">
        <f t="shared" si="98"/>
        <v>0</v>
      </c>
      <c r="EF79" s="223">
        <f t="shared" si="99"/>
        <v>0</v>
      </c>
      <c r="EG79" s="223">
        <f t="shared" si="100"/>
        <v>85130.481091418304</v>
      </c>
      <c r="EH79" s="223">
        <f t="shared" si="101"/>
        <v>184137.3209783975</v>
      </c>
      <c r="EI79" s="223">
        <f t="shared" si="102"/>
        <v>210806.28628417943</v>
      </c>
      <c r="EJ79" s="223">
        <f t="shared" si="103"/>
        <v>239642.6429233239</v>
      </c>
      <c r="EK79" s="223">
        <f t="shared" si="104"/>
        <v>256386.37131359335</v>
      </c>
      <c r="EL79" s="223">
        <f t="shared" si="105"/>
        <v>269588.55443422683</v>
      </c>
      <c r="EM79" s="223">
        <f t="shared" si="106"/>
        <v>283268.09632289642</v>
      </c>
      <c r="EN79" s="223">
        <f t="shared" si="107"/>
        <v>297739.74775846675</v>
      </c>
      <c r="EO79" s="223">
        <f t="shared" si="108"/>
        <v>313049.31628404558</v>
      </c>
      <c r="EP79" s="223">
        <f t="shared" si="109"/>
        <v>329245.16296339175</v>
      </c>
      <c r="EQ79" s="223">
        <f>CE79-S79</f>
        <v>363576.49938733317</v>
      </c>
      <c r="ER79" s="223">
        <f>CF79-T79</f>
        <v>400811.99214411527</v>
      </c>
      <c r="ES79" s="223">
        <f>CG79-U79</f>
        <v>423598.7769323648</v>
      </c>
      <c r="ET79" s="223">
        <f>CH79-V79</f>
        <v>445915.96792116901</v>
      </c>
      <c r="EU79" s="223">
        <f>CI79-W79</f>
        <v>468598.2945475569</v>
      </c>
      <c r="EV79" s="223">
        <f>CJ79-X79</f>
        <v>493339.5349493362</v>
      </c>
      <c r="EW79" s="223">
        <f>CK79-Y79</f>
        <v>518133.35175894853</v>
      </c>
      <c r="EX79" s="223">
        <f>CL79-Z79</f>
        <v>545220.31990022399</v>
      </c>
      <c r="EY79" s="244">
        <f>SUM(EH79:EX79)</f>
        <v>6043058.2368035698</v>
      </c>
    </row>
    <row r="80" spans="3:155" x14ac:dyDescent="0.35">
      <c r="C80" s="269">
        <f>C79+1</f>
        <v>47</v>
      </c>
      <c r="D80" s="273" t="s">
        <v>50</v>
      </c>
      <c r="E80" s="243" t="s">
        <v>10</v>
      </c>
      <c r="F80" s="384">
        <f>'[10]Данные для переноса'!F81</f>
        <v>443997.62758850656</v>
      </c>
      <c r="G80" s="384">
        <f>'[10]Данные для переноса'!G81</f>
        <v>483379.15950136207</v>
      </c>
      <c r="H80" s="384">
        <f>'[10]Данные для переноса'!H81</f>
        <v>520079.75418307743</v>
      </c>
      <c r="I80" s="384">
        <f>'[10]Данные для переноса'!I81</f>
        <v>542022.81173737778</v>
      </c>
      <c r="J80" s="384">
        <f>'[10]Данные для переноса'!J81</f>
        <v>562405.4740878169</v>
      </c>
      <c r="K80" s="384">
        <f>'[10]Данные для переноса'!K81</f>
        <v>583603.44293227349</v>
      </c>
      <c r="L80" s="384">
        <f>'[10]Данные для переноса'!L81</f>
        <v>605649.3305305083</v>
      </c>
      <c r="M80" s="384">
        <f>'[10]Данные для переноса'!M81</f>
        <v>628577.05363267253</v>
      </c>
      <c r="N80" s="384">
        <f>'[10]Данные для переноса'!N81</f>
        <v>652421.8856589233</v>
      </c>
      <c r="O80" s="384">
        <f>'[10]Данные для переноса'!O81</f>
        <v>677220.51096622413</v>
      </c>
      <c r="P80" s="384">
        <f>'[10]Данные для переноса'!P81</f>
        <v>703011.08128581697</v>
      </c>
      <c r="Q80" s="384">
        <f>'[10]Данные для переноса'!Q81</f>
        <v>729833.2744181935</v>
      </c>
      <c r="R80" s="384">
        <f>'[10]Данные для переноса'!R81</f>
        <v>757728.35527586518</v>
      </c>
      <c r="S80" s="384">
        <f>'[10]Данные для переноса'!S81</f>
        <v>786739.23936784372</v>
      </c>
      <c r="T80" s="384">
        <f>'[10]Данные для переноса'!T81</f>
        <v>816910.55882350134</v>
      </c>
      <c r="U80" s="384">
        <f>'[10]Данные для переноса'!U81</f>
        <v>848288.73105738533</v>
      </c>
      <c r="V80" s="384">
        <f>'[10]Данные для переноса'!V81</f>
        <v>880922.03018062469</v>
      </c>
      <c r="W80" s="384">
        <f>'[10]Данные для переноса'!W81</f>
        <v>914860.66126879363</v>
      </c>
      <c r="X80" s="384">
        <f>'[10]Данные для переноса'!X81</f>
        <v>950156.83760048926</v>
      </c>
      <c r="Y80" s="384">
        <f>'[10]Данные для переноса'!Y81</f>
        <v>986864.86098545277</v>
      </c>
      <c r="Z80" s="384">
        <f>'[10]Данные для переноса'!Z81</f>
        <v>1025041.2053058149</v>
      </c>
      <c r="AA80" s="426">
        <v>443997.62758850656</v>
      </c>
      <c r="AB80" s="426">
        <v>483379.15950136207</v>
      </c>
      <c r="AC80" s="426">
        <v>520079.75418307743</v>
      </c>
      <c r="AD80" s="426">
        <v>542022.81173737778</v>
      </c>
      <c r="AE80" s="426">
        <v>562405.4740878169</v>
      </c>
      <c r="AF80" s="426">
        <v>583603.44293227349</v>
      </c>
      <c r="AG80" s="426">
        <v>605649.3305305083</v>
      </c>
      <c r="AH80" s="426">
        <v>628577.05363267253</v>
      </c>
      <c r="AI80" s="426">
        <v>652421.8856589233</v>
      </c>
      <c r="AJ80" s="426">
        <v>677220.51096622413</v>
      </c>
      <c r="AK80" s="426">
        <v>703011.08128581697</v>
      </c>
      <c r="AL80" s="426">
        <v>729833.2744181935</v>
      </c>
      <c r="AM80" s="426">
        <v>757728.35527586518</v>
      </c>
      <c r="AN80" s="426">
        <v>786739.23936784372</v>
      </c>
      <c r="AO80" s="426">
        <v>816910.55882350134</v>
      </c>
      <c r="AP80" s="426">
        <v>848288.73105738533</v>
      </c>
      <c r="AQ80" s="426">
        <v>880922.03018062469</v>
      </c>
      <c r="AR80" s="426">
        <v>914860.66126879363</v>
      </c>
      <c r="AS80" s="426">
        <v>950156.83760048926</v>
      </c>
      <c r="AT80" s="426">
        <v>986864.86098545277</v>
      </c>
      <c r="AU80" s="426">
        <v>1025041.2053058149</v>
      </c>
      <c r="AV80" s="430" t="b">
        <f t="shared" si="140"/>
        <v>1</v>
      </c>
      <c r="AW80" s="430" t="b">
        <f t="shared" si="140"/>
        <v>1</v>
      </c>
      <c r="AX80" s="430" t="b">
        <f t="shared" si="140"/>
        <v>1</v>
      </c>
      <c r="AY80" s="430" t="b">
        <f t="shared" si="140"/>
        <v>1</v>
      </c>
      <c r="AZ80" s="430" t="b">
        <f t="shared" si="140"/>
        <v>1</v>
      </c>
      <c r="BA80" s="430" t="b">
        <f t="shared" si="140"/>
        <v>1</v>
      </c>
      <c r="BB80" s="430" t="b">
        <f t="shared" si="140"/>
        <v>1</v>
      </c>
      <c r="BC80" s="430" t="b">
        <f t="shared" si="140"/>
        <v>1</v>
      </c>
      <c r="BD80" s="430" t="b">
        <f t="shared" si="135"/>
        <v>1</v>
      </c>
      <c r="BE80" s="430" t="b">
        <f t="shared" si="135"/>
        <v>1</v>
      </c>
      <c r="BF80" s="430" t="b">
        <f t="shared" si="135"/>
        <v>1</v>
      </c>
      <c r="BG80" s="430" t="b">
        <f t="shared" si="135"/>
        <v>1</v>
      </c>
      <c r="BH80" s="430" t="b">
        <f t="shared" si="135"/>
        <v>1</v>
      </c>
      <c r="BI80" s="430" t="b">
        <f t="shared" si="135"/>
        <v>1</v>
      </c>
      <c r="BJ80" s="430" t="b">
        <f t="shared" si="141"/>
        <v>1</v>
      </c>
      <c r="BK80" s="430" t="b">
        <f t="shared" si="141"/>
        <v>1</v>
      </c>
      <c r="BL80" s="430" t="b">
        <f t="shared" si="141"/>
        <v>1</v>
      </c>
      <c r="BM80" s="430" t="b">
        <f t="shared" si="141"/>
        <v>1</v>
      </c>
      <c r="BN80" s="430" t="b">
        <f t="shared" si="141"/>
        <v>1</v>
      </c>
      <c r="BO80" s="430" t="b">
        <f t="shared" si="141"/>
        <v>1</v>
      </c>
      <c r="BP80" s="430" t="b">
        <f t="shared" si="141"/>
        <v>1</v>
      </c>
      <c r="BQ80" s="244">
        <f t="shared" si="131"/>
        <v>13110234.533378201</v>
      </c>
      <c r="BR80" s="247">
        <f>'[10]Данные для переноса'!AB81</f>
        <v>443997.62758850656</v>
      </c>
      <c r="BS80" s="247">
        <f>'[10]Данные для переноса'!AC81</f>
        <v>483379.15950136207</v>
      </c>
      <c r="BT80" s="247">
        <f>'[10]Данные для переноса'!AD81</f>
        <v>520079.75418307743</v>
      </c>
      <c r="BU80" s="247">
        <f>'[10]Данные для переноса'!AE81</f>
        <v>542022.81173737778</v>
      </c>
      <c r="BV80" s="247">
        <f>'[10]Данные для переноса'!AF81</f>
        <v>562405.4740878169</v>
      </c>
      <c r="BW80" s="247">
        <f>'[10]Данные для переноса'!AG81</f>
        <v>583603.44293227349</v>
      </c>
      <c r="BX80" s="247">
        <f>'[10]Данные для переноса'!AH81</f>
        <v>605649.3305305083</v>
      </c>
      <c r="BY80" s="247">
        <f>'[10]Данные для переноса'!AI81</f>
        <v>628577.05363267253</v>
      </c>
      <c r="BZ80" s="247">
        <f>'[10]Данные для переноса'!AJ81</f>
        <v>652421.8856589233</v>
      </c>
      <c r="CA80" s="247">
        <f>'[10]Данные для переноса'!AK81</f>
        <v>677220.51096622413</v>
      </c>
      <c r="CB80" s="247">
        <f>'[10]Данные для переноса'!AL81</f>
        <v>703011.08128581697</v>
      </c>
      <c r="CC80" s="247">
        <f>'[10]Данные для переноса'!AM81</f>
        <v>729833.2744181935</v>
      </c>
      <c r="CD80" s="247">
        <f>'[10]Данные для переноса'!AN81</f>
        <v>757728.35527586518</v>
      </c>
      <c r="CE80" s="247">
        <f>'[10]Данные для переноса'!AO81</f>
        <v>786739.23936784372</v>
      </c>
      <c r="CF80" s="247">
        <f>'[10]Данные для переноса'!AP81</f>
        <v>816910.55882350134</v>
      </c>
      <c r="CG80" s="247">
        <f>'[10]Данные для переноса'!AQ81</f>
        <v>848288.73105738533</v>
      </c>
      <c r="CH80" s="247">
        <f>'[10]Данные для переноса'!AR81</f>
        <v>880922.03018062469</v>
      </c>
      <c r="CI80" s="247">
        <f>'[10]Данные для переноса'!AS81</f>
        <v>914860.66126879363</v>
      </c>
      <c r="CJ80" s="247">
        <f>'[10]Данные для переноса'!AT81</f>
        <v>950156.83760048926</v>
      </c>
      <c r="CK80" s="247">
        <f>'[10]Данные для переноса'!AU81</f>
        <v>986864.86098545277</v>
      </c>
      <c r="CL80" s="247">
        <f>'[10]Данные для переноса'!AV81</f>
        <v>1025041.2053058149</v>
      </c>
      <c r="CM80" s="426">
        <v>443997.62758850656</v>
      </c>
      <c r="CN80" s="426">
        <v>483379.15950136207</v>
      </c>
      <c r="CO80" s="426">
        <v>520079.75418307743</v>
      </c>
      <c r="CP80" s="426">
        <v>542022.81173737778</v>
      </c>
      <c r="CQ80" s="426">
        <v>562405.4740878169</v>
      </c>
      <c r="CR80" s="426">
        <v>583603.44293227349</v>
      </c>
      <c r="CS80" s="426">
        <v>605649.3305305083</v>
      </c>
      <c r="CT80" s="426">
        <v>628577.05363267253</v>
      </c>
      <c r="CU80" s="426">
        <v>652421.8856589233</v>
      </c>
      <c r="CV80" s="426">
        <v>677220.51096622413</v>
      </c>
      <c r="CW80" s="426">
        <v>703011.08128581697</v>
      </c>
      <c r="CX80" s="426">
        <v>729833.2744181935</v>
      </c>
      <c r="CY80" s="426">
        <v>757728.35527586518</v>
      </c>
      <c r="CZ80" s="426">
        <v>786739.23936784372</v>
      </c>
      <c r="DA80" s="426">
        <v>816910.55882350134</v>
      </c>
      <c r="DB80" s="426">
        <v>848288.73105738533</v>
      </c>
      <c r="DC80" s="426">
        <v>880922.03018062469</v>
      </c>
      <c r="DD80" s="426">
        <v>914860.66126879363</v>
      </c>
      <c r="DE80" s="426">
        <v>950156.83760048926</v>
      </c>
      <c r="DF80" s="426">
        <v>986864.86098545277</v>
      </c>
      <c r="DG80" s="426">
        <v>1025041.2053058149</v>
      </c>
      <c r="DH80" s="430" t="b">
        <f t="shared" si="134"/>
        <v>1</v>
      </c>
      <c r="DI80" s="430" t="b">
        <f t="shared" si="134"/>
        <v>1</v>
      </c>
      <c r="DJ80" s="430" t="b">
        <f t="shared" si="134"/>
        <v>1</v>
      </c>
      <c r="DK80" s="430" t="b">
        <f t="shared" si="134"/>
        <v>1</v>
      </c>
      <c r="DL80" s="430" t="b">
        <f t="shared" si="134"/>
        <v>1</v>
      </c>
      <c r="DM80" s="430" t="b">
        <f t="shared" si="134"/>
        <v>1</v>
      </c>
      <c r="DN80" s="430" t="b">
        <f t="shared" si="134"/>
        <v>1</v>
      </c>
      <c r="DO80" s="430" t="b">
        <f t="shared" si="134"/>
        <v>1</v>
      </c>
      <c r="DP80" s="430" t="b">
        <f t="shared" si="134"/>
        <v>1</v>
      </c>
      <c r="DQ80" s="430" t="b">
        <f t="shared" si="134"/>
        <v>1</v>
      </c>
      <c r="DR80" s="430" t="b">
        <f t="shared" si="134"/>
        <v>1</v>
      </c>
      <c r="DS80" s="430" t="b">
        <f t="shared" si="143"/>
        <v>1</v>
      </c>
      <c r="DT80" s="430" t="b">
        <f t="shared" si="144"/>
        <v>1</v>
      </c>
      <c r="DU80" s="430" t="b">
        <f t="shared" si="142"/>
        <v>1</v>
      </c>
      <c r="DV80" s="430" t="b">
        <f t="shared" si="142"/>
        <v>1</v>
      </c>
      <c r="DW80" s="430" t="b">
        <f t="shared" si="142"/>
        <v>1</v>
      </c>
      <c r="DX80" s="430" t="b">
        <f t="shared" si="142"/>
        <v>1</v>
      </c>
      <c r="DY80" s="430" t="b">
        <f t="shared" si="142"/>
        <v>1</v>
      </c>
      <c r="DZ80" s="430" t="b">
        <f t="shared" si="142"/>
        <v>1</v>
      </c>
      <c r="EA80" s="430" t="b">
        <f t="shared" si="142"/>
        <v>1</v>
      </c>
      <c r="EB80" s="430" t="b">
        <f t="shared" si="142"/>
        <v>1</v>
      </c>
      <c r="EC80" s="244">
        <f t="shared" si="132"/>
        <v>13110234.533378201</v>
      </c>
      <c r="ED80" s="223">
        <f t="shared" si="97"/>
        <v>0</v>
      </c>
      <c r="EE80" s="223">
        <f t="shared" si="98"/>
        <v>0</v>
      </c>
      <c r="EF80" s="223">
        <f t="shared" si="99"/>
        <v>0</v>
      </c>
      <c r="EG80" s="223">
        <f t="shared" si="100"/>
        <v>0</v>
      </c>
      <c r="EH80" s="223">
        <f t="shared" si="101"/>
        <v>0</v>
      </c>
      <c r="EI80" s="223">
        <f t="shared" si="102"/>
        <v>0</v>
      </c>
      <c r="EJ80" s="223">
        <f t="shared" si="103"/>
        <v>0</v>
      </c>
      <c r="EK80" s="223">
        <f t="shared" si="104"/>
        <v>0</v>
      </c>
      <c r="EL80" s="223">
        <f t="shared" si="105"/>
        <v>0</v>
      </c>
      <c r="EM80" s="223">
        <f t="shared" si="106"/>
        <v>0</v>
      </c>
      <c r="EN80" s="223">
        <f t="shared" si="107"/>
        <v>0</v>
      </c>
      <c r="EO80" s="223">
        <f t="shared" si="108"/>
        <v>0</v>
      </c>
      <c r="EP80" s="223">
        <f t="shared" si="109"/>
        <v>0</v>
      </c>
      <c r="EQ80" s="223">
        <f>CE80-S80</f>
        <v>0</v>
      </c>
      <c r="ER80" s="223">
        <f>CF80-T80</f>
        <v>0</v>
      </c>
      <c r="ES80" s="223">
        <f>CG80-U80</f>
        <v>0</v>
      </c>
      <c r="ET80" s="223">
        <f>CH80-V80</f>
        <v>0</v>
      </c>
      <c r="EU80" s="223">
        <f>CI80-W80</f>
        <v>0</v>
      </c>
      <c r="EV80" s="223">
        <f>CJ80-X80</f>
        <v>0</v>
      </c>
      <c r="EW80" s="223">
        <f>CK80-Y80</f>
        <v>0</v>
      </c>
      <c r="EX80" s="223">
        <f>CL80-Z80</f>
        <v>0</v>
      </c>
      <c r="EY80" s="244">
        <f>SUM(EH80:EX80)</f>
        <v>0</v>
      </c>
    </row>
    <row r="81" spans="1:155" s="235" customFormat="1" x14ac:dyDescent="0.35">
      <c r="A81" s="221"/>
      <c r="B81" s="222"/>
      <c r="C81" s="233"/>
      <c r="D81" s="234" t="s">
        <v>51</v>
      </c>
      <c r="E81" s="216"/>
      <c r="F81" s="274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443"/>
      <c r="AB81" s="428"/>
      <c r="AC81" s="428"/>
      <c r="AD81" s="428"/>
      <c r="AE81" s="428"/>
      <c r="AF81" s="428"/>
      <c r="AG81" s="428"/>
      <c r="AH81" s="428"/>
      <c r="AI81" s="428"/>
      <c r="AJ81" s="428"/>
      <c r="AK81" s="428"/>
      <c r="AL81" s="428"/>
      <c r="AM81" s="428"/>
      <c r="AN81" s="428"/>
      <c r="AO81" s="428"/>
      <c r="AP81" s="428"/>
      <c r="AQ81" s="428"/>
      <c r="AR81" s="428"/>
      <c r="AS81" s="428"/>
      <c r="AT81" s="428"/>
      <c r="AU81" s="428"/>
      <c r="AV81" s="444" t="b">
        <f t="shared" si="140"/>
        <v>1</v>
      </c>
      <c r="AW81" s="424" t="b">
        <f t="shared" si="140"/>
        <v>1</v>
      </c>
      <c r="AX81" s="424" t="b">
        <f t="shared" si="140"/>
        <v>1</v>
      </c>
      <c r="AY81" s="424" t="b">
        <f t="shared" si="140"/>
        <v>1</v>
      </c>
      <c r="AZ81" s="424" t="b">
        <f t="shared" si="140"/>
        <v>1</v>
      </c>
      <c r="BA81" s="424" t="b">
        <f t="shared" si="140"/>
        <v>1</v>
      </c>
      <c r="BB81" s="424" t="b">
        <f t="shared" si="140"/>
        <v>1</v>
      </c>
      <c r="BC81" s="424" t="b">
        <f t="shared" si="140"/>
        <v>1</v>
      </c>
      <c r="BD81" s="424" t="b">
        <f t="shared" si="135"/>
        <v>1</v>
      </c>
      <c r="BE81" s="424" t="b">
        <f t="shared" si="135"/>
        <v>1</v>
      </c>
      <c r="BF81" s="424" t="b">
        <f t="shared" si="135"/>
        <v>1</v>
      </c>
      <c r="BG81" s="424" t="b">
        <f t="shared" si="135"/>
        <v>1</v>
      </c>
      <c r="BH81" s="424" t="b">
        <f t="shared" si="135"/>
        <v>1</v>
      </c>
      <c r="BI81" s="424" t="b">
        <f t="shared" si="135"/>
        <v>1</v>
      </c>
      <c r="BJ81" s="424" t="b">
        <f t="shared" si="141"/>
        <v>1</v>
      </c>
      <c r="BK81" s="424" t="b">
        <f t="shared" si="141"/>
        <v>1</v>
      </c>
      <c r="BL81" s="424" t="b">
        <f t="shared" si="141"/>
        <v>1</v>
      </c>
      <c r="BM81" s="424" t="b">
        <f t="shared" si="141"/>
        <v>1</v>
      </c>
      <c r="BN81" s="424" t="b">
        <f t="shared" si="141"/>
        <v>1</v>
      </c>
      <c r="BO81" s="424" t="b">
        <f t="shared" si="141"/>
        <v>1</v>
      </c>
      <c r="BP81" s="424" t="b">
        <f t="shared" si="141"/>
        <v>1</v>
      </c>
      <c r="BQ81" s="217"/>
      <c r="BR81" s="274"/>
      <c r="BS81" s="274"/>
      <c r="BT81" s="274"/>
      <c r="BU81" s="274"/>
      <c r="BV81" s="274"/>
      <c r="BW81" s="274"/>
      <c r="BX81" s="274"/>
      <c r="BY81" s="274"/>
      <c r="BZ81" s="274"/>
      <c r="CA81" s="274"/>
      <c r="CB81" s="274"/>
      <c r="CC81" s="274"/>
      <c r="CD81" s="274"/>
      <c r="CE81" s="274"/>
      <c r="CF81" s="274"/>
      <c r="CG81" s="274"/>
      <c r="CH81" s="274"/>
      <c r="CI81" s="274"/>
      <c r="CJ81" s="274"/>
      <c r="CK81" s="274"/>
      <c r="CL81" s="274"/>
      <c r="CM81" s="443"/>
      <c r="CN81" s="428"/>
      <c r="CO81" s="428"/>
      <c r="CP81" s="428"/>
      <c r="CQ81" s="428"/>
      <c r="CR81" s="428"/>
      <c r="CS81" s="428"/>
      <c r="CT81" s="428"/>
      <c r="CU81" s="428"/>
      <c r="CV81" s="428"/>
      <c r="CW81" s="428"/>
      <c r="CX81" s="428"/>
      <c r="CY81" s="428"/>
      <c r="CZ81" s="428"/>
      <c r="DA81" s="428"/>
      <c r="DB81" s="428"/>
      <c r="DC81" s="428"/>
      <c r="DD81" s="428"/>
      <c r="DE81" s="428"/>
      <c r="DF81" s="428"/>
      <c r="DG81" s="428"/>
      <c r="DH81" s="444" t="b">
        <f t="shared" si="134"/>
        <v>1</v>
      </c>
      <c r="DI81" s="424" t="b">
        <f t="shared" si="134"/>
        <v>1</v>
      </c>
      <c r="DJ81" s="424" t="b">
        <f t="shared" si="134"/>
        <v>1</v>
      </c>
      <c r="DK81" s="424" t="b">
        <f t="shared" si="134"/>
        <v>1</v>
      </c>
      <c r="DL81" s="424" t="b">
        <f t="shared" si="134"/>
        <v>1</v>
      </c>
      <c r="DM81" s="424" t="b">
        <f t="shared" si="134"/>
        <v>1</v>
      </c>
      <c r="DN81" s="424" t="b">
        <f t="shared" si="134"/>
        <v>1</v>
      </c>
      <c r="DO81" s="424" t="b">
        <f t="shared" si="134"/>
        <v>1</v>
      </c>
      <c r="DP81" s="424" t="b">
        <f t="shared" si="134"/>
        <v>1</v>
      </c>
      <c r="DQ81" s="424" t="b">
        <f t="shared" si="134"/>
        <v>1</v>
      </c>
      <c r="DR81" s="424" t="b">
        <f t="shared" si="134"/>
        <v>1</v>
      </c>
      <c r="DS81" s="424" t="b">
        <f t="shared" si="143"/>
        <v>1</v>
      </c>
      <c r="DT81" s="424" t="b">
        <f t="shared" si="144"/>
        <v>1</v>
      </c>
      <c r="DU81" s="424" t="b">
        <f t="shared" si="142"/>
        <v>1</v>
      </c>
      <c r="DV81" s="424" t="b">
        <f t="shared" si="142"/>
        <v>1</v>
      </c>
      <c r="DW81" s="424" t="b">
        <f t="shared" si="142"/>
        <v>1</v>
      </c>
      <c r="DX81" s="424" t="b">
        <f t="shared" si="142"/>
        <v>1</v>
      </c>
      <c r="DY81" s="424" t="b">
        <f t="shared" si="142"/>
        <v>1</v>
      </c>
      <c r="DZ81" s="424" t="b">
        <f t="shared" si="142"/>
        <v>1</v>
      </c>
      <c r="EA81" s="424" t="b">
        <f t="shared" si="142"/>
        <v>1</v>
      </c>
      <c r="EB81" s="424" t="b">
        <f t="shared" si="142"/>
        <v>1</v>
      </c>
      <c r="EC81" s="217"/>
      <c r="ED81" s="218"/>
      <c r="EE81" s="218"/>
      <c r="EF81" s="218"/>
      <c r="EG81" s="218"/>
      <c r="EH81" s="218"/>
      <c r="EI81" s="218"/>
      <c r="EJ81" s="218"/>
      <c r="EK81" s="218"/>
      <c r="EL81" s="218"/>
      <c r="EM81" s="218"/>
      <c r="EN81" s="218"/>
      <c r="EO81" s="218"/>
      <c r="EP81" s="218"/>
      <c r="EQ81" s="218"/>
      <c r="ER81" s="218"/>
      <c r="ES81" s="218"/>
      <c r="ET81" s="218"/>
      <c r="EU81" s="218"/>
      <c r="EV81" s="218"/>
      <c r="EW81" s="218"/>
      <c r="EX81" s="218"/>
      <c r="EY81" s="217"/>
    </row>
    <row r="82" spans="1:155" x14ac:dyDescent="0.35">
      <c r="C82" s="241">
        <v>48</v>
      </c>
      <c r="D82" s="242" t="s">
        <v>52</v>
      </c>
      <c r="E82" s="243" t="s">
        <v>53</v>
      </c>
      <c r="F82" s="384">
        <f>'[10]Данные для переноса'!F83</f>
        <v>193508.95191699013</v>
      </c>
      <c r="G82" s="384">
        <f>'[10]Данные для переноса'!G83</f>
        <v>219384.21794269609</v>
      </c>
      <c r="H82" s="384">
        <f>'[10]Данные для переноса'!H83</f>
        <v>239757.30503695059</v>
      </c>
      <c r="I82" s="384">
        <f>'[10]Данные для переноса'!I83</f>
        <v>259822.63262581796</v>
      </c>
      <c r="J82" s="384">
        <f>'[10]Данные для переноса'!J83</f>
        <v>279129.20966105623</v>
      </c>
      <c r="K82" s="384">
        <f>'[10]Данные для переноса'!K83</f>
        <v>300093.23455304914</v>
      </c>
      <c r="L82" s="384">
        <f>'[10]Данные для переноса'!L83</f>
        <v>312822.12405302795</v>
      </c>
      <c r="M82" s="384">
        <f>'[10]Данные для переноса'!M83</f>
        <v>326118.52222958673</v>
      </c>
      <c r="N82" s="384">
        <f>'[10]Данные для переноса'!N83</f>
        <v>339993.98854213045</v>
      </c>
      <c r="O82" s="384">
        <f>'[10]Данные для переноса'!O83</f>
        <v>354484.84055908414</v>
      </c>
      <c r="P82" s="384">
        <f>'[10]Данные для переноса'!P83</f>
        <v>369619.79816605238</v>
      </c>
      <c r="Q82" s="384">
        <f>'[10]Данные для переноса'!Q83</f>
        <v>385428.97813722462</v>
      </c>
      <c r="R82" s="384">
        <f>'[10]Данные для переноса'!R83</f>
        <v>401943.96168923157</v>
      </c>
      <c r="S82" s="384">
        <f>'[10]Данные для переноса'!S83</f>
        <v>419197.86493355827</v>
      </c>
      <c r="T82" s="384">
        <f>'[10]Данные для переноса'!T83</f>
        <v>437225.41230514215</v>
      </c>
      <c r="U82" s="384">
        <f>'[10]Данные для переноса'!U83</f>
        <v>456063.01304259774</v>
      </c>
      <c r="V82" s="384">
        <f>'[10]Данные для переноса'!V83</f>
        <v>475748.84079297562</v>
      </c>
      <c r="W82" s="384">
        <f>'[10]Данные для переноса'!W83</f>
        <v>496322.91641109006</v>
      </c>
      <c r="X82" s="384">
        <f>'[10]Данные для переноса'!X83</f>
        <v>517827.19402025657</v>
      </c>
      <c r="Y82" s="384">
        <f>'[10]Данные для переноса'!Y83</f>
        <v>540305.65039780724</v>
      </c>
      <c r="Z82" s="384">
        <f>'[10]Данные для переноса'!Z83</f>
        <v>563804.37774501601</v>
      </c>
      <c r="AA82" s="426">
        <v>193508.95191699013</v>
      </c>
      <c r="AB82" s="426">
        <v>219384.21794269609</v>
      </c>
      <c r="AC82" s="426">
        <v>239757.30503695059</v>
      </c>
      <c r="AD82" s="426">
        <v>259822.63262581796</v>
      </c>
      <c r="AE82" s="426">
        <v>279129.20966105623</v>
      </c>
      <c r="AF82" s="426">
        <v>300093.23455304914</v>
      </c>
      <c r="AG82" s="426">
        <v>312822.12405302795</v>
      </c>
      <c r="AH82" s="426">
        <v>326118.52222958673</v>
      </c>
      <c r="AI82" s="426">
        <v>339993.98854213045</v>
      </c>
      <c r="AJ82" s="426">
        <v>354484.84055908414</v>
      </c>
      <c r="AK82" s="426">
        <v>369619.79816605238</v>
      </c>
      <c r="AL82" s="426">
        <v>385428.97813722462</v>
      </c>
      <c r="AM82" s="426">
        <v>401943.96168923157</v>
      </c>
      <c r="AN82" s="426">
        <v>419197.86493355827</v>
      </c>
      <c r="AO82" s="426">
        <v>437225.41230514215</v>
      </c>
      <c r="AP82" s="426">
        <v>456063.01304259774</v>
      </c>
      <c r="AQ82" s="426">
        <v>475748.84079297562</v>
      </c>
      <c r="AR82" s="426">
        <v>496322.91641109006</v>
      </c>
      <c r="AS82" s="426">
        <v>517827.19402025657</v>
      </c>
      <c r="AT82" s="426">
        <v>540305.65039780724</v>
      </c>
      <c r="AU82" s="426">
        <v>563804.37774501601</v>
      </c>
      <c r="AV82" s="430" t="b">
        <f t="shared" si="140"/>
        <v>1</v>
      </c>
      <c r="AW82" s="430" t="b">
        <f t="shared" si="140"/>
        <v>1</v>
      </c>
      <c r="AX82" s="430" t="b">
        <f t="shared" si="140"/>
        <v>1</v>
      </c>
      <c r="AY82" s="430" t="b">
        <f t="shared" si="140"/>
        <v>1</v>
      </c>
      <c r="AZ82" s="430" t="b">
        <f t="shared" si="140"/>
        <v>1</v>
      </c>
      <c r="BA82" s="430" t="b">
        <f t="shared" si="140"/>
        <v>1</v>
      </c>
      <c r="BB82" s="430" t="b">
        <f t="shared" si="140"/>
        <v>1</v>
      </c>
      <c r="BC82" s="430" t="b">
        <f t="shared" si="140"/>
        <v>1</v>
      </c>
      <c r="BD82" s="430" t="b">
        <f t="shared" si="135"/>
        <v>1</v>
      </c>
      <c r="BE82" s="430" t="b">
        <f t="shared" si="135"/>
        <v>1</v>
      </c>
      <c r="BF82" s="430" t="b">
        <f t="shared" si="135"/>
        <v>1</v>
      </c>
      <c r="BG82" s="430" t="b">
        <f t="shared" si="135"/>
        <v>1</v>
      </c>
      <c r="BH82" s="430" t="b">
        <f t="shared" si="135"/>
        <v>1</v>
      </c>
      <c r="BI82" s="430" t="b">
        <f t="shared" si="135"/>
        <v>1</v>
      </c>
      <c r="BJ82" s="430" t="b">
        <f t="shared" si="141"/>
        <v>1</v>
      </c>
      <c r="BK82" s="430" t="b">
        <f t="shared" si="141"/>
        <v>1</v>
      </c>
      <c r="BL82" s="430" t="b">
        <f t="shared" si="141"/>
        <v>1</v>
      </c>
      <c r="BM82" s="430" t="b">
        <f t="shared" si="141"/>
        <v>1</v>
      </c>
      <c r="BN82" s="430" t="b">
        <f t="shared" si="141"/>
        <v>1</v>
      </c>
      <c r="BO82" s="430" t="b">
        <f t="shared" si="141"/>
        <v>1</v>
      </c>
      <c r="BP82" s="430" t="b">
        <f t="shared" si="141"/>
        <v>1</v>
      </c>
      <c r="BQ82" s="275">
        <f>IFERROR(AVERAGE(J82:Z82),0)</f>
        <v>410360.58395522856</v>
      </c>
      <c r="BR82" s="247">
        <f>'[10]Данные для переноса'!AB83</f>
        <v>193508.95191699013</v>
      </c>
      <c r="BS82" s="247">
        <f>'[10]Данные для переноса'!AC83</f>
        <v>219384.21794269609</v>
      </c>
      <c r="BT82" s="247">
        <f>'[10]Данные для переноса'!AD83</f>
        <v>239757.30503695059</v>
      </c>
      <c r="BU82" s="247">
        <f>'[10]Данные для переноса'!AE83</f>
        <v>277206.14628992323</v>
      </c>
      <c r="BV82" s="247">
        <f>'[10]Данные для переноса'!AF83</f>
        <v>300256.48592488805</v>
      </c>
      <c r="BW82" s="247">
        <f>'[10]Данные для переноса'!AG83</f>
        <v>322423.84918361454</v>
      </c>
      <c r="BX82" s="247">
        <f>'[10]Данные для переноса'!AH83</f>
        <v>336008.32758633047</v>
      </c>
      <c r="BY82" s="247">
        <f>'[10]Данные для переноса'!AI83</f>
        <v>350030.57353418489</v>
      </c>
      <c r="BZ82" s="247">
        <f>'[10]Данные для переноса'!AJ83</f>
        <v>364703.7154668069</v>
      </c>
      <c r="CA82" s="247">
        <f>'[10]Данные для переноса'!AK83</f>
        <v>380012.7538169265</v>
      </c>
      <c r="CB82" s="247">
        <f>'[10]Данные для переноса'!AL83</f>
        <v>395982.14711862791</v>
      </c>
      <c r="CC82" s="247">
        <f>'[10]Данные для переноса'!AM83</f>
        <v>412641.31471746054</v>
      </c>
      <c r="CD82" s="247">
        <f>'[10]Данные для переноса'!AN83</f>
        <v>430021.02245654515</v>
      </c>
      <c r="CE82" s="247">
        <f>'[10]Данные для переноса'!AO83</f>
        <v>448163.26681223762</v>
      </c>
      <c r="CF82" s="247">
        <f>'[10]Данные для переноса'!AP83</f>
        <v>467094.69339975837</v>
      </c>
      <c r="CG82" s="247">
        <f>'[10]Данные для переноса'!AQ83</f>
        <v>486812.55713293713</v>
      </c>
      <c r="CH82" s="247">
        <f>'[10]Данные для переноса'!AR83</f>
        <v>507415.74519613007</v>
      </c>
      <c r="CI82" s="247">
        <f>'[10]Данные для переноса'!AS83</f>
        <v>528931.63728978368</v>
      </c>
      <c r="CJ82" s="247">
        <f>'[10]Данные для переноса'!AT83</f>
        <v>551373.82764742628</v>
      </c>
      <c r="CK82" s="247">
        <f>'[10]Данные для переноса'!AU83</f>
        <v>574819.94358967792</v>
      </c>
      <c r="CL82" s="247">
        <f>'[10]Данные для переноса'!AV83</f>
        <v>599277.17858321976</v>
      </c>
      <c r="CM82" s="426">
        <v>193508.95191699013</v>
      </c>
      <c r="CN82" s="426">
        <v>219384.21794269609</v>
      </c>
      <c r="CO82" s="426">
        <v>239757.30503695059</v>
      </c>
      <c r="CP82" s="426">
        <v>277206.14628992323</v>
      </c>
      <c r="CQ82" s="426">
        <v>300256.48592488805</v>
      </c>
      <c r="CR82" s="426">
        <v>322423.84918361454</v>
      </c>
      <c r="CS82" s="426">
        <v>336008.32758633047</v>
      </c>
      <c r="CT82" s="426">
        <v>350030.57353418489</v>
      </c>
      <c r="CU82" s="426">
        <v>364703.7154668069</v>
      </c>
      <c r="CV82" s="426">
        <v>380012.7538169265</v>
      </c>
      <c r="CW82" s="426">
        <v>395982.14711862791</v>
      </c>
      <c r="CX82" s="426">
        <v>412641.31471746054</v>
      </c>
      <c r="CY82" s="426">
        <v>430021.02245654515</v>
      </c>
      <c r="CZ82" s="426">
        <v>448163.26681223762</v>
      </c>
      <c r="DA82" s="426">
        <v>467094.69339975837</v>
      </c>
      <c r="DB82" s="426">
        <v>486812.55713293713</v>
      </c>
      <c r="DC82" s="426">
        <v>507415.74519613007</v>
      </c>
      <c r="DD82" s="426">
        <v>528931.63728978368</v>
      </c>
      <c r="DE82" s="426">
        <v>551373.82764742628</v>
      </c>
      <c r="DF82" s="426">
        <v>574819.94358967792</v>
      </c>
      <c r="DG82" s="426">
        <v>599277.17858321976</v>
      </c>
      <c r="DH82" s="430" t="b">
        <f t="shared" si="134"/>
        <v>1</v>
      </c>
      <c r="DI82" s="430" t="b">
        <f t="shared" si="134"/>
        <v>1</v>
      </c>
      <c r="DJ82" s="430" t="b">
        <f t="shared" si="134"/>
        <v>1</v>
      </c>
      <c r="DK82" s="430" t="b">
        <f t="shared" si="134"/>
        <v>1</v>
      </c>
      <c r="DL82" s="430" t="b">
        <f t="shared" si="134"/>
        <v>1</v>
      </c>
      <c r="DM82" s="430" t="b">
        <f t="shared" si="134"/>
        <v>1</v>
      </c>
      <c r="DN82" s="430" t="b">
        <f t="shared" si="134"/>
        <v>1</v>
      </c>
      <c r="DO82" s="430" t="b">
        <f t="shared" si="134"/>
        <v>1</v>
      </c>
      <c r="DP82" s="430" t="b">
        <f t="shared" si="134"/>
        <v>1</v>
      </c>
      <c r="DQ82" s="430" t="b">
        <f t="shared" si="134"/>
        <v>1</v>
      </c>
      <c r="DR82" s="430" t="b">
        <f t="shared" si="134"/>
        <v>1</v>
      </c>
      <c r="DS82" s="430" t="b">
        <f t="shared" si="143"/>
        <v>1</v>
      </c>
      <c r="DT82" s="430" t="b">
        <f t="shared" si="144"/>
        <v>1</v>
      </c>
      <c r="DU82" s="430" t="b">
        <f t="shared" si="142"/>
        <v>1</v>
      </c>
      <c r="DV82" s="430" t="b">
        <f t="shared" si="142"/>
        <v>1</v>
      </c>
      <c r="DW82" s="430" t="b">
        <f t="shared" si="142"/>
        <v>1</v>
      </c>
      <c r="DX82" s="430" t="b">
        <f t="shared" si="142"/>
        <v>1</v>
      </c>
      <c r="DY82" s="430" t="b">
        <f t="shared" si="142"/>
        <v>1</v>
      </c>
      <c r="DZ82" s="430" t="b">
        <f t="shared" si="142"/>
        <v>1</v>
      </c>
      <c r="EA82" s="430" t="b">
        <f t="shared" si="142"/>
        <v>1</v>
      </c>
      <c r="EB82" s="430" t="b">
        <f t="shared" si="142"/>
        <v>1</v>
      </c>
      <c r="EC82" s="275">
        <f>IFERROR(AVERAGE(BV82:CL82),0)</f>
        <v>438586.41408567975</v>
      </c>
      <c r="ED82" s="223">
        <f>BR82-F82</f>
        <v>0</v>
      </c>
      <c r="EE82" s="223">
        <f>BS82-G82</f>
        <v>0</v>
      </c>
      <c r="EF82" s="223">
        <f>BT82-H82</f>
        <v>0</v>
      </c>
      <c r="EG82" s="223">
        <f>BU82-I82</f>
        <v>17383.513664105267</v>
      </c>
      <c r="EH82" s="223">
        <f>BV82-J82</f>
        <v>21127.276263831824</v>
      </c>
      <c r="EI82" s="223">
        <f>BW82-K82</f>
        <v>22330.614630565397</v>
      </c>
      <c r="EJ82" s="223">
        <f>BX82-L82</f>
        <v>23186.203533302527</v>
      </c>
      <c r="EK82" s="223">
        <f>BY82-M82</f>
        <v>23912.051304598164</v>
      </c>
      <c r="EL82" s="223">
        <f>BZ82-N82</f>
        <v>24709.726924676448</v>
      </c>
      <c r="EM82" s="223">
        <f>CA82-O82</f>
        <v>25527.91325784236</v>
      </c>
      <c r="EN82" s="223">
        <f>CB82-P82</f>
        <v>26362.348952575529</v>
      </c>
      <c r="EO82" s="223">
        <f>CC82-Q82</f>
        <v>27212.336580235919</v>
      </c>
      <c r="EP82" s="223">
        <f>CD82-R82</f>
        <v>28077.060767313582</v>
      </c>
      <c r="EQ82" s="223">
        <f>CE82-S82</f>
        <v>28965.401878679346</v>
      </c>
      <c r="ER82" s="223">
        <f>CF82-T82</f>
        <v>29869.281094616221</v>
      </c>
      <c r="ES82" s="223">
        <f>CG82-U82</f>
        <v>30749.54409033939</v>
      </c>
      <c r="ET82" s="223">
        <f>CH82-V82</f>
        <v>31666.904403154447</v>
      </c>
      <c r="EU82" s="223">
        <f>CI82-W82</f>
        <v>32608.720878693624</v>
      </c>
      <c r="EV82" s="223">
        <f>CJ82-X82</f>
        <v>33546.633627169707</v>
      </c>
      <c r="EW82" s="223">
        <f>CK82-Y82</f>
        <v>34514.293191870674</v>
      </c>
      <c r="EX82" s="223">
        <f>CL82-Z82</f>
        <v>35472.800838203751</v>
      </c>
      <c r="EY82" s="275">
        <f>IFERROR(AVERAGE(EH82:EX82),0)</f>
        <v>28225.830130451111</v>
      </c>
    </row>
    <row r="83" spans="1:155" x14ac:dyDescent="0.35">
      <c r="C83" s="241">
        <v>49</v>
      </c>
      <c r="D83" s="242" t="s">
        <v>54</v>
      </c>
      <c r="E83" s="243" t="s">
        <v>53</v>
      </c>
      <c r="F83" s="384">
        <f>'[10]Данные для переноса'!F84</f>
        <v>182280.08510128257</v>
      </c>
      <c r="G83" s="384">
        <f>'[10]Данные для переноса'!G84</f>
        <v>203106.50688846968</v>
      </c>
      <c r="H83" s="384">
        <f>'[10]Данные для переноса'!H84</f>
        <v>221637.23177395706</v>
      </c>
      <c r="I83" s="384">
        <f>'[10]Данные для переноса'!I84</f>
        <v>240800</v>
      </c>
      <c r="J83" s="384">
        <f>'[10]Данные для переноса'!J84</f>
        <v>260064</v>
      </c>
      <c r="K83" s="384">
        <f>'[10]Данные для переноса'!K84</f>
        <v>280870</v>
      </c>
      <c r="L83" s="384">
        <f>'[10]Данные для переноса'!L84</f>
        <v>292104.8</v>
      </c>
      <c r="M83" s="384">
        <f>'[10]Данные для переноса'!M84</f>
        <v>303788.99199999997</v>
      </c>
      <c r="N83" s="384">
        <f>'[10]Данные для переноса'!N84</f>
        <v>315940.55167999998</v>
      </c>
      <c r="O83" s="384">
        <f>'[10]Данные для переноса'!O84</f>
        <v>328578.17374719999</v>
      </c>
      <c r="P83" s="384">
        <f>'[10]Данные для переноса'!P84</f>
        <v>341721.30069708801</v>
      </c>
      <c r="Q83" s="384">
        <f>'[10]Данные для переноса'!Q84</f>
        <v>355390.15272497153</v>
      </c>
      <c r="R83" s="384">
        <f>'[10]Данные для переноса'!R84</f>
        <v>369605.75883397041</v>
      </c>
      <c r="S83" s="384">
        <f>'[10]Данные для переноса'!S84</f>
        <v>384389.98918732925</v>
      </c>
      <c r="T83" s="384">
        <f>'[10]Данные для переноса'!T84</f>
        <v>399765.58875482244</v>
      </c>
      <c r="U83" s="384">
        <f>'[10]Данные для переноса'!U84</f>
        <v>415756.21230501536</v>
      </c>
      <c r="V83" s="384">
        <f>'[10]Данные для переноса'!V84</f>
        <v>432386.46079721599</v>
      </c>
      <c r="W83" s="384">
        <f>'[10]Данные для переноса'!W84</f>
        <v>449681.91922910465</v>
      </c>
      <c r="X83" s="384">
        <f>'[10]Данные для переноса'!X84</f>
        <v>467669.19599826884</v>
      </c>
      <c r="Y83" s="384">
        <f>'[10]Данные для переноса'!Y84</f>
        <v>486375.96383819962</v>
      </c>
      <c r="Z83" s="384">
        <f>'[10]Данные для переноса'!Z84</f>
        <v>505831.00239172764</v>
      </c>
      <c r="AA83" s="426">
        <v>182280.08510128257</v>
      </c>
      <c r="AB83" s="426">
        <v>203106.50688846968</v>
      </c>
      <c r="AC83" s="426">
        <v>221637.23177395706</v>
      </c>
      <c r="AD83" s="426">
        <v>240800</v>
      </c>
      <c r="AE83" s="426">
        <v>260064</v>
      </c>
      <c r="AF83" s="426">
        <v>280870</v>
      </c>
      <c r="AG83" s="426">
        <v>292104.8</v>
      </c>
      <c r="AH83" s="426">
        <v>303788.99199999997</v>
      </c>
      <c r="AI83" s="426">
        <v>315940.55167999998</v>
      </c>
      <c r="AJ83" s="426">
        <v>328578.17374719999</v>
      </c>
      <c r="AK83" s="426">
        <v>341721.30069708801</v>
      </c>
      <c r="AL83" s="426">
        <v>355390.15272497153</v>
      </c>
      <c r="AM83" s="426">
        <v>369605.75883397041</v>
      </c>
      <c r="AN83" s="426">
        <v>384389.98918732925</v>
      </c>
      <c r="AO83" s="426">
        <v>399765.58875482244</v>
      </c>
      <c r="AP83" s="426">
        <v>415756.21230501536</v>
      </c>
      <c r="AQ83" s="426">
        <v>432386.46079721599</v>
      </c>
      <c r="AR83" s="426">
        <v>449681.91922910465</v>
      </c>
      <c r="AS83" s="426">
        <v>467669.19599826884</v>
      </c>
      <c r="AT83" s="426">
        <v>486375.96383819962</v>
      </c>
      <c r="AU83" s="426">
        <v>505831.00239172764</v>
      </c>
      <c r="AV83" s="430" t="b">
        <f t="shared" si="140"/>
        <v>1</v>
      </c>
      <c r="AW83" s="430" t="b">
        <f t="shared" si="140"/>
        <v>1</v>
      </c>
      <c r="AX83" s="430" t="b">
        <f t="shared" si="140"/>
        <v>1</v>
      </c>
      <c r="AY83" s="430" t="b">
        <f t="shared" si="140"/>
        <v>1</v>
      </c>
      <c r="AZ83" s="430" t="b">
        <f t="shared" si="140"/>
        <v>1</v>
      </c>
      <c r="BA83" s="430" t="b">
        <f t="shared" si="140"/>
        <v>1</v>
      </c>
      <c r="BB83" s="430" t="b">
        <f t="shared" si="140"/>
        <v>1</v>
      </c>
      <c r="BC83" s="430" t="b">
        <f t="shared" si="140"/>
        <v>1</v>
      </c>
      <c r="BD83" s="430" t="b">
        <f t="shared" si="135"/>
        <v>1</v>
      </c>
      <c r="BE83" s="430" t="b">
        <f t="shared" si="135"/>
        <v>1</v>
      </c>
      <c r="BF83" s="430" t="b">
        <f t="shared" si="135"/>
        <v>1</v>
      </c>
      <c r="BG83" s="430" t="b">
        <f t="shared" si="135"/>
        <v>1</v>
      </c>
      <c r="BH83" s="430" t="b">
        <f t="shared" si="135"/>
        <v>1</v>
      </c>
      <c r="BI83" s="430" t="b">
        <f t="shared" si="135"/>
        <v>1</v>
      </c>
      <c r="BJ83" s="430" t="b">
        <f t="shared" si="141"/>
        <v>1</v>
      </c>
      <c r="BK83" s="430" t="b">
        <f t="shared" si="141"/>
        <v>1</v>
      </c>
      <c r="BL83" s="430" t="b">
        <f t="shared" si="141"/>
        <v>1</v>
      </c>
      <c r="BM83" s="430" t="b">
        <f t="shared" si="141"/>
        <v>1</v>
      </c>
      <c r="BN83" s="430" t="b">
        <f t="shared" si="141"/>
        <v>1</v>
      </c>
      <c r="BO83" s="430" t="b">
        <f t="shared" si="141"/>
        <v>1</v>
      </c>
      <c r="BP83" s="430" t="b">
        <f t="shared" si="141"/>
        <v>1</v>
      </c>
      <c r="BQ83" s="275">
        <f t="shared" ref="BQ83:BQ88" si="145">IFERROR(AVERAGE(J83:Z83),0)</f>
        <v>375877.65071675973</v>
      </c>
      <c r="BR83" s="247">
        <f>'[10]Данные для переноса'!AB84</f>
        <v>182280.08510128257</v>
      </c>
      <c r="BS83" s="247">
        <f>'[10]Данные для переноса'!AC84</f>
        <v>203106.50688846968</v>
      </c>
      <c r="BT83" s="247">
        <f>'[10]Данные для переноса'!AD84</f>
        <v>221637.23177395706</v>
      </c>
      <c r="BU83" s="247">
        <f>'[10]Данные для переноса'!AE84</f>
        <v>260000</v>
      </c>
      <c r="BV83" s="247">
        <f>'[10]Данные для переноса'!AF84</f>
        <v>280800</v>
      </c>
      <c r="BW83" s="247">
        <f>'[10]Данные для переноса'!AG84</f>
        <v>303264.95016611298</v>
      </c>
      <c r="BX83" s="247">
        <f>'[10]Данные для переноса'!AH84</f>
        <v>315395.5481727575</v>
      </c>
      <c r="BY83" s="247">
        <f>'[10]Данные для переноса'!AI84</f>
        <v>328011.37009966775</v>
      </c>
      <c r="BZ83" s="247">
        <f>'[10]Данные для переноса'!AJ84</f>
        <v>341131.82490365446</v>
      </c>
      <c r="CA83" s="247">
        <f>'[10]Данные для переноса'!AK84</f>
        <v>354777.09789980069</v>
      </c>
      <c r="CB83" s="247">
        <f>'[10]Данные для переноса'!AL84</f>
        <v>368968.18181579275</v>
      </c>
      <c r="CC83" s="247">
        <f>'[10]Данные для переноса'!AM84</f>
        <v>383726.90908842447</v>
      </c>
      <c r="CD83" s="247">
        <f>'[10]Данные для переноса'!AN84</f>
        <v>399075.98545196146</v>
      </c>
      <c r="CE83" s="247">
        <f>'[10]Данные для переноса'!AO84</f>
        <v>415039.0248700399</v>
      </c>
      <c r="CF83" s="247">
        <f>'[10]Данные для переноса'!AP84</f>
        <v>431640.58586484153</v>
      </c>
      <c r="CG83" s="247">
        <f>'[10]Данные для переноса'!AQ84</f>
        <v>448906.2092994352</v>
      </c>
      <c r="CH83" s="247">
        <f>'[10]Данные для переноса'!AR84</f>
        <v>466862.45767141262</v>
      </c>
      <c r="CI83" s="247">
        <f>'[10]Данные для переноса'!AS84</f>
        <v>485536.95597826916</v>
      </c>
      <c r="CJ83" s="247">
        <f>'[10]Данные для переноса'!AT84</f>
        <v>504958.43421739998</v>
      </c>
      <c r="CK83" s="247">
        <f>'[10]Данные для переноса'!AU84</f>
        <v>525156.77158609591</v>
      </c>
      <c r="CL83" s="247">
        <f>'[10]Данные для переноса'!AV84</f>
        <v>546163.04244953988</v>
      </c>
      <c r="CM83" s="426">
        <v>182280.08510128257</v>
      </c>
      <c r="CN83" s="426">
        <v>203106.50688846968</v>
      </c>
      <c r="CO83" s="426">
        <v>221637.23177395706</v>
      </c>
      <c r="CP83" s="426">
        <v>260000</v>
      </c>
      <c r="CQ83" s="426">
        <v>280800</v>
      </c>
      <c r="CR83" s="426">
        <v>303264.95016611298</v>
      </c>
      <c r="CS83" s="426">
        <v>315395.5481727575</v>
      </c>
      <c r="CT83" s="426">
        <v>328011.37009966775</v>
      </c>
      <c r="CU83" s="426">
        <v>341131.82490365446</v>
      </c>
      <c r="CV83" s="426">
        <v>354777.09789980069</v>
      </c>
      <c r="CW83" s="426">
        <v>368968.18181579275</v>
      </c>
      <c r="CX83" s="426">
        <v>383726.90908842447</v>
      </c>
      <c r="CY83" s="426">
        <v>399075.98545196146</v>
      </c>
      <c r="CZ83" s="426">
        <v>415039.0248700399</v>
      </c>
      <c r="DA83" s="426">
        <v>431640.58586484153</v>
      </c>
      <c r="DB83" s="426">
        <v>448906.2092994352</v>
      </c>
      <c r="DC83" s="426">
        <v>466862.45767141262</v>
      </c>
      <c r="DD83" s="426">
        <v>485536.95597826916</v>
      </c>
      <c r="DE83" s="426">
        <v>504958.43421739998</v>
      </c>
      <c r="DF83" s="426">
        <v>525156.77158609591</v>
      </c>
      <c r="DG83" s="426">
        <v>546163.04244953988</v>
      </c>
      <c r="DH83" s="430" t="b">
        <f t="shared" si="134"/>
        <v>1</v>
      </c>
      <c r="DI83" s="430" t="b">
        <f t="shared" si="134"/>
        <v>1</v>
      </c>
      <c r="DJ83" s="430" t="b">
        <f t="shared" si="134"/>
        <v>1</v>
      </c>
      <c r="DK83" s="430" t="b">
        <f t="shared" si="134"/>
        <v>1</v>
      </c>
      <c r="DL83" s="430" t="b">
        <f t="shared" si="134"/>
        <v>1</v>
      </c>
      <c r="DM83" s="430" t="b">
        <f t="shared" si="134"/>
        <v>1</v>
      </c>
      <c r="DN83" s="430" t="b">
        <f t="shared" si="134"/>
        <v>1</v>
      </c>
      <c r="DO83" s="430" t="b">
        <f t="shared" si="134"/>
        <v>1</v>
      </c>
      <c r="DP83" s="430" t="b">
        <f t="shared" si="134"/>
        <v>1</v>
      </c>
      <c r="DQ83" s="430" t="b">
        <f t="shared" si="134"/>
        <v>1</v>
      </c>
      <c r="DR83" s="430" t="b">
        <f t="shared" si="134"/>
        <v>1</v>
      </c>
      <c r="DS83" s="430" t="b">
        <f t="shared" si="143"/>
        <v>1</v>
      </c>
      <c r="DT83" s="430" t="b">
        <f t="shared" si="144"/>
        <v>1</v>
      </c>
      <c r="DU83" s="430" t="b">
        <f t="shared" si="142"/>
        <v>1</v>
      </c>
      <c r="DV83" s="430" t="b">
        <f t="shared" si="142"/>
        <v>1</v>
      </c>
      <c r="DW83" s="430" t="b">
        <f t="shared" si="142"/>
        <v>1</v>
      </c>
      <c r="DX83" s="430" t="b">
        <f t="shared" si="142"/>
        <v>1</v>
      </c>
      <c r="DY83" s="430" t="b">
        <f t="shared" si="142"/>
        <v>1</v>
      </c>
      <c r="DZ83" s="430" t="b">
        <f t="shared" si="142"/>
        <v>1</v>
      </c>
      <c r="EA83" s="430" t="b">
        <f t="shared" si="142"/>
        <v>1</v>
      </c>
      <c r="EB83" s="430" t="b">
        <f t="shared" si="142"/>
        <v>1</v>
      </c>
      <c r="EC83" s="275">
        <f t="shared" ref="EC83:EC88" si="146">IFERROR(AVERAGE(BV83:CL83),0)</f>
        <v>405847.961737365</v>
      </c>
      <c r="ED83" s="223">
        <f>BR83-F83</f>
        <v>0</v>
      </c>
      <c r="EE83" s="223">
        <f>BS83-G83</f>
        <v>0</v>
      </c>
      <c r="EF83" s="223">
        <f>BT83-H83</f>
        <v>0</v>
      </c>
      <c r="EG83" s="223">
        <f>BU83-I83</f>
        <v>19200</v>
      </c>
      <c r="EH83" s="223">
        <f>BV83-J83</f>
        <v>20736</v>
      </c>
      <c r="EI83" s="223">
        <f>BW83-K83</f>
        <v>22394.950166112976</v>
      </c>
      <c r="EJ83" s="223">
        <f>BX83-L83</f>
        <v>23290.748172757507</v>
      </c>
      <c r="EK83" s="223">
        <f>BY83-M83</f>
        <v>24222.378099667781</v>
      </c>
      <c r="EL83" s="223">
        <f>BZ83-N83</f>
        <v>25191.273223654483</v>
      </c>
      <c r="EM83" s="223">
        <f>CA83-O83</f>
        <v>26198.924152600695</v>
      </c>
      <c r="EN83" s="223">
        <f>CB83-P83</f>
        <v>27246.881118704739</v>
      </c>
      <c r="EO83" s="223">
        <f>CC83-Q83</f>
        <v>28336.756363452936</v>
      </c>
      <c r="EP83" s="223">
        <f>CD83-R83</f>
        <v>29470.226617991051</v>
      </c>
      <c r="EQ83" s="223">
        <f>CE83-S83</f>
        <v>30649.035682710644</v>
      </c>
      <c r="ER83" s="223">
        <f>CF83-T83</f>
        <v>31874.997110019089</v>
      </c>
      <c r="ES83" s="223">
        <f>CG83-U83</f>
        <v>33149.996994419838</v>
      </c>
      <c r="ET83" s="223">
        <f>CH83-V83</f>
        <v>34475.99687419663</v>
      </c>
      <c r="EU83" s="223">
        <f>CI83-W83</f>
        <v>35855.036749164516</v>
      </c>
      <c r="EV83" s="223">
        <f>CJ83-X83</f>
        <v>37289.238219131134</v>
      </c>
      <c r="EW83" s="223">
        <f>CK83-Y83</f>
        <v>38780.807747896295</v>
      </c>
      <c r="EX83" s="223">
        <f>CL83-Z83</f>
        <v>40332.040057812235</v>
      </c>
      <c r="EY83" s="275">
        <f t="shared" ref="EY83:EY88" si="147">IFERROR(AVERAGE(EH83:EX83),0)</f>
        <v>29970.311020605444</v>
      </c>
    </row>
    <row r="84" spans="1:155" x14ac:dyDescent="0.35">
      <c r="C84" s="241">
        <v>50</v>
      </c>
      <c r="D84" s="242" t="s">
        <v>55</v>
      </c>
      <c r="E84" s="243" t="s">
        <v>53</v>
      </c>
      <c r="F84" s="384">
        <f>'[10]Данные для переноса'!F85</f>
        <v>320064.08308004058</v>
      </c>
      <c r="G84" s="384">
        <f>'[10]Данные для переноса'!G85</f>
        <v>390095.24880095926</v>
      </c>
      <c r="H84" s="384">
        <f>'[10]Данные для переноса'!H85</f>
        <v>427488.4700359017</v>
      </c>
      <c r="I84" s="384">
        <f>'[10]Данные для переноса'!I85</f>
        <v>446725.45118751726</v>
      </c>
      <c r="J84" s="384">
        <f>'[10]Данные для переноса'!J85</f>
        <v>464594.46923501795</v>
      </c>
      <c r="K84" s="384">
        <f>'[10]Данные для переноса'!K85</f>
        <v>483178.24800441868</v>
      </c>
      <c r="L84" s="384">
        <f>'[10]Данные для переноса'!L85</f>
        <v>502505.37792459538</v>
      </c>
      <c r="M84" s="384">
        <f>'[10]Данные для переноса'!M85</f>
        <v>522605.59304157918</v>
      </c>
      <c r="N84" s="384">
        <f>'[10]Данные для переноса'!N85</f>
        <v>543509.81676324236</v>
      </c>
      <c r="O84" s="384">
        <f>'[10]Данные для переноса'!O85</f>
        <v>565250.20943377214</v>
      </c>
      <c r="P84" s="384">
        <f>'[10]Данные для переноса'!P85</f>
        <v>587860.21781112312</v>
      </c>
      <c r="Q84" s="384">
        <f>'[10]Данные для переноса'!Q85</f>
        <v>611374.62652356806</v>
      </c>
      <c r="R84" s="384">
        <f>'[10]Данные для переноса'!R85</f>
        <v>635829.61158451077</v>
      </c>
      <c r="S84" s="384">
        <f>'[10]Данные для переноса'!S85</f>
        <v>661262.79604789126</v>
      </c>
      <c r="T84" s="384">
        <f>'[10]Данные для переноса'!T85</f>
        <v>687713.30788980692</v>
      </c>
      <c r="U84" s="384">
        <f>'[10]Данные для переноса'!U85</f>
        <v>715221.8402053992</v>
      </c>
      <c r="V84" s="384">
        <f>'[10]Данные для переноса'!V85</f>
        <v>743830.71381361515</v>
      </c>
      <c r="W84" s="384">
        <f>'[10]Данные для переноса'!W85</f>
        <v>773583.94236615975</v>
      </c>
      <c r="X84" s="384">
        <f>'[10]Данные для переноса'!X85</f>
        <v>804527.3000608061</v>
      </c>
      <c r="Y84" s="384">
        <f>'[10]Данные для переноса'!Y85</f>
        <v>836708.39206323831</v>
      </c>
      <c r="Z84" s="384">
        <f>'[10]Данные для переноса'!Z85</f>
        <v>870176.72774576792</v>
      </c>
      <c r="AA84" s="426">
        <v>320064.08308004058</v>
      </c>
      <c r="AB84" s="426">
        <v>390095.24880095926</v>
      </c>
      <c r="AC84" s="426">
        <v>427488.4700359017</v>
      </c>
      <c r="AD84" s="426">
        <v>446725.45118751726</v>
      </c>
      <c r="AE84" s="426">
        <v>464594.46923501795</v>
      </c>
      <c r="AF84" s="426">
        <v>483178.24800441868</v>
      </c>
      <c r="AG84" s="426">
        <v>502505.37792459538</v>
      </c>
      <c r="AH84" s="426">
        <v>522605.59304157918</v>
      </c>
      <c r="AI84" s="426">
        <v>543509.81676324236</v>
      </c>
      <c r="AJ84" s="426">
        <v>565250.20943377214</v>
      </c>
      <c r="AK84" s="426">
        <v>587860.21781112312</v>
      </c>
      <c r="AL84" s="426">
        <v>611374.62652356806</v>
      </c>
      <c r="AM84" s="426">
        <v>635829.61158451077</v>
      </c>
      <c r="AN84" s="426">
        <v>661262.79604789126</v>
      </c>
      <c r="AO84" s="426">
        <v>687713.30788980692</v>
      </c>
      <c r="AP84" s="426">
        <v>715221.8402053992</v>
      </c>
      <c r="AQ84" s="426">
        <v>743830.71381361515</v>
      </c>
      <c r="AR84" s="426">
        <v>773583.94236615975</v>
      </c>
      <c r="AS84" s="426">
        <v>804527.3000608061</v>
      </c>
      <c r="AT84" s="426">
        <v>836708.39206323831</v>
      </c>
      <c r="AU84" s="426">
        <v>870176.72774576792</v>
      </c>
      <c r="AV84" s="430" t="b">
        <f t="shared" si="140"/>
        <v>1</v>
      </c>
      <c r="AW84" s="430" t="b">
        <f t="shared" si="140"/>
        <v>1</v>
      </c>
      <c r="AX84" s="430" t="b">
        <f t="shared" si="140"/>
        <v>1</v>
      </c>
      <c r="AY84" s="430" t="b">
        <f t="shared" si="140"/>
        <v>1</v>
      </c>
      <c r="AZ84" s="430" t="b">
        <f t="shared" si="140"/>
        <v>1</v>
      </c>
      <c r="BA84" s="430" t="b">
        <f t="shared" si="140"/>
        <v>1</v>
      </c>
      <c r="BB84" s="430" t="b">
        <f t="shared" si="140"/>
        <v>1</v>
      </c>
      <c r="BC84" s="430" t="b">
        <f t="shared" si="140"/>
        <v>1</v>
      </c>
      <c r="BD84" s="430" t="b">
        <f t="shared" si="135"/>
        <v>1</v>
      </c>
      <c r="BE84" s="430" t="b">
        <f t="shared" si="135"/>
        <v>1</v>
      </c>
      <c r="BF84" s="430" t="b">
        <f t="shared" si="135"/>
        <v>1</v>
      </c>
      <c r="BG84" s="430" t="b">
        <f t="shared" si="135"/>
        <v>1</v>
      </c>
      <c r="BH84" s="430" t="b">
        <f t="shared" si="135"/>
        <v>1</v>
      </c>
      <c r="BI84" s="430" t="b">
        <f t="shared" si="135"/>
        <v>1</v>
      </c>
      <c r="BJ84" s="430" t="b">
        <f t="shared" si="141"/>
        <v>1</v>
      </c>
      <c r="BK84" s="430" t="b">
        <f t="shared" si="141"/>
        <v>1</v>
      </c>
      <c r="BL84" s="430" t="b">
        <f t="shared" si="141"/>
        <v>1</v>
      </c>
      <c r="BM84" s="430" t="b">
        <f t="shared" si="141"/>
        <v>1</v>
      </c>
      <c r="BN84" s="430" t="b">
        <f t="shared" si="141"/>
        <v>1</v>
      </c>
      <c r="BO84" s="430" t="b">
        <f t="shared" si="141"/>
        <v>1</v>
      </c>
      <c r="BP84" s="430" t="b">
        <f t="shared" si="141"/>
        <v>1</v>
      </c>
      <c r="BQ84" s="275">
        <f t="shared" si="145"/>
        <v>647631.36414791248</v>
      </c>
      <c r="BR84" s="247">
        <f>'[10]Данные для переноса'!AB85</f>
        <v>320064.08308004058</v>
      </c>
      <c r="BS84" s="247">
        <f>'[10]Данные для переноса'!AC85</f>
        <v>390095.24880095926</v>
      </c>
      <c r="BT84" s="247">
        <f>'[10]Данные для переноса'!AD85</f>
        <v>427488.4700359017</v>
      </c>
      <c r="BU84" s="247">
        <f>'[10]Данные для переноса'!AE85</f>
        <v>446725.45118751726</v>
      </c>
      <c r="BV84" s="247">
        <f>'[10]Данные для переноса'!AF85</f>
        <v>464594.46923501795</v>
      </c>
      <c r="BW84" s="247">
        <f>'[10]Данные для переноса'!AG85</f>
        <v>483178.24800441868</v>
      </c>
      <c r="BX84" s="247">
        <f>'[10]Данные для переноса'!AH85</f>
        <v>502505.37792459538</v>
      </c>
      <c r="BY84" s="247">
        <f>'[10]Данные для переноса'!AI85</f>
        <v>522605.59304157918</v>
      </c>
      <c r="BZ84" s="247">
        <f>'[10]Данные для переноса'!AJ85</f>
        <v>543509.81676324236</v>
      </c>
      <c r="CA84" s="247">
        <f>'[10]Данные для переноса'!AK85</f>
        <v>565250.20943377214</v>
      </c>
      <c r="CB84" s="247">
        <f>'[10]Данные для переноса'!AL85</f>
        <v>587860.21781112312</v>
      </c>
      <c r="CC84" s="247">
        <f>'[10]Данные для переноса'!AM85</f>
        <v>611374.62652356806</v>
      </c>
      <c r="CD84" s="247">
        <f>'[10]Данные для переноса'!AN85</f>
        <v>635829.61158451077</v>
      </c>
      <c r="CE84" s="247">
        <f>'[10]Данные для переноса'!AO85</f>
        <v>661262.79604789126</v>
      </c>
      <c r="CF84" s="247">
        <f>'[10]Данные для переноса'!AP85</f>
        <v>687713.30788980692</v>
      </c>
      <c r="CG84" s="247">
        <f>'[10]Данные для переноса'!AQ85</f>
        <v>715221.8402053992</v>
      </c>
      <c r="CH84" s="247">
        <f>'[10]Данные для переноса'!AR85</f>
        <v>743830.71381361515</v>
      </c>
      <c r="CI84" s="247">
        <f>'[10]Данные для переноса'!AS85</f>
        <v>773583.94236615975</v>
      </c>
      <c r="CJ84" s="247">
        <f>'[10]Данные для переноса'!AT85</f>
        <v>804527.3000608061</v>
      </c>
      <c r="CK84" s="247">
        <f>'[10]Данные для переноса'!AU85</f>
        <v>836708.39206323831</v>
      </c>
      <c r="CL84" s="247">
        <f>'[10]Данные для переноса'!AV85</f>
        <v>870176.72774576792</v>
      </c>
      <c r="CM84" s="426">
        <v>320064.08308004058</v>
      </c>
      <c r="CN84" s="426">
        <v>390095.24880095926</v>
      </c>
      <c r="CO84" s="426">
        <v>427488.4700359017</v>
      </c>
      <c r="CP84" s="426">
        <v>446725.45118751726</v>
      </c>
      <c r="CQ84" s="426">
        <v>464594.46923501795</v>
      </c>
      <c r="CR84" s="426">
        <v>483178.24800441868</v>
      </c>
      <c r="CS84" s="426">
        <v>502505.37792459538</v>
      </c>
      <c r="CT84" s="426">
        <v>522605.59304157918</v>
      </c>
      <c r="CU84" s="426">
        <v>543509.81676324236</v>
      </c>
      <c r="CV84" s="426">
        <v>565250.20943377214</v>
      </c>
      <c r="CW84" s="426">
        <v>587860.21781112312</v>
      </c>
      <c r="CX84" s="426">
        <v>611374.62652356806</v>
      </c>
      <c r="CY84" s="426">
        <v>635829.61158451077</v>
      </c>
      <c r="CZ84" s="426">
        <v>661262.79604789126</v>
      </c>
      <c r="DA84" s="426">
        <v>687713.30788980692</v>
      </c>
      <c r="DB84" s="426">
        <v>715221.8402053992</v>
      </c>
      <c r="DC84" s="426">
        <v>743830.71381361515</v>
      </c>
      <c r="DD84" s="426">
        <v>773583.94236615975</v>
      </c>
      <c r="DE84" s="426">
        <v>804527.3000608061</v>
      </c>
      <c r="DF84" s="426">
        <v>836708.39206323831</v>
      </c>
      <c r="DG84" s="426">
        <v>870176.72774576792</v>
      </c>
      <c r="DH84" s="430" t="b">
        <f t="shared" si="134"/>
        <v>1</v>
      </c>
      <c r="DI84" s="430" t="b">
        <f t="shared" si="134"/>
        <v>1</v>
      </c>
      <c r="DJ84" s="430" t="b">
        <f t="shared" si="134"/>
        <v>1</v>
      </c>
      <c r="DK84" s="430" t="b">
        <f t="shared" si="134"/>
        <v>1</v>
      </c>
      <c r="DL84" s="430" t="b">
        <f t="shared" si="134"/>
        <v>1</v>
      </c>
      <c r="DM84" s="430" t="b">
        <f t="shared" si="134"/>
        <v>1</v>
      </c>
      <c r="DN84" s="430" t="b">
        <f t="shared" si="134"/>
        <v>1</v>
      </c>
      <c r="DO84" s="430" t="b">
        <f t="shared" si="134"/>
        <v>1</v>
      </c>
      <c r="DP84" s="430" t="b">
        <f t="shared" si="134"/>
        <v>1</v>
      </c>
      <c r="DQ84" s="430" t="b">
        <f t="shared" si="134"/>
        <v>1</v>
      </c>
      <c r="DR84" s="430" t="b">
        <f t="shared" si="134"/>
        <v>1</v>
      </c>
      <c r="DS84" s="430" t="b">
        <f t="shared" si="143"/>
        <v>1</v>
      </c>
      <c r="DT84" s="430" t="b">
        <f t="shared" si="144"/>
        <v>1</v>
      </c>
      <c r="DU84" s="430" t="b">
        <f t="shared" si="142"/>
        <v>1</v>
      </c>
      <c r="DV84" s="430" t="b">
        <f t="shared" si="142"/>
        <v>1</v>
      </c>
      <c r="DW84" s="430" t="b">
        <f t="shared" si="142"/>
        <v>1</v>
      </c>
      <c r="DX84" s="430" t="b">
        <f t="shared" si="142"/>
        <v>1</v>
      </c>
      <c r="DY84" s="430" t="b">
        <f t="shared" si="142"/>
        <v>1</v>
      </c>
      <c r="DZ84" s="430" t="b">
        <f t="shared" si="142"/>
        <v>1</v>
      </c>
      <c r="EA84" s="430" t="b">
        <f t="shared" si="142"/>
        <v>1</v>
      </c>
      <c r="EB84" s="430" t="b">
        <f t="shared" si="142"/>
        <v>1</v>
      </c>
      <c r="EC84" s="275">
        <f t="shared" si="146"/>
        <v>647631.36414791248</v>
      </c>
      <c r="ED84" s="223">
        <f>BR84-F84</f>
        <v>0</v>
      </c>
      <c r="EE84" s="223">
        <f>BS84-G84</f>
        <v>0</v>
      </c>
      <c r="EF84" s="223">
        <f>BT84-H84</f>
        <v>0</v>
      </c>
      <c r="EG84" s="223">
        <f>BU84-I84</f>
        <v>0</v>
      </c>
      <c r="EH84" s="223">
        <f>BV84-J84</f>
        <v>0</v>
      </c>
      <c r="EI84" s="223">
        <f>BW84-K84</f>
        <v>0</v>
      </c>
      <c r="EJ84" s="223">
        <f>BX84-L84</f>
        <v>0</v>
      </c>
      <c r="EK84" s="223">
        <f>BY84-M84</f>
        <v>0</v>
      </c>
      <c r="EL84" s="223">
        <f>BZ84-N84</f>
        <v>0</v>
      </c>
      <c r="EM84" s="223">
        <f>CA84-O84</f>
        <v>0</v>
      </c>
      <c r="EN84" s="223">
        <f>CB84-P84</f>
        <v>0</v>
      </c>
      <c r="EO84" s="223">
        <f>CC84-Q84</f>
        <v>0</v>
      </c>
      <c r="EP84" s="223">
        <f>CD84-R84</f>
        <v>0</v>
      </c>
      <c r="EQ84" s="223">
        <f>CE84-S84</f>
        <v>0</v>
      </c>
      <c r="ER84" s="223">
        <f>CF84-T84</f>
        <v>0</v>
      </c>
      <c r="ES84" s="223">
        <f>CG84-U84</f>
        <v>0</v>
      </c>
      <c r="ET84" s="223">
        <f>CH84-V84</f>
        <v>0</v>
      </c>
      <c r="EU84" s="223">
        <f>CI84-W84</f>
        <v>0</v>
      </c>
      <c r="EV84" s="223">
        <f>CJ84-X84</f>
        <v>0</v>
      </c>
      <c r="EW84" s="223">
        <f>CK84-Y84</f>
        <v>0</v>
      </c>
      <c r="EX84" s="223">
        <f>CL84-Z84</f>
        <v>0</v>
      </c>
      <c r="EY84" s="275">
        <f t="shared" si="147"/>
        <v>0</v>
      </c>
    </row>
    <row r="85" spans="1:155" x14ac:dyDescent="0.35">
      <c r="C85" s="241">
        <v>51</v>
      </c>
      <c r="D85" s="242" t="s">
        <v>56</v>
      </c>
      <c r="E85" s="243" t="s">
        <v>10</v>
      </c>
      <c r="F85" s="384">
        <f>'[10]Данные для переноса'!F86</f>
        <v>2433220.4000000004</v>
      </c>
      <c r="G85" s="384">
        <f>'[10]Данные для переноса'!G86</f>
        <v>2842353.7</v>
      </c>
      <c r="H85" s="384">
        <f>'[10]Данные для переноса'!H86</f>
        <v>3325888.3</v>
      </c>
      <c r="I85" s="384">
        <f>'[10]Данные для переноса'!I86</f>
        <v>3710446.9831224964</v>
      </c>
      <c r="J85" s="384">
        <f>'[10]Данные для переноса'!J86</f>
        <v>4079085.3919052039</v>
      </c>
      <c r="K85" s="384">
        <f>'[10]Данные для переноса'!K86</f>
        <v>4450203.2253963165</v>
      </c>
      <c r="L85" s="384">
        <f>'[10]Данные для переноса'!L86</f>
        <v>4627170.7222920088</v>
      </c>
      <c r="M85" s="384">
        <f>'[10]Данные для переноса'!M86</f>
        <v>4809957.7541981349</v>
      </c>
      <c r="N85" s="384">
        <f>'[10]Данные для переноса'!N86</f>
        <v>5002356.0643660603</v>
      </c>
      <c r="O85" s="384">
        <f>'[10]Данные для переноса'!O86</f>
        <v>5202450.3069407027</v>
      </c>
      <c r="P85" s="384">
        <f>'[10]Данные для переноса'!P86</f>
        <v>5410548.3192183301</v>
      </c>
      <c r="Q85" s="384">
        <f>'[10]Данные для переноса'!Q86</f>
        <v>5626970.2519870643</v>
      </c>
      <c r="R85" s="384">
        <f>'[10]Данные для переноса'!R86</f>
        <v>5852049.0620665476</v>
      </c>
      <c r="S85" s="384">
        <f>'[10]Данные для переноса'!S86</f>
        <v>6086131.0245492095</v>
      </c>
      <c r="T85" s="384">
        <f>'[10]Данные для переноса'!T86</f>
        <v>6329576.2655311786</v>
      </c>
      <c r="U85" s="384">
        <f>'[10]Данные для переноса'!U86</f>
        <v>6582759.3161524255</v>
      </c>
      <c r="V85" s="384">
        <f>'[10]Данные для переноса'!V86</f>
        <v>6846069.6887985226</v>
      </c>
      <c r="W85" s="384">
        <f>'[10]Данные для переноса'!W86</f>
        <v>7119912.4763504639</v>
      </c>
      <c r="X85" s="384">
        <f>'[10]Данные для переноса'!X86</f>
        <v>7404708.9754044833</v>
      </c>
      <c r="Y85" s="384">
        <f>'[10]Данные для переноса'!Y86</f>
        <v>7700897.3344206624</v>
      </c>
      <c r="Z85" s="384">
        <f>'[10]Данные для переноса'!Z86</f>
        <v>8008933.2277974905</v>
      </c>
      <c r="AA85" s="445">
        <v>2433220.4000000004</v>
      </c>
      <c r="AB85" s="445">
        <v>2842353.7</v>
      </c>
      <c r="AC85" s="445">
        <v>3325888.3</v>
      </c>
      <c r="AD85" s="445">
        <v>3710446.9831224964</v>
      </c>
      <c r="AE85" s="445">
        <v>4079085.3919052039</v>
      </c>
      <c r="AF85" s="445">
        <v>4450203.2253963165</v>
      </c>
      <c r="AG85" s="445">
        <v>4627170.7222920088</v>
      </c>
      <c r="AH85" s="445">
        <v>4809957.7541981349</v>
      </c>
      <c r="AI85" s="445">
        <v>5002356.0643660603</v>
      </c>
      <c r="AJ85" s="445">
        <v>5202450.3069407027</v>
      </c>
      <c r="AK85" s="445">
        <v>5410548.3192183301</v>
      </c>
      <c r="AL85" s="445">
        <v>5626970.2519870643</v>
      </c>
      <c r="AM85" s="445">
        <v>5852049.0620665476</v>
      </c>
      <c r="AN85" s="445">
        <v>6086131.0245492095</v>
      </c>
      <c r="AO85" s="445">
        <v>6329576.2655311786</v>
      </c>
      <c r="AP85" s="445">
        <v>6582759.3161524255</v>
      </c>
      <c r="AQ85" s="445">
        <v>6846069.6887985226</v>
      </c>
      <c r="AR85" s="445">
        <v>7119912.4763504639</v>
      </c>
      <c r="AS85" s="445">
        <v>7404708.9754044833</v>
      </c>
      <c r="AT85" s="445">
        <v>7700897.3344206624</v>
      </c>
      <c r="AU85" s="445">
        <v>8008933.2277974905</v>
      </c>
      <c r="AV85" s="446" t="b">
        <f t="shared" si="140"/>
        <v>1</v>
      </c>
      <c r="AW85" s="446" t="b">
        <f t="shared" si="140"/>
        <v>1</v>
      </c>
      <c r="AX85" s="446" t="b">
        <f t="shared" si="140"/>
        <v>1</v>
      </c>
      <c r="AY85" s="446" t="b">
        <f t="shared" si="140"/>
        <v>1</v>
      </c>
      <c r="AZ85" s="446" t="b">
        <f t="shared" si="140"/>
        <v>1</v>
      </c>
      <c r="BA85" s="446" t="b">
        <f t="shared" si="140"/>
        <v>1</v>
      </c>
      <c r="BB85" s="446" t="b">
        <f t="shared" si="140"/>
        <v>1</v>
      </c>
      <c r="BC85" s="446" t="b">
        <f t="shared" si="140"/>
        <v>1</v>
      </c>
      <c r="BD85" s="446" t="b">
        <f t="shared" si="135"/>
        <v>1</v>
      </c>
      <c r="BE85" s="446" t="b">
        <f t="shared" si="135"/>
        <v>1</v>
      </c>
      <c r="BF85" s="446" t="b">
        <f t="shared" si="135"/>
        <v>1</v>
      </c>
      <c r="BG85" s="446" t="b">
        <f t="shared" si="135"/>
        <v>1</v>
      </c>
      <c r="BH85" s="446" t="b">
        <f t="shared" si="135"/>
        <v>1</v>
      </c>
      <c r="BI85" s="446" t="b">
        <f t="shared" si="135"/>
        <v>1</v>
      </c>
      <c r="BJ85" s="446" t="b">
        <f t="shared" si="141"/>
        <v>1</v>
      </c>
      <c r="BK85" s="446" t="b">
        <f t="shared" si="141"/>
        <v>1</v>
      </c>
      <c r="BL85" s="446" t="b">
        <f t="shared" si="141"/>
        <v>1</v>
      </c>
      <c r="BM85" s="446" t="b">
        <f t="shared" si="141"/>
        <v>1</v>
      </c>
      <c r="BN85" s="446" t="b">
        <f t="shared" si="141"/>
        <v>1</v>
      </c>
      <c r="BO85" s="446" t="b">
        <f t="shared" si="141"/>
        <v>1</v>
      </c>
      <c r="BP85" s="446" t="b">
        <f t="shared" si="141"/>
        <v>1</v>
      </c>
      <c r="BQ85" s="275">
        <f t="shared" si="145"/>
        <v>5949398.7886691066</v>
      </c>
      <c r="BR85" s="247">
        <f>'[10]Данные для переноса'!AB86</f>
        <v>2433220.4000000004</v>
      </c>
      <c r="BS85" s="247">
        <f>'[10]Данные для переноса'!AC86</f>
        <v>2842353.7</v>
      </c>
      <c r="BT85" s="247">
        <f>'[10]Данные для переноса'!AD86</f>
        <v>3325888.3</v>
      </c>
      <c r="BU85" s="247">
        <f>'[10]Данные для переноса'!AE86</f>
        <v>4028063.6349079255</v>
      </c>
      <c r="BV85" s="247">
        <f>'[10]Данные для переноса'!AF86</f>
        <v>4474978.3951321049</v>
      </c>
      <c r="BW85" s="247">
        <f>'[10]Данные для переноса'!AG86</f>
        <v>4942381.3462287439</v>
      </c>
      <c r="BX85" s="247">
        <f>'[10]Данные для переноса'!AH86</f>
        <v>5195273.7502221828</v>
      </c>
      <c r="BY85" s="247">
        <f>'[10]Данные для переноса'!AI86</f>
        <v>5434489.4910001876</v>
      </c>
      <c r="BZ85" s="247">
        <f>'[10]Данные для переноса'!AJ86</f>
        <v>5670706.1023498951</v>
      </c>
      <c r="CA85" s="247">
        <f>'[10]Данные для переноса'!AK86</f>
        <v>5916334.9193825414</v>
      </c>
      <c r="CB85" s="247">
        <f>'[10]Данные для переноса'!AL86</f>
        <v>6172869.5270704459</v>
      </c>
      <c r="CC85" s="247">
        <f>'[10]Данные для переноса'!AM86</f>
        <v>6440802.527161032</v>
      </c>
      <c r="CD85" s="247">
        <f>'[10]Данные для переноса'!AN86</f>
        <v>6720649.0060605612</v>
      </c>
      <c r="CE85" s="247">
        <f>'[10]Данные для переноса'!AO86</f>
        <v>7010544.8593711425</v>
      </c>
      <c r="CF85" s="247">
        <f>'[10]Данные для переноса'!AP86</f>
        <v>7312879.3425368732</v>
      </c>
      <c r="CG85" s="247">
        <f>'[10]Данные для переноса'!AQ86</f>
        <v>7637179.4479792304</v>
      </c>
      <c r="CH85" s="247">
        <f>'[10]Данные для переноса'!AR86</f>
        <v>7969278.0102590695</v>
      </c>
      <c r="CI85" s="247">
        <f>'[10]Данные для переноса'!AS86</f>
        <v>8312697.9254335016</v>
      </c>
      <c r="CJ85" s="247">
        <f>'[10]Данные для переноса'!AT86</f>
        <v>8674213.5819731895</v>
      </c>
      <c r="CK85" s="247">
        <f>'[10]Данные для переноса'!AU86</f>
        <v>9046672.9574401285</v>
      </c>
      <c r="CL85" s="247">
        <f>'[10]Данные для переноса'!AV86</f>
        <v>9438941.7856867369</v>
      </c>
      <c r="CM85" s="445">
        <v>2433220.4000000004</v>
      </c>
      <c r="CN85" s="445">
        <v>2842353.7</v>
      </c>
      <c r="CO85" s="445">
        <v>3325888.3</v>
      </c>
      <c r="CP85" s="445">
        <v>4028063.6349079255</v>
      </c>
      <c r="CQ85" s="445">
        <v>4474978.3951321049</v>
      </c>
      <c r="CR85" s="445">
        <v>4942381.3462287439</v>
      </c>
      <c r="CS85" s="445">
        <v>5195273.7502221828</v>
      </c>
      <c r="CT85" s="445">
        <v>5434489.4910001876</v>
      </c>
      <c r="CU85" s="445">
        <v>5670706.1023498951</v>
      </c>
      <c r="CV85" s="445">
        <v>5916334.9193825414</v>
      </c>
      <c r="CW85" s="445">
        <v>6172869.5270704459</v>
      </c>
      <c r="CX85" s="445">
        <v>6440802.527161032</v>
      </c>
      <c r="CY85" s="445">
        <v>6720649.0060605612</v>
      </c>
      <c r="CZ85" s="445">
        <v>7010544.8593711425</v>
      </c>
      <c r="DA85" s="445">
        <v>7312879.3425368732</v>
      </c>
      <c r="DB85" s="445">
        <v>7637179.4479792304</v>
      </c>
      <c r="DC85" s="445">
        <v>7969278.0102590695</v>
      </c>
      <c r="DD85" s="445">
        <v>8312697.9254335016</v>
      </c>
      <c r="DE85" s="445">
        <v>8674213.5819731895</v>
      </c>
      <c r="DF85" s="445">
        <v>9046672.9574401285</v>
      </c>
      <c r="DG85" s="445">
        <v>9438941.7856867369</v>
      </c>
      <c r="DH85" s="446" t="b">
        <f t="shared" si="134"/>
        <v>1</v>
      </c>
      <c r="DI85" s="446" t="b">
        <f t="shared" si="134"/>
        <v>1</v>
      </c>
      <c r="DJ85" s="446" t="b">
        <f t="shared" si="134"/>
        <v>1</v>
      </c>
      <c r="DK85" s="446" t="b">
        <f t="shared" si="134"/>
        <v>1</v>
      </c>
      <c r="DL85" s="446" t="b">
        <f t="shared" si="134"/>
        <v>1</v>
      </c>
      <c r="DM85" s="446" t="b">
        <f t="shared" si="134"/>
        <v>1</v>
      </c>
      <c r="DN85" s="446" t="b">
        <f t="shared" si="134"/>
        <v>1</v>
      </c>
      <c r="DO85" s="446" t="b">
        <f t="shared" si="134"/>
        <v>1</v>
      </c>
      <c r="DP85" s="446" t="b">
        <f t="shared" si="134"/>
        <v>1</v>
      </c>
      <c r="DQ85" s="446" t="b">
        <f t="shared" si="134"/>
        <v>1</v>
      </c>
      <c r="DR85" s="446" t="b">
        <f t="shared" si="134"/>
        <v>1</v>
      </c>
      <c r="DS85" s="446" t="b">
        <f t="shared" si="143"/>
        <v>1</v>
      </c>
      <c r="DT85" s="446" t="b">
        <f t="shared" si="144"/>
        <v>1</v>
      </c>
      <c r="DU85" s="446" t="b">
        <f t="shared" si="142"/>
        <v>1</v>
      </c>
      <c r="DV85" s="446" t="b">
        <f t="shared" si="142"/>
        <v>1</v>
      </c>
      <c r="DW85" s="446" t="b">
        <f t="shared" si="142"/>
        <v>1</v>
      </c>
      <c r="DX85" s="446" t="b">
        <f t="shared" si="142"/>
        <v>1</v>
      </c>
      <c r="DY85" s="446" t="b">
        <f t="shared" si="142"/>
        <v>1</v>
      </c>
      <c r="DZ85" s="446" t="b">
        <f t="shared" si="142"/>
        <v>1</v>
      </c>
      <c r="EA85" s="446" t="b">
        <f t="shared" si="142"/>
        <v>1</v>
      </c>
      <c r="EB85" s="446" t="b">
        <f t="shared" si="142"/>
        <v>1</v>
      </c>
      <c r="EC85" s="275">
        <f t="shared" si="146"/>
        <v>6845346.6456051506</v>
      </c>
      <c r="ED85" s="223">
        <f>BR85-F85</f>
        <v>0</v>
      </c>
      <c r="EE85" s="223">
        <f>BS85-G85</f>
        <v>0</v>
      </c>
      <c r="EF85" s="223">
        <f>BT85-H85</f>
        <v>0</v>
      </c>
      <c r="EG85" s="223">
        <f>BU85-I85</f>
        <v>317616.6517854291</v>
      </c>
      <c r="EH85" s="223">
        <f>BV85-J85</f>
        <v>395893.00322690094</v>
      </c>
      <c r="EI85" s="223">
        <f>BW85-K85</f>
        <v>492178.1208324274</v>
      </c>
      <c r="EJ85" s="223">
        <f>BX85-L85</f>
        <v>568103.02793017402</v>
      </c>
      <c r="EK85" s="223">
        <f>BY85-M85</f>
        <v>624531.73680205271</v>
      </c>
      <c r="EL85" s="223">
        <f>BZ85-N85</f>
        <v>668350.03798383474</v>
      </c>
      <c r="EM85" s="223">
        <f>CA85-O85</f>
        <v>713884.61244183872</v>
      </c>
      <c r="EN85" s="223">
        <f>CB85-P85</f>
        <v>762321.20785211585</v>
      </c>
      <c r="EO85" s="223">
        <f>CC85-Q85</f>
        <v>813832.2751739677</v>
      </c>
      <c r="EP85" s="223">
        <f>CD85-R85</f>
        <v>868599.94399401359</v>
      </c>
      <c r="EQ85" s="223">
        <f>CE85-S85</f>
        <v>924413.83482193295</v>
      </c>
      <c r="ER85" s="223">
        <f>CF85-T85</f>
        <v>983303.07700569462</v>
      </c>
      <c r="ES85" s="223">
        <f>CG85-U85</f>
        <v>1054420.131826805</v>
      </c>
      <c r="ET85" s="223">
        <f>CH85-V85</f>
        <v>1123208.3214605469</v>
      </c>
      <c r="EU85" s="223">
        <f>CI85-W85</f>
        <v>1192785.4490830377</v>
      </c>
      <c r="EV85" s="223">
        <f>CJ85-X85</f>
        <v>1269504.6065687062</v>
      </c>
      <c r="EW85" s="223">
        <f>CK85-Y85</f>
        <v>1345775.6230194662</v>
      </c>
      <c r="EX85" s="223">
        <f>CL85-Z85</f>
        <v>1430008.5578892464</v>
      </c>
      <c r="EY85" s="275">
        <f t="shared" si="147"/>
        <v>895947.85693604476</v>
      </c>
    </row>
    <row r="86" spans="1:155" x14ac:dyDescent="0.35">
      <c r="C86" s="241">
        <v>52</v>
      </c>
      <c r="D86" s="242" t="s">
        <v>57</v>
      </c>
      <c r="E86" s="243" t="s">
        <v>10</v>
      </c>
      <c r="F86" s="384">
        <f>'[10]Данные для переноса'!F87</f>
        <v>379083.90000000014</v>
      </c>
      <c r="G86" s="384">
        <f>'[10]Данные для переноса'!G87</f>
        <v>520543.1</v>
      </c>
      <c r="H86" s="384">
        <f>'[10]Данные для переноса'!H87</f>
        <v>619174.30000000005</v>
      </c>
      <c r="I86" s="384">
        <f>'[10]Данные для переноса'!I87</f>
        <v>700592.06482877373</v>
      </c>
      <c r="J86" s="384">
        <f>'[10]Данные для переноса'!J87</f>
        <v>749092.77484260662</v>
      </c>
      <c r="K86" s="384">
        <f>'[10]Данные для переноса'!K87</f>
        <v>803813.9396147381</v>
      </c>
      <c r="L86" s="384">
        <f>'[10]Данные для переноса'!L87</f>
        <v>869405.15708730079</v>
      </c>
      <c r="M86" s="384">
        <f>'[10]Данные для переноса'!M87</f>
        <v>940348.61790562433</v>
      </c>
      <c r="N86" s="384">
        <f>'[10]Данные для переноса'!N87</f>
        <v>1017081.0651267235</v>
      </c>
      <c r="O86" s="384">
        <f>'[10]Данные для переноса'!O87</f>
        <v>1100074.8800410642</v>
      </c>
      <c r="P86" s="384">
        <f>'[10]Данные для переноса'!P87</f>
        <v>1189840.9902524152</v>
      </c>
      <c r="Q86" s="384">
        <f>'[10]Данные для переноса'!Q87</f>
        <v>1286932.0150570122</v>
      </c>
      <c r="R86" s="384">
        <f>'[10]Данные для переноса'!R87</f>
        <v>1391945.6674856646</v>
      </c>
      <c r="S86" s="384">
        <f>'[10]Данные для переноса'!S87</f>
        <v>1505528.4339524948</v>
      </c>
      <c r="T86" s="384">
        <f>'[10]Данные для переноса'!T87</f>
        <v>1628379.5541630185</v>
      </c>
      <c r="U86" s="384">
        <f>'[10]Данные для переноса'!U87</f>
        <v>1761255.3257827209</v>
      </c>
      <c r="V86" s="384">
        <f>'[10]Данные для переноса'!V87</f>
        <v>1904973.7603665909</v>
      </c>
      <c r="W86" s="384">
        <f>'[10]Данные для переноса'!W87</f>
        <v>2060419.6192125054</v>
      </c>
      <c r="X86" s="384">
        <f>'[10]Данные для переноса'!X87</f>
        <v>2228549.8601402454</v>
      </c>
      <c r="Y86" s="384">
        <f>'[10]Данные для переноса'!Y87</f>
        <v>2410399.5287276898</v>
      </c>
      <c r="Z86" s="384">
        <f>'[10]Данные для переноса'!Z87</f>
        <v>2607088.1302718692</v>
      </c>
      <c r="AA86" s="445">
        <v>379083.90000000014</v>
      </c>
      <c r="AB86" s="445">
        <v>520543.1</v>
      </c>
      <c r="AC86" s="445">
        <v>619174.30000000005</v>
      </c>
      <c r="AD86" s="445">
        <v>700592.06482877373</v>
      </c>
      <c r="AE86" s="445">
        <v>749092.77484260662</v>
      </c>
      <c r="AF86" s="445">
        <v>803813.9396147381</v>
      </c>
      <c r="AG86" s="445">
        <v>869405.15708730079</v>
      </c>
      <c r="AH86" s="445">
        <v>940348.61790562433</v>
      </c>
      <c r="AI86" s="445">
        <v>1017081.0651267235</v>
      </c>
      <c r="AJ86" s="445">
        <v>1100074.8800410642</v>
      </c>
      <c r="AK86" s="445">
        <v>1189840.9902524152</v>
      </c>
      <c r="AL86" s="445">
        <v>1286932.0150570122</v>
      </c>
      <c r="AM86" s="445">
        <v>1391945.6674856646</v>
      </c>
      <c r="AN86" s="445">
        <v>1505528.4339524948</v>
      </c>
      <c r="AO86" s="445">
        <v>1628379.5541630185</v>
      </c>
      <c r="AP86" s="445">
        <v>1761255.3257827209</v>
      </c>
      <c r="AQ86" s="445">
        <v>1904973.7603665909</v>
      </c>
      <c r="AR86" s="445">
        <v>2060419.6192125054</v>
      </c>
      <c r="AS86" s="445">
        <v>2228549.8601402454</v>
      </c>
      <c r="AT86" s="445">
        <v>2410399.5287276898</v>
      </c>
      <c r="AU86" s="445">
        <v>2607088.1302718692</v>
      </c>
      <c r="AV86" s="446" t="b">
        <f t="shared" si="140"/>
        <v>1</v>
      </c>
      <c r="AW86" s="446" t="b">
        <f t="shared" si="140"/>
        <v>1</v>
      </c>
      <c r="AX86" s="446" t="b">
        <f t="shared" si="140"/>
        <v>1</v>
      </c>
      <c r="AY86" s="446" t="b">
        <f t="shared" si="140"/>
        <v>1</v>
      </c>
      <c r="AZ86" s="446" t="b">
        <f t="shared" si="140"/>
        <v>1</v>
      </c>
      <c r="BA86" s="446" t="b">
        <f t="shared" si="140"/>
        <v>1</v>
      </c>
      <c r="BB86" s="446" t="b">
        <f t="shared" si="140"/>
        <v>1</v>
      </c>
      <c r="BC86" s="446" t="b">
        <f t="shared" si="140"/>
        <v>1</v>
      </c>
      <c r="BD86" s="446" t="b">
        <f t="shared" si="135"/>
        <v>1</v>
      </c>
      <c r="BE86" s="446" t="b">
        <f t="shared" si="135"/>
        <v>1</v>
      </c>
      <c r="BF86" s="446" t="b">
        <f t="shared" si="135"/>
        <v>1</v>
      </c>
      <c r="BG86" s="446" t="b">
        <f t="shared" si="135"/>
        <v>1</v>
      </c>
      <c r="BH86" s="446" t="b">
        <f t="shared" si="135"/>
        <v>1</v>
      </c>
      <c r="BI86" s="446" t="b">
        <f t="shared" si="135"/>
        <v>1</v>
      </c>
      <c r="BJ86" s="446" t="b">
        <f t="shared" si="141"/>
        <v>1</v>
      </c>
      <c r="BK86" s="446" t="b">
        <f t="shared" si="141"/>
        <v>1</v>
      </c>
      <c r="BL86" s="446" t="b">
        <f t="shared" si="141"/>
        <v>1</v>
      </c>
      <c r="BM86" s="446" t="b">
        <f t="shared" si="141"/>
        <v>1</v>
      </c>
      <c r="BN86" s="446" t="b">
        <f t="shared" si="141"/>
        <v>1</v>
      </c>
      <c r="BO86" s="446" t="b">
        <f t="shared" si="141"/>
        <v>1</v>
      </c>
      <c r="BP86" s="446" t="b">
        <f t="shared" si="141"/>
        <v>1</v>
      </c>
      <c r="BQ86" s="275">
        <f t="shared" si="145"/>
        <v>1497360.548237076</v>
      </c>
      <c r="BR86" s="247">
        <f>'[10]Данные для переноса'!AB87</f>
        <v>379083.90000000014</v>
      </c>
      <c r="BS86" s="247">
        <f>'[10]Данные для переноса'!AC87</f>
        <v>520543.1</v>
      </c>
      <c r="BT86" s="247">
        <f>'[10]Данные для переноса'!AD87</f>
        <v>619174.30000000005</v>
      </c>
      <c r="BU86" s="247">
        <f>'[10]Данные для переноса'!AE87</f>
        <v>702470.54568660294</v>
      </c>
      <c r="BV86" s="247">
        <f>'[10]Данные для переноса'!AF87</f>
        <v>876585.58761998138</v>
      </c>
      <c r="BW86" s="247">
        <f>'[10]Данные для переноса'!AG87</f>
        <v>938488.79041577934</v>
      </c>
      <c r="BX86" s="247">
        <f>'[10]Данные для переноса'!AH87</f>
        <v>1024763.3936768764</v>
      </c>
      <c r="BY86" s="247">
        <f>'[10]Данные для переноса'!AI87</f>
        <v>1104759.0835757437</v>
      </c>
      <c r="BZ86" s="247">
        <f>'[10]Данные для переноса'!AJ87</f>
        <v>1191062.0215864284</v>
      </c>
      <c r="CA86" s="247">
        <f>'[10]Данные для переноса'!AK87</f>
        <v>1284173.478823672</v>
      </c>
      <c r="CB86" s="247">
        <f>'[10]Данные для переноса'!AL87</f>
        <v>1384634.8153850427</v>
      </c>
      <c r="CC86" s="247">
        <f>'[10]Данные для переноса'!AM87</f>
        <v>1493030.702075734</v>
      </c>
      <c r="CD86" s="247">
        <f>'[10]Данные для переноса'!AN87</f>
        <v>1609992.6020143065</v>
      </c>
      <c r="CE86" s="247">
        <f>'[10]Данные для переноса'!AO87</f>
        <v>1736202.5331425376</v>
      </c>
      <c r="CF86" s="247">
        <f>'[10]Данные для переноса'!AP87</f>
        <v>1872397.1343669072</v>
      </c>
      <c r="CG86" s="247">
        <f>'[10]Данные для переноса'!AQ87</f>
        <v>2019372.0599019979</v>
      </c>
      <c r="CH86" s="247">
        <f>'[10]Данные для переноса'!AR87</f>
        <v>2177986.7283784929</v>
      </c>
      <c r="CI86" s="247">
        <f>'[10]Данные для переноса'!AS87</f>
        <v>2349169.4554326902</v>
      </c>
      <c r="CJ86" s="247">
        <f>'[10]Данные для переноса'!AT87</f>
        <v>2533923.0008236356</v>
      </c>
      <c r="CK86" s="247">
        <f>'[10]Данные для переноса'!AU87</f>
        <v>2733330.5636424026</v>
      </c>
      <c r="CL86" s="247">
        <f>'[10]Данные для переноса'!AV87</f>
        <v>2948562.2619010373</v>
      </c>
      <c r="CM86" s="445">
        <v>379083.90000000014</v>
      </c>
      <c r="CN86" s="445">
        <v>520543.1</v>
      </c>
      <c r="CO86" s="445">
        <v>619174.30000000005</v>
      </c>
      <c r="CP86" s="445">
        <v>702470.54568660294</v>
      </c>
      <c r="CQ86" s="445">
        <v>876585.58761998138</v>
      </c>
      <c r="CR86" s="445">
        <v>938488.79041577934</v>
      </c>
      <c r="CS86" s="445">
        <v>1024763.3936768764</v>
      </c>
      <c r="CT86" s="445">
        <v>1104759.0835757437</v>
      </c>
      <c r="CU86" s="445">
        <v>1191062.0215864284</v>
      </c>
      <c r="CV86" s="445">
        <v>1284173.478823672</v>
      </c>
      <c r="CW86" s="445">
        <v>1384634.8153850427</v>
      </c>
      <c r="CX86" s="445">
        <v>1493030.702075734</v>
      </c>
      <c r="CY86" s="445">
        <v>1609992.6020143065</v>
      </c>
      <c r="CZ86" s="445">
        <v>1736202.5331425376</v>
      </c>
      <c r="DA86" s="445">
        <v>1872397.1343669072</v>
      </c>
      <c r="DB86" s="445">
        <v>2019372.0599019979</v>
      </c>
      <c r="DC86" s="445">
        <v>2177986.7283784929</v>
      </c>
      <c r="DD86" s="445">
        <v>2349169.4554326902</v>
      </c>
      <c r="DE86" s="445">
        <v>2533923.0008236356</v>
      </c>
      <c r="DF86" s="445">
        <v>2733330.5636424026</v>
      </c>
      <c r="DG86" s="445">
        <v>2948562.2619010373</v>
      </c>
      <c r="DH86" s="446" t="b">
        <f t="shared" si="134"/>
        <v>1</v>
      </c>
      <c r="DI86" s="446" t="b">
        <f t="shared" si="134"/>
        <v>1</v>
      </c>
      <c r="DJ86" s="446" t="b">
        <f t="shared" si="134"/>
        <v>1</v>
      </c>
      <c r="DK86" s="446" t="b">
        <f t="shared" si="134"/>
        <v>1</v>
      </c>
      <c r="DL86" s="446" t="b">
        <f t="shared" si="134"/>
        <v>1</v>
      </c>
      <c r="DM86" s="446" t="b">
        <f t="shared" si="134"/>
        <v>1</v>
      </c>
      <c r="DN86" s="446" t="b">
        <f t="shared" si="134"/>
        <v>1</v>
      </c>
      <c r="DO86" s="446" t="b">
        <f t="shared" si="134"/>
        <v>1</v>
      </c>
      <c r="DP86" s="446" t="b">
        <f t="shared" si="134"/>
        <v>1</v>
      </c>
      <c r="DQ86" s="446" t="b">
        <f t="shared" si="134"/>
        <v>1</v>
      </c>
      <c r="DR86" s="446" t="b">
        <f t="shared" si="134"/>
        <v>1</v>
      </c>
      <c r="DS86" s="446" t="b">
        <f t="shared" si="143"/>
        <v>1</v>
      </c>
      <c r="DT86" s="446" t="b">
        <f t="shared" si="144"/>
        <v>1</v>
      </c>
      <c r="DU86" s="446" t="b">
        <f t="shared" si="142"/>
        <v>1</v>
      </c>
      <c r="DV86" s="446" t="b">
        <f t="shared" si="142"/>
        <v>1</v>
      </c>
      <c r="DW86" s="446" t="b">
        <f t="shared" si="142"/>
        <v>1</v>
      </c>
      <c r="DX86" s="446" t="b">
        <f t="shared" si="142"/>
        <v>1</v>
      </c>
      <c r="DY86" s="446" t="b">
        <f t="shared" si="142"/>
        <v>1</v>
      </c>
      <c r="DZ86" s="446" t="b">
        <f t="shared" si="142"/>
        <v>1</v>
      </c>
      <c r="EA86" s="446" t="b">
        <f t="shared" si="142"/>
        <v>1</v>
      </c>
      <c r="EB86" s="446" t="b">
        <f t="shared" si="142"/>
        <v>1</v>
      </c>
      <c r="EC86" s="275">
        <f t="shared" si="146"/>
        <v>1722260.8360448978</v>
      </c>
      <c r="ED86" s="223">
        <f>BR86-F86</f>
        <v>0</v>
      </c>
      <c r="EE86" s="223">
        <f>BS86-G86</f>
        <v>0</v>
      </c>
      <c r="EF86" s="223">
        <f>BT86-H86</f>
        <v>0</v>
      </c>
      <c r="EG86" s="223">
        <f>BU86-I86</f>
        <v>1878.4808578292141</v>
      </c>
      <c r="EH86" s="223">
        <f>BV86-J86</f>
        <v>127492.81277737475</v>
      </c>
      <c r="EI86" s="223">
        <f>BW86-K86</f>
        <v>134674.85080104123</v>
      </c>
      <c r="EJ86" s="223">
        <f>BX86-L86</f>
        <v>155358.23658957565</v>
      </c>
      <c r="EK86" s="223">
        <f>BY86-M86</f>
        <v>164410.46567011939</v>
      </c>
      <c r="EL86" s="223">
        <f>BZ86-N86</f>
        <v>173980.9564597049</v>
      </c>
      <c r="EM86" s="223">
        <f>CA86-O86</f>
        <v>184098.59878260782</v>
      </c>
      <c r="EN86" s="223">
        <f>CB86-P86</f>
        <v>194793.82513262751</v>
      </c>
      <c r="EO86" s="223">
        <f>CC86-Q86</f>
        <v>206098.68701872183</v>
      </c>
      <c r="EP86" s="223">
        <f>CD86-R86</f>
        <v>218046.93452864187</v>
      </c>
      <c r="EQ86" s="223">
        <f>CE86-S86</f>
        <v>230674.09919004282</v>
      </c>
      <c r="ER86" s="223">
        <f>CF86-T86</f>
        <v>244017.58020388871</v>
      </c>
      <c r="ES86" s="223">
        <f>CG86-U86</f>
        <v>258116.73411927698</v>
      </c>
      <c r="ET86" s="223">
        <f>CH86-V86</f>
        <v>273012.96801190195</v>
      </c>
      <c r="EU86" s="223">
        <f>CI86-W86</f>
        <v>288749.83622018481</v>
      </c>
      <c r="EV86" s="223">
        <f>CJ86-X86</f>
        <v>305373.1406833902</v>
      </c>
      <c r="EW86" s="223">
        <f>CK86-Y86</f>
        <v>322931.03491471289</v>
      </c>
      <c r="EX86" s="223">
        <f>CL86-Z86</f>
        <v>341474.13162916806</v>
      </c>
      <c r="EY86" s="275">
        <f t="shared" si="147"/>
        <v>224900.28780782246</v>
      </c>
    </row>
    <row r="87" spans="1:155" x14ac:dyDescent="0.35">
      <c r="C87" s="241">
        <v>53</v>
      </c>
      <c r="D87" s="242" t="s">
        <v>58</v>
      </c>
      <c r="E87" s="243" t="s">
        <v>59</v>
      </c>
      <c r="F87" s="384">
        <f>'[10]Данные для переноса'!F88</f>
        <v>1112.3999999999999</v>
      </c>
      <c r="G87" s="384">
        <f>'[10]Данные для переноса'!G88</f>
        <v>1166.2</v>
      </c>
      <c r="H87" s="384">
        <f>'[10]Данные для переноса'!H88</f>
        <v>1250.5</v>
      </c>
      <c r="I87" s="384">
        <f>'[10]Данные для переноса'!I88</f>
        <v>1284.0694155324256</v>
      </c>
      <c r="J87" s="384">
        <f>'[10]Данные для переноса'!J88</f>
        <v>1307.0774219375498</v>
      </c>
      <c r="K87" s="384">
        <f>'[10]Данные для переноса'!K88</f>
        <v>1320.3626901521216</v>
      </c>
      <c r="L87" s="384">
        <f>'[10]Данные для переноса'!L88</f>
        <v>1320.0658126501198</v>
      </c>
      <c r="M87" s="384">
        <f>'[10]Данные для переноса'!M88</f>
        <v>1319.4349479583664</v>
      </c>
      <c r="N87" s="384">
        <f>'[10]Данные для переноса'!N88</f>
        <v>1319.4349479583664</v>
      </c>
      <c r="O87" s="384">
        <f>'[10]Данные для переноса'!O88</f>
        <v>1319.4349479583664</v>
      </c>
      <c r="P87" s="384">
        <f>'[10]Данные для переноса'!P88</f>
        <v>1319.4349479583664</v>
      </c>
      <c r="Q87" s="384">
        <f>'[10]Данные для переноса'!Q88</f>
        <v>1319.4349479583664</v>
      </c>
      <c r="R87" s="384">
        <f>'[10]Данные для переноса'!R88</f>
        <v>1319.4349479583664</v>
      </c>
      <c r="S87" s="384">
        <f>'[10]Данные для переноса'!S88</f>
        <v>1319.4349479583664</v>
      </c>
      <c r="T87" s="384">
        <f>'[10]Данные для переноса'!T88</f>
        <v>1319.4349479583664</v>
      </c>
      <c r="U87" s="384">
        <f>'[10]Данные для переноса'!U88</f>
        <v>1319.4349479583664</v>
      </c>
      <c r="V87" s="384">
        <f>'[10]Данные для переноса'!V88</f>
        <v>1319.4349479583664</v>
      </c>
      <c r="W87" s="384">
        <f>'[10]Данные для переноса'!W88</f>
        <v>1319.4349479583664</v>
      </c>
      <c r="X87" s="384">
        <f>'[10]Данные для переноса'!X88</f>
        <v>1319.4349479583664</v>
      </c>
      <c r="Y87" s="384">
        <f>'[10]Данные для переноса'!Y88</f>
        <v>1319.4349479583664</v>
      </c>
      <c r="Z87" s="384">
        <f>'[10]Данные для переноса'!Z88</f>
        <v>1319.4349479583664</v>
      </c>
      <c r="AA87" s="447">
        <v>1112.3999999999999</v>
      </c>
      <c r="AB87" s="447">
        <v>1166.2</v>
      </c>
      <c r="AC87" s="447">
        <v>1250.5</v>
      </c>
      <c r="AD87" s="447">
        <v>1284.0694155324256</v>
      </c>
      <c r="AE87" s="447">
        <v>1307.0774219375498</v>
      </c>
      <c r="AF87" s="447">
        <v>1320.3626901521216</v>
      </c>
      <c r="AG87" s="447">
        <v>1320.0658126501198</v>
      </c>
      <c r="AH87" s="447">
        <v>1319.4349479583664</v>
      </c>
      <c r="AI87" s="447">
        <v>1319.4349479583664</v>
      </c>
      <c r="AJ87" s="447">
        <v>1319.4349479583664</v>
      </c>
      <c r="AK87" s="447">
        <v>1319.4349479583664</v>
      </c>
      <c r="AL87" s="447">
        <v>1319.4349479583664</v>
      </c>
      <c r="AM87" s="447">
        <v>1319.4349479583664</v>
      </c>
      <c r="AN87" s="447">
        <v>1319.4349479583664</v>
      </c>
      <c r="AO87" s="447">
        <v>1319.4349479583664</v>
      </c>
      <c r="AP87" s="447">
        <v>1319.4349479583664</v>
      </c>
      <c r="AQ87" s="447">
        <v>1319.4349479583664</v>
      </c>
      <c r="AR87" s="447">
        <v>1319.4349479583664</v>
      </c>
      <c r="AS87" s="447">
        <v>1319.4349479583664</v>
      </c>
      <c r="AT87" s="447">
        <v>1319.4349479583664</v>
      </c>
      <c r="AU87" s="447">
        <v>1319.4349479583664</v>
      </c>
      <c r="AV87" s="448" t="b">
        <f t="shared" si="140"/>
        <v>1</v>
      </c>
      <c r="AW87" s="448" t="b">
        <f t="shared" si="140"/>
        <v>1</v>
      </c>
      <c r="AX87" s="448" t="b">
        <f t="shared" si="140"/>
        <v>1</v>
      </c>
      <c r="AY87" s="448" t="b">
        <f t="shared" si="140"/>
        <v>1</v>
      </c>
      <c r="AZ87" s="448" t="b">
        <f t="shared" si="140"/>
        <v>1</v>
      </c>
      <c r="BA87" s="448" t="b">
        <f t="shared" si="140"/>
        <v>1</v>
      </c>
      <c r="BB87" s="448" t="b">
        <f t="shared" si="140"/>
        <v>1</v>
      </c>
      <c r="BC87" s="448" t="b">
        <f t="shared" si="140"/>
        <v>1</v>
      </c>
      <c r="BD87" s="448" t="b">
        <f t="shared" si="135"/>
        <v>1</v>
      </c>
      <c r="BE87" s="448" t="b">
        <f t="shared" si="135"/>
        <v>1</v>
      </c>
      <c r="BF87" s="448" t="b">
        <f t="shared" si="135"/>
        <v>1</v>
      </c>
      <c r="BG87" s="448" t="b">
        <f t="shared" si="135"/>
        <v>1</v>
      </c>
      <c r="BH87" s="448" t="b">
        <f t="shared" si="135"/>
        <v>1</v>
      </c>
      <c r="BI87" s="448" t="b">
        <f t="shared" si="135"/>
        <v>1</v>
      </c>
      <c r="BJ87" s="448" t="b">
        <f t="shared" si="141"/>
        <v>1</v>
      </c>
      <c r="BK87" s="448" t="b">
        <f t="shared" si="141"/>
        <v>1</v>
      </c>
      <c r="BL87" s="448" t="b">
        <f t="shared" si="141"/>
        <v>1</v>
      </c>
      <c r="BM87" s="448" t="b">
        <f t="shared" si="141"/>
        <v>1</v>
      </c>
      <c r="BN87" s="448" t="b">
        <f t="shared" si="141"/>
        <v>1</v>
      </c>
      <c r="BO87" s="448" t="b">
        <f t="shared" si="141"/>
        <v>1</v>
      </c>
      <c r="BP87" s="448" t="b">
        <f t="shared" si="141"/>
        <v>1</v>
      </c>
      <c r="BQ87" s="275">
        <f t="shared" si="145"/>
        <v>1318.7997174209952</v>
      </c>
      <c r="BR87" s="276">
        <f>'[10]Данные для переноса'!AB88</f>
        <v>1112.3999999999999</v>
      </c>
      <c r="BS87" s="276">
        <f>'[10]Данные для переноса'!AC88</f>
        <v>1166.2</v>
      </c>
      <c r="BT87" s="276">
        <f>'[10]Данные для переноса'!AD88</f>
        <v>1250.5</v>
      </c>
      <c r="BU87" s="276">
        <f>'[10]Данные для переноса'!AE88</f>
        <v>1291.0460368294634</v>
      </c>
      <c r="BV87" s="276">
        <f>'[10]Данные для переноса'!AF88</f>
        <v>1328.0443955164128</v>
      </c>
      <c r="BW87" s="276">
        <f>'[10]Данные для переноса'!AG88</f>
        <v>1358.103242594075</v>
      </c>
      <c r="BX87" s="276">
        <f>'[10]Данные для переноса'!AH88</f>
        <v>1372.6873498799036</v>
      </c>
      <c r="BY87" s="276">
        <f>'[10]Данные для переноса'!AI88</f>
        <v>1380.6659327461966</v>
      </c>
      <c r="BZ87" s="276">
        <f>'[10]Данные для переноса'!AJ88</f>
        <v>1385.2675340272215</v>
      </c>
      <c r="CA87" s="276">
        <f>'[10]Данные для переноса'!AK88</f>
        <v>1389.6835868694955</v>
      </c>
      <c r="CB87" s="276">
        <f>'[10]Данные для переноса'!AL88</f>
        <v>1394.1738590872696</v>
      </c>
      <c r="CC87" s="276">
        <f>'[10]Данные для переноса'!AM88</f>
        <v>1398.7383506805443</v>
      </c>
      <c r="CD87" s="276">
        <f>'[10]Данные для переноса'!AN88</f>
        <v>1403.3770616493191</v>
      </c>
      <c r="CE87" s="276">
        <f>'[10]Данные для переноса'!AO88</f>
        <v>1407.607566052842</v>
      </c>
      <c r="CF87" s="276">
        <f>'[10]Данные для переноса'!AP88</f>
        <v>1411.8380704563649</v>
      </c>
      <c r="CG87" s="276">
        <f>'[10]Данные для переноса'!AQ88</f>
        <v>1417.7385108086467</v>
      </c>
      <c r="CH87" s="276">
        <f>'[10]Данные для переноса'!AR88</f>
        <v>1422.4885508406724</v>
      </c>
      <c r="CI87" s="276">
        <f>'[10]Данные для переноса'!AS88</f>
        <v>1426.719055244195</v>
      </c>
      <c r="CJ87" s="276">
        <f>'[10]Данные для переноса'!AT88</f>
        <v>1431.506204963971</v>
      </c>
      <c r="CK87" s="276">
        <f>'[10]Данные для переноса'!AU88</f>
        <v>1435.5511609287428</v>
      </c>
      <c r="CL87" s="276">
        <f>'[10]Данные для переноса'!AV88</f>
        <v>1440.1898718975178</v>
      </c>
      <c r="CM87" s="447">
        <v>1112.3999999999999</v>
      </c>
      <c r="CN87" s="447">
        <v>1166.2</v>
      </c>
      <c r="CO87" s="447">
        <v>1250.5</v>
      </c>
      <c r="CP87" s="447">
        <v>1291.0460368294634</v>
      </c>
      <c r="CQ87" s="447">
        <v>1328.0443955164128</v>
      </c>
      <c r="CR87" s="447">
        <v>1358.103242594075</v>
      </c>
      <c r="CS87" s="447">
        <v>1372.6873498799036</v>
      </c>
      <c r="CT87" s="447">
        <v>1380.6659327461966</v>
      </c>
      <c r="CU87" s="447">
        <v>1385.2675340272215</v>
      </c>
      <c r="CV87" s="447">
        <v>1389.6835868694955</v>
      </c>
      <c r="CW87" s="447">
        <v>1394.1738590872696</v>
      </c>
      <c r="CX87" s="447">
        <v>1398.7383506805443</v>
      </c>
      <c r="CY87" s="447">
        <v>1403.3770616493191</v>
      </c>
      <c r="CZ87" s="447">
        <v>1407.607566052842</v>
      </c>
      <c r="DA87" s="447">
        <v>1411.8380704563649</v>
      </c>
      <c r="DB87" s="447">
        <v>1417.7385108086467</v>
      </c>
      <c r="DC87" s="447">
        <v>1422.4885508406724</v>
      </c>
      <c r="DD87" s="447">
        <v>1426.719055244195</v>
      </c>
      <c r="DE87" s="447">
        <v>1431.506204963971</v>
      </c>
      <c r="DF87" s="447">
        <v>1435.5511609287428</v>
      </c>
      <c r="DG87" s="447">
        <v>1440.1898718975178</v>
      </c>
      <c r="DH87" s="448" t="b">
        <f t="shared" si="134"/>
        <v>1</v>
      </c>
      <c r="DI87" s="448" t="b">
        <f t="shared" si="134"/>
        <v>1</v>
      </c>
      <c r="DJ87" s="448" t="b">
        <f t="shared" si="134"/>
        <v>1</v>
      </c>
      <c r="DK87" s="448" t="b">
        <f t="shared" si="134"/>
        <v>1</v>
      </c>
      <c r="DL87" s="448" t="b">
        <f t="shared" si="134"/>
        <v>1</v>
      </c>
      <c r="DM87" s="448" t="b">
        <f t="shared" si="134"/>
        <v>1</v>
      </c>
      <c r="DN87" s="448" t="b">
        <f t="shared" si="134"/>
        <v>1</v>
      </c>
      <c r="DO87" s="448" t="b">
        <f t="shared" si="134"/>
        <v>1</v>
      </c>
      <c r="DP87" s="448" t="b">
        <f t="shared" si="134"/>
        <v>1</v>
      </c>
      <c r="DQ87" s="448" t="b">
        <f t="shared" si="134"/>
        <v>1</v>
      </c>
      <c r="DR87" s="448" t="b">
        <f t="shared" si="134"/>
        <v>1</v>
      </c>
      <c r="DS87" s="448" t="b">
        <f t="shared" si="143"/>
        <v>1</v>
      </c>
      <c r="DT87" s="448" t="b">
        <f t="shared" si="144"/>
        <v>1</v>
      </c>
      <c r="DU87" s="448" t="b">
        <f t="shared" si="142"/>
        <v>1</v>
      </c>
      <c r="DV87" s="448" t="b">
        <f t="shared" si="142"/>
        <v>1</v>
      </c>
      <c r="DW87" s="448" t="b">
        <f t="shared" si="142"/>
        <v>1</v>
      </c>
      <c r="DX87" s="448" t="b">
        <f t="shared" si="142"/>
        <v>1</v>
      </c>
      <c r="DY87" s="448" t="b">
        <f t="shared" si="142"/>
        <v>1</v>
      </c>
      <c r="DZ87" s="448" t="b">
        <f t="shared" si="142"/>
        <v>1</v>
      </c>
      <c r="EA87" s="448" t="b">
        <f t="shared" si="142"/>
        <v>1</v>
      </c>
      <c r="EB87" s="448" t="b">
        <f t="shared" si="142"/>
        <v>1</v>
      </c>
      <c r="EC87" s="275">
        <f t="shared" si="146"/>
        <v>1400.2576649554933</v>
      </c>
      <c r="ED87" s="223">
        <f>BR87-F87</f>
        <v>0</v>
      </c>
      <c r="EE87" s="223">
        <f>BS87-G87</f>
        <v>0</v>
      </c>
      <c r="EF87" s="223">
        <f>BT87-H87</f>
        <v>0</v>
      </c>
      <c r="EG87" s="223">
        <f>BU87-I87</f>
        <v>6.9766212970378092</v>
      </c>
      <c r="EH87" s="223">
        <f>BV87-J87</f>
        <v>20.966973578862962</v>
      </c>
      <c r="EI87" s="223">
        <f>BW87-K87</f>
        <v>37.740552441953469</v>
      </c>
      <c r="EJ87" s="223">
        <f>BX87-L87</f>
        <v>52.621537229783826</v>
      </c>
      <c r="EK87" s="223">
        <f>BY87-M87</f>
        <v>61.230984787830266</v>
      </c>
      <c r="EL87" s="223">
        <f>BZ87-N87</f>
        <v>65.832586068855107</v>
      </c>
      <c r="EM87" s="223">
        <f>CA87-O87</f>
        <v>70.248638911129092</v>
      </c>
      <c r="EN87" s="223">
        <f>CB87-P87</f>
        <v>74.738911128903283</v>
      </c>
      <c r="EO87" s="223">
        <f>CC87-Q87</f>
        <v>79.303402722177907</v>
      </c>
      <c r="EP87" s="223">
        <f>CD87-R87</f>
        <v>83.942113690952738</v>
      </c>
      <c r="EQ87" s="223">
        <f>CE87-S87</f>
        <v>88.172618094475638</v>
      </c>
      <c r="ER87" s="223">
        <f>CF87-T87</f>
        <v>92.403122497998538</v>
      </c>
      <c r="ES87" s="223">
        <f>CG87-U87</f>
        <v>98.303562850280287</v>
      </c>
      <c r="ET87" s="223">
        <f>CH87-V87</f>
        <v>103.053602882306</v>
      </c>
      <c r="EU87" s="223">
        <f>CI87-W87</f>
        <v>107.28410728582867</v>
      </c>
      <c r="EV87" s="223">
        <f>CJ87-X87</f>
        <v>112.07125700560459</v>
      </c>
      <c r="EW87" s="223">
        <f>CK87-Y87</f>
        <v>116.11621297037641</v>
      </c>
      <c r="EX87" s="223">
        <f>CL87-Z87</f>
        <v>120.75492393915147</v>
      </c>
      <c r="EY87" s="275">
        <f t="shared" si="147"/>
        <v>81.457947534498246</v>
      </c>
    </row>
    <row r="88" spans="1:155" x14ac:dyDescent="0.35">
      <c r="C88" s="241">
        <v>54</v>
      </c>
      <c r="D88" s="277" t="s">
        <v>213</v>
      </c>
      <c r="E88" s="243" t="s">
        <v>59</v>
      </c>
      <c r="F88" s="384">
        <f>'[10]Данные для переноса'!F89</f>
        <v>98.7</v>
      </c>
      <c r="G88" s="384">
        <f>'[10]Данные для переноса'!G89</f>
        <v>111.19999999999999</v>
      </c>
      <c r="H88" s="384">
        <f>'[10]Данные для переноса'!H89</f>
        <v>120.7</v>
      </c>
      <c r="I88" s="384">
        <f>'[10]Данные для переноса'!I89</f>
        <v>130.69027500866028</v>
      </c>
      <c r="J88" s="384">
        <f>'[10]Данные для переноса'!J89</f>
        <v>134.36319637281949</v>
      </c>
      <c r="K88" s="384">
        <f>'[10]Данные для переноса'!K89</f>
        <v>138.63309295182151</v>
      </c>
      <c r="L88" s="384">
        <f>'[10]Данные для переноса'!L89</f>
        <v>144.17841666989437</v>
      </c>
      <c r="M88" s="384">
        <f>'[10]Данные для переноса'!M89</f>
        <v>149.94555333669012</v>
      </c>
      <c r="N88" s="384">
        <f>'[10]Данные для переноса'!N89</f>
        <v>155.94337547015778</v>
      </c>
      <c r="O88" s="384">
        <f>'[10]Данные для переноса'!O89</f>
        <v>162.18111048896407</v>
      </c>
      <c r="P88" s="384">
        <f>'[10]Данные для переноса'!P89</f>
        <v>168.66835490852264</v>
      </c>
      <c r="Q88" s="384">
        <f>'[10]Данные для переноса'!Q89</f>
        <v>175.41508910486354</v>
      </c>
      <c r="R88" s="384">
        <f>'[10]Данные для переноса'!R89</f>
        <v>182.43169266905809</v>
      </c>
      <c r="S88" s="384">
        <f>'[10]Данные для переноса'!S89</f>
        <v>189.72896037582041</v>
      </c>
      <c r="T88" s="384">
        <f>'[10]Данные для переноса'!T89</f>
        <v>197.31811879085322</v>
      </c>
      <c r="U88" s="384">
        <f>'[10]Данные для переноса'!U89</f>
        <v>205.21084354248737</v>
      </c>
      <c r="V88" s="384">
        <f>'[10]Данные для переноса'!V89</f>
        <v>213.41927728418688</v>
      </c>
      <c r="W88" s="384">
        <f>'[10]Данные для переноса'!W89</f>
        <v>221.95604837555439</v>
      </c>
      <c r="X88" s="384">
        <f>'[10]Данные для переноса'!X89</f>
        <v>230.83429031057653</v>
      </c>
      <c r="Y88" s="384">
        <f>'[10]Данные для переноса'!Y89</f>
        <v>240.06766192299963</v>
      </c>
      <c r="Z88" s="384">
        <f>'[10]Данные для переноса'!Z89</f>
        <v>249.67036839991962</v>
      </c>
      <c r="AA88" s="447">
        <v>98.7</v>
      </c>
      <c r="AB88" s="447">
        <v>111.19999999999999</v>
      </c>
      <c r="AC88" s="447">
        <v>120.7</v>
      </c>
      <c r="AD88" s="447">
        <v>130.69027500866028</v>
      </c>
      <c r="AE88" s="447">
        <v>134.36319637281949</v>
      </c>
      <c r="AF88" s="447">
        <v>138.63309295182151</v>
      </c>
      <c r="AG88" s="447">
        <v>144.17841666989437</v>
      </c>
      <c r="AH88" s="447">
        <v>149.94555333669012</v>
      </c>
      <c r="AI88" s="447">
        <v>155.94337547015778</v>
      </c>
      <c r="AJ88" s="447">
        <v>162.18111048896407</v>
      </c>
      <c r="AK88" s="447">
        <v>168.66835490852264</v>
      </c>
      <c r="AL88" s="447">
        <v>175.41508910486354</v>
      </c>
      <c r="AM88" s="447">
        <v>182.43169266905809</v>
      </c>
      <c r="AN88" s="447">
        <v>189.72896037582041</v>
      </c>
      <c r="AO88" s="447">
        <v>197.31811879085322</v>
      </c>
      <c r="AP88" s="447">
        <v>205.21084354248737</v>
      </c>
      <c r="AQ88" s="447">
        <v>213.41927728418688</v>
      </c>
      <c r="AR88" s="447">
        <v>221.95604837555439</v>
      </c>
      <c r="AS88" s="447">
        <v>230.83429031057653</v>
      </c>
      <c r="AT88" s="447">
        <v>240.06766192299963</v>
      </c>
      <c r="AU88" s="447">
        <v>249.67036839991962</v>
      </c>
      <c r="AV88" s="448" t="b">
        <f t="shared" si="140"/>
        <v>1</v>
      </c>
      <c r="AW88" s="448" t="b">
        <f t="shared" si="140"/>
        <v>1</v>
      </c>
      <c r="AX88" s="448" t="b">
        <f t="shared" si="140"/>
        <v>1</v>
      </c>
      <c r="AY88" s="448" t="b">
        <f t="shared" si="140"/>
        <v>1</v>
      </c>
      <c r="AZ88" s="448" t="b">
        <f t="shared" si="140"/>
        <v>1</v>
      </c>
      <c r="BA88" s="448" t="b">
        <f t="shared" si="140"/>
        <v>1</v>
      </c>
      <c r="BB88" s="448" t="b">
        <f t="shared" si="140"/>
        <v>1</v>
      </c>
      <c r="BC88" s="448" t="b">
        <f t="shared" si="140"/>
        <v>1</v>
      </c>
      <c r="BD88" s="448" t="b">
        <f t="shared" si="135"/>
        <v>1</v>
      </c>
      <c r="BE88" s="448" t="b">
        <f t="shared" si="135"/>
        <v>1</v>
      </c>
      <c r="BF88" s="448" t="b">
        <f t="shared" si="135"/>
        <v>1</v>
      </c>
      <c r="BG88" s="448" t="b">
        <f t="shared" si="135"/>
        <v>1</v>
      </c>
      <c r="BH88" s="448" t="b">
        <f t="shared" si="135"/>
        <v>1</v>
      </c>
      <c r="BI88" s="448" t="b">
        <f t="shared" si="135"/>
        <v>1</v>
      </c>
      <c r="BJ88" s="448" t="b">
        <f t="shared" si="141"/>
        <v>1</v>
      </c>
      <c r="BK88" s="448" t="b">
        <f t="shared" si="141"/>
        <v>1</v>
      </c>
      <c r="BL88" s="448" t="b">
        <f t="shared" si="141"/>
        <v>1</v>
      </c>
      <c r="BM88" s="448" t="b">
        <f t="shared" si="141"/>
        <v>1</v>
      </c>
      <c r="BN88" s="448" t="b">
        <f t="shared" si="141"/>
        <v>1</v>
      </c>
      <c r="BO88" s="448" t="b">
        <f t="shared" si="141"/>
        <v>1</v>
      </c>
      <c r="BP88" s="448" t="b">
        <f t="shared" si="141"/>
        <v>1</v>
      </c>
      <c r="BQ88" s="275">
        <f t="shared" si="145"/>
        <v>185.8803206455994</v>
      </c>
      <c r="BR88" s="276">
        <f>'[10]Данные для переноса'!AB89</f>
        <v>98.7</v>
      </c>
      <c r="BS88" s="276">
        <f>'[10]Данные для переноса'!AC89</f>
        <v>111.19999999999999</v>
      </c>
      <c r="BT88" s="276">
        <f>'[10]Данные для переноса'!AD89</f>
        <v>120.7</v>
      </c>
      <c r="BU88" s="276">
        <f>'[10]Данные для переноса'!AE89</f>
        <v>131.040691737928</v>
      </c>
      <c r="BV88" s="276">
        <f>'[10]Данные для переноса'!AF89</f>
        <v>157.23131420098676</v>
      </c>
      <c r="BW88" s="276">
        <f>'[10]Данные для переноса'!AG89</f>
        <v>161.86034765497087</v>
      </c>
      <c r="BX88" s="276">
        <f>'[10]Данные для переноса'!AH89</f>
        <v>169.94235927538168</v>
      </c>
      <c r="BY88" s="276">
        <f>'[10]Данные для переноса'!AI89</f>
        <v>176.16202005959133</v>
      </c>
      <c r="BZ88" s="276">
        <f>'[10]Данные для переноса'!AJ89</f>
        <v>182.61890660343329</v>
      </c>
      <c r="CA88" s="276">
        <f>'[10]Данные для переноса'!AK89</f>
        <v>189.32227672385807</v>
      </c>
      <c r="CB88" s="276">
        <f>'[10]Данные для переноса'!AL89</f>
        <v>196.28175392622555</v>
      </c>
      <c r="CC88" s="276">
        <f>'[10]Данные для переноса'!AM89</f>
        <v>203.50734193935602</v>
      </c>
      <c r="CD88" s="276">
        <f>'[10]Данные для переноса'!AN89</f>
        <v>211.00943983013335</v>
      </c>
      <c r="CE88" s="276">
        <f>'[10]Данные для переноса'!AO89</f>
        <v>218.79885772080581</v>
      </c>
      <c r="CF88" s="276">
        <f>'[10]Данные для переноса'!AP89</f>
        <v>226.88683313305458</v>
      </c>
      <c r="CG88" s="276">
        <f>'[10]Данные для переноса'!AQ89</f>
        <v>235.2850479838616</v>
      </c>
      <c r="CH88" s="276">
        <f>'[10]Данные для переноса'!AR89</f>
        <v>244.00564625921058</v>
      </c>
      <c r="CI88" s="276">
        <f>'[10]Данные для переноса'!AS89</f>
        <v>253.06125239269335</v>
      </c>
      <c r="CJ88" s="276">
        <f>'[10]Данные для переноса'!AT89</f>
        <v>262.4649903771778</v>
      </c>
      <c r="CK88" s="276">
        <f>'[10]Данные для переноса'!AU89</f>
        <v>272.23050363881714</v>
      </c>
      <c r="CL88" s="276">
        <f>'[10]Данные для переноса'!AV89</f>
        <v>282.37197570385314</v>
      </c>
      <c r="CM88" s="447">
        <v>98.7</v>
      </c>
      <c r="CN88" s="447">
        <v>111.19999999999999</v>
      </c>
      <c r="CO88" s="447">
        <v>120.7</v>
      </c>
      <c r="CP88" s="447">
        <v>131.040691737928</v>
      </c>
      <c r="CQ88" s="447">
        <v>157.23131420098676</v>
      </c>
      <c r="CR88" s="447">
        <v>161.86034765497087</v>
      </c>
      <c r="CS88" s="447">
        <v>169.94235927538168</v>
      </c>
      <c r="CT88" s="447">
        <v>176.16202005959133</v>
      </c>
      <c r="CU88" s="447">
        <v>182.61890660343329</v>
      </c>
      <c r="CV88" s="447">
        <v>189.32227672385807</v>
      </c>
      <c r="CW88" s="447">
        <v>196.28175392622555</v>
      </c>
      <c r="CX88" s="447">
        <v>203.50734193935602</v>
      </c>
      <c r="CY88" s="447">
        <v>211.00943983013335</v>
      </c>
      <c r="CZ88" s="447">
        <v>218.79885772080581</v>
      </c>
      <c r="DA88" s="447">
        <v>226.88683313305458</v>
      </c>
      <c r="DB88" s="447">
        <v>235.2850479838616</v>
      </c>
      <c r="DC88" s="447">
        <v>244.00564625921058</v>
      </c>
      <c r="DD88" s="447">
        <v>253.06125239269335</v>
      </c>
      <c r="DE88" s="447">
        <v>262.4649903771778</v>
      </c>
      <c r="DF88" s="447">
        <v>272.23050363881714</v>
      </c>
      <c r="DG88" s="447">
        <v>282.37197570385314</v>
      </c>
      <c r="DH88" s="448" t="b">
        <f t="shared" si="134"/>
        <v>1</v>
      </c>
      <c r="DI88" s="448" t="b">
        <f t="shared" si="134"/>
        <v>1</v>
      </c>
      <c r="DJ88" s="448" t="b">
        <f t="shared" si="134"/>
        <v>1</v>
      </c>
      <c r="DK88" s="448" t="b">
        <f t="shared" si="134"/>
        <v>1</v>
      </c>
      <c r="DL88" s="448" t="b">
        <f t="shared" si="134"/>
        <v>1</v>
      </c>
      <c r="DM88" s="448" t="b">
        <f t="shared" si="134"/>
        <v>1</v>
      </c>
      <c r="DN88" s="448" t="b">
        <f t="shared" si="134"/>
        <v>1</v>
      </c>
      <c r="DO88" s="448" t="b">
        <f t="shared" si="134"/>
        <v>1</v>
      </c>
      <c r="DP88" s="448" t="b">
        <f t="shared" si="134"/>
        <v>1</v>
      </c>
      <c r="DQ88" s="448" t="b">
        <f t="shared" si="134"/>
        <v>1</v>
      </c>
      <c r="DR88" s="448" t="b">
        <f t="shared" si="134"/>
        <v>1</v>
      </c>
      <c r="DS88" s="448" t="b">
        <f t="shared" si="143"/>
        <v>1</v>
      </c>
      <c r="DT88" s="448" t="b">
        <f t="shared" si="144"/>
        <v>1</v>
      </c>
      <c r="DU88" s="448" t="b">
        <f t="shared" si="142"/>
        <v>1</v>
      </c>
      <c r="DV88" s="448" t="b">
        <f t="shared" si="142"/>
        <v>1</v>
      </c>
      <c r="DW88" s="448" t="b">
        <f t="shared" si="142"/>
        <v>1</v>
      </c>
      <c r="DX88" s="448" t="b">
        <f t="shared" si="142"/>
        <v>1</v>
      </c>
      <c r="DY88" s="448" t="b">
        <f t="shared" si="142"/>
        <v>1</v>
      </c>
      <c r="DZ88" s="448" t="b">
        <f t="shared" si="142"/>
        <v>1</v>
      </c>
      <c r="EA88" s="448" t="b">
        <f t="shared" si="142"/>
        <v>1</v>
      </c>
      <c r="EB88" s="448" t="b">
        <f t="shared" si="142"/>
        <v>1</v>
      </c>
      <c r="EC88" s="275">
        <f t="shared" si="146"/>
        <v>214.29652161314181</v>
      </c>
      <c r="ED88" s="223">
        <f>BR88-F88</f>
        <v>0</v>
      </c>
      <c r="EE88" s="223">
        <f>BS88-G88</f>
        <v>0</v>
      </c>
      <c r="EF88" s="223">
        <f>BT88-H88</f>
        <v>0</v>
      </c>
      <c r="EG88" s="223">
        <f>BU88-I88</f>
        <v>0.35041672926772094</v>
      </c>
      <c r="EH88" s="223">
        <f>BV88-J88</f>
        <v>22.868117828167271</v>
      </c>
      <c r="EI88" s="223">
        <f>BW88-K88</f>
        <v>23.227254703149356</v>
      </c>
      <c r="EJ88" s="223">
        <f>BX88-L88</f>
        <v>25.763942605487301</v>
      </c>
      <c r="EK88" s="223">
        <f>BY88-M88</f>
        <v>26.216466722901203</v>
      </c>
      <c r="EL88" s="223">
        <f>BZ88-N88</f>
        <v>26.675531133275513</v>
      </c>
      <c r="EM88" s="223">
        <f>CA88-O88</f>
        <v>27.141166234894001</v>
      </c>
      <c r="EN88" s="223">
        <f>CB88-P88</f>
        <v>27.613399017702903</v>
      </c>
      <c r="EO88" s="223">
        <f>CC88-Q88</f>
        <v>28.092252834492484</v>
      </c>
      <c r="EP88" s="223">
        <f>CD88-R88</f>
        <v>28.577747161075251</v>
      </c>
      <c r="EQ88" s="223">
        <f>CE88-S88</f>
        <v>29.069897344985407</v>
      </c>
      <c r="ER88" s="223">
        <f>CF88-T88</f>
        <v>29.568714342201361</v>
      </c>
      <c r="ES88" s="223">
        <f>CG88-U88</f>
        <v>30.074204441374235</v>
      </c>
      <c r="ET88" s="223">
        <f>CH88-V88</f>
        <v>30.586368975023703</v>
      </c>
      <c r="EU88" s="223">
        <f>CI88-W88</f>
        <v>31.105204017138959</v>
      </c>
      <c r="EV88" s="223">
        <f>CJ88-X88</f>
        <v>31.630700066601264</v>
      </c>
      <c r="EW88" s="223">
        <f>CK88-Y88</f>
        <v>32.162841715817507</v>
      </c>
      <c r="EX88" s="223">
        <f>CL88-Z88</f>
        <v>32.701607303933514</v>
      </c>
      <c r="EY88" s="275">
        <f t="shared" si="147"/>
        <v>28.416200967542423</v>
      </c>
    </row>
    <row r="89" spans="1:155" x14ac:dyDescent="0.35">
      <c r="C89" s="233"/>
      <c r="D89" s="234" t="s">
        <v>60</v>
      </c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  <c r="AA89" s="449"/>
      <c r="AB89" s="449"/>
      <c r="AC89" s="449"/>
      <c r="AD89" s="449"/>
      <c r="AE89" s="449"/>
      <c r="AF89" s="449"/>
      <c r="AG89" s="449"/>
      <c r="AH89" s="449"/>
      <c r="AI89" s="449"/>
      <c r="AJ89" s="449"/>
      <c r="AK89" s="449"/>
      <c r="AL89" s="449"/>
      <c r="AM89" s="449"/>
      <c r="AN89" s="449"/>
      <c r="AO89" s="449"/>
      <c r="AP89" s="449"/>
      <c r="AQ89" s="449"/>
      <c r="AR89" s="449"/>
      <c r="AS89" s="449"/>
      <c r="AT89" s="449"/>
      <c r="AU89" s="449"/>
      <c r="AV89" s="450" t="b">
        <f t="shared" si="140"/>
        <v>1</v>
      </c>
      <c r="AW89" s="450" t="b">
        <f t="shared" si="140"/>
        <v>1</v>
      </c>
      <c r="AX89" s="450" t="b">
        <f t="shared" si="140"/>
        <v>1</v>
      </c>
      <c r="AY89" s="450" t="b">
        <f t="shared" si="140"/>
        <v>1</v>
      </c>
      <c r="AZ89" s="450" t="b">
        <f t="shared" si="140"/>
        <v>1</v>
      </c>
      <c r="BA89" s="450" t="b">
        <f t="shared" si="140"/>
        <v>1</v>
      </c>
      <c r="BB89" s="450" t="b">
        <f t="shared" si="140"/>
        <v>1</v>
      </c>
      <c r="BC89" s="450" t="b">
        <f t="shared" si="140"/>
        <v>1</v>
      </c>
      <c r="BD89" s="450" t="b">
        <f t="shared" si="135"/>
        <v>1</v>
      </c>
      <c r="BE89" s="450" t="b">
        <f t="shared" si="135"/>
        <v>1</v>
      </c>
      <c r="BF89" s="450" t="b">
        <f t="shared" si="135"/>
        <v>1</v>
      </c>
      <c r="BG89" s="450" t="b">
        <f t="shared" si="135"/>
        <v>1</v>
      </c>
      <c r="BH89" s="450" t="b">
        <f t="shared" si="135"/>
        <v>1</v>
      </c>
      <c r="BI89" s="450" t="b">
        <f t="shared" si="135"/>
        <v>1</v>
      </c>
      <c r="BJ89" s="450" t="b">
        <f t="shared" si="141"/>
        <v>1</v>
      </c>
      <c r="BK89" s="450" t="b">
        <f t="shared" si="141"/>
        <v>1</v>
      </c>
      <c r="BL89" s="450" t="b">
        <f t="shared" si="141"/>
        <v>1</v>
      </c>
      <c r="BM89" s="450" t="b">
        <f t="shared" si="141"/>
        <v>1</v>
      </c>
      <c r="BN89" s="450" t="b">
        <f t="shared" si="141"/>
        <v>1</v>
      </c>
      <c r="BO89" s="450" t="b">
        <f t="shared" si="141"/>
        <v>1</v>
      </c>
      <c r="BP89" s="450" t="b">
        <f t="shared" si="141"/>
        <v>1</v>
      </c>
      <c r="BQ89" s="217"/>
      <c r="BR89" s="216"/>
      <c r="BS89" s="216"/>
      <c r="BT89" s="216"/>
      <c r="BU89" s="216"/>
      <c r="BV89" s="216"/>
      <c r="BW89" s="216"/>
      <c r="BX89" s="216"/>
      <c r="BY89" s="216"/>
      <c r="BZ89" s="216"/>
      <c r="CA89" s="216"/>
      <c r="CB89" s="216"/>
      <c r="CC89" s="216"/>
      <c r="CD89" s="216"/>
      <c r="CE89" s="216"/>
      <c r="CF89" s="216"/>
      <c r="CG89" s="216"/>
      <c r="CH89" s="216"/>
      <c r="CI89" s="216"/>
      <c r="CJ89" s="216"/>
      <c r="CK89" s="216"/>
      <c r="CL89" s="216"/>
      <c r="CM89" s="449"/>
      <c r="CN89" s="449"/>
      <c r="CO89" s="449"/>
      <c r="CP89" s="449"/>
      <c r="CQ89" s="449"/>
      <c r="CR89" s="449"/>
      <c r="CS89" s="449"/>
      <c r="CT89" s="449"/>
      <c r="CU89" s="449"/>
      <c r="CV89" s="449"/>
      <c r="CW89" s="449"/>
      <c r="CX89" s="449"/>
      <c r="CY89" s="449"/>
      <c r="CZ89" s="449"/>
      <c r="DA89" s="449"/>
      <c r="DB89" s="449"/>
      <c r="DC89" s="449"/>
      <c r="DD89" s="449"/>
      <c r="DE89" s="449"/>
      <c r="DF89" s="449"/>
      <c r="DG89" s="449"/>
      <c r="DH89" s="450" t="b">
        <f t="shared" si="134"/>
        <v>1</v>
      </c>
      <c r="DI89" s="450" t="b">
        <f t="shared" si="134"/>
        <v>1</v>
      </c>
      <c r="DJ89" s="450" t="b">
        <f t="shared" si="134"/>
        <v>1</v>
      </c>
      <c r="DK89" s="450" t="b">
        <f t="shared" si="134"/>
        <v>1</v>
      </c>
      <c r="DL89" s="450" t="b">
        <f t="shared" si="134"/>
        <v>1</v>
      </c>
      <c r="DM89" s="450" t="b">
        <f t="shared" si="134"/>
        <v>1</v>
      </c>
      <c r="DN89" s="450" t="b">
        <f t="shared" si="134"/>
        <v>1</v>
      </c>
      <c r="DO89" s="450" t="b">
        <f t="shared" si="134"/>
        <v>1</v>
      </c>
      <c r="DP89" s="450" t="b">
        <f t="shared" si="134"/>
        <v>1</v>
      </c>
      <c r="DQ89" s="450" t="b">
        <f t="shared" si="134"/>
        <v>1</v>
      </c>
      <c r="DR89" s="450" t="b">
        <f t="shared" si="134"/>
        <v>1</v>
      </c>
      <c r="DS89" s="450" t="b">
        <f t="shared" si="143"/>
        <v>1</v>
      </c>
      <c r="DT89" s="450" t="b">
        <f t="shared" si="144"/>
        <v>1</v>
      </c>
      <c r="DU89" s="450" t="b">
        <f t="shared" si="142"/>
        <v>1</v>
      </c>
      <c r="DV89" s="450" t="b">
        <f t="shared" si="142"/>
        <v>1</v>
      </c>
      <c r="DW89" s="450" t="b">
        <f t="shared" si="142"/>
        <v>1</v>
      </c>
      <c r="DX89" s="450" t="b">
        <f t="shared" si="142"/>
        <v>1</v>
      </c>
      <c r="DY89" s="450" t="b">
        <f t="shared" si="142"/>
        <v>1</v>
      </c>
      <c r="DZ89" s="450" t="b">
        <f t="shared" si="142"/>
        <v>1</v>
      </c>
      <c r="EA89" s="450" t="b">
        <f t="shared" si="142"/>
        <v>1</v>
      </c>
      <c r="EB89" s="450" t="b">
        <f t="shared" si="142"/>
        <v>1</v>
      </c>
      <c r="EC89" s="217"/>
      <c r="ED89" s="218"/>
      <c r="EE89" s="218"/>
      <c r="EF89" s="218"/>
      <c r="EG89" s="218"/>
      <c r="EH89" s="218"/>
      <c r="EI89" s="218"/>
      <c r="EJ89" s="218"/>
      <c r="EK89" s="218"/>
      <c r="EL89" s="218"/>
      <c r="EM89" s="218"/>
      <c r="EN89" s="218"/>
      <c r="EO89" s="218"/>
      <c r="EP89" s="218"/>
      <c r="EQ89" s="218"/>
      <c r="ER89" s="218"/>
      <c r="ES89" s="218"/>
      <c r="ET89" s="218"/>
      <c r="EU89" s="218"/>
      <c r="EV89" s="218"/>
      <c r="EW89" s="218"/>
      <c r="EX89" s="218"/>
      <c r="EY89" s="217"/>
    </row>
    <row r="90" spans="1:155" s="235" customFormat="1" ht="13" x14ac:dyDescent="0.3">
      <c r="A90" s="221"/>
      <c r="B90" s="222"/>
      <c r="C90" s="233"/>
      <c r="D90" s="234" t="s">
        <v>61</v>
      </c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428"/>
      <c r="AB90" s="428"/>
      <c r="AC90" s="428"/>
      <c r="AD90" s="428"/>
      <c r="AE90" s="428"/>
      <c r="AF90" s="428"/>
      <c r="AG90" s="428"/>
      <c r="AH90" s="428"/>
      <c r="AI90" s="428"/>
      <c r="AJ90" s="428"/>
      <c r="AK90" s="428"/>
      <c r="AL90" s="428"/>
      <c r="AM90" s="428"/>
      <c r="AN90" s="428"/>
      <c r="AO90" s="428"/>
      <c r="AP90" s="428"/>
      <c r="AQ90" s="428"/>
      <c r="AR90" s="428"/>
      <c r="AS90" s="428"/>
      <c r="AT90" s="428"/>
      <c r="AU90" s="428"/>
      <c r="AV90" s="424" t="b">
        <f t="shared" si="140"/>
        <v>1</v>
      </c>
      <c r="AW90" s="424" t="b">
        <f t="shared" si="140"/>
        <v>1</v>
      </c>
      <c r="AX90" s="424" t="b">
        <f t="shared" si="140"/>
        <v>1</v>
      </c>
      <c r="AY90" s="424" t="b">
        <f t="shared" si="140"/>
        <v>1</v>
      </c>
      <c r="AZ90" s="424" t="b">
        <f t="shared" si="140"/>
        <v>1</v>
      </c>
      <c r="BA90" s="424" t="b">
        <f t="shared" si="140"/>
        <v>1</v>
      </c>
      <c r="BB90" s="424" t="b">
        <f t="shared" si="140"/>
        <v>1</v>
      </c>
      <c r="BC90" s="424" t="b">
        <f t="shared" si="140"/>
        <v>1</v>
      </c>
      <c r="BD90" s="424" t="b">
        <f t="shared" si="135"/>
        <v>1</v>
      </c>
      <c r="BE90" s="424" t="b">
        <f t="shared" si="135"/>
        <v>1</v>
      </c>
      <c r="BF90" s="424" t="b">
        <f t="shared" si="135"/>
        <v>1</v>
      </c>
      <c r="BG90" s="424" t="b">
        <f t="shared" si="135"/>
        <v>1</v>
      </c>
      <c r="BH90" s="424" t="b">
        <f t="shared" si="135"/>
        <v>1</v>
      </c>
      <c r="BI90" s="424" t="b">
        <f t="shared" si="135"/>
        <v>1</v>
      </c>
      <c r="BJ90" s="424" t="b">
        <f t="shared" si="141"/>
        <v>1</v>
      </c>
      <c r="BK90" s="424" t="b">
        <f t="shared" si="141"/>
        <v>1</v>
      </c>
      <c r="BL90" s="424" t="b">
        <f t="shared" si="141"/>
        <v>1</v>
      </c>
      <c r="BM90" s="424" t="b">
        <f t="shared" si="141"/>
        <v>1</v>
      </c>
      <c r="BN90" s="424" t="b">
        <f t="shared" si="141"/>
        <v>1</v>
      </c>
      <c r="BO90" s="424" t="b">
        <f t="shared" si="141"/>
        <v>1</v>
      </c>
      <c r="BP90" s="424" t="b">
        <f t="shared" si="141"/>
        <v>1</v>
      </c>
      <c r="BQ90" s="217"/>
      <c r="BR90" s="216"/>
      <c r="BS90" s="216"/>
      <c r="BT90" s="216"/>
      <c r="BU90" s="216"/>
      <c r="BV90" s="216"/>
      <c r="BW90" s="216"/>
      <c r="BX90" s="216"/>
      <c r="BY90" s="216"/>
      <c r="BZ90" s="216"/>
      <c r="CA90" s="216"/>
      <c r="CB90" s="216"/>
      <c r="CC90" s="216"/>
      <c r="CD90" s="216"/>
      <c r="CE90" s="216"/>
      <c r="CF90" s="216"/>
      <c r="CG90" s="216"/>
      <c r="CH90" s="216"/>
      <c r="CI90" s="216"/>
      <c r="CJ90" s="216"/>
      <c r="CK90" s="216"/>
      <c r="CL90" s="216"/>
      <c r="CM90" s="428"/>
      <c r="CN90" s="428"/>
      <c r="CO90" s="428"/>
      <c r="CP90" s="428"/>
      <c r="CQ90" s="428"/>
      <c r="CR90" s="428"/>
      <c r="CS90" s="428"/>
      <c r="CT90" s="428"/>
      <c r="CU90" s="428"/>
      <c r="CV90" s="428"/>
      <c r="CW90" s="428"/>
      <c r="CX90" s="428"/>
      <c r="CY90" s="428"/>
      <c r="CZ90" s="428"/>
      <c r="DA90" s="428"/>
      <c r="DB90" s="428"/>
      <c r="DC90" s="428"/>
      <c r="DD90" s="428"/>
      <c r="DE90" s="428"/>
      <c r="DF90" s="428"/>
      <c r="DG90" s="428"/>
      <c r="DH90" s="424" t="b">
        <f t="shared" si="134"/>
        <v>1</v>
      </c>
      <c r="DI90" s="424" t="b">
        <f t="shared" si="134"/>
        <v>1</v>
      </c>
      <c r="DJ90" s="424" t="b">
        <f t="shared" si="134"/>
        <v>1</v>
      </c>
      <c r="DK90" s="424" t="b">
        <f t="shared" si="134"/>
        <v>1</v>
      </c>
      <c r="DL90" s="424" t="b">
        <f t="shared" si="134"/>
        <v>1</v>
      </c>
      <c r="DM90" s="424" t="b">
        <f t="shared" si="134"/>
        <v>1</v>
      </c>
      <c r="DN90" s="424" t="b">
        <f t="shared" si="134"/>
        <v>1</v>
      </c>
      <c r="DO90" s="424" t="b">
        <f t="shared" si="134"/>
        <v>1</v>
      </c>
      <c r="DP90" s="424" t="b">
        <f t="shared" si="134"/>
        <v>1</v>
      </c>
      <c r="DQ90" s="424" t="b">
        <f t="shared" si="134"/>
        <v>1</v>
      </c>
      <c r="DR90" s="424" t="b">
        <f t="shared" si="134"/>
        <v>1</v>
      </c>
      <c r="DS90" s="424" t="b">
        <f t="shared" si="143"/>
        <v>1</v>
      </c>
      <c r="DT90" s="424" t="b">
        <f t="shared" si="144"/>
        <v>1</v>
      </c>
      <c r="DU90" s="424" t="b">
        <f t="shared" si="142"/>
        <v>1</v>
      </c>
      <c r="DV90" s="424" t="b">
        <f t="shared" si="142"/>
        <v>1</v>
      </c>
      <c r="DW90" s="424" t="b">
        <f t="shared" si="142"/>
        <v>1</v>
      </c>
      <c r="DX90" s="424" t="b">
        <f t="shared" si="142"/>
        <v>1</v>
      </c>
      <c r="DY90" s="424" t="b">
        <f t="shared" si="142"/>
        <v>1</v>
      </c>
      <c r="DZ90" s="424" t="b">
        <f t="shared" si="142"/>
        <v>1</v>
      </c>
      <c r="EA90" s="424" t="b">
        <f t="shared" si="142"/>
        <v>1</v>
      </c>
      <c r="EB90" s="424" t="b">
        <f t="shared" si="142"/>
        <v>1</v>
      </c>
      <c r="EC90" s="217"/>
      <c r="ED90" s="245">
        <f>ED91+ED92</f>
        <v>0</v>
      </c>
      <c r="EE90" s="245">
        <f t="shared" ref="EE90:EP90" si="148">EE91+EE92</f>
        <v>0</v>
      </c>
      <c r="EF90" s="245">
        <f t="shared" si="148"/>
        <v>0</v>
      </c>
      <c r="EG90" s="245">
        <f t="shared" si="148"/>
        <v>166</v>
      </c>
      <c r="EH90" s="245">
        <f t="shared" si="148"/>
        <v>535</v>
      </c>
      <c r="EI90" s="245">
        <f t="shared" si="148"/>
        <v>981</v>
      </c>
      <c r="EJ90" s="245">
        <f t="shared" si="148"/>
        <v>1376</v>
      </c>
      <c r="EK90" s="245">
        <f t="shared" si="148"/>
        <v>1619</v>
      </c>
      <c r="EL90" s="245">
        <f t="shared" si="148"/>
        <v>1743</v>
      </c>
      <c r="EM90" s="245">
        <f t="shared" si="148"/>
        <v>1862</v>
      </c>
      <c r="EN90" s="245">
        <f t="shared" si="148"/>
        <v>1983</v>
      </c>
      <c r="EO90" s="245">
        <f t="shared" si="148"/>
        <v>2106</v>
      </c>
      <c r="EP90" s="245">
        <f t="shared" si="148"/>
        <v>2231</v>
      </c>
      <c r="EQ90" s="245">
        <f t="shared" ref="EQ90:EX90" si="149">EQ91+EQ92</f>
        <v>2345</v>
      </c>
      <c r="ER90" s="245">
        <f t="shared" si="149"/>
        <v>2459</v>
      </c>
      <c r="ES90" s="245">
        <f t="shared" si="149"/>
        <v>2618</v>
      </c>
      <c r="ET90" s="245">
        <f t="shared" si="149"/>
        <v>2746</v>
      </c>
      <c r="EU90" s="245">
        <f t="shared" si="149"/>
        <v>2860</v>
      </c>
      <c r="EV90" s="245">
        <f t="shared" si="149"/>
        <v>2989</v>
      </c>
      <c r="EW90" s="245">
        <f t="shared" si="149"/>
        <v>3098</v>
      </c>
      <c r="EX90" s="245">
        <f t="shared" si="149"/>
        <v>3223</v>
      </c>
      <c r="EY90" s="217"/>
    </row>
    <row r="91" spans="1:155" x14ac:dyDescent="0.35">
      <c r="C91" s="241">
        <v>55</v>
      </c>
      <c r="D91" s="242" t="s">
        <v>62</v>
      </c>
      <c r="E91" s="243" t="s">
        <v>59</v>
      </c>
      <c r="F91" s="384">
        <f>'[10]Данные для переноса'!F92</f>
        <v>28156.3</v>
      </c>
      <c r="G91" s="384">
        <f>'[10]Данные для переноса'!G92</f>
        <v>29406.7</v>
      </c>
      <c r="H91" s="384">
        <f>'[10]Данные для переноса'!H92</f>
        <v>31474.1</v>
      </c>
      <c r="I91" s="384">
        <f>'[10]Данные для переноса'!I92</f>
        <v>34602</v>
      </c>
      <c r="J91" s="384">
        <f>'[10]Данные для переноса'!J92</f>
        <v>35222</v>
      </c>
      <c r="K91" s="384">
        <f>'[10]Данные для переноса'!K92</f>
        <v>35580</v>
      </c>
      <c r="L91" s="384">
        <f>'[10]Данные для переноса'!L92</f>
        <v>35572</v>
      </c>
      <c r="M91" s="384">
        <f>'[10]Данные для переноса'!M92</f>
        <v>35555</v>
      </c>
      <c r="N91" s="384">
        <f>'[10]Данные для переноса'!N92</f>
        <v>35555</v>
      </c>
      <c r="O91" s="384">
        <f>'[10]Данные для переноса'!O92</f>
        <v>35555</v>
      </c>
      <c r="P91" s="384">
        <f>'[10]Данные для переноса'!P92</f>
        <v>35555</v>
      </c>
      <c r="Q91" s="384">
        <f>'[10]Данные для переноса'!Q92</f>
        <v>35555</v>
      </c>
      <c r="R91" s="384">
        <f>'[10]Данные для переноса'!R92</f>
        <v>35555</v>
      </c>
      <c r="S91" s="384">
        <f>'[10]Данные для переноса'!S92</f>
        <v>35555</v>
      </c>
      <c r="T91" s="384">
        <f>'[10]Данные для переноса'!T92</f>
        <v>35555</v>
      </c>
      <c r="U91" s="384">
        <f>'[10]Данные для переноса'!U92</f>
        <v>35555</v>
      </c>
      <c r="V91" s="384">
        <f>'[10]Данные для переноса'!V92</f>
        <v>35555</v>
      </c>
      <c r="W91" s="384">
        <f>'[10]Данные для переноса'!W92</f>
        <v>35555</v>
      </c>
      <c r="X91" s="384">
        <f>'[10]Данные для переноса'!X92</f>
        <v>35555</v>
      </c>
      <c r="Y91" s="384">
        <f>'[10]Данные для переноса'!Y92</f>
        <v>35555</v>
      </c>
      <c r="Z91" s="384">
        <f>'[10]Данные для переноса'!Z92</f>
        <v>35555</v>
      </c>
      <c r="AA91" s="426">
        <v>28156.3</v>
      </c>
      <c r="AB91" s="426">
        <v>29406.7</v>
      </c>
      <c r="AC91" s="426">
        <v>31474.1</v>
      </c>
      <c r="AD91" s="426">
        <v>34602</v>
      </c>
      <c r="AE91" s="426">
        <v>35222</v>
      </c>
      <c r="AF91" s="426">
        <v>35580</v>
      </c>
      <c r="AG91" s="426">
        <v>35572</v>
      </c>
      <c r="AH91" s="426">
        <v>35555</v>
      </c>
      <c r="AI91" s="426">
        <v>35555</v>
      </c>
      <c r="AJ91" s="426">
        <v>35555</v>
      </c>
      <c r="AK91" s="426">
        <v>35555</v>
      </c>
      <c r="AL91" s="426">
        <v>35555</v>
      </c>
      <c r="AM91" s="426">
        <v>35555</v>
      </c>
      <c r="AN91" s="426">
        <v>35555</v>
      </c>
      <c r="AO91" s="426">
        <v>35555</v>
      </c>
      <c r="AP91" s="426">
        <v>35555</v>
      </c>
      <c r="AQ91" s="426">
        <v>35555</v>
      </c>
      <c r="AR91" s="426">
        <v>35555</v>
      </c>
      <c r="AS91" s="426">
        <v>35555</v>
      </c>
      <c r="AT91" s="426">
        <v>35555</v>
      </c>
      <c r="AU91" s="426">
        <v>35555</v>
      </c>
      <c r="AV91" s="430" t="b">
        <f t="shared" si="140"/>
        <v>1</v>
      </c>
      <c r="AW91" s="430" t="b">
        <f t="shared" si="140"/>
        <v>1</v>
      </c>
      <c r="AX91" s="430" t="b">
        <f t="shared" si="140"/>
        <v>1</v>
      </c>
      <c r="AY91" s="430" t="b">
        <f t="shared" si="140"/>
        <v>1</v>
      </c>
      <c r="AZ91" s="430" t="b">
        <f t="shared" si="140"/>
        <v>1</v>
      </c>
      <c r="BA91" s="430" t="b">
        <f t="shared" si="140"/>
        <v>1</v>
      </c>
      <c r="BB91" s="430" t="b">
        <f t="shared" si="140"/>
        <v>1</v>
      </c>
      <c r="BC91" s="430" t="b">
        <f t="shared" si="140"/>
        <v>1</v>
      </c>
      <c r="BD91" s="430" t="b">
        <f t="shared" si="135"/>
        <v>1</v>
      </c>
      <c r="BE91" s="430" t="b">
        <f t="shared" si="135"/>
        <v>1</v>
      </c>
      <c r="BF91" s="430" t="b">
        <f t="shared" si="135"/>
        <v>1</v>
      </c>
      <c r="BG91" s="430" t="b">
        <f t="shared" si="135"/>
        <v>1</v>
      </c>
      <c r="BH91" s="430" t="b">
        <f t="shared" si="135"/>
        <v>1</v>
      </c>
      <c r="BI91" s="430" t="b">
        <f t="shared" si="135"/>
        <v>1</v>
      </c>
      <c r="BJ91" s="430" t="b">
        <f t="shared" si="141"/>
        <v>1</v>
      </c>
      <c r="BK91" s="430" t="b">
        <f t="shared" si="141"/>
        <v>1</v>
      </c>
      <c r="BL91" s="430" t="b">
        <f t="shared" si="141"/>
        <v>1</v>
      </c>
      <c r="BM91" s="430" t="b">
        <f t="shared" si="141"/>
        <v>1</v>
      </c>
      <c r="BN91" s="430" t="b">
        <f t="shared" si="141"/>
        <v>1</v>
      </c>
      <c r="BO91" s="430" t="b">
        <f t="shared" si="141"/>
        <v>1</v>
      </c>
      <c r="BP91" s="430" t="b">
        <f t="shared" si="141"/>
        <v>1</v>
      </c>
      <c r="BQ91" s="275">
        <f>IFERROR(AVERAGE(J91:Z91),0)</f>
        <v>35537.882352941175</v>
      </c>
      <c r="BR91" s="247">
        <f>'[10]Данные для переноса'!AB92</f>
        <v>28156.3</v>
      </c>
      <c r="BS91" s="247">
        <f>'[10]Данные для переноса'!AC92</f>
        <v>29406.7</v>
      </c>
      <c r="BT91" s="247">
        <f>'[10]Данные для переноса'!AD92</f>
        <v>31474.1</v>
      </c>
      <c r="BU91" s="247">
        <f>'[10]Данные для переноса'!AE92</f>
        <v>34790</v>
      </c>
      <c r="BV91" s="247">
        <f>'[10]Данные для переноса'!AF92</f>
        <v>35787</v>
      </c>
      <c r="BW91" s="247">
        <f>'[10]Данные для переноса'!AG92</f>
        <v>36597</v>
      </c>
      <c r="BX91" s="247">
        <f>'[10]Данные для переноса'!AH92</f>
        <v>36990</v>
      </c>
      <c r="BY91" s="247">
        <f>'[10]Данные для переноса'!AI92</f>
        <v>37205</v>
      </c>
      <c r="BZ91" s="247">
        <f>'[10]Данные для переноса'!AJ92</f>
        <v>37329</v>
      </c>
      <c r="CA91" s="247">
        <f>'[10]Данные для переноса'!AK92</f>
        <v>37448</v>
      </c>
      <c r="CB91" s="247">
        <f>'[10]Данные для переноса'!AL92</f>
        <v>37569</v>
      </c>
      <c r="CC91" s="247">
        <f>'[10]Данные для переноса'!AM92</f>
        <v>37692</v>
      </c>
      <c r="CD91" s="247">
        <f>'[10]Данные для переноса'!AN92</f>
        <v>37817</v>
      </c>
      <c r="CE91" s="247">
        <f>'[10]Данные для переноса'!AO92</f>
        <v>37931</v>
      </c>
      <c r="CF91" s="247">
        <f>'[10]Данные для переноса'!AP92</f>
        <v>38045</v>
      </c>
      <c r="CG91" s="247">
        <f>'[10]Данные для переноса'!AQ92</f>
        <v>38204</v>
      </c>
      <c r="CH91" s="247">
        <f>'[10]Данные для переноса'!AR92</f>
        <v>38332</v>
      </c>
      <c r="CI91" s="247">
        <f>'[10]Данные для переноса'!AS92</f>
        <v>38446</v>
      </c>
      <c r="CJ91" s="247">
        <f>'[10]Данные для переноса'!AT92</f>
        <v>38575</v>
      </c>
      <c r="CK91" s="247">
        <f>'[10]Данные для переноса'!AU92</f>
        <v>38684</v>
      </c>
      <c r="CL91" s="247">
        <f>'[10]Данные для переноса'!AV92</f>
        <v>38809</v>
      </c>
      <c r="CM91" s="426">
        <v>28156.3</v>
      </c>
      <c r="CN91" s="426">
        <v>29406.7</v>
      </c>
      <c r="CO91" s="426">
        <v>31474.1</v>
      </c>
      <c r="CP91" s="426">
        <v>34790</v>
      </c>
      <c r="CQ91" s="426">
        <v>35787</v>
      </c>
      <c r="CR91" s="426">
        <v>36597</v>
      </c>
      <c r="CS91" s="426">
        <v>36990</v>
      </c>
      <c r="CT91" s="426">
        <v>37205</v>
      </c>
      <c r="CU91" s="426">
        <v>37329</v>
      </c>
      <c r="CV91" s="426">
        <v>37448</v>
      </c>
      <c r="CW91" s="426">
        <v>37569</v>
      </c>
      <c r="CX91" s="426">
        <v>37692</v>
      </c>
      <c r="CY91" s="426">
        <v>37817</v>
      </c>
      <c r="CZ91" s="426">
        <v>37931</v>
      </c>
      <c r="DA91" s="426">
        <v>38045</v>
      </c>
      <c r="DB91" s="426">
        <v>38204</v>
      </c>
      <c r="DC91" s="426">
        <v>38332</v>
      </c>
      <c r="DD91" s="426">
        <v>38446</v>
      </c>
      <c r="DE91" s="426">
        <v>38575</v>
      </c>
      <c r="DF91" s="426">
        <v>38684</v>
      </c>
      <c r="DG91" s="426">
        <v>38809</v>
      </c>
      <c r="DH91" s="430" t="b">
        <f t="shared" si="134"/>
        <v>1</v>
      </c>
      <c r="DI91" s="430" t="b">
        <f t="shared" si="134"/>
        <v>1</v>
      </c>
      <c r="DJ91" s="430" t="b">
        <f t="shared" si="134"/>
        <v>1</v>
      </c>
      <c r="DK91" s="430" t="b">
        <f t="shared" si="134"/>
        <v>1</v>
      </c>
      <c r="DL91" s="430" t="b">
        <f t="shared" si="134"/>
        <v>1</v>
      </c>
      <c r="DM91" s="430" t="b">
        <f t="shared" si="134"/>
        <v>1</v>
      </c>
      <c r="DN91" s="430" t="b">
        <f t="shared" si="134"/>
        <v>1</v>
      </c>
      <c r="DO91" s="430" t="b">
        <f t="shared" si="134"/>
        <v>1</v>
      </c>
      <c r="DP91" s="430" t="b">
        <f t="shared" si="134"/>
        <v>1</v>
      </c>
      <c r="DQ91" s="430" t="b">
        <f t="shared" si="134"/>
        <v>1</v>
      </c>
      <c r="DR91" s="430" t="b">
        <f t="shared" si="134"/>
        <v>1</v>
      </c>
      <c r="DS91" s="430" t="b">
        <f t="shared" si="143"/>
        <v>1</v>
      </c>
      <c r="DT91" s="430" t="b">
        <f t="shared" si="144"/>
        <v>1</v>
      </c>
      <c r="DU91" s="430" t="b">
        <f t="shared" si="142"/>
        <v>1</v>
      </c>
      <c r="DV91" s="430" t="b">
        <f t="shared" si="142"/>
        <v>1</v>
      </c>
      <c r="DW91" s="430" t="b">
        <f t="shared" si="142"/>
        <v>1</v>
      </c>
      <c r="DX91" s="430" t="b">
        <f t="shared" si="142"/>
        <v>1</v>
      </c>
      <c r="DY91" s="430" t="b">
        <f t="shared" si="142"/>
        <v>1</v>
      </c>
      <c r="DZ91" s="430" t="b">
        <f t="shared" si="142"/>
        <v>1</v>
      </c>
      <c r="EA91" s="430" t="b">
        <f t="shared" si="142"/>
        <v>1</v>
      </c>
      <c r="EB91" s="430" t="b">
        <f t="shared" si="142"/>
        <v>1</v>
      </c>
      <c r="EC91" s="275">
        <f>IFERROR(AVERAGE(BV91:CL91),0)</f>
        <v>37732.941176470587</v>
      </c>
      <c r="ED91" s="223">
        <f>BR91-F91</f>
        <v>0</v>
      </c>
      <c r="EE91" s="223">
        <f>BS91-G91</f>
        <v>0</v>
      </c>
      <c r="EF91" s="223">
        <f>BT91-H91</f>
        <v>0</v>
      </c>
      <c r="EG91" s="223">
        <f>BU91-I91</f>
        <v>188</v>
      </c>
      <c r="EH91" s="223">
        <f>BV91-J91</f>
        <v>565</v>
      </c>
      <c r="EI91" s="223">
        <f>BW91-K91</f>
        <v>1017</v>
      </c>
      <c r="EJ91" s="223">
        <f>BX91-L91</f>
        <v>1418</v>
      </c>
      <c r="EK91" s="223">
        <f>BY91-M91</f>
        <v>1650</v>
      </c>
      <c r="EL91" s="223">
        <f>BZ91-N91</f>
        <v>1774</v>
      </c>
      <c r="EM91" s="223">
        <f>CA91-O91</f>
        <v>1893</v>
      </c>
      <c r="EN91" s="223">
        <f>CB91-P91</f>
        <v>2014</v>
      </c>
      <c r="EO91" s="223">
        <f>CC91-Q91</f>
        <v>2137</v>
      </c>
      <c r="EP91" s="223">
        <f>CD91-R91</f>
        <v>2262</v>
      </c>
      <c r="EQ91" s="223">
        <f>CE91-S91</f>
        <v>2376</v>
      </c>
      <c r="ER91" s="223">
        <f>CF91-T91</f>
        <v>2490</v>
      </c>
      <c r="ES91" s="223">
        <f>CG91-U91</f>
        <v>2649</v>
      </c>
      <c r="ET91" s="223">
        <f>CH91-V91</f>
        <v>2777</v>
      </c>
      <c r="EU91" s="223">
        <f>CI91-W91</f>
        <v>2891</v>
      </c>
      <c r="EV91" s="223">
        <f>CJ91-X91</f>
        <v>3020</v>
      </c>
      <c r="EW91" s="223">
        <f>CK91-Y91</f>
        <v>3129</v>
      </c>
      <c r="EX91" s="223">
        <f>CL91-Z91</f>
        <v>3254</v>
      </c>
      <c r="EY91" s="275">
        <f>IFERROR(AVERAGE(EH91:EX91),0)</f>
        <v>2195.0588235294117</v>
      </c>
    </row>
    <row r="92" spans="1:155" x14ac:dyDescent="0.35">
      <c r="C92" s="241">
        <v>56</v>
      </c>
      <c r="D92" s="242" t="s">
        <v>63</v>
      </c>
      <c r="E92" s="243" t="s">
        <v>59</v>
      </c>
      <c r="F92" s="384">
        <f>'[10]Данные для переноса'!F93</f>
        <v>1342</v>
      </c>
      <c r="G92" s="384">
        <f>'[10]Данные для переноса'!G93</f>
        <v>1504</v>
      </c>
      <c r="H92" s="384">
        <f>'[10]Данные для переноса'!H93</f>
        <v>1602.7</v>
      </c>
      <c r="I92" s="384">
        <f>'[10]Данные для переноса'!I93</f>
        <v>1535</v>
      </c>
      <c r="J92" s="384">
        <f>'[10]Данные для переноса'!J93</f>
        <v>1418</v>
      </c>
      <c r="K92" s="384">
        <f>'[10]Данные для переноса'!K93</f>
        <v>1293</v>
      </c>
      <c r="L92" s="384">
        <f>'[10]Данные для переноса'!L93</f>
        <v>1290</v>
      </c>
      <c r="M92" s="384">
        <f>'[10]Данные для переноса'!M93</f>
        <v>1290</v>
      </c>
      <c r="N92" s="384">
        <f>'[10]Данные для переноса'!N93</f>
        <v>1290</v>
      </c>
      <c r="O92" s="384">
        <f>'[10]Данные для переноса'!O93</f>
        <v>1290</v>
      </c>
      <c r="P92" s="384">
        <f>'[10]Данные для переноса'!P93</f>
        <v>1290</v>
      </c>
      <c r="Q92" s="384">
        <f>'[10]Данные для переноса'!Q93</f>
        <v>1290</v>
      </c>
      <c r="R92" s="384">
        <f>'[10]Данные для переноса'!R93</f>
        <v>1290</v>
      </c>
      <c r="S92" s="384">
        <f>'[10]Данные для переноса'!S93</f>
        <v>1290</v>
      </c>
      <c r="T92" s="384">
        <f>'[10]Данные для переноса'!T93</f>
        <v>1290</v>
      </c>
      <c r="U92" s="384">
        <f>'[10]Данные для переноса'!U93</f>
        <v>1290</v>
      </c>
      <c r="V92" s="384">
        <f>'[10]Данные для переноса'!V93</f>
        <v>1290</v>
      </c>
      <c r="W92" s="384">
        <f>'[10]Данные для переноса'!W93</f>
        <v>1290</v>
      </c>
      <c r="X92" s="384">
        <f>'[10]Данные для переноса'!X93</f>
        <v>1290</v>
      </c>
      <c r="Y92" s="384">
        <f>'[10]Данные для переноса'!Y93</f>
        <v>1290</v>
      </c>
      <c r="Z92" s="384">
        <f>'[10]Данные для переноса'!Z93</f>
        <v>1290</v>
      </c>
      <c r="AA92" s="426">
        <v>1342</v>
      </c>
      <c r="AB92" s="426">
        <v>1504</v>
      </c>
      <c r="AC92" s="426">
        <v>1602.7</v>
      </c>
      <c r="AD92" s="426">
        <v>1535</v>
      </c>
      <c r="AE92" s="426">
        <v>1418</v>
      </c>
      <c r="AF92" s="426">
        <v>1293</v>
      </c>
      <c r="AG92" s="426">
        <v>1290</v>
      </c>
      <c r="AH92" s="426">
        <v>1290</v>
      </c>
      <c r="AI92" s="426">
        <v>1290</v>
      </c>
      <c r="AJ92" s="426">
        <v>1290</v>
      </c>
      <c r="AK92" s="426">
        <v>1290</v>
      </c>
      <c r="AL92" s="426">
        <v>1290</v>
      </c>
      <c r="AM92" s="426">
        <v>1290</v>
      </c>
      <c r="AN92" s="426">
        <v>1290</v>
      </c>
      <c r="AO92" s="426">
        <v>1290</v>
      </c>
      <c r="AP92" s="426">
        <v>1290</v>
      </c>
      <c r="AQ92" s="426">
        <v>1290</v>
      </c>
      <c r="AR92" s="426">
        <v>1290</v>
      </c>
      <c r="AS92" s="426">
        <v>1290</v>
      </c>
      <c r="AT92" s="426">
        <v>1290</v>
      </c>
      <c r="AU92" s="426">
        <v>1290</v>
      </c>
      <c r="AV92" s="430" t="b">
        <f t="shared" si="140"/>
        <v>1</v>
      </c>
      <c r="AW92" s="430" t="b">
        <f t="shared" si="140"/>
        <v>1</v>
      </c>
      <c r="AX92" s="430" t="b">
        <f t="shared" si="140"/>
        <v>1</v>
      </c>
      <c r="AY92" s="430" t="b">
        <f t="shared" si="140"/>
        <v>1</v>
      </c>
      <c r="AZ92" s="430" t="b">
        <f t="shared" si="140"/>
        <v>1</v>
      </c>
      <c r="BA92" s="430" t="b">
        <f t="shared" si="140"/>
        <v>1</v>
      </c>
      <c r="BB92" s="430" t="b">
        <f t="shared" si="140"/>
        <v>1</v>
      </c>
      <c r="BC92" s="430" t="b">
        <f t="shared" si="140"/>
        <v>1</v>
      </c>
      <c r="BD92" s="430" t="b">
        <f t="shared" si="135"/>
        <v>1</v>
      </c>
      <c r="BE92" s="430" t="b">
        <f t="shared" si="135"/>
        <v>1</v>
      </c>
      <c r="BF92" s="430" t="b">
        <f t="shared" si="135"/>
        <v>1</v>
      </c>
      <c r="BG92" s="430" t="b">
        <f t="shared" si="135"/>
        <v>1</v>
      </c>
      <c r="BH92" s="430" t="b">
        <f t="shared" si="135"/>
        <v>1</v>
      </c>
      <c r="BI92" s="430" t="b">
        <f t="shared" si="135"/>
        <v>1</v>
      </c>
      <c r="BJ92" s="430" t="b">
        <f t="shared" si="141"/>
        <v>1</v>
      </c>
      <c r="BK92" s="430" t="b">
        <f t="shared" si="141"/>
        <v>1</v>
      </c>
      <c r="BL92" s="430" t="b">
        <f t="shared" si="141"/>
        <v>1</v>
      </c>
      <c r="BM92" s="430" t="b">
        <f t="shared" si="141"/>
        <v>1</v>
      </c>
      <c r="BN92" s="430" t="b">
        <f t="shared" si="141"/>
        <v>1</v>
      </c>
      <c r="BO92" s="430" t="b">
        <f t="shared" si="141"/>
        <v>1</v>
      </c>
      <c r="BP92" s="430" t="b">
        <f t="shared" si="141"/>
        <v>1</v>
      </c>
      <c r="BQ92" s="275">
        <f t="shared" ref="BQ92:BQ110" si="150">IFERROR(AVERAGE(J92:Z92),0)</f>
        <v>1297.7058823529412</v>
      </c>
      <c r="BR92" s="247">
        <f>'[10]Данные для переноса'!AB93</f>
        <v>1342</v>
      </c>
      <c r="BS92" s="247">
        <f>'[10]Данные для переноса'!AC93</f>
        <v>1504</v>
      </c>
      <c r="BT92" s="247">
        <f>'[10]Данные для переноса'!AD93</f>
        <v>1602.7</v>
      </c>
      <c r="BU92" s="247">
        <f>'[10]Данные для переноса'!AE93</f>
        <v>1513</v>
      </c>
      <c r="BV92" s="247">
        <f>'[10]Данные для переноса'!AF93</f>
        <v>1388</v>
      </c>
      <c r="BW92" s="247">
        <f>'[10]Данные для переноса'!AG93</f>
        <v>1257</v>
      </c>
      <c r="BX92" s="247">
        <f>'[10]Данные для переноса'!AH93</f>
        <v>1248</v>
      </c>
      <c r="BY92" s="247">
        <f>'[10]Данные для переноса'!AI93</f>
        <v>1259</v>
      </c>
      <c r="BZ92" s="247">
        <f>'[10]Данные для переноса'!AJ93</f>
        <v>1259</v>
      </c>
      <c r="CA92" s="247">
        <f>'[10]Данные для переноса'!AK93</f>
        <v>1259</v>
      </c>
      <c r="CB92" s="247">
        <f>'[10]Данные для переноса'!AL93</f>
        <v>1259</v>
      </c>
      <c r="CC92" s="247">
        <f>'[10]Данные для переноса'!AM93</f>
        <v>1259</v>
      </c>
      <c r="CD92" s="247">
        <f>'[10]Данные для переноса'!AN93</f>
        <v>1259</v>
      </c>
      <c r="CE92" s="247">
        <f>'[10]Данные для переноса'!AO93</f>
        <v>1259</v>
      </c>
      <c r="CF92" s="247">
        <f>'[10]Данные для переноса'!AP93</f>
        <v>1259</v>
      </c>
      <c r="CG92" s="247">
        <f>'[10]Данные для переноса'!AQ93</f>
        <v>1259</v>
      </c>
      <c r="CH92" s="247">
        <f>'[10]Данные для переноса'!AR93</f>
        <v>1259</v>
      </c>
      <c r="CI92" s="247">
        <f>'[10]Данные для переноса'!AS93</f>
        <v>1259</v>
      </c>
      <c r="CJ92" s="247">
        <f>'[10]Данные для переноса'!AT93</f>
        <v>1259</v>
      </c>
      <c r="CK92" s="247">
        <f>'[10]Данные для переноса'!AU93</f>
        <v>1259</v>
      </c>
      <c r="CL92" s="247">
        <f>'[10]Данные для переноса'!AV93</f>
        <v>1259</v>
      </c>
      <c r="CM92" s="426">
        <v>1342</v>
      </c>
      <c r="CN92" s="426">
        <v>1504</v>
      </c>
      <c r="CO92" s="426">
        <v>1602.7</v>
      </c>
      <c r="CP92" s="426">
        <v>1513</v>
      </c>
      <c r="CQ92" s="426">
        <v>1388</v>
      </c>
      <c r="CR92" s="426">
        <v>1257</v>
      </c>
      <c r="CS92" s="426">
        <v>1248</v>
      </c>
      <c r="CT92" s="426">
        <v>1259</v>
      </c>
      <c r="CU92" s="426">
        <v>1259</v>
      </c>
      <c r="CV92" s="426">
        <v>1259</v>
      </c>
      <c r="CW92" s="426">
        <v>1259</v>
      </c>
      <c r="CX92" s="426">
        <v>1259</v>
      </c>
      <c r="CY92" s="426">
        <v>1259</v>
      </c>
      <c r="CZ92" s="426">
        <v>1259</v>
      </c>
      <c r="DA92" s="426">
        <v>1259</v>
      </c>
      <c r="DB92" s="426">
        <v>1259</v>
      </c>
      <c r="DC92" s="426">
        <v>1259</v>
      </c>
      <c r="DD92" s="426">
        <v>1259</v>
      </c>
      <c r="DE92" s="426">
        <v>1259</v>
      </c>
      <c r="DF92" s="426">
        <v>1259</v>
      </c>
      <c r="DG92" s="426">
        <v>1259</v>
      </c>
      <c r="DH92" s="430" t="b">
        <f t="shared" si="134"/>
        <v>1</v>
      </c>
      <c r="DI92" s="430" t="b">
        <f t="shared" si="134"/>
        <v>1</v>
      </c>
      <c r="DJ92" s="430" t="b">
        <f t="shared" si="134"/>
        <v>1</v>
      </c>
      <c r="DK92" s="430" t="b">
        <f t="shared" si="134"/>
        <v>1</v>
      </c>
      <c r="DL92" s="430" t="b">
        <f t="shared" si="134"/>
        <v>1</v>
      </c>
      <c r="DM92" s="430" t="b">
        <f t="shared" si="134"/>
        <v>1</v>
      </c>
      <c r="DN92" s="430" t="b">
        <f t="shared" si="134"/>
        <v>1</v>
      </c>
      <c r="DO92" s="430" t="b">
        <f t="shared" si="134"/>
        <v>1</v>
      </c>
      <c r="DP92" s="430" t="b">
        <f t="shared" si="134"/>
        <v>1</v>
      </c>
      <c r="DQ92" s="430" t="b">
        <f t="shared" si="134"/>
        <v>1</v>
      </c>
      <c r="DR92" s="430" t="b">
        <f t="shared" si="134"/>
        <v>1</v>
      </c>
      <c r="DS92" s="430" t="b">
        <f t="shared" si="143"/>
        <v>1</v>
      </c>
      <c r="DT92" s="430" t="b">
        <f t="shared" si="144"/>
        <v>1</v>
      </c>
      <c r="DU92" s="430" t="b">
        <f t="shared" si="142"/>
        <v>1</v>
      </c>
      <c r="DV92" s="430" t="b">
        <f t="shared" si="142"/>
        <v>1</v>
      </c>
      <c r="DW92" s="430" t="b">
        <f t="shared" si="142"/>
        <v>1</v>
      </c>
      <c r="DX92" s="430" t="b">
        <f t="shared" si="142"/>
        <v>1</v>
      </c>
      <c r="DY92" s="430" t="b">
        <f t="shared" si="142"/>
        <v>1</v>
      </c>
      <c r="DZ92" s="430" t="b">
        <f t="shared" si="142"/>
        <v>1</v>
      </c>
      <c r="EA92" s="430" t="b">
        <f t="shared" si="142"/>
        <v>1</v>
      </c>
      <c r="EB92" s="430" t="b">
        <f t="shared" si="142"/>
        <v>1</v>
      </c>
      <c r="EC92" s="275">
        <f t="shared" ref="EC92:EC108" si="151">IFERROR(AVERAGE(BV92:CL92),0)</f>
        <v>1265.8235294117646</v>
      </c>
      <c r="ED92" s="223">
        <f>BR92-F92</f>
        <v>0</v>
      </c>
      <c r="EE92" s="223">
        <f>BS92-G92</f>
        <v>0</v>
      </c>
      <c r="EF92" s="223">
        <f>BT92-H92</f>
        <v>0</v>
      </c>
      <c r="EG92" s="223">
        <f>BU92-I92</f>
        <v>-22</v>
      </c>
      <c r="EH92" s="223">
        <f>BV92-J92</f>
        <v>-30</v>
      </c>
      <c r="EI92" s="223">
        <f>BW92-K92</f>
        <v>-36</v>
      </c>
      <c r="EJ92" s="223">
        <f>BX92-L92</f>
        <v>-42</v>
      </c>
      <c r="EK92" s="223">
        <f>BY92-M92</f>
        <v>-31</v>
      </c>
      <c r="EL92" s="223">
        <f>BZ92-N92</f>
        <v>-31</v>
      </c>
      <c r="EM92" s="223">
        <f>CA92-O92</f>
        <v>-31</v>
      </c>
      <c r="EN92" s="223">
        <f>CB92-P92</f>
        <v>-31</v>
      </c>
      <c r="EO92" s="223">
        <f>CC92-Q92</f>
        <v>-31</v>
      </c>
      <c r="EP92" s="223">
        <f>CD92-R92</f>
        <v>-31</v>
      </c>
      <c r="EQ92" s="223">
        <f>CE92-S92</f>
        <v>-31</v>
      </c>
      <c r="ER92" s="223">
        <f>CF92-T92</f>
        <v>-31</v>
      </c>
      <c r="ES92" s="223">
        <f>CG92-U92</f>
        <v>-31</v>
      </c>
      <c r="ET92" s="223">
        <f>CH92-V92</f>
        <v>-31</v>
      </c>
      <c r="EU92" s="223">
        <f>CI92-W92</f>
        <v>-31</v>
      </c>
      <c r="EV92" s="223">
        <f>CJ92-X92</f>
        <v>-31</v>
      </c>
      <c r="EW92" s="223">
        <f>CK92-Y92</f>
        <v>-31</v>
      </c>
      <c r="EX92" s="223">
        <f>CL92-Z92</f>
        <v>-31</v>
      </c>
      <c r="EY92" s="275">
        <f t="shared" ref="EY92:EY108" si="152">IFERROR(AVERAGE(EH92:EX92),0)</f>
        <v>-31.882352941176471</v>
      </c>
    </row>
    <row r="93" spans="1:155" x14ac:dyDescent="0.35">
      <c r="C93" s="241">
        <v>57</v>
      </c>
      <c r="D93" s="242" t="s">
        <v>64</v>
      </c>
      <c r="E93" s="243" t="s">
        <v>59</v>
      </c>
      <c r="F93" s="384">
        <f>'[10]Данные для переноса'!F94</f>
        <v>25.311308881697233</v>
      </c>
      <c r="G93" s="384">
        <f>'[10]Данные для переноса'!G94</f>
        <v>25.215829188818383</v>
      </c>
      <c r="H93" s="384">
        <f>'[10]Данные для переноса'!H94</f>
        <v>25.16921231507397</v>
      </c>
      <c r="I93" s="384">
        <f>'[10]Данные для переноса'!I94</f>
        <v>26.94714131607336</v>
      </c>
      <c r="J93" s="384">
        <f>'[10]Данные для переноса'!J94</f>
        <v>26.94714131607336</v>
      </c>
      <c r="K93" s="384">
        <f>'[10]Данные для переноса'!K94</f>
        <v>26.947141316073356</v>
      </c>
      <c r="L93" s="384">
        <f>'[10]Данные для переноса'!L94</f>
        <v>26.94714131607336</v>
      </c>
      <c r="M93" s="384">
        <f>'[10]Данные для переноса'!M94</f>
        <v>26.947141316073363</v>
      </c>
      <c r="N93" s="384">
        <f>'[10]Данные для переноса'!N94</f>
        <v>26.947141316073363</v>
      </c>
      <c r="O93" s="384">
        <f>'[10]Данные для переноса'!O94</f>
        <v>26.947141316073363</v>
      </c>
      <c r="P93" s="384">
        <f>'[10]Данные для переноса'!P94</f>
        <v>26.947141316073363</v>
      </c>
      <c r="Q93" s="384">
        <f>'[10]Данные для переноса'!Q94</f>
        <v>26.947141316073363</v>
      </c>
      <c r="R93" s="384">
        <f>'[10]Данные для переноса'!R94</f>
        <v>26.947141316073363</v>
      </c>
      <c r="S93" s="384">
        <f>'[10]Данные для переноса'!S94</f>
        <v>26.947141316073363</v>
      </c>
      <c r="T93" s="384">
        <f>'[10]Данные для переноса'!T94</f>
        <v>26.947141316073363</v>
      </c>
      <c r="U93" s="384">
        <f>'[10]Данные для переноса'!U94</f>
        <v>26.947141316073363</v>
      </c>
      <c r="V93" s="384">
        <f>'[10]Данные для переноса'!V94</f>
        <v>26.947141316073363</v>
      </c>
      <c r="W93" s="384">
        <f>'[10]Данные для переноса'!W94</f>
        <v>26.947141316073363</v>
      </c>
      <c r="X93" s="384">
        <f>'[10]Данные для переноса'!X94</f>
        <v>26.947141316073363</v>
      </c>
      <c r="Y93" s="384">
        <f>'[10]Данные для переноса'!Y94</f>
        <v>26.947141316073363</v>
      </c>
      <c r="Z93" s="384">
        <f>'[10]Данные для переноса'!Z94</f>
        <v>26.947141316073363</v>
      </c>
      <c r="AA93" s="451">
        <v>25.311308881697233</v>
      </c>
      <c r="AB93" s="451">
        <v>25.215829188818383</v>
      </c>
      <c r="AC93" s="451">
        <v>25.16921231507397</v>
      </c>
      <c r="AD93" s="451">
        <v>26.94714131607336</v>
      </c>
      <c r="AE93" s="451">
        <v>26.94714131607336</v>
      </c>
      <c r="AF93" s="451">
        <v>26.947141316073356</v>
      </c>
      <c r="AG93" s="451">
        <v>26.94714131607336</v>
      </c>
      <c r="AH93" s="451">
        <v>26.947141316073363</v>
      </c>
      <c r="AI93" s="451">
        <v>26.947141316073363</v>
      </c>
      <c r="AJ93" s="451">
        <v>26.947141316073363</v>
      </c>
      <c r="AK93" s="451">
        <v>26.947141316073363</v>
      </c>
      <c r="AL93" s="451">
        <v>26.947141316073363</v>
      </c>
      <c r="AM93" s="451">
        <v>26.947141316073363</v>
      </c>
      <c r="AN93" s="451">
        <v>26.947141316073363</v>
      </c>
      <c r="AO93" s="451">
        <v>26.947141316073363</v>
      </c>
      <c r="AP93" s="451">
        <v>26.947141316073363</v>
      </c>
      <c r="AQ93" s="451">
        <v>26.947141316073363</v>
      </c>
      <c r="AR93" s="451">
        <v>26.947141316073363</v>
      </c>
      <c r="AS93" s="451">
        <v>26.947141316073363</v>
      </c>
      <c r="AT93" s="451">
        <v>26.947141316073363</v>
      </c>
      <c r="AU93" s="451">
        <v>26.947141316073363</v>
      </c>
      <c r="AV93" s="452" t="b">
        <f t="shared" si="140"/>
        <v>1</v>
      </c>
      <c r="AW93" s="452" t="b">
        <f t="shared" si="140"/>
        <v>1</v>
      </c>
      <c r="AX93" s="452" t="b">
        <f t="shared" si="140"/>
        <v>1</v>
      </c>
      <c r="AY93" s="452" t="b">
        <f t="shared" si="140"/>
        <v>1</v>
      </c>
      <c r="AZ93" s="452" t="b">
        <f t="shared" si="140"/>
        <v>1</v>
      </c>
      <c r="BA93" s="452" t="b">
        <f t="shared" si="140"/>
        <v>1</v>
      </c>
      <c r="BB93" s="452" t="b">
        <f t="shared" si="140"/>
        <v>1</v>
      </c>
      <c r="BC93" s="452" t="b">
        <f t="shared" si="140"/>
        <v>1</v>
      </c>
      <c r="BD93" s="452" t="b">
        <f t="shared" si="135"/>
        <v>1</v>
      </c>
      <c r="BE93" s="452" t="b">
        <f t="shared" si="135"/>
        <v>1</v>
      </c>
      <c r="BF93" s="452" t="b">
        <f t="shared" si="135"/>
        <v>1</v>
      </c>
      <c r="BG93" s="452" t="b">
        <f t="shared" si="135"/>
        <v>1</v>
      </c>
      <c r="BH93" s="452" t="b">
        <f t="shared" si="135"/>
        <v>1</v>
      </c>
      <c r="BI93" s="452" t="b">
        <f t="shared" si="135"/>
        <v>1</v>
      </c>
      <c r="BJ93" s="452" t="b">
        <f t="shared" si="141"/>
        <v>1</v>
      </c>
      <c r="BK93" s="452" t="b">
        <f t="shared" si="141"/>
        <v>1</v>
      </c>
      <c r="BL93" s="452" t="b">
        <f t="shared" si="141"/>
        <v>1</v>
      </c>
      <c r="BM93" s="452" t="b">
        <f t="shared" si="141"/>
        <v>1</v>
      </c>
      <c r="BN93" s="452" t="b">
        <f t="shared" si="141"/>
        <v>1</v>
      </c>
      <c r="BO93" s="452" t="b">
        <f t="shared" si="141"/>
        <v>1</v>
      </c>
      <c r="BP93" s="452" t="b">
        <f t="shared" si="141"/>
        <v>1</v>
      </c>
      <c r="BQ93" s="275">
        <f t="shared" si="150"/>
        <v>26.947141316073367</v>
      </c>
      <c r="BR93" s="278">
        <f>'[10]Данные для переноса'!AB94</f>
        <v>25.311308881697233</v>
      </c>
      <c r="BS93" s="278">
        <f>'[10]Данные для переноса'!AC94</f>
        <v>25.215829188818383</v>
      </c>
      <c r="BT93" s="278">
        <f>'[10]Данные для переноса'!AD94</f>
        <v>25.16921231507397</v>
      </c>
      <c r="BU93" s="278">
        <f>'[10]Данные для переноса'!AE94</f>
        <v>26.947141316073356</v>
      </c>
      <c r="BV93" s="278">
        <f>'[10]Данные для переноса'!AF94</f>
        <v>26.947141316073363</v>
      </c>
      <c r="BW93" s="278">
        <f>'[10]Данные для переноса'!AG94</f>
        <v>26.94714131607336</v>
      </c>
      <c r="BX93" s="278">
        <f>'[10]Данные для переноса'!AH94</f>
        <v>26.94714131607336</v>
      </c>
      <c r="BY93" s="278">
        <f>'[10]Данные для переноса'!AI94</f>
        <v>26.94714131607336</v>
      </c>
      <c r="BZ93" s="278">
        <f>'[10]Данные для переноса'!AJ94</f>
        <v>26.94714131607336</v>
      </c>
      <c r="CA93" s="278">
        <f>'[10]Данные для переноса'!AK94</f>
        <v>26.947141316073356</v>
      </c>
      <c r="CB93" s="278">
        <f>'[10]Данные для переноса'!AL94</f>
        <v>26.94714131607336</v>
      </c>
      <c r="CC93" s="278">
        <f>'[10]Данные для переноса'!AM94</f>
        <v>26.94714131607336</v>
      </c>
      <c r="CD93" s="278">
        <f>'[10]Данные для переноса'!AN94</f>
        <v>26.947141316073363</v>
      </c>
      <c r="CE93" s="278">
        <f>'[10]Данные для переноса'!AO94</f>
        <v>26.94714131607336</v>
      </c>
      <c r="CF93" s="278">
        <f>'[10]Данные для переноса'!AP94</f>
        <v>26.94714131607336</v>
      </c>
      <c r="CG93" s="278">
        <f>'[10]Данные для переноса'!AQ94</f>
        <v>26.94714131607336</v>
      </c>
      <c r="CH93" s="278">
        <f>'[10]Данные для переноса'!AR94</f>
        <v>26.94714131607336</v>
      </c>
      <c r="CI93" s="278">
        <f>'[10]Данные для переноса'!AS94</f>
        <v>26.94714131607336</v>
      </c>
      <c r="CJ93" s="278">
        <f>'[10]Данные для переноса'!AT94</f>
        <v>26.94714131607336</v>
      </c>
      <c r="CK93" s="278">
        <f>'[10]Данные для переноса'!AU94</f>
        <v>26.94714131607336</v>
      </c>
      <c r="CL93" s="278">
        <f>'[10]Данные для переноса'!AV94</f>
        <v>26.94714131607336</v>
      </c>
      <c r="CM93" s="451">
        <v>25.311308881697233</v>
      </c>
      <c r="CN93" s="451">
        <v>25.215829188818383</v>
      </c>
      <c r="CO93" s="451">
        <v>25.16921231507397</v>
      </c>
      <c r="CP93" s="451">
        <v>26.947141316073356</v>
      </c>
      <c r="CQ93" s="451">
        <v>26.947141316073363</v>
      </c>
      <c r="CR93" s="451">
        <v>26.94714131607336</v>
      </c>
      <c r="CS93" s="451">
        <v>26.94714131607336</v>
      </c>
      <c r="CT93" s="451">
        <v>26.94714131607336</v>
      </c>
      <c r="CU93" s="451">
        <v>26.94714131607336</v>
      </c>
      <c r="CV93" s="451">
        <v>26.947141316073356</v>
      </c>
      <c r="CW93" s="451">
        <v>26.94714131607336</v>
      </c>
      <c r="CX93" s="451">
        <v>26.94714131607336</v>
      </c>
      <c r="CY93" s="451">
        <v>26.947141316073363</v>
      </c>
      <c r="CZ93" s="451">
        <v>26.94714131607336</v>
      </c>
      <c r="DA93" s="451">
        <v>26.94714131607336</v>
      </c>
      <c r="DB93" s="451">
        <v>26.94714131607336</v>
      </c>
      <c r="DC93" s="451">
        <v>26.94714131607336</v>
      </c>
      <c r="DD93" s="451">
        <v>26.94714131607336</v>
      </c>
      <c r="DE93" s="451">
        <v>26.94714131607336</v>
      </c>
      <c r="DF93" s="451">
        <v>26.94714131607336</v>
      </c>
      <c r="DG93" s="451">
        <v>26.94714131607336</v>
      </c>
      <c r="DH93" s="452" t="b">
        <f t="shared" si="134"/>
        <v>1</v>
      </c>
      <c r="DI93" s="452" t="b">
        <f t="shared" si="134"/>
        <v>1</v>
      </c>
      <c r="DJ93" s="452" t="b">
        <f t="shared" si="134"/>
        <v>1</v>
      </c>
      <c r="DK93" s="452" t="b">
        <f t="shared" si="134"/>
        <v>1</v>
      </c>
      <c r="DL93" s="452" t="b">
        <f t="shared" si="134"/>
        <v>1</v>
      </c>
      <c r="DM93" s="452" t="b">
        <f t="shared" si="134"/>
        <v>1</v>
      </c>
      <c r="DN93" s="452" t="b">
        <f t="shared" si="134"/>
        <v>1</v>
      </c>
      <c r="DO93" s="452" t="b">
        <f t="shared" si="134"/>
        <v>1</v>
      </c>
      <c r="DP93" s="452" t="b">
        <f t="shared" si="134"/>
        <v>1</v>
      </c>
      <c r="DQ93" s="452" t="b">
        <f t="shared" si="134"/>
        <v>1</v>
      </c>
      <c r="DR93" s="452" t="b">
        <f t="shared" si="134"/>
        <v>1</v>
      </c>
      <c r="DS93" s="452" t="b">
        <f t="shared" si="143"/>
        <v>1</v>
      </c>
      <c r="DT93" s="452" t="b">
        <f t="shared" si="144"/>
        <v>1</v>
      </c>
      <c r="DU93" s="452" t="b">
        <f t="shared" si="142"/>
        <v>1</v>
      </c>
      <c r="DV93" s="452" t="b">
        <f t="shared" si="142"/>
        <v>1</v>
      </c>
      <c r="DW93" s="452" t="b">
        <f t="shared" si="142"/>
        <v>1</v>
      </c>
      <c r="DX93" s="452" t="b">
        <f t="shared" si="142"/>
        <v>1</v>
      </c>
      <c r="DY93" s="452" t="b">
        <f t="shared" si="142"/>
        <v>1</v>
      </c>
      <c r="DZ93" s="452" t="b">
        <f t="shared" si="142"/>
        <v>1</v>
      </c>
      <c r="EA93" s="452" t="b">
        <f t="shared" si="142"/>
        <v>1</v>
      </c>
      <c r="EB93" s="452" t="b">
        <f t="shared" si="142"/>
        <v>1</v>
      </c>
      <c r="EC93" s="275">
        <f t="shared" si="151"/>
        <v>26.94714131607337</v>
      </c>
      <c r="ED93" s="223">
        <f>BR93-F93</f>
        <v>0</v>
      </c>
      <c r="EE93" s="223">
        <f>BS93-G93</f>
        <v>0</v>
      </c>
      <c r="EF93" s="223">
        <f>BT93-H93</f>
        <v>0</v>
      </c>
      <c r="EG93" s="223">
        <f>BU93-I93</f>
        <v>0</v>
      </c>
      <c r="EH93" s="223">
        <f>BV93-J93</f>
        <v>0</v>
      </c>
      <c r="EI93" s="223">
        <f>BW93-K93</f>
        <v>0</v>
      </c>
      <c r="EJ93" s="223">
        <f>BX93-L93</f>
        <v>0</v>
      </c>
      <c r="EK93" s="223">
        <f>BY93-M93</f>
        <v>0</v>
      </c>
      <c r="EL93" s="223">
        <f>BZ93-N93</f>
        <v>0</v>
      </c>
      <c r="EM93" s="223">
        <f>CA93-O93</f>
        <v>0</v>
      </c>
      <c r="EN93" s="223">
        <f>CB93-P93</f>
        <v>0</v>
      </c>
      <c r="EO93" s="223">
        <f>CC93-Q93</f>
        <v>0</v>
      </c>
      <c r="EP93" s="223">
        <f>CD93-R93</f>
        <v>0</v>
      </c>
      <c r="EQ93" s="223">
        <f>CE93-S93</f>
        <v>0</v>
      </c>
      <c r="ER93" s="223">
        <f>CF93-T93</f>
        <v>0</v>
      </c>
      <c r="ES93" s="223">
        <f>CG93-U93</f>
        <v>0</v>
      </c>
      <c r="ET93" s="223">
        <f>CH93-V93</f>
        <v>0</v>
      </c>
      <c r="EU93" s="223">
        <f>CI93-W93</f>
        <v>0</v>
      </c>
      <c r="EV93" s="223">
        <f>CJ93-X93</f>
        <v>0</v>
      </c>
      <c r="EW93" s="223">
        <f>CK93-Y93</f>
        <v>0</v>
      </c>
      <c r="EX93" s="223">
        <f>CL93-Z93</f>
        <v>0</v>
      </c>
      <c r="EY93" s="275">
        <f t="shared" si="152"/>
        <v>0</v>
      </c>
    </row>
    <row r="94" spans="1:155" s="235" customFormat="1" ht="13" x14ac:dyDescent="0.3">
      <c r="A94" s="221"/>
      <c r="B94" s="222"/>
      <c r="C94" s="233"/>
      <c r="D94" s="234" t="s">
        <v>289</v>
      </c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428"/>
      <c r="AB94" s="428"/>
      <c r="AC94" s="428"/>
      <c r="AD94" s="428"/>
      <c r="AE94" s="428"/>
      <c r="AF94" s="428"/>
      <c r="AG94" s="428"/>
      <c r="AH94" s="428"/>
      <c r="AI94" s="428"/>
      <c r="AJ94" s="428"/>
      <c r="AK94" s="428"/>
      <c r="AL94" s="428"/>
      <c r="AM94" s="428"/>
      <c r="AN94" s="428"/>
      <c r="AO94" s="428"/>
      <c r="AP94" s="428"/>
      <c r="AQ94" s="428"/>
      <c r="AR94" s="428"/>
      <c r="AS94" s="428"/>
      <c r="AT94" s="428"/>
      <c r="AU94" s="428"/>
      <c r="AV94" s="424" t="b">
        <f t="shared" si="140"/>
        <v>1</v>
      </c>
      <c r="AW94" s="424" t="b">
        <f t="shared" si="140"/>
        <v>1</v>
      </c>
      <c r="AX94" s="424" t="b">
        <f t="shared" si="140"/>
        <v>1</v>
      </c>
      <c r="AY94" s="424" t="b">
        <f t="shared" si="140"/>
        <v>1</v>
      </c>
      <c r="AZ94" s="424" t="b">
        <f t="shared" si="140"/>
        <v>1</v>
      </c>
      <c r="BA94" s="424" t="b">
        <f t="shared" si="140"/>
        <v>1</v>
      </c>
      <c r="BB94" s="424" t="b">
        <f t="shared" si="140"/>
        <v>1</v>
      </c>
      <c r="BC94" s="424" t="b">
        <f t="shared" si="140"/>
        <v>1</v>
      </c>
      <c r="BD94" s="424" t="b">
        <f t="shared" si="135"/>
        <v>1</v>
      </c>
      <c r="BE94" s="424" t="b">
        <f t="shared" si="135"/>
        <v>1</v>
      </c>
      <c r="BF94" s="424" t="b">
        <f t="shared" si="135"/>
        <v>1</v>
      </c>
      <c r="BG94" s="424" t="b">
        <f t="shared" si="135"/>
        <v>1</v>
      </c>
      <c r="BH94" s="424" t="b">
        <f t="shared" si="135"/>
        <v>1</v>
      </c>
      <c r="BI94" s="424" t="b">
        <f t="shared" si="135"/>
        <v>1</v>
      </c>
      <c r="BJ94" s="424" t="b">
        <f t="shared" si="141"/>
        <v>1</v>
      </c>
      <c r="BK94" s="424" t="b">
        <f t="shared" si="141"/>
        <v>1</v>
      </c>
      <c r="BL94" s="424" t="b">
        <f t="shared" si="141"/>
        <v>1</v>
      </c>
      <c r="BM94" s="424" t="b">
        <f t="shared" si="141"/>
        <v>1</v>
      </c>
      <c r="BN94" s="424" t="b">
        <f t="shared" si="141"/>
        <v>1</v>
      </c>
      <c r="BO94" s="424" t="b">
        <f t="shared" si="141"/>
        <v>1</v>
      </c>
      <c r="BP94" s="424" t="b">
        <f t="shared" si="141"/>
        <v>1</v>
      </c>
      <c r="BQ94" s="217"/>
      <c r="BR94" s="216"/>
      <c r="BS94" s="216"/>
      <c r="BT94" s="216"/>
      <c r="BU94" s="216"/>
      <c r="BV94" s="216"/>
      <c r="BW94" s="216"/>
      <c r="BX94" s="216"/>
      <c r="BY94" s="216"/>
      <c r="BZ94" s="216"/>
      <c r="CA94" s="216"/>
      <c r="CB94" s="216"/>
      <c r="CC94" s="216"/>
      <c r="CD94" s="216"/>
      <c r="CE94" s="216"/>
      <c r="CF94" s="216"/>
      <c r="CG94" s="216"/>
      <c r="CH94" s="216"/>
      <c r="CI94" s="216"/>
      <c r="CJ94" s="216"/>
      <c r="CK94" s="216"/>
      <c r="CL94" s="216"/>
      <c r="CM94" s="428"/>
      <c r="CN94" s="428"/>
      <c r="CO94" s="428"/>
      <c r="CP94" s="428"/>
      <c r="CQ94" s="428"/>
      <c r="CR94" s="428"/>
      <c r="CS94" s="428"/>
      <c r="CT94" s="428"/>
      <c r="CU94" s="428"/>
      <c r="CV94" s="428"/>
      <c r="CW94" s="428"/>
      <c r="CX94" s="428"/>
      <c r="CY94" s="428"/>
      <c r="CZ94" s="428"/>
      <c r="DA94" s="428"/>
      <c r="DB94" s="428"/>
      <c r="DC94" s="428"/>
      <c r="DD94" s="428"/>
      <c r="DE94" s="428"/>
      <c r="DF94" s="428"/>
      <c r="DG94" s="428"/>
      <c r="DH94" s="424" t="b">
        <f t="shared" si="134"/>
        <v>1</v>
      </c>
      <c r="DI94" s="424" t="b">
        <f t="shared" si="134"/>
        <v>1</v>
      </c>
      <c r="DJ94" s="424" t="b">
        <f t="shared" si="134"/>
        <v>1</v>
      </c>
      <c r="DK94" s="424" t="b">
        <f t="shared" si="134"/>
        <v>1</v>
      </c>
      <c r="DL94" s="424" t="b">
        <f t="shared" si="134"/>
        <v>1</v>
      </c>
      <c r="DM94" s="424" t="b">
        <f t="shared" si="134"/>
        <v>1</v>
      </c>
      <c r="DN94" s="424" t="b">
        <f t="shared" si="134"/>
        <v>1</v>
      </c>
      <c r="DO94" s="424" t="b">
        <f t="shared" si="134"/>
        <v>1</v>
      </c>
      <c r="DP94" s="424" t="b">
        <f t="shared" si="134"/>
        <v>1</v>
      </c>
      <c r="DQ94" s="424" t="b">
        <f t="shared" si="134"/>
        <v>1</v>
      </c>
      <c r="DR94" s="424" t="b">
        <f t="shared" si="134"/>
        <v>1</v>
      </c>
      <c r="DS94" s="424" t="b">
        <f t="shared" si="143"/>
        <v>1</v>
      </c>
      <c r="DT94" s="424" t="b">
        <f t="shared" si="144"/>
        <v>1</v>
      </c>
      <c r="DU94" s="424" t="b">
        <f t="shared" si="142"/>
        <v>1</v>
      </c>
      <c r="DV94" s="424" t="b">
        <f t="shared" si="142"/>
        <v>1</v>
      </c>
      <c r="DW94" s="424" t="b">
        <f t="shared" si="142"/>
        <v>1</v>
      </c>
      <c r="DX94" s="424" t="b">
        <f t="shared" si="142"/>
        <v>1</v>
      </c>
      <c r="DY94" s="424" t="b">
        <f t="shared" si="142"/>
        <v>1</v>
      </c>
      <c r="DZ94" s="424" t="b">
        <f t="shared" si="142"/>
        <v>1</v>
      </c>
      <c r="EA94" s="424" t="b">
        <f t="shared" si="142"/>
        <v>1</v>
      </c>
      <c r="EB94" s="424" t="b">
        <f t="shared" si="142"/>
        <v>1</v>
      </c>
      <c r="EC94" s="217"/>
      <c r="ED94" s="218"/>
      <c r="EE94" s="218"/>
      <c r="EF94" s="218"/>
      <c r="EG94" s="218"/>
      <c r="EH94" s="218"/>
      <c r="EI94" s="218"/>
      <c r="EJ94" s="218"/>
      <c r="EK94" s="218"/>
      <c r="EL94" s="218"/>
      <c r="EM94" s="218"/>
      <c r="EN94" s="218"/>
      <c r="EO94" s="218"/>
      <c r="EP94" s="218"/>
      <c r="EQ94" s="218"/>
      <c r="ER94" s="218"/>
      <c r="ES94" s="218"/>
      <c r="ET94" s="218"/>
      <c r="EU94" s="218"/>
      <c r="EV94" s="218"/>
      <c r="EW94" s="218"/>
      <c r="EX94" s="218"/>
      <c r="EY94" s="217"/>
    </row>
    <row r="95" spans="1:155" x14ac:dyDescent="0.35">
      <c r="C95" s="241">
        <v>58</v>
      </c>
      <c r="D95" s="279" t="s">
        <v>65</v>
      </c>
      <c r="E95" s="243" t="s">
        <v>59</v>
      </c>
      <c r="F95" s="384">
        <f>'[10]Данные для переноса'!F96</f>
        <v>1166.8999999999999</v>
      </c>
      <c r="G95" s="384">
        <f>'[10]Данные для переноса'!G96</f>
        <v>1223.9000000000001</v>
      </c>
      <c r="H95" s="384">
        <f>'[10]Данные для переноса'!H96</f>
        <v>1308.7</v>
      </c>
      <c r="I95" s="384">
        <f>'[10]Данные для переноса'!I96</f>
        <v>1336.0757173980273</v>
      </c>
      <c r="J95" s="384">
        <f>'[10]Данные для переноса'!J96</f>
        <v>1355.1197255502034</v>
      </c>
      <c r="K95" s="384">
        <f>'[10]Данные для переноса'!K96</f>
        <v>1364.1699528962408</v>
      </c>
      <c r="L95" s="384">
        <f>'[10]Данные для переноса'!L96</f>
        <v>1363.7714344133942</v>
      </c>
      <c r="M95" s="384">
        <f>'[10]Данные для переноса'!M96</f>
        <v>1363.1405697216408</v>
      </c>
      <c r="N95" s="384">
        <f>'[10]Данные для переноса'!N96</f>
        <v>1363.1405697216408</v>
      </c>
      <c r="O95" s="384">
        <f>'[10]Данные для переноса'!O96</f>
        <v>1363.1405697216408</v>
      </c>
      <c r="P95" s="384">
        <f>'[10]Данные для переноса'!P96</f>
        <v>1363.1405697216408</v>
      </c>
      <c r="Q95" s="384">
        <f>'[10]Данные для переноса'!Q96</f>
        <v>1363.1405697216408</v>
      </c>
      <c r="R95" s="384">
        <f>'[10]Данные для переноса'!R96</f>
        <v>1363.1405697216408</v>
      </c>
      <c r="S95" s="384">
        <f>'[10]Данные для переноса'!S96</f>
        <v>1363.1405697216408</v>
      </c>
      <c r="T95" s="384">
        <f>'[10]Данные для переноса'!T96</f>
        <v>1363.1405697216408</v>
      </c>
      <c r="U95" s="384">
        <f>'[10]Данные для переноса'!U96</f>
        <v>1363.1405697216408</v>
      </c>
      <c r="V95" s="384">
        <f>'[10]Данные для переноса'!V96</f>
        <v>1363.1405697216408</v>
      </c>
      <c r="W95" s="384">
        <f>'[10]Данные для переноса'!W96</f>
        <v>1363.1405697216408</v>
      </c>
      <c r="X95" s="384">
        <f>'[10]Данные для переноса'!X96</f>
        <v>1363.1405697216408</v>
      </c>
      <c r="Y95" s="384">
        <f>'[10]Данные для переноса'!Y96</f>
        <v>1363.1405697216408</v>
      </c>
      <c r="Z95" s="384">
        <f>'[10]Данные для переноса'!Z96</f>
        <v>1363.1405697216408</v>
      </c>
      <c r="AA95" s="453">
        <v>1166.8999999999999</v>
      </c>
      <c r="AB95" s="453">
        <v>1223.9000000000001</v>
      </c>
      <c r="AC95" s="453">
        <v>1308.7</v>
      </c>
      <c r="AD95" s="453">
        <v>1336.0757173980273</v>
      </c>
      <c r="AE95" s="453">
        <v>1355.1197255502034</v>
      </c>
      <c r="AF95" s="453">
        <v>1364.1699528962408</v>
      </c>
      <c r="AG95" s="453">
        <v>1363.7714344133942</v>
      </c>
      <c r="AH95" s="453">
        <v>1363.1405697216408</v>
      </c>
      <c r="AI95" s="453">
        <v>1363.1405697216408</v>
      </c>
      <c r="AJ95" s="453">
        <v>1363.1405697216408</v>
      </c>
      <c r="AK95" s="453">
        <v>1363.1405697216408</v>
      </c>
      <c r="AL95" s="453">
        <v>1363.1405697216408</v>
      </c>
      <c r="AM95" s="453">
        <v>1363.1405697216408</v>
      </c>
      <c r="AN95" s="453">
        <v>1363.1405697216408</v>
      </c>
      <c r="AO95" s="453">
        <v>1363.1405697216408</v>
      </c>
      <c r="AP95" s="453">
        <v>1363.1405697216408</v>
      </c>
      <c r="AQ95" s="453">
        <v>1363.1405697216408</v>
      </c>
      <c r="AR95" s="453">
        <v>1363.1405697216408</v>
      </c>
      <c r="AS95" s="453">
        <v>1363.1405697216408</v>
      </c>
      <c r="AT95" s="453">
        <v>1363.1405697216408</v>
      </c>
      <c r="AU95" s="453">
        <v>1363.1405697216408</v>
      </c>
      <c r="AV95" s="454" t="b">
        <f t="shared" si="140"/>
        <v>1</v>
      </c>
      <c r="AW95" s="454" t="b">
        <f t="shared" si="140"/>
        <v>1</v>
      </c>
      <c r="AX95" s="454" t="b">
        <f t="shared" si="140"/>
        <v>1</v>
      </c>
      <c r="AY95" s="454" t="b">
        <f t="shared" si="140"/>
        <v>1</v>
      </c>
      <c r="AZ95" s="454" t="b">
        <f t="shared" si="140"/>
        <v>1</v>
      </c>
      <c r="BA95" s="454" t="b">
        <f t="shared" si="140"/>
        <v>1</v>
      </c>
      <c r="BB95" s="454" t="b">
        <f t="shared" si="140"/>
        <v>1</v>
      </c>
      <c r="BC95" s="454" t="b">
        <f t="shared" si="140"/>
        <v>1</v>
      </c>
      <c r="BD95" s="454" t="b">
        <f t="shared" si="135"/>
        <v>1</v>
      </c>
      <c r="BE95" s="454" t="b">
        <f t="shared" si="135"/>
        <v>1</v>
      </c>
      <c r="BF95" s="454" t="b">
        <f t="shared" si="135"/>
        <v>1</v>
      </c>
      <c r="BG95" s="454" t="b">
        <f t="shared" si="135"/>
        <v>1</v>
      </c>
      <c r="BH95" s="454" t="b">
        <f t="shared" si="135"/>
        <v>1</v>
      </c>
      <c r="BI95" s="454" t="b">
        <f t="shared" si="135"/>
        <v>1</v>
      </c>
      <c r="BJ95" s="454" t="b">
        <f t="shared" si="141"/>
        <v>1</v>
      </c>
      <c r="BK95" s="454" t="b">
        <f t="shared" si="141"/>
        <v>1</v>
      </c>
      <c r="BL95" s="454" t="b">
        <f t="shared" si="141"/>
        <v>1</v>
      </c>
      <c r="BM95" s="454" t="b">
        <f t="shared" si="141"/>
        <v>1</v>
      </c>
      <c r="BN95" s="454" t="b">
        <f t="shared" si="141"/>
        <v>1</v>
      </c>
      <c r="BO95" s="454" t="b">
        <f t="shared" si="141"/>
        <v>1</v>
      </c>
      <c r="BP95" s="454" t="b">
        <f t="shared" si="141"/>
        <v>1</v>
      </c>
      <c r="BQ95" s="275">
        <f t="shared" si="150"/>
        <v>1362.7664169978123</v>
      </c>
      <c r="BR95" s="280">
        <f>'[10]Данные для переноса'!AB96</f>
        <v>1166.8999999999999</v>
      </c>
      <c r="BS95" s="280">
        <f>'[10]Данные для переноса'!AC96</f>
        <v>1223.9000000000001</v>
      </c>
      <c r="BT95" s="280">
        <f>'[10]Данные для переноса'!AD96</f>
        <v>1308.7</v>
      </c>
      <c r="BU95" s="280">
        <f>'[10]Данные для переноса'!AE96</f>
        <v>1342.3069715022032</v>
      </c>
      <c r="BV95" s="280">
        <f>'[10]Данные для переноса'!AF96</f>
        <v>1375.0702893206183</v>
      </c>
      <c r="BW95" s="280">
        <f>'[10]Данные для переноса'!AG96</f>
        <v>1400.6908135680565</v>
      </c>
      <c r="BX95" s="280">
        <f>'[10]Данные для переноса'!AH96</f>
        <v>1414.9699979113507</v>
      </c>
      <c r="BY95" s="280">
        <f>'[10]Данные для переноса'!AI96</f>
        <v>1423.3212643740746</v>
      </c>
      <c r="BZ95" s="280">
        <f>'[10]Данные для переноса'!AJ96</f>
        <v>1427.9228656550995</v>
      </c>
      <c r="CA95" s="280">
        <f>'[10]Данные для переноса'!AK96</f>
        <v>1432.3389184973735</v>
      </c>
      <c r="CB95" s="280">
        <f>'[10]Данные для переноса'!AL96</f>
        <v>1436.8291907151477</v>
      </c>
      <c r="CC95" s="280">
        <f>'[10]Данные для переноса'!AM96</f>
        <v>1441.3936823084223</v>
      </c>
      <c r="CD95" s="280">
        <f>'[10]Данные для переноса'!AN96</f>
        <v>1446.0323932771971</v>
      </c>
      <c r="CE95" s="280">
        <f>'[10]Данные для переноса'!AO96</f>
        <v>1450.26289768072</v>
      </c>
      <c r="CF95" s="280">
        <f>'[10]Данные для переноса'!AP96</f>
        <v>1454.4934020842429</v>
      </c>
      <c r="CG95" s="280">
        <f>'[10]Данные для переноса'!AQ96</f>
        <v>1460.3938424365247</v>
      </c>
      <c r="CH95" s="280">
        <f>'[10]Данные для переноса'!AR96</f>
        <v>1465.1438824685504</v>
      </c>
      <c r="CI95" s="280">
        <f>'[10]Данные для переноса'!AS96</f>
        <v>1469.374386872073</v>
      </c>
      <c r="CJ95" s="280">
        <f>'[10]Данные для переноса'!AT96</f>
        <v>1474.161536591849</v>
      </c>
      <c r="CK95" s="280">
        <f>'[10]Данные для переноса'!AU96</f>
        <v>1478.2064925566208</v>
      </c>
      <c r="CL95" s="280">
        <f>'[10]Данные для переноса'!AV96</f>
        <v>1482.8452035253958</v>
      </c>
      <c r="CM95" s="453">
        <v>1166.8999999999999</v>
      </c>
      <c r="CN95" s="453">
        <v>1223.9000000000001</v>
      </c>
      <c r="CO95" s="453">
        <v>1308.7</v>
      </c>
      <c r="CP95" s="453">
        <v>1342.3069715022032</v>
      </c>
      <c r="CQ95" s="453">
        <v>1375.0702893206183</v>
      </c>
      <c r="CR95" s="453">
        <v>1400.6908135680565</v>
      </c>
      <c r="CS95" s="453">
        <v>1414.9699979113507</v>
      </c>
      <c r="CT95" s="453">
        <v>1423.3212643740746</v>
      </c>
      <c r="CU95" s="453">
        <v>1427.9228656550995</v>
      </c>
      <c r="CV95" s="453">
        <v>1432.3389184973735</v>
      </c>
      <c r="CW95" s="453">
        <v>1436.8291907151477</v>
      </c>
      <c r="CX95" s="453">
        <v>1441.3936823084223</v>
      </c>
      <c r="CY95" s="453">
        <v>1446.0323932771971</v>
      </c>
      <c r="CZ95" s="453">
        <v>1450.26289768072</v>
      </c>
      <c r="DA95" s="453">
        <v>1454.4934020842429</v>
      </c>
      <c r="DB95" s="453">
        <v>1460.3938424365247</v>
      </c>
      <c r="DC95" s="453">
        <v>1465.1438824685504</v>
      </c>
      <c r="DD95" s="453">
        <v>1469.374386872073</v>
      </c>
      <c r="DE95" s="453">
        <v>1474.161536591849</v>
      </c>
      <c r="DF95" s="453">
        <v>1478.2064925566208</v>
      </c>
      <c r="DG95" s="453">
        <v>1482.8452035253958</v>
      </c>
      <c r="DH95" s="454" t="b">
        <f t="shared" si="134"/>
        <v>1</v>
      </c>
      <c r="DI95" s="454" t="b">
        <f t="shared" si="134"/>
        <v>1</v>
      </c>
      <c r="DJ95" s="454" t="b">
        <f t="shared" si="134"/>
        <v>1</v>
      </c>
      <c r="DK95" s="454" t="b">
        <f t="shared" si="134"/>
        <v>1</v>
      </c>
      <c r="DL95" s="454" t="b">
        <f t="shared" si="134"/>
        <v>1</v>
      </c>
      <c r="DM95" s="454" t="b">
        <f t="shared" si="134"/>
        <v>1</v>
      </c>
      <c r="DN95" s="454" t="b">
        <f t="shared" si="134"/>
        <v>1</v>
      </c>
      <c r="DO95" s="454" t="b">
        <f t="shared" si="134"/>
        <v>1</v>
      </c>
      <c r="DP95" s="454" t="b">
        <f t="shared" si="134"/>
        <v>1</v>
      </c>
      <c r="DQ95" s="454" t="b">
        <f t="shared" si="134"/>
        <v>1</v>
      </c>
      <c r="DR95" s="454" t="b">
        <f t="shared" si="134"/>
        <v>1</v>
      </c>
      <c r="DS95" s="454" t="b">
        <f t="shared" si="143"/>
        <v>1</v>
      </c>
      <c r="DT95" s="454" t="b">
        <f t="shared" si="144"/>
        <v>1</v>
      </c>
      <c r="DU95" s="454" t="b">
        <f t="shared" si="142"/>
        <v>1</v>
      </c>
      <c r="DV95" s="454" t="b">
        <f t="shared" si="142"/>
        <v>1</v>
      </c>
      <c r="DW95" s="454" t="b">
        <f t="shared" si="142"/>
        <v>1</v>
      </c>
      <c r="DX95" s="454" t="b">
        <f t="shared" si="142"/>
        <v>1</v>
      </c>
      <c r="DY95" s="454" t="b">
        <f t="shared" si="142"/>
        <v>1</v>
      </c>
      <c r="DZ95" s="454" t="b">
        <f t="shared" si="142"/>
        <v>1</v>
      </c>
      <c r="EA95" s="454" t="b">
        <f t="shared" si="142"/>
        <v>1</v>
      </c>
      <c r="EB95" s="454" t="b">
        <f t="shared" si="142"/>
        <v>1</v>
      </c>
      <c r="EC95" s="275">
        <f t="shared" si="151"/>
        <v>1443.144179990783</v>
      </c>
      <c r="ED95" s="281">
        <f>BR95-F95</f>
        <v>0</v>
      </c>
      <c r="EE95" s="281">
        <f>BS95-G95</f>
        <v>0</v>
      </c>
      <c r="EF95" s="281">
        <f>BT95-H95</f>
        <v>0</v>
      </c>
      <c r="EG95" s="281">
        <f>BU95-I95</f>
        <v>6.2312541041758323</v>
      </c>
      <c r="EH95" s="281">
        <f>BV95-J95</f>
        <v>19.950563770414874</v>
      </c>
      <c r="EI95" s="281">
        <f>BW95-K95</f>
        <v>36.520860671815626</v>
      </c>
      <c r="EJ95" s="281">
        <f>BX95-L95</f>
        <v>51.198563497956457</v>
      </c>
      <c r="EK95" s="281">
        <f>BY95-M95</f>
        <v>60.180694652433885</v>
      </c>
      <c r="EL95" s="281">
        <f>BZ95-N95</f>
        <v>64.782295933458727</v>
      </c>
      <c r="EM95" s="281">
        <f>CA95-O95</f>
        <v>69.198348775732711</v>
      </c>
      <c r="EN95" s="281">
        <f>CB95-P95</f>
        <v>73.688620993506902</v>
      </c>
      <c r="EO95" s="281">
        <f>CC95-Q95</f>
        <v>78.253112586781526</v>
      </c>
      <c r="EP95" s="281">
        <f>CD95-R95</f>
        <v>82.891823555556357</v>
      </c>
      <c r="EQ95" s="281">
        <f>CE95-S95</f>
        <v>87.122327959079257</v>
      </c>
      <c r="ER95" s="281">
        <f>CF95-T95</f>
        <v>91.352832362602157</v>
      </c>
      <c r="ES95" s="281">
        <f>CG95-U95</f>
        <v>97.253272714883906</v>
      </c>
      <c r="ET95" s="281">
        <f>CH95-V95</f>
        <v>102.00331274690961</v>
      </c>
      <c r="EU95" s="281">
        <f>CI95-W95</f>
        <v>106.23381715043229</v>
      </c>
      <c r="EV95" s="281">
        <f>CJ95-X95</f>
        <v>111.02096687020821</v>
      </c>
      <c r="EW95" s="281">
        <f>CK95-Y95</f>
        <v>115.06592283498003</v>
      </c>
      <c r="EX95" s="281">
        <f>CL95-Z95</f>
        <v>119.70463380375509</v>
      </c>
      <c r="EY95" s="275">
        <f t="shared" si="152"/>
        <v>80.377762992971043</v>
      </c>
    </row>
    <row r="96" spans="1:155" x14ac:dyDescent="0.35">
      <c r="C96" s="241">
        <v>59</v>
      </c>
      <c r="D96" s="242" t="s">
        <v>66</v>
      </c>
      <c r="E96" s="243" t="s">
        <v>59</v>
      </c>
      <c r="F96" s="384">
        <f>'[10]Данные для переноса'!F97</f>
        <v>1112.8</v>
      </c>
      <c r="G96" s="384">
        <f>'[10]Данные для переноса'!G97</f>
        <v>1166.7</v>
      </c>
      <c r="H96" s="384">
        <f>'[10]Данные для переноса'!H97</f>
        <v>1250.5</v>
      </c>
      <c r="I96" s="384">
        <f>'[10]Данные для переноса'!I97</f>
        <v>1284.0694155324256</v>
      </c>
      <c r="J96" s="384">
        <f>'[10]Данные для переноса'!J97</f>
        <v>1307.0774219375498</v>
      </c>
      <c r="K96" s="384">
        <f>'[10]Данные для переноса'!K97</f>
        <v>1320.3626901521216</v>
      </c>
      <c r="L96" s="384">
        <f>'[10]Данные для переноса'!L97</f>
        <v>1320.0658126501198</v>
      </c>
      <c r="M96" s="384">
        <f>'[10]Данные для переноса'!M97</f>
        <v>1319.4349479583664</v>
      </c>
      <c r="N96" s="384">
        <f>'[10]Данные для переноса'!N97</f>
        <v>1319.4349479583664</v>
      </c>
      <c r="O96" s="384">
        <f>'[10]Данные для переноса'!O97</f>
        <v>1319.4349479583664</v>
      </c>
      <c r="P96" s="384">
        <f>'[10]Данные для переноса'!P97</f>
        <v>1319.4349479583664</v>
      </c>
      <c r="Q96" s="384">
        <f>'[10]Данные для переноса'!Q97</f>
        <v>1319.4349479583664</v>
      </c>
      <c r="R96" s="384">
        <f>'[10]Данные для переноса'!R97</f>
        <v>1319.4349479583664</v>
      </c>
      <c r="S96" s="384">
        <f>'[10]Данные для переноса'!S97</f>
        <v>1319.4349479583664</v>
      </c>
      <c r="T96" s="384">
        <f>'[10]Данные для переноса'!T97</f>
        <v>1319.4349479583664</v>
      </c>
      <c r="U96" s="384">
        <f>'[10]Данные для переноса'!U97</f>
        <v>1319.4349479583664</v>
      </c>
      <c r="V96" s="384">
        <f>'[10]Данные для переноса'!V97</f>
        <v>1319.4349479583664</v>
      </c>
      <c r="W96" s="384">
        <f>'[10]Данные для переноса'!W97</f>
        <v>1319.4349479583664</v>
      </c>
      <c r="X96" s="384">
        <f>'[10]Данные для переноса'!X97</f>
        <v>1319.4349479583664</v>
      </c>
      <c r="Y96" s="384">
        <f>'[10]Данные для переноса'!Y97</f>
        <v>1319.4349479583664</v>
      </c>
      <c r="Z96" s="384">
        <f>'[10]Данные для переноса'!Z97</f>
        <v>1319.4349479583664</v>
      </c>
      <c r="AA96" s="426">
        <v>1112.8</v>
      </c>
      <c r="AB96" s="426">
        <v>1166.7</v>
      </c>
      <c r="AC96" s="426">
        <v>1250.5</v>
      </c>
      <c r="AD96" s="426">
        <v>1284.0694155324256</v>
      </c>
      <c r="AE96" s="426">
        <v>1307.0774219375498</v>
      </c>
      <c r="AF96" s="426">
        <v>1320.3626901521216</v>
      </c>
      <c r="AG96" s="426">
        <v>1320.0658126501198</v>
      </c>
      <c r="AH96" s="426">
        <v>1319.4349479583664</v>
      </c>
      <c r="AI96" s="426">
        <v>1319.4349479583664</v>
      </c>
      <c r="AJ96" s="426">
        <v>1319.4349479583664</v>
      </c>
      <c r="AK96" s="426">
        <v>1319.4349479583664</v>
      </c>
      <c r="AL96" s="426">
        <v>1319.4349479583664</v>
      </c>
      <c r="AM96" s="426">
        <v>1319.4349479583664</v>
      </c>
      <c r="AN96" s="426">
        <v>1319.4349479583664</v>
      </c>
      <c r="AO96" s="426">
        <v>1319.4349479583664</v>
      </c>
      <c r="AP96" s="426">
        <v>1319.4349479583664</v>
      </c>
      <c r="AQ96" s="426">
        <v>1319.4349479583664</v>
      </c>
      <c r="AR96" s="426">
        <v>1319.4349479583664</v>
      </c>
      <c r="AS96" s="426">
        <v>1319.4349479583664</v>
      </c>
      <c r="AT96" s="426">
        <v>1319.4349479583664</v>
      </c>
      <c r="AU96" s="426">
        <v>1319.4349479583664</v>
      </c>
      <c r="AV96" s="430" t="b">
        <f t="shared" si="140"/>
        <v>1</v>
      </c>
      <c r="AW96" s="430" t="b">
        <f t="shared" si="140"/>
        <v>1</v>
      </c>
      <c r="AX96" s="430" t="b">
        <f t="shared" si="140"/>
        <v>1</v>
      </c>
      <c r="AY96" s="430" t="b">
        <f t="shared" si="140"/>
        <v>1</v>
      </c>
      <c r="AZ96" s="430" t="b">
        <f t="shared" si="140"/>
        <v>1</v>
      </c>
      <c r="BA96" s="430" t="b">
        <f t="shared" si="140"/>
        <v>1</v>
      </c>
      <c r="BB96" s="430" t="b">
        <f t="shared" si="140"/>
        <v>1</v>
      </c>
      <c r="BC96" s="430" t="b">
        <f t="shared" si="140"/>
        <v>1</v>
      </c>
      <c r="BD96" s="430" t="b">
        <f t="shared" si="135"/>
        <v>1</v>
      </c>
      <c r="BE96" s="430" t="b">
        <f t="shared" si="135"/>
        <v>1</v>
      </c>
      <c r="BF96" s="430" t="b">
        <f t="shared" si="135"/>
        <v>1</v>
      </c>
      <c r="BG96" s="430" t="b">
        <f t="shared" si="135"/>
        <v>1</v>
      </c>
      <c r="BH96" s="430" t="b">
        <f t="shared" si="135"/>
        <v>1</v>
      </c>
      <c r="BI96" s="430" t="b">
        <f t="shared" si="135"/>
        <v>1</v>
      </c>
      <c r="BJ96" s="430" t="b">
        <f t="shared" si="141"/>
        <v>1</v>
      </c>
      <c r="BK96" s="430" t="b">
        <f t="shared" si="141"/>
        <v>1</v>
      </c>
      <c r="BL96" s="430" t="b">
        <f t="shared" si="141"/>
        <v>1</v>
      </c>
      <c r="BM96" s="430" t="b">
        <f t="shared" si="141"/>
        <v>1</v>
      </c>
      <c r="BN96" s="430" t="b">
        <f t="shared" si="141"/>
        <v>1</v>
      </c>
      <c r="BO96" s="430" t="b">
        <f t="shared" si="141"/>
        <v>1</v>
      </c>
      <c r="BP96" s="430" t="b">
        <f t="shared" si="141"/>
        <v>1</v>
      </c>
      <c r="BQ96" s="275">
        <f t="shared" si="150"/>
        <v>1318.7997174209952</v>
      </c>
      <c r="BR96" s="247">
        <f>'[10]Данные для переноса'!AB97</f>
        <v>1112.8</v>
      </c>
      <c r="BS96" s="247">
        <f>'[10]Данные для переноса'!AC97</f>
        <v>1166.7</v>
      </c>
      <c r="BT96" s="247">
        <f>'[10]Данные для переноса'!AD97</f>
        <v>1250.5</v>
      </c>
      <c r="BU96" s="247">
        <f>'[10]Данные для переноса'!AE97</f>
        <v>1291.0460368294634</v>
      </c>
      <c r="BV96" s="247">
        <f>'[10]Данные для переноса'!AF97</f>
        <v>1328.0443955164128</v>
      </c>
      <c r="BW96" s="247">
        <f>'[10]Данные для переноса'!AG97</f>
        <v>1358.103242594075</v>
      </c>
      <c r="BX96" s="247">
        <f>'[10]Данные для переноса'!AH97</f>
        <v>1372.6873498799036</v>
      </c>
      <c r="BY96" s="247">
        <f>'[10]Данные для переноса'!AI97</f>
        <v>1380.6659327461966</v>
      </c>
      <c r="BZ96" s="247">
        <f>'[10]Данные для переноса'!AJ97</f>
        <v>1385.2675340272215</v>
      </c>
      <c r="CA96" s="247">
        <f>'[10]Данные для переноса'!AK97</f>
        <v>1389.6835868694955</v>
      </c>
      <c r="CB96" s="247">
        <f>'[10]Данные для переноса'!AL97</f>
        <v>1394.1738590872696</v>
      </c>
      <c r="CC96" s="247">
        <f>'[10]Данные для переноса'!AM97</f>
        <v>1398.7383506805443</v>
      </c>
      <c r="CD96" s="247">
        <f>'[10]Данные для переноса'!AN97</f>
        <v>1403.3770616493191</v>
      </c>
      <c r="CE96" s="247">
        <f>'[10]Данные для переноса'!AO97</f>
        <v>1407.607566052842</v>
      </c>
      <c r="CF96" s="247">
        <f>'[10]Данные для переноса'!AP97</f>
        <v>1411.8380704563649</v>
      </c>
      <c r="CG96" s="247">
        <f>'[10]Данные для переноса'!AQ97</f>
        <v>1417.7385108086467</v>
      </c>
      <c r="CH96" s="247">
        <f>'[10]Данные для переноса'!AR97</f>
        <v>1422.4885508406724</v>
      </c>
      <c r="CI96" s="247">
        <f>'[10]Данные для переноса'!AS97</f>
        <v>1426.719055244195</v>
      </c>
      <c r="CJ96" s="247">
        <f>'[10]Данные для переноса'!AT97</f>
        <v>1431.506204963971</v>
      </c>
      <c r="CK96" s="247">
        <f>'[10]Данные для переноса'!AU97</f>
        <v>1435.5511609287428</v>
      </c>
      <c r="CL96" s="247">
        <f>'[10]Данные для переноса'!AV97</f>
        <v>1440.1898718975178</v>
      </c>
      <c r="CM96" s="426">
        <v>1112.8</v>
      </c>
      <c r="CN96" s="426">
        <v>1166.7</v>
      </c>
      <c r="CO96" s="426">
        <v>1250.5</v>
      </c>
      <c r="CP96" s="426">
        <v>1291.0460368294634</v>
      </c>
      <c r="CQ96" s="426">
        <v>1328.0443955164128</v>
      </c>
      <c r="CR96" s="426">
        <v>1358.103242594075</v>
      </c>
      <c r="CS96" s="426">
        <v>1372.6873498799036</v>
      </c>
      <c r="CT96" s="426">
        <v>1380.6659327461966</v>
      </c>
      <c r="CU96" s="426">
        <v>1385.2675340272215</v>
      </c>
      <c r="CV96" s="426">
        <v>1389.6835868694955</v>
      </c>
      <c r="CW96" s="426">
        <v>1394.1738590872696</v>
      </c>
      <c r="CX96" s="426">
        <v>1398.7383506805443</v>
      </c>
      <c r="CY96" s="426">
        <v>1403.3770616493191</v>
      </c>
      <c r="CZ96" s="426">
        <v>1407.607566052842</v>
      </c>
      <c r="DA96" s="426">
        <v>1411.8380704563649</v>
      </c>
      <c r="DB96" s="426">
        <v>1417.7385108086467</v>
      </c>
      <c r="DC96" s="426">
        <v>1422.4885508406724</v>
      </c>
      <c r="DD96" s="426">
        <v>1426.719055244195</v>
      </c>
      <c r="DE96" s="426">
        <v>1431.506204963971</v>
      </c>
      <c r="DF96" s="426">
        <v>1435.5511609287428</v>
      </c>
      <c r="DG96" s="426">
        <v>1440.1898718975178</v>
      </c>
      <c r="DH96" s="430" t="b">
        <f t="shared" si="134"/>
        <v>1</v>
      </c>
      <c r="DI96" s="430" t="b">
        <f t="shared" si="134"/>
        <v>1</v>
      </c>
      <c r="DJ96" s="430" t="b">
        <f t="shared" si="134"/>
        <v>1</v>
      </c>
      <c r="DK96" s="430" t="b">
        <f t="shared" si="134"/>
        <v>1</v>
      </c>
      <c r="DL96" s="430" t="b">
        <f t="shared" si="134"/>
        <v>1</v>
      </c>
      <c r="DM96" s="430" t="b">
        <f t="shared" si="134"/>
        <v>1</v>
      </c>
      <c r="DN96" s="430" t="b">
        <f t="shared" si="134"/>
        <v>1</v>
      </c>
      <c r="DO96" s="430" t="b">
        <f t="shared" si="134"/>
        <v>1</v>
      </c>
      <c r="DP96" s="430" t="b">
        <f t="shared" si="134"/>
        <v>1</v>
      </c>
      <c r="DQ96" s="430" t="b">
        <f t="shared" si="134"/>
        <v>1</v>
      </c>
      <c r="DR96" s="430" t="b">
        <f t="shared" si="134"/>
        <v>1</v>
      </c>
      <c r="DS96" s="430" t="b">
        <f t="shared" si="143"/>
        <v>1</v>
      </c>
      <c r="DT96" s="430" t="b">
        <f t="shared" si="144"/>
        <v>1</v>
      </c>
      <c r="DU96" s="430" t="b">
        <f t="shared" si="142"/>
        <v>1</v>
      </c>
      <c r="DV96" s="430" t="b">
        <f t="shared" si="142"/>
        <v>1</v>
      </c>
      <c r="DW96" s="430" t="b">
        <f t="shared" si="142"/>
        <v>1</v>
      </c>
      <c r="DX96" s="430" t="b">
        <f t="shared" si="142"/>
        <v>1</v>
      </c>
      <c r="DY96" s="430" t="b">
        <f t="shared" si="142"/>
        <v>1</v>
      </c>
      <c r="DZ96" s="430" t="b">
        <f t="shared" si="142"/>
        <v>1</v>
      </c>
      <c r="EA96" s="430" t="b">
        <f t="shared" si="142"/>
        <v>1</v>
      </c>
      <c r="EB96" s="430" t="b">
        <f t="shared" si="142"/>
        <v>1</v>
      </c>
      <c r="EC96" s="275">
        <f t="shared" si="151"/>
        <v>1400.2576649554933</v>
      </c>
      <c r="ED96" s="223">
        <f>BR96-F96</f>
        <v>0</v>
      </c>
      <c r="EE96" s="223">
        <f>BS96-G96</f>
        <v>0</v>
      </c>
      <c r="EF96" s="223">
        <f>BT96-H96</f>
        <v>0</v>
      </c>
      <c r="EG96" s="223">
        <f>BU96-I96</f>
        <v>6.9766212970378092</v>
      </c>
      <c r="EH96" s="223">
        <f>BV96-J96</f>
        <v>20.966973578862962</v>
      </c>
      <c r="EI96" s="223">
        <f>BW96-K96</f>
        <v>37.740552441953469</v>
      </c>
      <c r="EJ96" s="223">
        <f>BX96-L96</f>
        <v>52.621537229783826</v>
      </c>
      <c r="EK96" s="223">
        <f>BY96-M96</f>
        <v>61.230984787830266</v>
      </c>
      <c r="EL96" s="223">
        <f>BZ96-N96</f>
        <v>65.832586068855107</v>
      </c>
      <c r="EM96" s="223">
        <f>CA96-O96</f>
        <v>70.248638911129092</v>
      </c>
      <c r="EN96" s="223">
        <f>CB96-P96</f>
        <v>74.738911128903283</v>
      </c>
      <c r="EO96" s="223">
        <f>CC96-Q96</f>
        <v>79.303402722177907</v>
      </c>
      <c r="EP96" s="223">
        <f>CD96-R96</f>
        <v>83.942113690952738</v>
      </c>
      <c r="EQ96" s="223">
        <f>CE96-S96</f>
        <v>88.172618094475638</v>
      </c>
      <c r="ER96" s="223">
        <f>CF96-T96</f>
        <v>92.403122497998538</v>
      </c>
      <c r="ES96" s="223">
        <f>CG96-U96</f>
        <v>98.303562850280287</v>
      </c>
      <c r="ET96" s="223">
        <f>CH96-V96</f>
        <v>103.053602882306</v>
      </c>
      <c r="EU96" s="223">
        <f>CI96-W96</f>
        <v>107.28410728582867</v>
      </c>
      <c r="EV96" s="223">
        <f>CJ96-X96</f>
        <v>112.07125700560459</v>
      </c>
      <c r="EW96" s="223">
        <f>CK96-Y96</f>
        <v>116.11621297037641</v>
      </c>
      <c r="EX96" s="223">
        <f>CL96-Z96</f>
        <v>120.75492393915147</v>
      </c>
      <c r="EY96" s="275">
        <f t="shared" si="152"/>
        <v>81.457947534498246</v>
      </c>
    </row>
    <row r="97" spans="1:155" x14ac:dyDescent="0.35">
      <c r="C97" s="241">
        <v>60</v>
      </c>
      <c r="D97" s="242" t="s">
        <v>67</v>
      </c>
      <c r="E97" s="243" t="s">
        <v>59</v>
      </c>
      <c r="F97" s="384">
        <f>'[10]Данные для переноса'!F98</f>
        <v>49.300000000000004</v>
      </c>
      <c r="G97" s="384">
        <f>'[10]Данные для переноса'!G98</f>
        <v>52.800000000000004</v>
      </c>
      <c r="H97" s="384">
        <f>'[10]Данные для переноса'!H98</f>
        <v>54.300000000000004</v>
      </c>
      <c r="I97" s="384">
        <f>'[10]Данные для переноса'!I98</f>
        <v>52.006301865601799</v>
      </c>
      <c r="J97" s="384">
        <f>'[10]Данные для переноса'!J98</f>
        <v>48.042303612653647</v>
      </c>
      <c r="K97" s="384">
        <f>'[10]Данные для переноса'!K98</f>
        <v>43.807262744119299</v>
      </c>
      <c r="L97" s="384">
        <f>'[10]Данные для переноса'!L98</f>
        <v>43.705621763274479</v>
      </c>
      <c r="M97" s="384">
        <f>'[10]Данные для переноса'!M98</f>
        <v>43.705621763274479</v>
      </c>
      <c r="N97" s="384">
        <f>'[10]Данные для переноса'!N98</f>
        <v>43.705621763274479</v>
      </c>
      <c r="O97" s="384">
        <f>'[10]Данные для переноса'!O98</f>
        <v>43.705621763274479</v>
      </c>
      <c r="P97" s="384">
        <f>'[10]Данные для переноса'!P98</f>
        <v>43.705621763274479</v>
      </c>
      <c r="Q97" s="384">
        <f>'[10]Данные для переноса'!Q98</f>
        <v>43.705621763274479</v>
      </c>
      <c r="R97" s="384">
        <f>'[10]Данные для переноса'!R98</f>
        <v>43.705621763274479</v>
      </c>
      <c r="S97" s="384">
        <f>'[10]Данные для переноса'!S98</f>
        <v>43.705621763274479</v>
      </c>
      <c r="T97" s="384">
        <f>'[10]Данные для переноса'!T98</f>
        <v>43.705621763274479</v>
      </c>
      <c r="U97" s="384">
        <f>'[10]Данные для переноса'!U98</f>
        <v>43.705621763274479</v>
      </c>
      <c r="V97" s="384">
        <f>'[10]Данные для переноса'!V98</f>
        <v>43.705621763274479</v>
      </c>
      <c r="W97" s="384">
        <f>'[10]Данные для переноса'!W98</f>
        <v>43.705621763274479</v>
      </c>
      <c r="X97" s="384">
        <f>'[10]Данные для переноса'!X98</f>
        <v>43.705621763274479</v>
      </c>
      <c r="Y97" s="384">
        <f>'[10]Данные для переноса'!Y98</f>
        <v>43.705621763274479</v>
      </c>
      <c r="Z97" s="384">
        <f>'[10]Данные для переноса'!Z98</f>
        <v>43.705621763274479</v>
      </c>
      <c r="AA97" s="426">
        <v>49.300000000000004</v>
      </c>
      <c r="AB97" s="426">
        <v>52.800000000000004</v>
      </c>
      <c r="AC97" s="426">
        <v>54.300000000000004</v>
      </c>
      <c r="AD97" s="426">
        <v>52.006301865601799</v>
      </c>
      <c r="AE97" s="426">
        <v>48.042303612653647</v>
      </c>
      <c r="AF97" s="426">
        <v>43.807262744119299</v>
      </c>
      <c r="AG97" s="426">
        <v>43.705621763274479</v>
      </c>
      <c r="AH97" s="426">
        <v>43.705621763274479</v>
      </c>
      <c r="AI97" s="426">
        <v>43.705621763274479</v>
      </c>
      <c r="AJ97" s="426">
        <v>43.705621763274479</v>
      </c>
      <c r="AK97" s="426">
        <v>43.705621763274479</v>
      </c>
      <c r="AL97" s="426">
        <v>43.705621763274479</v>
      </c>
      <c r="AM97" s="426">
        <v>43.705621763274479</v>
      </c>
      <c r="AN97" s="426">
        <v>43.705621763274479</v>
      </c>
      <c r="AO97" s="426">
        <v>43.705621763274479</v>
      </c>
      <c r="AP97" s="426">
        <v>43.705621763274479</v>
      </c>
      <c r="AQ97" s="426">
        <v>43.705621763274479</v>
      </c>
      <c r="AR97" s="426">
        <v>43.705621763274479</v>
      </c>
      <c r="AS97" s="426">
        <v>43.705621763274479</v>
      </c>
      <c r="AT97" s="426">
        <v>43.705621763274479</v>
      </c>
      <c r="AU97" s="426">
        <v>43.705621763274479</v>
      </c>
      <c r="AV97" s="430" t="b">
        <f t="shared" si="140"/>
        <v>1</v>
      </c>
      <c r="AW97" s="430" t="b">
        <f t="shared" si="140"/>
        <v>1</v>
      </c>
      <c r="AX97" s="430" t="b">
        <f t="shared" si="140"/>
        <v>1</v>
      </c>
      <c r="AY97" s="430" t="b">
        <f t="shared" si="140"/>
        <v>1</v>
      </c>
      <c r="AZ97" s="430" t="b">
        <f t="shared" si="140"/>
        <v>1</v>
      </c>
      <c r="BA97" s="430" t="b">
        <f t="shared" si="140"/>
        <v>1</v>
      </c>
      <c r="BB97" s="430" t="b">
        <f t="shared" si="140"/>
        <v>1</v>
      </c>
      <c r="BC97" s="430" t="b">
        <f t="shared" si="140"/>
        <v>1</v>
      </c>
      <c r="BD97" s="430" t="b">
        <f t="shared" si="135"/>
        <v>1</v>
      </c>
      <c r="BE97" s="430" t="b">
        <f t="shared" si="135"/>
        <v>1</v>
      </c>
      <c r="BF97" s="430" t="b">
        <f t="shared" si="135"/>
        <v>1</v>
      </c>
      <c r="BG97" s="430" t="b">
        <f t="shared" si="135"/>
        <v>1</v>
      </c>
      <c r="BH97" s="430" t="b">
        <f t="shared" si="135"/>
        <v>1</v>
      </c>
      <c r="BI97" s="430" t="b">
        <f t="shared" si="135"/>
        <v>1</v>
      </c>
      <c r="BJ97" s="430" t="b">
        <f t="shared" si="141"/>
        <v>1</v>
      </c>
      <c r="BK97" s="430" t="b">
        <f t="shared" si="141"/>
        <v>1</v>
      </c>
      <c r="BL97" s="430" t="b">
        <f t="shared" si="141"/>
        <v>1</v>
      </c>
      <c r="BM97" s="430" t="b">
        <f t="shared" si="141"/>
        <v>1</v>
      </c>
      <c r="BN97" s="430" t="b">
        <f t="shared" si="141"/>
        <v>1</v>
      </c>
      <c r="BO97" s="430" t="b">
        <f t="shared" si="141"/>
        <v>1</v>
      </c>
      <c r="BP97" s="430" t="b">
        <f t="shared" si="141"/>
        <v>1</v>
      </c>
      <c r="BQ97" s="275">
        <f t="shared" si="150"/>
        <v>43.966699576817085</v>
      </c>
      <c r="BR97" s="247">
        <f>'[10]Данные для переноса'!AB98</f>
        <v>49.300000000000004</v>
      </c>
      <c r="BS97" s="247">
        <f>'[10]Данные для переноса'!AC98</f>
        <v>52.800000000000004</v>
      </c>
      <c r="BT97" s="247">
        <f>'[10]Данные для переноса'!AD98</f>
        <v>54.300000000000004</v>
      </c>
      <c r="BU97" s="247">
        <f>'[10]Данные для переноса'!AE98</f>
        <v>51.260934672739758</v>
      </c>
      <c r="BV97" s="247">
        <f>'[10]Данные для переноса'!AF98</f>
        <v>47.02589380420541</v>
      </c>
      <c r="BW97" s="247">
        <f>'[10]Данные для переноса'!AG98</f>
        <v>42.587570973981407</v>
      </c>
      <c r="BX97" s="247">
        <f>'[10]Данные для переноса'!AH98</f>
        <v>42.282648031446939</v>
      </c>
      <c r="BY97" s="247">
        <f>'[10]Данные для переноса'!AI98</f>
        <v>42.655331627877956</v>
      </c>
      <c r="BZ97" s="247">
        <f>'[10]Данные для переноса'!AJ98</f>
        <v>42.655331627877956</v>
      </c>
      <c r="CA97" s="247">
        <f>'[10]Данные для переноса'!AK98</f>
        <v>42.655331627877956</v>
      </c>
      <c r="CB97" s="247">
        <f>'[10]Данные для переноса'!AL98</f>
        <v>42.655331627877956</v>
      </c>
      <c r="CC97" s="247">
        <f>'[10]Данные для переноса'!AM98</f>
        <v>42.655331627877956</v>
      </c>
      <c r="CD97" s="247">
        <f>'[10]Данные для переноса'!AN98</f>
        <v>42.655331627877956</v>
      </c>
      <c r="CE97" s="247">
        <f>'[10]Данные для переноса'!AO98</f>
        <v>42.655331627877956</v>
      </c>
      <c r="CF97" s="247">
        <f>'[10]Данные для переноса'!AP98</f>
        <v>42.655331627877956</v>
      </c>
      <c r="CG97" s="247">
        <f>'[10]Данные для переноса'!AQ98</f>
        <v>42.655331627877956</v>
      </c>
      <c r="CH97" s="247">
        <f>'[10]Данные для переноса'!AR98</f>
        <v>42.655331627877956</v>
      </c>
      <c r="CI97" s="247">
        <f>'[10]Данные для переноса'!AS98</f>
        <v>42.655331627877956</v>
      </c>
      <c r="CJ97" s="247">
        <f>'[10]Данные для переноса'!AT98</f>
        <v>42.655331627877956</v>
      </c>
      <c r="CK97" s="247">
        <f>'[10]Данные для переноса'!AU98</f>
        <v>42.655331627877956</v>
      </c>
      <c r="CL97" s="247">
        <f>'[10]Данные для переноса'!AV98</f>
        <v>42.655331627877956</v>
      </c>
      <c r="CM97" s="426">
        <v>49.300000000000004</v>
      </c>
      <c r="CN97" s="426">
        <v>52.800000000000004</v>
      </c>
      <c r="CO97" s="426">
        <v>54.300000000000004</v>
      </c>
      <c r="CP97" s="426">
        <v>51.260934672739758</v>
      </c>
      <c r="CQ97" s="426">
        <v>47.02589380420541</v>
      </c>
      <c r="CR97" s="426">
        <v>42.587570973981407</v>
      </c>
      <c r="CS97" s="426">
        <v>42.282648031446939</v>
      </c>
      <c r="CT97" s="426">
        <v>42.655331627877956</v>
      </c>
      <c r="CU97" s="426">
        <v>42.655331627877956</v>
      </c>
      <c r="CV97" s="426">
        <v>42.655331627877956</v>
      </c>
      <c r="CW97" s="426">
        <v>42.655331627877956</v>
      </c>
      <c r="CX97" s="426">
        <v>42.655331627877956</v>
      </c>
      <c r="CY97" s="426">
        <v>42.655331627877956</v>
      </c>
      <c r="CZ97" s="426">
        <v>42.655331627877956</v>
      </c>
      <c r="DA97" s="426">
        <v>42.655331627877956</v>
      </c>
      <c r="DB97" s="426">
        <v>42.655331627877956</v>
      </c>
      <c r="DC97" s="426">
        <v>42.655331627877956</v>
      </c>
      <c r="DD97" s="426">
        <v>42.655331627877956</v>
      </c>
      <c r="DE97" s="426">
        <v>42.655331627877956</v>
      </c>
      <c r="DF97" s="426">
        <v>42.655331627877956</v>
      </c>
      <c r="DG97" s="426">
        <v>42.655331627877956</v>
      </c>
      <c r="DH97" s="430" t="b">
        <f t="shared" si="134"/>
        <v>1</v>
      </c>
      <c r="DI97" s="430" t="b">
        <f t="shared" ref="DH97:DW149" si="153">CN97=BS97</f>
        <v>1</v>
      </c>
      <c r="DJ97" s="430" t="b">
        <f t="shared" si="153"/>
        <v>1</v>
      </c>
      <c r="DK97" s="430" t="b">
        <f t="shared" si="153"/>
        <v>1</v>
      </c>
      <c r="DL97" s="430" t="b">
        <f t="shared" si="153"/>
        <v>1</v>
      </c>
      <c r="DM97" s="430" t="b">
        <f t="shared" si="153"/>
        <v>1</v>
      </c>
      <c r="DN97" s="430" t="b">
        <f t="shared" si="153"/>
        <v>1</v>
      </c>
      <c r="DO97" s="430" t="b">
        <f t="shared" si="153"/>
        <v>1</v>
      </c>
      <c r="DP97" s="430" t="b">
        <f t="shared" ref="DP97:DP124" si="154">CU97=BZ97</f>
        <v>1</v>
      </c>
      <c r="DQ97" s="430" t="b">
        <f t="shared" ref="DQ97:DQ124" si="155">CV97=CA97</f>
        <v>1</v>
      </c>
      <c r="DR97" s="430" t="b">
        <f t="shared" ref="DR97:DR124" si="156">CW97=CB97</f>
        <v>1</v>
      </c>
      <c r="DS97" s="430" t="b">
        <f t="shared" si="143"/>
        <v>1</v>
      </c>
      <c r="DT97" s="430" t="b">
        <f t="shared" si="144"/>
        <v>1</v>
      </c>
      <c r="DU97" s="430" t="b">
        <f t="shared" si="142"/>
        <v>1</v>
      </c>
      <c r="DV97" s="430" t="b">
        <f t="shared" si="142"/>
        <v>1</v>
      </c>
      <c r="DW97" s="430" t="b">
        <f t="shared" si="142"/>
        <v>1</v>
      </c>
      <c r="DX97" s="430" t="b">
        <f t="shared" si="142"/>
        <v>1</v>
      </c>
      <c r="DY97" s="430" t="b">
        <f t="shared" si="142"/>
        <v>1</v>
      </c>
      <c r="DZ97" s="430" t="b">
        <f t="shared" si="142"/>
        <v>1</v>
      </c>
      <c r="EA97" s="430" t="b">
        <f t="shared" si="142"/>
        <v>1</v>
      </c>
      <c r="EB97" s="430" t="b">
        <f t="shared" si="142"/>
        <v>1</v>
      </c>
      <c r="EC97" s="275">
        <f t="shared" si="151"/>
        <v>42.886515035289733</v>
      </c>
      <c r="ED97" s="223">
        <f>BR97-F97</f>
        <v>0</v>
      </c>
      <c r="EE97" s="223">
        <f>BS97-G97</f>
        <v>0</v>
      </c>
      <c r="EF97" s="223">
        <f>BT97-H97</f>
        <v>0</v>
      </c>
      <c r="EG97" s="223">
        <f>BU97-I97</f>
        <v>-0.74536719286204089</v>
      </c>
      <c r="EH97" s="223">
        <f>BV97-J97</f>
        <v>-1.0164098084482376</v>
      </c>
      <c r="EI97" s="223">
        <f>BW97-K97</f>
        <v>-1.2196917701378922</v>
      </c>
      <c r="EJ97" s="223">
        <f>BX97-L97</f>
        <v>-1.4229737318275397</v>
      </c>
      <c r="EK97" s="223">
        <f>BY97-M97</f>
        <v>-1.0502901353965228</v>
      </c>
      <c r="EL97" s="223">
        <f>BZ97-N97</f>
        <v>-1.0502901353965228</v>
      </c>
      <c r="EM97" s="223">
        <f>CA97-O97</f>
        <v>-1.0502901353965228</v>
      </c>
      <c r="EN97" s="223">
        <f>CB97-P97</f>
        <v>-1.0502901353965228</v>
      </c>
      <c r="EO97" s="223">
        <f>CC97-Q97</f>
        <v>-1.0502901353965228</v>
      </c>
      <c r="EP97" s="223">
        <f>CD97-R97</f>
        <v>-1.0502901353965228</v>
      </c>
      <c r="EQ97" s="223">
        <f>CE97-S97</f>
        <v>-1.0502901353965228</v>
      </c>
      <c r="ER97" s="223">
        <f>CF97-T97</f>
        <v>-1.0502901353965228</v>
      </c>
      <c r="ES97" s="223">
        <f>CG97-U97</f>
        <v>-1.0502901353965228</v>
      </c>
      <c r="ET97" s="223">
        <f>CH97-V97</f>
        <v>-1.0502901353965228</v>
      </c>
      <c r="EU97" s="223">
        <f>CI97-W97</f>
        <v>-1.0502901353965228</v>
      </c>
      <c r="EV97" s="223">
        <f>CJ97-X97</f>
        <v>-1.0502901353965228</v>
      </c>
      <c r="EW97" s="223">
        <f>CK97-Y97</f>
        <v>-1.0502901353965228</v>
      </c>
      <c r="EX97" s="223">
        <f>CL97-Z97</f>
        <v>-1.0502901353965228</v>
      </c>
      <c r="EY97" s="275">
        <f t="shared" si="152"/>
        <v>-1.0801845415273523</v>
      </c>
    </row>
    <row r="98" spans="1:155" x14ac:dyDescent="0.35">
      <c r="C98" s="241">
        <v>61</v>
      </c>
      <c r="D98" s="242" t="s">
        <v>68</v>
      </c>
      <c r="E98" s="243" t="s">
        <v>59</v>
      </c>
      <c r="F98" s="384">
        <f>'[10]Данные для переноса'!F99</f>
        <v>4.8</v>
      </c>
      <c r="G98" s="384">
        <f>'[10]Данные для переноса'!G99</f>
        <v>4.3999999999999995</v>
      </c>
      <c r="H98" s="384">
        <f>'[10]Данные для переноса'!H99</f>
        <v>3.9</v>
      </c>
      <c r="I98" s="384">
        <f>'[10]Данные для переноса'!I99</f>
        <v>0</v>
      </c>
      <c r="J98" s="384">
        <f>'[10]Данные для переноса'!J99</f>
        <v>0</v>
      </c>
      <c r="K98" s="384">
        <f>'[10]Данные для переноса'!K99</f>
        <v>0</v>
      </c>
      <c r="L98" s="384">
        <f>'[10]Данные для переноса'!L99</f>
        <v>0</v>
      </c>
      <c r="M98" s="384">
        <f>'[10]Данные для переноса'!M99</f>
        <v>0</v>
      </c>
      <c r="N98" s="384">
        <f>'[10]Данные для переноса'!N99</f>
        <v>0</v>
      </c>
      <c r="O98" s="384">
        <f>'[10]Данные для переноса'!O99</f>
        <v>0</v>
      </c>
      <c r="P98" s="384">
        <f>'[10]Данные для переноса'!P99</f>
        <v>0</v>
      </c>
      <c r="Q98" s="384">
        <f>'[10]Данные для переноса'!Q99</f>
        <v>0</v>
      </c>
      <c r="R98" s="384">
        <f>'[10]Данные для переноса'!R99</f>
        <v>0</v>
      </c>
      <c r="S98" s="384">
        <f>'[10]Данные для переноса'!S99</f>
        <v>0</v>
      </c>
      <c r="T98" s="384">
        <f>'[10]Данные для переноса'!T99</f>
        <v>0</v>
      </c>
      <c r="U98" s="384">
        <f>'[10]Данные для переноса'!U99</f>
        <v>0</v>
      </c>
      <c r="V98" s="384">
        <f>'[10]Данные для переноса'!V99</f>
        <v>0</v>
      </c>
      <c r="W98" s="384">
        <f>'[10]Данные для переноса'!W99</f>
        <v>0</v>
      </c>
      <c r="X98" s="384">
        <f>'[10]Данные для переноса'!X99</f>
        <v>0</v>
      </c>
      <c r="Y98" s="384">
        <f>'[10]Данные для переноса'!Y99</f>
        <v>0</v>
      </c>
      <c r="Z98" s="384">
        <f>'[10]Данные для переноса'!Z99</f>
        <v>0</v>
      </c>
      <c r="AA98" s="426">
        <v>4.8</v>
      </c>
      <c r="AB98" s="426">
        <v>4.3999999999999995</v>
      </c>
      <c r="AC98" s="426">
        <v>3.9</v>
      </c>
      <c r="AD98" s="426">
        <v>0</v>
      </c>
      <c r="AE98" s="426">
        <v>0</v>
      </c>
      <c r="AF98" s="426">
        <v>0</v>
      </c>
      <c r="AG98" s="426">
        <v>0</v>
      </c>
      <c r="AH98" s="426">
        <v>0</v>
      </c>
      <c r="AI98" s="426">
        <v>0</v>
      </c>
      <c r="AJ98" s="426">
        <v>0</v>
      </c>
      <c r="AK98" s="426">
        <v>0</v>
      </c>
      <c r="AL98" s="426">
        <v>0</v>
      </c>
      <c r="AM98" s="426">
        <v>0</v>
      </c>
      <c r="AN98" s="426">
        <v>0</v>
      </c>
      <c r="AO98" s="426">
        <v>0</v>
      </c>
      <c r="AP98" s="426">
        <v>0</v>
      </c>
      <c r="AQ98" s="426">
        <v>0</v>
      </c>
      <c r="AR98" s="426">
        <v>0</v>
      </c>
      <c r="AS98" s="426">
        <v>0</v>
      </c>
      <c r="AT98" s="426">
        <v>0</v>
      </c>
      <c r="AU98" s="426">
        <v>0</v>
      </c>
      <c r="AV98" s="430" t="b">
        <f t="shared" si="140"/>
        <v>1</v>
      </c>
      <c r="AW98" s="430" t="b">
        <f t="shared" si="140"/>
        <v>1</v>
      </c>
      <c r="AX98" s="430" t="b">
        <f t="shared" si="140"/>
        <v>1</v>
      </c>
      <c r="AY98" s="430" t="b">
        <f t="shared" si="140"/>
        <v>1</v>
      </c>
      <c r="AZ98" s="430" t="b">
        <f t="shared" si="140"/>
        <v>1</v>
      </c>
      <c r="BA98" s="430" t="b">
        <f t="shared" si="140"/>
        <v>1</v>
      </c>
      <c r="BB98" s="430" t="b">
        <f t="shared" si="140"/>
        <v>1</v>
      </c>
      <c r="BC98" s="430" t="b">
        <f t="shared" si="140"/>
        <v>1</v>
      </c>
      <c r="BD98" s="430" t="b">
        <f t="shared" si="135"/>
        <v>1</v>
      </c>
      <c r="BE98" s="430" t="b">
        <f t="shared" si="135"/>
        <v>1</v>
      </c>
      <c r="BF98" s="430" t="b">
        <f t="shared" si="135"/>
        <v>1</v>
      </c>
      <c r="BG98" s="430" t="b">
        <f t="shared" si="135"/>
        <v>1</v>
      </c>
      <c r="BH98" s="430" t="b">
        <f t="shared" si="135"/>
        <v>1</v>
      </c>
      <c r="BI98" s="430" t="b">
        <f t="shared" si="135"/>
        <v>1</v>
      </c>
      <c r="BJ98" s="430" t="b">
        <f t="shared" si="141"/>
        <v>1</v>
      </c>
      <c r="BK98" s="430" t="b">
        <f t="shared" si="141"/>
        <v>1</v>
      </c>
      <c r="BL98" s="430" t="b">
        <f t="shared" si="141"/>
        <v>1</v>
      </c>
      <c r="BM98" s="430" t="b">
        <f t="shared" si="141"/>
        <v>1</v>
      </c>
      <c r="BN98" s="430" t="b">
        <f t="shared" si="141"/>
        <v>1</v>
      </c>
      <c r="BO98" s="430" t="b">
        <f t="shared" si="141"/>
        <v>1</v>
      </c>
      <c r="BP98" s="430" t="b">
        <f t="shared" si="141"/>
        <v>1</v>
      </c>
      <c r="BQ98" s="275">
        <f t="shared" si="150"/>
        <v>0</v>
      </c>
      <c r="BR98" s="247">
        <f>'[10]Данные для переноса'!AB99</f>
        <v>4.8</v>
      </c>
      <c r="BS98" s="247">
        <f>'[10]Данные для переноса'!AC99</f>
        <v>4.3999999999999995</v>
      </c>
      <c r="BT98" s="247">
        <f>'[10]Данные для переноса'!AD99</f>
        <v>3.9</v>
      </c>
      <c r="BU98" s="247">
        <f>'[10]Данные для переноса'!AE99</f>
        <v>0</v>
      </c>
      <c r="BV98" s="247">
        <f>'[10]Данные для переноса'!AF99</f>
        <v>0</v>
      </c>
      <c r="BW98" s="247">
        <f>'[10]Данные для переноса'!AG99</f>
        <v>0</v>
      </c>
      <c r="BX98" s="247">
        <f>'[10]Данные для переноса'!AH99</f>
        <v>0</v>
      </c>
      <c r="BY98" s="247">
        <f>'[10]Данные для переноса'!AI99</f>
        <v>0</v>
      </c>
      <c r="BZ98" s="247">
        <f>'[10]Данные для переноса'!AJ99</f>
        <v>0</v>
      </c>
      <c r="CA98" s="247">
        <f>'[10]Данные для переноса'!AK99</f>
        <v>0</v>
      </c>
      <c r="CB98" s="247">
        <f>'[10]Данные для переноса'!AL99</f>
        <v>0</v>
      </c>
      <c r="CC98" s="247">
        <f>'[10]Данные для переноса'!AM99</f>
        <v>0</v>
      </c>
      <c r="CD98" s="247">
        <f>'[10]Данные для переноса'!AN99</f>
        <v>0</v>
      </c>
      <c r="CE98" s="247">
        <f>'[10]Данные для переноса'!AO99</f>
        <v>0</v>
      </c>
      <c r="CF98" s="247">
        <f>'[10]Данные для переноса'!AP99</f>
        <v>0</v>
      </c>
      <c r="CG98" s="247">
        <f>'[10]Данные для переноса'!AQ99</f>
        <v>0</v>
      </c>
      <c r="CH98" s="247">
        <f>'[10]Данные для переноса'!AR99</f>
        <v>0</v>
      </c>
      <c r="CI98" s="247">
        <f>'[10]Данные для переноса'!AS99</f>
        <v>0</v>
      </c>
      <c r="CJ98" s="247">
        <f>'[10]Данные для переноса'!AT99</f>
        <v>0</v>
      </c>
      <c r="CK98" s="247">
        <f>'[10]Данные для переноса'!AU99</f>
        <v>0</v>
      </c>
      <c r="CL98" s="247">
        <f>'[10]Данные для переноса'!AV99</f>
        <v>0</v>
      </c>
      <c r="CM98" s="426">
        <v>4.8</v>
      </c>
      <c r="CN98" s="426">
        <v>4.3999999999999995</v>
      </c>
      <c r="CO98" s="426">
        <v>3.9</v>
      </c>
      <c r="CP98" s="426">
        <v>0</v>
      </c>
      <c r="CQ98" s="426">
        <v>0</v>
      </c>
      <c r="CR98" s="426">
        <v>0</v>
      </c>
      <c r="CS98" s="426">
        <v>0</v>
      </c>
      <c r="CT98" s="426">
        <v>0</v>
      </c>
      <c r="CU98" s="426">
        <v>0</v>
      </c>
      <c r="CV98" s="426">
        <v>0</v>
      </c>
      <c r="CW98" s="426">
        <v>0</v>
      </c>
      <c r="CX98" s="426">
        <v>0</v>
      </c>
      <c r="CY98" s="426">
        <v>0</v>
      </c>
      <c r="CZ98" s="426">
        <v>0</v>
      </c>
      <c r="DA98" s="426">
        <v>0</v>
      </c>
      <c r="DB98" s="426">
        <v>0</v>
      </c>
      <c r="DC98" s="426">
        <v>0</v>
      </c>
      <c r="DD98" s="426">
        <v>0</v>
      </c>
      <c r="DE98" s="426">
        <v>0</v>
      </c>
      <c r="DF98" s="426">
        <v>0</v>
      </c>
      <c r="DG98" s="426">
        <v>0</v>
      </c>
      <c r="DH98" s="430" t="b">
        <f t="shared" si="153"/>
        <v>1</v>
      </c>
      <c r="DI98" s="430" t="b">
        <f t="shared" si="153"/>
        <v>1</v>
      </c>
      <c r="DJ98" s="430" t="b">
        <f t="shared" si="153"/>
        <v>1</v>
      </c>
      <c r="DK98" s="430" t="b">
        <f t="shared" si="153"/>
        <v>1</v>
      </c>
      <c r="DL98" s="430" t="b">
        <f t="shared" si="153"/>
        <v>1</v>
      </c>
      <c r="DM98" s="430" t="b">
        <f t="shared" si="153"/>
        <v>1</v>
      </c>
      <c r="DN98" s="430" t="b">
        <f t="shared" si="153"/>
        <v>1</v>
      </c>
      <c r="DO98" s="430" t="b">
        <f t="shared" si="153"/>
        <v>1</v>
      </c>
      <c r="DP98" s="430" t="b">
        <f t="shared" si="154"/>
        <v>1</v>
      </c>
      <c r="DQ98" s="430" t="b">
        <f t="shared" si="155"/>
        <v>1</v>
      </c>
      <c r="DR98" s="430" t="b">
        <f t="shared" si="156"/>
        <v>1</v>
      </c>
      <c r="DS98" s="430" t="b">
        <f t="shared" si="143"/>
        <v>1</v>
      </c>
      <c r="DT98" s="430" t="b">
        <f t="shared" si="144"/>
        <v>1</v>
      </c>
      <c r="DU98" s="430" t="b">
        <f t="shared" si="142"/>
        <v>1</v>
      </c>
      <c r="DV98" s="430" t="b">
        <f t="shared" si="142"/>
        <v>1</v>
      </c>
      <c r="DW98" s="430" t="b">
        <f t="shared" si="142"/>
        <v>1</v>
      </c>
      <c r="DX98" s="430" t="b">
        <f t="shared" si="142"/>
        <v>1</v>
      </c>
      <c r="DY98" s="430" t="b">
        <f t="shared" si="142"/>
        <v>1</v>
      </c>
      <c r="DZ98" s="430" t="b">
        <f t="shared" si="142"/>
        <v>1</v>
      </c>
      <c r="EA98" s="430" t="b">
        <f t="shared" si="142"/>
        <v>1</v>
      </c>
      <c r="EB98" s="430" t="b">
        <f t="shared" si="142"/>
        <v>1</v>
      </c>
      <c r="EC98" s="275">
        <f t="shared" si="151"/>
        <v>0</v>
      </c>
      <c r="ED98" s="223">
        <f>BR98-F98</f>
        <v>0</v>
      </c>
      <c r="EE98" s="223">
        <f>BS98-G98</f>
        <v>0</v>
      </c>
      <c r="EF98" s="223">
        <f>BT98-H98</f>
        <v>0</v>
      </c>
      <c r="EG98" s="223">
        <f>BU98-I98</f>
        <v>0</v>
      </c>
      <c r="EH98" s="223">
        <f>BV98-J98</f>
        <v>0</v>
      </c>
      <c r="EI98" s="223">
        <f>BW98-K98</f>
        <v>0</v>
      </c>
      <c r="EJ98" s="223">
        <f>BX98-L98</f>
        <v>0</v>
      </c>
      <c r="EK98" s="223">
        <f>BY98-M98</f>
        <v>0</v>
      </c>
      <c r="EL98" s="223">
        <f>BZ98-N98</f>
        <v>0</v>
      </c>
      <c r="EM98" s="223">
        <f>CA98-O98</f>
        <v>0</v>
      </c>
      <c r="EN98" s="223">
        <f>CB98-P98</f>
        <v>0</v>
      </c>
      <c r="EO98" s="223">
        <f>CC98-Q98</f>
        <v>0</v>
      </c>
      <c r="EP98" s="223">
        <f>CD98-R98</f>
        <v>0</v>
      </c>
      <c r="EQ98" s="223">
        <f>CE98-S98</f>
        <v>0</v>
      </c>
      <c r="ER98" s="223">
        <f>CF98-T98</f>
        <v>0</v>
      </c>
      <c r="ES98" s="223">
        <f>CG98-U98</f>
        <v>0</v>
      </c>
      <c r="ET98" s="223">
        <f>CH98-V98</f>
        <v>0</v>
      </c>
      <c r="EU98" s="223">
        <f>CI98-W98</f>
        <v>0</v>
      </c>
      <c r="EV98" s="223">
        <f>CJ98-X98</f>
        <v>0</v>
      </c>
      <c r="EW98" s="223">
        <f>CK98-Y98</f>
        <v>0</v>
      </c>
      <c r="EX98" s="223">
        <f>CL98-Z98</f>
        <v>0</v>
      </c>
      <c r="EY98" s="275">
        <f t="shared" si="152"/>
        <v>0</v>
      </c>
    </row>
    <row r="99" spans="1:155" x14ac:dyDescent="0.35">
      <c r="C99" s="241">
        <v>62</v>
      </c>
      <c r="D99" s="242" t="s">
        <v>69</v>
      </c>
      <c r="E99" s="243" t="s">
        <v>59</v>
      </c>
      <c r="F99" s="384">
        <f>'[10]Данные для переноса'!F100</f>
        <v>98.7</v>
      </c>
      <c r="G99" s="384">
        <f>'[10]Данные для переноса'!G100</f>
        <v>111.19999999999999</v>
      </c>
      <c r="H99" s="384">
        <f>'[10]Данные для переноса'!H100</f>
        <v>120.7</v>
      </c>
      <c r="I99" s="384">
        <f>'[10]Данные для переноса'!I100</f>
        <v>130.69027500866028</v>
      </c>
      <c r="J99" s="384">
        <f>'[10]Данные для переноса'!J100</f>
        <v>134.36319637281949</v>
      </c>
      <c r="K99" s="384">
        <f>'[10]Данные для переноса'!K100</f>
        <v>138.63309295182151</v>
      </c>
      <c r="L99" s="384">
        <f>'[10]Данные для переноса'!L100</f>
        <v>144.17841666989437</v>
      </c>
      <c r="M99" s="384">
        <f>'[10]Данные для переноса'!M100</f>
        <v>149.94555333669012</v>
      </c>
      <c r="N99" s="384">
        <f>'[10]Данные для переноса'!N100</f>
        <v>155.94337547015778</v>
      </c>
      <c r="O99" s="384">
        <f>'[10]Данные для переноса'!O100</f>
        <v>162.18111048896407</v>
      </c>
      <c r="P99" s="384">
        <f>'[10]Данные для переноса'!P100</f>
        <v>168.66835490852264</v>
      </c>
      <c r="Q99" s="384">
        <f>'[10]Данные для переноса'!Q100</f>
        <v>175.41508910486354</v>
      </c>
      <c r="R99" s="384">
        <f>'[10]Данные для переноса'!R100</f>
        <v>182.43169266905809</v>
      </c>
      <c r="S99" s="384">
        <f>'[10]Данные для переноса'!S100</f>
        <v>189.72896037582041</v>
      </c>
      <c r="T99" s="384">
        <f>'[10]Данные для переноса'!T100</f>
        <v>197.31811879085322</v>
      </c>
      <c r="U99" s="384">
        <f>'[10]Данные для переноса'!U100</f>
        <v>205.21084354248737</v>
      </c>
      <c r="V99" s="384">
        <f>'[10]Данные для переноса'!V100</f>
        <v>213.41927728418688</v>
      </c>
      <c r="W99" s="384">
        <f>'[10]Данные для переноса'!W100</f>
        <v>221.95604837555439</v>
      </c>
      <c r="X99" s="384">
        <f>'[10]Данные для переноса'!X100</f>
        <v>230.83429031057653</v>
      </c>
      <c r="Y99" s="384">
        <f>'[10]Данные для переноса'!Y100</f>
        <v>240.06766192299963</v>
      </c>
      <c r="Z99" s="384">
        <f>'[10]Данные для переноса'!Z100</f>
        <v>249.67036839991962</v>
      </c>
      <c r="AA99" s="426">
        <v>98.7</v>
      </c>
      <c r="AB99" s="426">
        <v>111.19999999999999</v>
      </c>
      <c r="AC99" s="426">
        <v>120.7</v>
      </c>
      <c r="AD99" s="426">
        <v>130.69027500866028</v>
      </c>
      <c r="AE99" s="426">
        <v>134.36319637281949</v>
      </c>
      <c r="AF99" s="426">
        <v>138.63309295182151</v>
      </c>
      <c r="AG99" s="426">
        <v>144.17841666989437</v>
      </c>
      <c r="AH99" s="426">
        <v>149.94555333669012</v>
      </c>
      <c r="AI99" s="426">
        <v>155.94337547015778</v>
      </c>
      <c r="AJ99" s="426">
        <v>162.18111048896407</v>
      </c>
      <c r="AK99" s="426">
        <v>168.66835490852264</v>
      </c>
      <c r="AL99" s="426">
        <v>175.41508910486354</v>
      </c>
      <c r="AM99" s="426">
        <v>182.43169266905809</v>
      </c>
      <c r="AN99" s="426">
        <v>189.72896037582041</v>
      </c>
      <c r="AO99" s="426">
        <v>197.31811879085322</v>
      </c>
      <c r="AP99" s="426">
        <v>205.21084354248737</v>
      </c>
      <c r="AQ99" s="426">
        <v>213.41927728418688</v>
      </c>
      <c r="AR99" s="426">
        <v>221.95604837555439</v>
      </c>
      <c r="AS99" s="426">
        <v>230.83429031057653</v>
      </c>
      <c r="AT99" s="426">
        <v>240.06766192299963</v>
      </c>
      <c r="AU99" s="426">
        <v>249.67036839991962</v>
      </c>
      <c r="AV99" s="430" t="b">
        <f t="shared" si="140"/>
        <v>1</v>
      </c>
      <c r="AW99" s="430" t="b">
        <f t="shared" si="140"/>
        <v>1</v>
      </c>
      <c r="AX99" s="430" t="b">
        <f t="shared" si="140"/>
        <v>1</v>
      </c>
      <c r="AY99" s="430" t="b">
        <f t="shared" si="140"/>
        <v>1</v>
      </c>
      <c r="AZ99" s="430" t="b">
        <f t="shared" si="140"/>
        <v>1</v>
      </c>
      <c r="BA99" s="430" t="b">
        <f t="shared" si="140"/>
        <v>1</v>
      </c>
      <c r="BB99" s="430" t="b">
        <f t="shared" si="140"/>
        <v>1</v>
      </c>
      <c r="BC99" s="430" t="b">
        <f t="shared" si="140"/>
        <v>1</v>
      </c>
      <c r="BD99" s="430" t="b">
        <f t="shared" si="135"/>
        <v>1</v>
      </c>
      <c r="BE99" s="430" t="b">
        <f t="shared" si="135"/>
        <v>1</v>
      </c>
      <c r="BF99" s="430" t="b">
        <f t="shared" si="135"/>
        <v>1</v>
      </c>
      <c r="BG99" s="430" t="b">
        <f t="shared" si="135"/>
        <v>1</v>
      </c>
      <c r="BH99" s="430" t="b">
        <f t="shared" si="135"/>
        <v>1</v>
      </c>
      <c r="BI99" s="430" t="b">
        <f t="shared" si="135"/>
        <v>1</v>
      </c>
      <c r="BJ99" s="430" t="b">
        <f t="shared" si="141"/>
        <v>1</v>
      </c>
      <c r="BK99" s="430" t="b">
        <f t="shared" si="141"/>
        <v>1</v>
      </c>
      <c r="BL99" s="430" t="b">
        <f t="shared" si="141"/>
        <v>1</v>
      </c>
      <c r="BM99" s="430" t="b">
        <f t="shared" si="141"/>
        <v>1</v>
      </c>
      <c r="BN99" s="430" t="b">
        <f t="shared" si="141"/>
        <v>1</v>
      </c>
      <c r="BO99" s="430" t="b">
        <f t="shared" si="141"/>
        <v>1</v>
      </c>
      <c r="BP99" s="430" t="b">
        <f t="shared" si="141"/>
        <v>1</v>
      </c>
      <c r="BQ99" s="275">
        <f t="shared" si="150"/>
        <v>185.8803206455994</v>
      </c>
      <c r="BR99" s="247">
        <f>'[10]Данные для переноса'!AB100</f>
        <v>98.7</v>
      </c>
      <c r="BS99" s="247">
        <f>'[10]Данные для переноса'!AC100</f>
        <v>111.19999999999999</v>
      </c>
      <c r="BT99" s="247">
        <f>'[10]Данные для переноса'!AD100</f>
        <v>120.7</v>
      </c>
      <c r="BU99" s="247">
        <f>'[10]Данные для переноса'!AE100</f>
        <v>131.040691737928</v>
      </c>
      <c r="BV99" s="247">
        <f>'[10]Данные для переноса'!AF100</f>
        <v>157.23131420098676</v>
      </c>
      <c r="BW99" s="247">
        <f>'[10]Данные для переноса'!AG100</f>
        <v>161.86034765497087</v>
      </c>
      <c r="BX99" s="247">
        <f>'[10]Данные для переноса'!AH100</f>
        <v>169.94235927538168</v>
      </c>
      <c r="BY99" s="247">
        <f>'[10]Данные для переноса'!AI100</f>
        <v>176.16202005959133</v>
      </c>
      <c r="BZ99" s="247">
        <f>'[10]Данные для переноса'!AJ100</f>
        <v>182.61890660343329</v>
      </c>
      <c r="CA99" s="247">
        <f>'[10]Данные для переноса'!AK100</f>
        <v>189.32227672385807</v>
      </c>
      <c r="CB99" s="247">
        <f>'[10]Данные для переноса'!AL100</f>
        <v>196.28175392622555</v>
      </c>
      <c r="CC99" s="247">
        <f>'[10]Данные для переноса'!AM100</f>
        <v>203.50734193935602</v>
      </c>
      <c r="CD99" s="247">
        <f>'[10]Данные для переноса'!AN100</f>
        <v>211.00943983013335</v>
      </c>
      <c r="CE99" s="247">
        <f>'[10]Данные для переноса'!AO100</f>
        <v>218.79885772080581</v>
      </c>
      <c r="CF99" s="247">
        <f>'[10]Данные для переноса'!AP100</f>
        <v>226.88683313305458</v>
      </c>
      <c r="CG99" s="247">
        <f>'[10]Данные для переноса'!AQ100</f>
        <v>235.2850479838616</v>
      </c>
      <c r="CH99" s="247">
        <f>'[10]Данные для переноса'!AR100</f>
        <v>244.00564625921058</v>
      </c>
      <c r="CI99" s="247">
        <f>'[10]Данные для переноса'!AS100</f>
        <v>253.06125239269335</v>
      </c>
      <c r="CJ99" s="247">
        <f>'[10]Данные для переноса'!AT100</f>
        <v>262.4649903771778</v>
      </c>
      <c r="CK99" s="247">
        <f>'[10]Данные для переноса'!AU100</f>
        <v>272.23050363881714</v>
      </c>
      <c r="CL99" s="247">
        <f>'[10]Данные для переноса'!AV100</f>
        <v>282.37197570385314</v>
      </c>
      <c r="CM99" s="426">
        <v>98.7</v>
      </c>
      <c r="CN99" s="426">
        <v>111.19999999999999</v>
      </c>
      <c r="CO99" s="426">
        <v>120.7</v>
      </c>
      <c r="CP99" s="426">
        <v>131.040691737928</v>
      </c>
      <c r="CQ99" s="426">
        <v>157.23131420098676</v>
      </c>
      <c r="CR99" s="426">
        <v>161.86034765497087</v>
      </c>
      <c r="CS99" s="426">
        <v>169.94235927538168</v>
      </c>
      <c r="CT99" s="426">
        <v>176.16202005959133</v>
      </c>
      <c r="CU99" s="426">
        <v>182.61890660343329</v>
      </c>
      <c r="CV99" s="426">
        <v>189.32227672385807</v>
      </c>
      <c r="CW99" s="426">
        <v>196.28175392622555</v>
      </c>
      <c r="CX99" s="426">
        <v>203.50734193935602</v>
      </c>
      <c r="CY99" s="426">
        <v>211.00943983013335</v>
      </c>
      <c r="CZ99" s="426">
        <v>218.79885772080581</v>
      </c>
      <c r="DA99" s="426">
        <v>226.88683313305458</v>
      </c>
      <c r="DB99" s="426">
        <v>235.2850479838616</v>
      </c>
      <c r="DC99" s="426">
        <v>244.00564625921058</v>
      </c>
      <c r="DD99" s="426">
        <v>253.06125239269335</v>
      </c>
      <c r="DE99" s="426">
        <v>262.4649903771778</v>
      </c>
      <c r="DF99" s="426">
        <v>272.23050363881714</v>
      </c>
      <c r="DG99" s="426">
        <v>282.37197570385314</v>
      </c>
      <c r="DH99" s="430" t="b">
        <f t="shared" si="153"/>
        <v>1</v>
      </c>
      <c r="DI99" s="430" t="b">
        <f t="shared" si="153"/>
        <v>1</v>
      </c>
      <c r="DJ99" s="430" t="b">
        <f t="shared" si="153"/>
        <v>1</v>
      </c>
      <c r="DK99" s="430" t="b">
        <f t="shared" si="153"/>
        <v>1</v>
      </c>
      <c r="DL99" s="430" t="b">
        <f t="shared" si="153"/>
        <v>1</v>
      </c>
      <c r="DM99" s="430" t="b">
        <f t="shared" si="153"/>
        <v>1</v>
      </c>
      <c r="DN99" s="430" t="b">
        <f t="shared" si="153"/>
        <v>1</v>
      </c>
      <c r="DO99" s="430" t="b">
        <f t="shared" si="153"/>
        <v>1</v>
      </c>
      <c r="DP99" s="430" t="b">
        <f t="shared" si="154"/>
        <v>1</v>
      </c>
      <c r="DQ99" s="430" t="b">
        <f t="shared" si="155"/>
        <v>1</v>
      </c>
      <c r="DR99" s="430" t="b">
        <f t="shared" si="156"/>
        <v>1</v>
      </c>
      <c r="DS99" s="430" t="b">
        <f t="shared" si="143"/>
        <v>1</v>
      </c>
      <c r="DT99" s="430" t="b">
        <f t="shared" si="144"/>
        <v>1</v>
      </c>
      <c r="DU99" s="430" t="b">
        <f t="shared" si="142"/>
        <v>1</v>
      </c>
      <c r="DV99" s="430" t="b">
        <f t="shared" si="142"/>
        <v>1</v>
      </c>
      <c r="DW99" s="430" t="b">
        <f t="shared" si="142"/>
        <v>1</v>
      </c>
      <c r="DX99" s="430" t="b">
        <f t="shared" si="142"/>
        <v>1</v>
      </c>
      <c r="DY99" s="430" t="b">
        <f t="shared" si="142"/>
        <v>1</v>
      </c>
      <c r="DZ99" s="430" t="b">
        <f t="shared" si="142"/>
        <v>1</v>
      </c>
      <c r="EA99" s="430" t="b">
        <f t="shared" si="142"/>
        <v>1</v>
      </c>
      <c r="EB99" s="430" t="b">
        <f t="shared" si="142"/>
        <v>1</v>
      </c>
      <c r="EC99" s="275">
        <f t="shared" si="151"/>
        <v>214.29652161314181</v>
      </c>
      <c r="ED99" s="223">
        <f>BR99-F99</f>
        <v>0</v>
      </c>
      <c r="EE99" s="223">
        <f>BS99-G99</f>
        <v>0</v>
      </c>
      <c r="EF99" s="223">
        <f>BT99-H99</f>
        <v>0</v>
      </c>
      <c r="EG99" s="223">
        <f>BU99-I99</f>
        <v>0.35041672926772094</v>
      </c>
      <c r="EH99" s="223">
        <f>BV99-J99</f>
        <v>22.868117828167271</v>
      </c>
      <c r="EI99" s="223">
        <f>BW99-K99</f>
        <v>23.227254703149356</v>
      </c>
      <c r="EJ99" s="223">
        <f>BX99-L99</f>
        <v>25.763942605487301</v>
      </c>
      <c r="EK99" s="223">
        <f>BY99-M99</f>
        <v>26.216466722901203</v>
      </c>
      <c r="EL99" s="223">
        <f>BZ99-N99</f>
        <v>26.675531133275513</v>
      </c>
      <c r="EM99" s="223">
        <f>CA99-O99</f>
        <v>27.141166234894001</v>
      </c>
      <c r="EN99" s="223">
        <f>CB99-P99</f>
        <v>27.613399017702903</v>
      </c>
      <c r="EO99" s="223">
        <f>CC99-Q99</f>
        <v>28.092252834492484</v>
      </c>
      <c r="EP99" s="223">
        <f>CD99-R99</f>
        <v>28.577747161075251</v>
      </c>
      <c r="EQ99" s="223">
        <f>CE99-S99</f>
        <v>29.069897344985407</v>
      </c>
      <c r="ER99" s="223">
        <f>CF99-T99</f>
        <v>29.568714342201361</v>
      </c>
      <c r="ES99" s="223">
        <f>CG99-U99</f>
        <v>30.074204441374235</v>
      </c>
      <c r="ET99" s="223">
        <f>CH99-V99</f>
        <v>30.586368975023703</v>
      </c>
      <c r="EU99" s="223">
        <f>CI99-W99</f>
        <v>31.105204017138959</v>
      </c>
      <c r="EV99" s="223">
        <f>CJ99-X99</f>
        <v>31.630700066601264</v>
      </c>
      <c r="EW99" s="223">
        <f>CK99-Y99</f>
        <v>32.162841715817507</v>
      </c>
      <c r="EX99" s="223">
        <f>CL99-Z99</f>
        <v>32.701607303933514</v>
      </c>
      <c r="EY99" s="275">
        <f t="shared" si="152"/>
        <v>28.416200967542423</v>
      </c>
    </row>
    <row r="100" spans="1:155" x14ac:dyDescent="0.35">
      <c r="C100" s="241">
        <v>63</v>
      </c>
      <c r="D100" s="242" t="s">
        <v>70</v>
      </c>
      <c r="E100" s="243" t="s">
        <v>59</v>
      </c>
      <c r="F100" s="384">
        <f>'[10]Данные для переноса'!F101</f>
        <v>1383.8000000000006</v>
      </c>
      <c r="G100" s="384">
        <f>'[10]Данные для переноса'!G101</f>
        <v>1504.0000000000002</v>
      </c>
      <c r="H100" s="384">
        <f>'[10]Данные для переноса'!H101</f>
        <v>1721.5000000000005</v>
      </c>
      <c r="I100" s="384">
        <f>'[10]Данные для переноса'!I101</f>
        <v>1721.5000000000002</v>
      </c>
      <c r="J100" s="384">
        <f>'[10]Данные для переноса'!J101</f>
        <v>1721.5</v>
      </c>
      <c r="K100" s="384">
        <f>'[10]Данные для переноса'!K101</f>
        <v>1721.5000000000002</v>
      </c>
      <c r="L100" s="384">
        <f>'[10]Данные для переноса'!L101</f>
        <v>1721.5</v>
      </c>
      <c r="M100" s="384">
        <f>'[10]Данные для переноса'!M101</f>
        <v>1721.5</v>
      </c>
      <c r="N100" s="384">
        <f>'[10]Данные для переноса'!N101</f>
        <v>1721.5</v>
      </c>
      <c r="O100" s="384">
        <f>'[10]Данные для переноса'!O101</f>
        <v>1721.5</v>
      </c>
      <c r="P100" s="384">
        <f>'[10]Данные для переноса'!P101</f>
        <v>1721.5</v>
      </c>
      <c r="Q100" s="384">
        <f>'[10]Данные для переноса'!Q101</f>
        <v>1721.5000000000002</v>
      </c>
      <c r="R100" s="384">
        <f>'[10]Данные для переноса'!R101</f>
        <v>1721.5000000000002</v>
      </c>
      <c r="S100" s="384">
        <f>'[10]Данные для переноса'!S101</f>
        <v>1721.5000000000002</v>
      </c>
      <c r="T100" s="384">
        <f>'[10]Данные для переноса'!T101</f>
        <v>1721.5</v>
      </c>
      <c r="U100" s="384">
        <f>'[10]Данные для переноса'!U101</f>
        <v>1721.5</v>
      </c>
      <c r="V100" s="384">
        <f>'[10]Данные для переноса'!V101</f>
        <v>1721.5</v>
      </c>
      <c r="W100" s="384">
        <f>'[10]Данные для переноса'!W101</f>
        <v>1721.5000000000002</v>
      </c>
      <c r="X100" s="384">
        <f>'[10]Данные для переноса'!X101</f>
        <v>1721.5</v>
      </c>
      <c r="Y100" s="384">
        <f>'[10]Данные для переноса'!Y101</f>
        <v>1721.5</v>
      </c>
      <c r="Z100" s="384">
        <f>'[10]Данные для переноса'!Z101</f>
        <v>1721.5</v>
      </c>
      <c r="AA100" s="426">
        <v>1383.8000000000006</v>
      </c>
      <c r="AB100" s="426">
        <v>1504.0000000000002</v>
      </c>
      <c r="AC100" s="426">
        <v>1721.5000000000005</v>
      </c>
      <c r="AD100" s="426">
        <v>1721.5000000000002</v>
      </c>
      <c r="AE100" s="426">
        <v>1721.5</v>
      </c>
      <c r="AF100" s="426">
        <v>1721.5000000000002</v>
      </c>
      <c r="AG100" s="426">
        <v>1721.5</v>
      </c>
      <c r="AH100" s="426">
        <v>1721.5</v>
      </c>
      <c r="AI100" s="426">
        <v>1721.5</v>
      </c>
      <c r="AJ100" s="426">
        <v>1721.5</v>
      </c>
      <c r="AK100" s="426">
        <v>1721.5</v>
      </c>
      <c r="AL100" s="426">
        <v>1721.5000000000002</v>
      </c>
      <c r="AM100" s="426">
        <v>1721.5000000000002</v>
      </c>
      <c r="AN100" s="426">
        <v>1721.5000000000002</v>
      </c>
      <c r="AO100" s="426">
        <v>1721.5</v>
      </c>
      <c r="AP100" s="426">
        <v>1721.5</v>
      </c>
      <c r="AQ100" s="426">
        <v>1721.5</v>
      </c>
      <c r="AR100" s="426">
        <v>1721.5000000000002</v>
      </c>
      <c r="AS100" s="426">
        <v>1721.5</v>
      </c>
      <c r="AT100" s="426">
        <v>1721.5</v>
      </c>
      <c r="AU100" s="426">
        <v>1721.5</v>
      </c>
      <c r="AV100" s="430" t="b">
        <f t="shared" si="140"/>
        <v>1</v>
      </c>
      <c r="AW100" s="430" t="b">
        <f t="shared" si="140"/>
        <v>1</v>
      </c>
      <c r="AX100" s="430" t="b">
        <f t="shared" si="140"/>
        <v>1</v>
      </c>
      <c r="AY100" s="430" t="b">
        <f t="shared" si="140"/>
        <v>1</v>
      </c>
      <c r="AZ100" s="430" t="b">
        <f t="shared" si="140"/>
        <v>1</v>
      </c>
      <c r="BA100" s="430" t="b">
        <f t="shared" si="140"/>
        <v>1</v>
      </c>
      <c r="BB100" s="430" t="b">
        <f t="shared" si="140"/>
        <v>1</v>
      </c>
      <c r="BC100" s="430" t="b">
        <f t="shared" si="140"/>
        <v>1</v>
      </c>
      <c r="BD100" s="430" t="b">
        <f t="shared" si="140"/>
        <v>1</v>
      </c>
      <c r="BE100" s="430" t="b">
        <f t="shared" si="140"/>
        <v>1</v>
      </c>
      <c r="BF100" s="430" t="b">
        <f t="shared" si="140"/>
        <v>1</v>
      </c>
      <c r="BG100" s="430" t="b">
        <f t="shared" si="140"/>
        <v>1</v>
      </c>
      <c r="BH100" s="430" t="b">
        <f t="shared" si="140"/>
        <v>1</v>
      </c>
      <c r="BI100" s="430" t="b">
        <f t="shared" si="140"/>
        <v>1</v>
      </c>
      <c r="BJ100" s="430" t="b">
        <f t="shared" si="141"/>
        <v>1</v>
      </c>
      <c r="BK100" s="430" t="b">
        <f t="shared" si="141"/>
        <v>1</v>
      </c>
      <c r="BL100" s="430" t="b">
        <f t="shared" si="141"/>
        <v>1</v>
      </c>
      <c r="BM100" s="430" t="b">
        <f t="shared" si="141"/>
        <v>1</v>
      </c>
      <c r="BN100" s="430" t="b">
        <f t="shared" si="141"/>
        <v>1</v>
      </c>
      <c r="BO100" s="430" t="b">
        <f t="shared" si="141"/>
        <v>1</v>
      </c>
      <c r="BP100" s="430" t="b">
        <f t="shared" si="141"/>
        <v>1</v>
      </c>
      <c r="BQ100" s="275">
        <f t="shared" si="150"/>
        <v>1721.5</v>
      </c>
      <c r="BR100" s="247">
        <f>'[10]Данные для переноса'!AB101</f>
        <v>1383.8000000000006</v>
      </c>
      <c r="BS100" s="247">
        <f>'[10]Данные для переноса'!AC101</f>
        <v>1504.0000000000002</v>
      </c>
      <c r="BT100" s="247">
        <f>'[10]Данные для переноса'!AD101</f>
        <v>1721.5000000000005</v>
      </c>
      <c r="BU100" s="247">
        <f>'[10]Данные для переноса'!AE101</f>
        <v>1721.5000000000005</v>
      </c>
      <c r="BV100" s="247">
        <f>'[10]Данные для переноса'!AF101</f>
        <v>1721.5</v>
      </c>
      <c r="BW100" s="247">
        <f>'[10]Данные для переноса'!AG101</f>
        <v>1721.4999999999998</v>
      </c>
      <c r="BX100" s="247">
        <f>'[10]Данные для переноса'!AH101</f>
        <v>1721.5000000000002</v>
      </c>
      <c r="BY100" s="247">
        <f>'[10]Данные для переноса'!AI101</f>
        <v>1721.5</v>
      </c>
      <c r="BZ100" s="247">
        <f>'[10]Данные для переноса'!AJ101</f>
        <v>1721.4999999999998</v>
      </c>
      <c r="CA100" s="247">
        <f>'[10]Данные для переноса'!AK101</f>
        <v>1721.5</v>
      </c>
      <c r="CB100" s="247">
        <f>'[10]Данные для переноса'!AL101</f>
        <v>1721.4999999999998</v>
      </c>
      <c r="CC100" s="247">
        <f>'[10]Данные для переноса'!AM101</f>
        <v>1721.5</v>
      </c>
      <c r="CD100" s="247">
        <f>'[10]Данные для переноса'!AN101</f>
        <v>1721.4999999999998</v>
      </c>
      <c r="CE100" s="247">
        <f>'[10]Данные для переноса'!AO101</f>
        <v>1773.5</v>
      </c>
      <c r="CF100" s="247">
        <f>'[10]Данные для переноса'!AP101</f>
        <v>1825.5</v>
      </c>
      <c r="CG100" s="247">
        <f>'[10]Данные для переноса'!AQ101</f>
        <v>1825.5</v>
      </c>
      <c r="CH100" s="247">
        <f>'[10]Данные для переноса'!AR101</f>
        <v>1825.4999999999998</v>
      </c>
      <c r="CI100" s="247">
        <f>'[10]Данные для переноса'!AS101</f>
        <v>1825.5</v>
      </c>
      <c r="CJ100" s="247">
        <f>'[10]Данные для переноса'!AT101</f>
        <v>1825.4999999999998</v>
      </c>
      <c r="CK100" s="247">
        <f>'[10]Данные для переноса'!AU101</f>
        <v>1825.5</v>
      </c>
      <c r="CL100" s="247">
        <f>'[10]Данные для переноса'!AV101</f>
        <v>1825.4999999999998</v>
      </c>
      <c r="CM100" s="426">
        <v>1383.8000000000006</v>
      </c>
      <c r="CN100" s="426">
        <v>1504.0000000000002</v>
      </c>
      <c r="CO100" s="426">
        <v>1721.5000000000005</v>
      </c>
      <c r="CP100" s="426">
        <v>1721.5000000000005</v>
      </c>
      <c r="CQ100" s="426">
        <v>1721.5</v>
      </c>
      <c r="CR100" s="426">
        <v>1721.4999999999998</v>
      </c>
      <c r="CS100" s="426">
        <v>1721.5000000000002</v>
      </c>
      <c r="CT100" s="426">
        <v>1721.5</v>
      </c>
      <c r="CU100" s="426">
        <v>1721.4999999999998</v>
      </c>
      <c r="CV100" s="426">
        <v>1721.5</v>
      </c>
      <c r="CW100" s="426">
        <v>1721.4999999999998</v>
      </c>
      <c r="CX100" s="426">
        <v>1721.5</v>
      </c>
      <c r="CY100" s="426">
        <v>1721.4999999999998</v>
      </c>
      <c r="CZ100" s="426">
        <v>1773.5</v>
      </c>
      <c r="DA100" s="426">
        <v>1825.5</v>
      </c>
      <c r="DB100" s="426">
        <v>1825.5</v>
      </c>
      <c r="DC100" s="426">
        <v>1825.4999999999998</v>
      </c>
      <c r="DD100" s="426">
        <v>1825.5</v>
      </c>
      <c r="DE100" s="426">
        <v>1825.4999999999998</v>
      </c>
      <c r="DF100" s="426">
        <v>1825.5</v>
      </c>
      <c r="DG100" s="426">
        <v>1825.4999999999998</v>
      </c>
      <c r="DH100" s="430" t="b">
        <f t="shared" si="153"/>
        <v>1</v>
      </c>
      <c r="DI100" s="430" t="b">
        <f t="shared" si="153"/>
        <v>1</v>
      </c>
      <c r="DJ100" s="430" t="b">
        <f t="shared" si="153"/>
        <v>1</v>
      </c>
      <c r="DK100" s="430" t="b">
        <f t="shared" si="153"/>
        <v>1</v>
      </c>
      <c r="DL100" s="430" t="b">
        <f t="shared" si="153"/>
        <v>1</v>
      </c>
      <c r="DM100" s="430" t="b">
        <f t="shared" si="153"/>
        <v>1</v>
      </c>
      <c r="DN100" s="430" t="b">
        <f t="shared" si="153"/>
        <v>1</v>
      </c>
      <c r="DO100" s="430" t="b">
        <f t="shared" si="153"/>
        <v>1</v>
      </c>
      <c r="DP100" s="430" t="b">
        <f t="shared" si="153"/>
        <v>1</v>
      </c>
      <c r="DQ100" s="430" t="b">
        <f t="shared" si="153"/>
        <v>1</v>
      </c>
      <c r="DR100" s="430" t="b">
        <f t="shared" si="153"/>
        <v>1</v>
      </c>
      <c r="DS100" s="430" t="b">
        <f t="shared" si="153"/>
        <v>1</v>
      </c>
      <c r="DT100" s="430" t="b">
        <f t="shared" si="153"/>
        <v>1</v>
      </c>
      <c r="DU100" s="430" t="b">
        <f t="shared" si="153"/>
        <v>1</v>
      </c>
      <c r="DV100" s="430" t="b">
        <f t="shared" si="142"/>
        <v>1</v>
      </c>
      <c r="DW100" s="430" t="b">
        <f t="shared" si="142"/>
        <v>1</v>
      </c>
      <c r="DX100" s="430" t="b">
        <f t="shared" si="142"/>
        <v>1</v>
      </c>
      <c r="DY100" s="430" t="b">
        <f t="shared" si="142"/>
        <v>1</v>
      </c>
      <c r="DZ100" s="430" t="b">
        <f t="shared" si="142"/>
        <v>1</v>
      </c>
      <c r="EA100" s="430" t="b">
        <f t="shared" si="142"/>
        <v>1</v>
      </c>
      <c r="EB100" s="430" t="b">
        <f t="shared" si="142"/>
        <v>1</v>
      </c>
      <c r="EC100" s="275">
        <f t="shared" si="151"/>
        <v>1767.3823529411766</v>
      </c>
      <c r="ED100" s="223">
        <f>BR100-F100</f>
        <v>0</v>
      </c>
      <c r="EE100" s="223">
        <f>BS100-G100</f>
        <v>0</v>
      </c>
      <c r="EF100" s="223">
        <f>BT100-H100</f>
        <v>0</v>
      </c>
      <c r="EG100" s="223">
        <f>BU100-I100</f>
        <v>0</v>
      </c>
      <c r="EH100" s="223">
        <f>BV100-J100</f>
        <v>0</v>
      </c>
      <c r="EI100" s="223">
        <f>BW100-K100</f>
        <v>0</v>
      </c>
      <c r="EJ100" s="223">
        <f>BX100-L100</f>
        <v>0</v>
      </c>
      <c r="EK100" s="223">
        <f>BY100-M100</f>
        <v>0</v>
      </c>
      <c r="EL100" s="223">
        <f>BZ100-N100</f>
        <v>0</v>
      </c>
      <c r="EM100" s="223">
        <f>CA100-O100</f>
        <v>0</v>
      </c>
      <c r="EN100" s="223">
        <f>CB100-P100</f>
        <v>0</v>
      </c>
      <c r="EO100" s="223">
        <f>CC100-Q100</f>
        <v>0</v>
      </c>
      <c r="EP100" s="223">
        <f>CD100-R100</f>
        <v>0</v>
      </c>
      <c r="EQ100" s="223">
        <f>CE100-S100</f>
        <v>51.999999999999773</v>
      </c>
      <c r="ER100" s="223">
        <f>CF100-T100</f>
        <v>104</v>
      </c>
      <c r="ES100" s="223">
        <f>CG100-U100</f>
        <v>104</v>
      </c>
      <c r="ET100" s="223">
        <f>CH100-V100</f>
        <v>103.99999999999977</v>
      </c>
      <c r="EU100" s="223">
        <f>CI100-W100</f>
        <v>103.99999999999977</v>
      </c>
      <c r="EV100" s="223">
        <f>CJ100-X100</f>
        <v>103.99999999999977</v>
      </c>
      <c r="EW100" s="223">
        <f>CK100-Y100</f>
        <v>104</v>
      </c>
      <c r="EX100" s="223">
        <f>CL100-Z100</f>
        <v>103.99999999999977</v>
      </c>
      <c r="EY100" s="275">
        <f t="shared" si="152"/>
        <v>45.882352941176407</v>
      </c>
    </row>
    <row r="101" spans="1:155" s="235" customFormat="1" ht="13" x14ac:dyDescent="0.3">
      <c r="A101" s="221"/>
      <c r="B101" s="222"/>
      <c r="C101" s="233"/>
      <c r="D101" s="234" t="s">
        <v>71</v>
      </c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428"/>
      <c r="AB101" s="428"/>
      <c r="AC101" s="428"/>
      <c r="AD101" s="428"/>
      <c r="AE101" s="428"/>
      <c r="AF101" s="428"/>
      <c r="AG101" s="428"/>
      <c r="AH101" s="428"/>
      <c r="AI101" s="428"/>
      <c r="AJ101" s="428"/>
      <c r="AK101" s="428"/>
      <c r="AL101" s="428"/>
      <c r="AM101" s="428"/>
      <c r="AN101" s="428"/>
      <c r="AO101" s="428"/>
      <c r="AP101" s="428"/>
      <c r="AQ101" s="428"/>
      <c r="AR101" s="428"/>
      <c r="AS101" s="428"/>
      <c r="AT101" s="428"/>
      <c r="AU101" s="428"/>
      <c r="AV101" s="424" t="b">
        <f t="shared" si="140"/>
        <v>1</v>
      </c>
      <c r="AW101" s="424" t="b">
        <f t="shared" si="140"/>
        <v>1</v>
      </c>
      <c r="AX101" s="424" t="b">
        <f t="shared" si="140"/>
        <v>1</v>
      </c>
      <c r="AY101" s="424" t="b">
        <f t="shared" si="140"/>
        <v>1</v>
      </c>
      <c r="AZ101" s="424" t="b">
        <f t="shared" si="140"/>
        <v>1</v>
      </c>
      <c r="BA101" s="424" t="b">
        <f t="shared" si="140"/>
        <v>1</v>
      </c>
      <c r="BB101" s="424" t="b">
        <f t="shared" si="140"/>
        <v>1</v>
      </c>
      <c r="BC101" s="424" t="b">
        <f t="shared" si="140"/>
        <v>1</v>
      </c>
      <c r="BD101" s="424" t="b">
        <f t="shared" si="140"/>
        <v>1</v>
      </c>
      <c r="BE101" s="424" t="b">
        <f t="shared" si="140"/>
        <v>1</v>
      </c>
      <c r="BF101" s="424" t="b">
        <f t="shared" si="140"/>
        <v>1</v>
      </c>
      <c r="BG101" s="424" t="b">
        <f t="shared" si="140"/>
        <v>1</v>
      </c>
      <c r="BH101" s="424" t="b">
        <f t="shared" si="140"/>
        <v>1</v>
      </c>
      <c r="BI101" s="424" t="b">
        <f t="shared" si="140"/>
        <v>1</v>
      </c>
      <c r="BJ101" s="424" t="b">
        <f t="shared" si="141"/>
        <v>1</v>
      </c>
      <c r="BK101" s="424" t="b">
        <f t="shared" si="141"/>
        <v>1</v>
      </c>
      <c r="BL101" s="424" t="b">
        <f t="shared" si="141"/>
        <v>1</v>
      </c>
      <c r="BM101" s="424" t="b">
        <f t="shared" si="141"/>
        <v>1</v>
      </c>
      <c r="BN101" s="424" t="b">
        <f t="shared" si="141"/>
        <v>1</v>
      </c>
      <c r="BO101" s="424" t="b">
        <f t="shared" si="141"/>
        <v>1</v>
      </c>
      <c r="BP101" s="424" t="b">
        <f t="shared" si="141"/>
        <v>1</v>
      </c>
      <c r="BQ101" s="217"/>
      <c r="BR101" s="216"/>
      <c r="BS101" s="216"/>
      <c r="BT101" s="216"/>
      <c r="BU101" s="216"/>
      <c r="BV101" s="216"/>
      <c r="BW101" s="216"/>
      <c r="BX101" s="216"/>
      <c r="BY101" s="216"/>
      <c r="BZ101" s="216"/>
      <c r="CA101" s="216"/>
      <c r="CB101" s="216"/>
      <c r="CC101" s="216"/>
      <c r="CD101" s="216"/>
      <c r="CE101" s="216"/>
      <c r="CF101" s="216"/>
      <c r="CG101" s="216"/>
      <c r="CH101" s="216"/>
      <c r="CI101" s="216"/>
      <c r="CJ101" s="216"/>
      <c r="CK101" s="216"/>
      <c r="CL101" s="216"/>
      <c r="CM101" s="428"/>
      <c r="CN101" s="428"/>
      <c r="CO101" s="428"/>
      <c r="CP101" s="428"/>
      <c r="CQ101" s="428"/>
      <c r="CR101" s="428"/>
      <c r="CS101" s="428"/>
      <c r="CT101" s="428"/>
      <c r="CU101" s="428"/>
      <c r="CV101" s="428"/>
      <c r="CW101" s="428"/>
      <c r="CX101" s="428"/>
      <c r="CY101" s="428"/>
      <c r="CZ101" s="428"/>
      <c r="DA101" s="428"/>
      <c r="DB101" s="428"/>
      <c r="DC101" s="428"/>
      <c r="DD101" s="428"/>
      <c r="DE101" s="428"/>
      <c r="DF101" s="428"/>
      <c r="DG101" s="428"/>
      <c r="DH101" s="424" t="b">
        <f t="shared" si="153"/>
        <v>1</v>
      </c>
      <c r="DI101" s="424" t="b">
        <f t="shared" si="153"/>
        <v>1</v>
      </c>
      <c r="DJ101" s="424" t="b">
        <f t="shared" si="153"/>
        <v>1</v>
      </c>
      <c r="DK101" s="424" t="b">
        <f t="shared" si="153"/>
        <v>1</v>
      </c>
      <c r="DL101" s="424" t="b">
        <f t="shared" si="153"/>
        <v>1</v>
      </c>
      <c r="DM101" s="424" t="b">
        <f t="shared" si="153"/>
        <v>1</v>
      </c>
      <c r="DN101" s="424" t="b">
        <f t="shared" si="153"/>
        <v>1</v>
      </c>
      <c r="DO101" s="424" t="b">
        <f t="shared" si="153"/>
        <v>1</v>
      </c>
      <c r="DP101" s="424" t="b">
        <f t="shared" si="153"/>
        <v>1</v>
      </c>
      <c r="DQ101" s="424" t="b">
        <f t="shared" si="153"/>
        <v>1</v>
      </c>
      <c r="DR101" s="424" t="b">
        <f t="shared" si="153"/>
        <v>1</v>
      </c>
      <c r="DS101" s="424" t="b">
        <f t="shared" si="153"/>
        <v>1</v>
      </c>
      <c r="DT101" s="424" t="b">
        <f t="shared" si="153"/>
        <v>1</v>
      </c>
      <c r="DU101" s="424" t="b">
        <f t="shared" si="153"/>
        <v>1</v>
      </c>
      <c r="DV101" s="424" t="b">
        <f t="shared" si="142"/>
        <v>1</v>
      </c>
      <c r="DW101" s="424" t="b">
        <f t="shared" si="142"/>
        <v>1</v>
      </c>
      <c r="DX101" s="424" t="b">
        <f t="shared" si="142"/>
        <v>1</v>
      </c>
      <c r="DY101" s="424" t="b">
        <f t="shared" si="142"/>
        <v>1</v>
      </c>
      <c r="DZ101" s="424" t="b">
        <f t="shared" si="142"/>
        <v>1</v>
      </c>
      <c r="EA101" s="424" t="b">
        <f t="shared" si="142"/>
        <v>1</v>
      </c>
      <c r="EB101" s="424" t="b">
        <f t="shared" si="142"/>
        <v>1</v>
      </c>
      <c r="EC101" s="217"/>
      <c r="ED101" s="218"/>
      <c r="EE101" s="218"/>
      <c r="EF101" s="218"/>
      <c r="EG101" s="218"/>
      <c r="EH101" s="218"/>
      <c r="EI101" s="218"/>
      <c r="EJ101" s="218"/>
      <c r="EK101" s="218"/>
      <c r="EL101" s="218"/>
      <c r="EM101" s="218"/>
      <c r="EN101" s="218"/>
      <c r="EO101" s="218"/>
      <c r="EP101" s="218"/>
      <c r="EQ101" s="218"/>
      <c r="ER101" s="218"/>
      <c r="ES101" s="218"/>
      <c r="ET101" s="218"/>
      <c r="EU101" s="218"/>
      <c r="EV101" s="218"/>
      <c r="EW101" s="218"/>
      <c r="EX101" s="218"/>
      <c r="EY101" s="217"/>
    </row>
    <row r="102" spans="1:155" x14ac:dyDescent="0.35">
      <c r="C102" s="241">
        <v>64</v>
      </c>
      <c r="D102" s="282" t="s">
        <v>72</v>
      </c>
      <c r="E102" s="243" t="s">
        <v>73</v>
      </c>
      <c r="F102" s="384">
        <f>'[10]Данные для переноса'!F103</f>
        <v>296265</v>
      </c>
      <c r="G102" s="384">
        <f>'[10]Данные для переноса'!G103</f>
        <v>312495</v>
      </c>
      <c r="H102" s="384">
        <f>'[10]Данные для переноса'!H103</f>
        <v>329976</v>
      </c>
      <c r="I102" s="384">
        <f>'[10]Данные для переноса'!I103</f>
        <v>329976</v>
      </c>
      <c r="J102" s="384">
        <f>'[10]Данные для переноса'!J103</f>
        <v>329976</v>
      </c>
      <c r="K102" s="384">
        <f>'[10]Данные для переноса'!K103</f>
        <v>329976</v>
      </c>
      <c r="L102" s="384">
        <f>'[10]Данные для переноса'!L103</f>
        <v>329976</v>
      </c>
      <c r="M102" s="384">
        <f>'[10]Данные для переноса'!M103</f>
        <v>329976</v>
      </c>
      <c r="N102" s="384">
        <f>'[10]Данные для переноса'!N103</f>
        <v>329976</v>
      </c>
      <c r="O102" s="384">
        <f>'[10]Данные для переноса'!O103</f>
        <v>329976</v>
      </c>
      <c r="P102" s="384">
        <f>'[10]Данные для переноса'!P103</f>
        <v>329976</v>
      </c>
      <c r="Q102" s="384">
        <f>'[10]Данные для переноса'!Q103</f>
        <v>329976</v>
      </c>
      <c r="R102" s="384">
        <f>'[10]Данные для переноса'!R103</f>
        <v>329976</v>
      </c>
      <c r="S102" s="384">
        <f>'[10]Данные для переноса'!S103</f>
        <v>329976</v>
      </c>
      <c r="T102" s="384">
        <f>'[10]Данные для переноса'!T103</f>
        <v>329976</v>
      </c>
      <c r="U102" s="384">
        <f>'[10]Данные для переноса'!U103</f>
        <v>329976</v>
      </c>
      <c r="V102" s="384">
        <f>'[10]Данные для переноса'!V103</f>
        <v>329976</v>
      </c>
      <c r="W102" s="384">
        <f>'[10]Данные для переноса'!W103</f>
        <v>329976</v>
      </c>
      <c r="X102" s="384">
        <f>'[10]Данные для переноса'!X103</f>
        <v>329976</v>
      </c>
      <c r="Y102" s="384">
        <f>'[10]Данные для переноса'!Y103</f>
        <v>329976</v>
      </c>
      <c r="Z102" s="384">
        <f>'[10]Данные для переноса'!Z103</f>
        <v>329976</v>
      </c>
      <c r="AA102" s="426">
        <v>296265</v>
      </c>
      <c r="AB102" s="426">
        <v>312495</v>
      </c>
      <c r="AC102" s="426">
        <v>329976</v>
      </c>
      <c r="AD102" s="426">
        <v>329976</v>
      </c>
      <c r="AE102" s="426">
        <v>329976</v>
      </c>
      <c r="AF102" s="426">
        <v>329976</v>
      </c>
      <c r="AG102" s="426">
        <v>329976</v>
      </c>
      <c r="AH102" s="426">
        <v>329976</v>
      </c>
      <c r="AI102" s="426">
        <v>329976</v>
      </c>
      <c r="AJ102" s="426">
        <v>329976</v>
      </c>
      <c r="AK102" s="426">
        <v>329976</v>
      </c>
      <c r="AL102" s="426">
        <v>329976</v>
      </c>
      <c r="AM102" s="426">
        <v>329976</v>
      </c>
      <c r="AN102" s="426">
        <v>329976</v>
      </c>
      <c r="AO102" s="426">
        <v>329976</v>
      </c>
      <c r="AP102" s="426">
        <v>329976</v>
      </c>
      <c r="AQ102" s="426">
        <v>329976</v>
      </c>
      <c r="AR102" s="426">
        <v>329976</v>
      </c>
      <c r="AS102" s="426">
        <v>329976</v>
      </c>
      <c r="AT102" s="426">
        <v>329976</v>
      </c>
      <c r="AU102" s="426">
        <v>329976</v>
      </c>
      <c r="AV102" s="430" t="b">
        <f t="shared" si="140"/>
        <v>1</v>
      </c>
      <c r="AW102" s="430" t="b">
        <f t="shared" si="140"/>
        <v>1</v>
      </c>
      <c r="AX102" s="430" t="b">
        <f t="shared" si="140"/>
        <v>1</v>
      </c>
      <c r="AY102" s="430" t="b">
        <f t="shared" si="140"/>
        <v>1</v>
      </c>
      <c r="AZ102" s="430" t="b">
        <f t="shared" si="140"/>
        <v>1</v>
      </c>
      <c r="BA102" s="430" t="b">
        <f t="shared" si="140"/>
        <v>1</v>
      </c>
      <c r="BB102" s="430" t="b">
        <f t="shared" si="140"/>
        <v>1</v>
      </c>
      <c r="BC102" s="430" t="b">
        <f t="shared" si="140"/>
        <v>1</v>
      </c>
      <c r="BD102" s="430" t="b">
        <f t="shared" si="140"/>
        <v>1</v>
      </c>
      <c r="BE102" s="430" t="b">
        <f t="shared" si="140"/>
        <v>1</v>
      </c>
      <c r="BF102" s="430" t="b">
        <f t="shared" si="140"/>
        <v>1</v>
      </c>
      <c r="BG102" s="430" t="b">
        <f t="shared" si="140"/>
        <v>1</v>
      </c>
      <c r="BH102" s="430" t="b">
        <f t="shared" si="140"/>
        <v>1</v>
      </c>
      <c r="BI102" s="430" t="b">
        <f t="shared" si="140"/>
        <v>1</v>
      </c>
      <c r="BJ102" s="430" t="b">
        <f t="shared" si="141"/>
        <v>1</v>
      </c>
      <c r="BK102" s="430" t="b">
        <f t="shared" si="141"/>
        <v>1</v>
      </c>
      <c r="BL102" s="430" t="b">
        <f t="shared" si="141"/>
        <v>1</v>
      </c>
      <c r="BM102" s="430" t="b">
        <f t="shared" si="141"/>
        <v>1</v>
      </c>
      <c r="BN102" s="430" t="b">
        <f t="shared" si="141"/>
        <v>1</v>
      </c>
      <c r="BO102" s="430" t="b">
        <f t="shared" si="141"/>
        <v>1</v>
      </c>
      <c r="BP102" s="430" t="b">
        <f t="shared" si="141"/>
        <v>1</v>
      </c>
      <c r="BQ102" s="275">
        <f t="shared" si="150"/>
        <v>329976</v>
      </c>
      <c r="BR102" s="247">
        <f>'[10]Данные для переноса'!AB103</f>
        <v>296265</v>
      </c>
      <c r="BS102" s="247">
        <f>'[10]Данные для переноса'!AC103</f>
        <v>312495</v>
      </c>
      <c r="BT102" s="247">
        <f>'[10]Данные для переноса'!AD103</f>
        <v>329976</v>
      </c>
      <c r="BU102" s="247">
        <f>'[10]Данные для переноса'!AE103</f>
        <v>329976</v>
      </c>
      <c r="BV102" s="247">
        <f>'[10]Данные для переноса'!AF103</f>
        <v>329976</v>
      </c>
      <c r="BW102" s="247">
        <f>'[10]Данные для переноса'!AG103</f>
        <v>329976</v>
      </c>
      <c r="BX102" s="247">
        <f>'[10]Данные для переноса'!AH103</f>
        <v>329976</v>
      </c>
      <c r="BY102" s="247">
        <f>'[10]Данные для переноса'!AI103</f>
        <v>329976</v>
      </c>
      <c r="BZ102" s="247">
        <f>'[10]Данные для переноса'!AJ103</f>
        <v>329976</v>
      </c>
      <c r="CA102" s="247">
        <f>'[10]Данные для переноса'!AK103</f>
        <v>329976</v>
      </c>
      <c r="CB102" s="247">
        <f>'[10]Данные для переноса'!AL103</f>
        <v>329976</v>
      </c>
      <c r="CC102" s="247">
        <f>'[10]Данные для переноса'!AM103</f>
        <v>329976</v>
      </c>
      <c r="CD102" s="247">
        <f>'[10]Данные для переноса'!AN103</f>
        <v>329976</v>
      </c>
      <c r="CE102" s="247">
        <f>'[10]Данные для переноса'!AO103</f>
        <v>420205.75</v>
      </c>
      <c r="CF102" s="247">
        <f>'[10]Данные для переноса'!AP103</f>
        <v>420205.75</v>
      </c>
      <c r="CG102" s="247">
        <f>'[10]Данные для переноса'!AQ103</f>
        <v>420205.75</v>
      </c>
      <c r="CH102" s="247">
        <f>'[10]Данные для переноса'!AR103</f>
        <v>420205.75</v>
      </c>
      <c r="CI102" s="247">
        <f>'[10]Данные для переноса'!AS103</f>
        <v>420205.75</v>
      </c>
      <c r="CJ102" s="247">
        <f>'[10]Данные для переноса'!AT103</f>
        <v>420205.75</v>
      </c>
      <c r="CK102" s="247">
        <f>'[10]Данные для переноса'!AU103</f>
        <v>420205.75</v>
      </c>
      <c r="CL102" s="247">
        <f>'[10]Данные для переноса'!AV103</f>
        <v>420205.75</v>
      </c>
      <c r="CM102" s="426">
        <v>296265</v>
      </c>
      <c r="CN102" s="426">
        <v>312495</v>
      </c>
      <c r="CO102" s="426">
        <v>329976</v>
      </c>
      <c r="CP102" s="426">
        <v>329976</v>
      </c>
      <c r="CQ102" s="426">
        <v>329976</v>
      </c>
      <c r="CR102" s="426">
        <v>329976</v>
      </c>
      <c r="CS102" s="426">
        <v>329976</v>
      </c>
      <c r="CT102" s="426">
        <v>329976</v>
      </c>
      <c r="CU102" s="426">
        <v>329976</v>
      </c>
      <c r="CV102" s="426">
        <v>329976</v>
      </c>
      <c r="CW102" s="426">
        <v>329976</v>
      </c>
      <c r="CX102" s="426">
        <v>329976</v>
      </c>
      <c r="CY102" s="426">
        <v>329976</v>
      </c>
      <c r="CZ102" s="426">
        <v>420205.75</v>
      </c>
      <c r="DA102" s="426">
        <v>420205.75</v>
      </c>
      <c r="DB102" s="426">
        <v>420205.75</v>
      </c>
      <c r="DC102" s="426">
        <v>420205.75</v>
      </c>
      <c r="DD102" s="426">
        <v>420205.75</v>
      </c>
      <c r="DE102" s="426">
        <v>420205.75</v>
      </c>
      <c r="DF102" s="426">
        <v>420205.75</v>
      </c>
      <c r="DG102" s="426">
        <v>420205.75</v>
      </c>
      <c r="DH102" s="430" t="b">
        <f t="shared" si="153"/>
        <v>1</v>
      </c>
      <c r="DI102" s="430" t="b">
        <f t="shared" si="153"/>
        <v>1</v>
      </c>
      <c r="DJ102" s="430" t="b">
        <f t="shared" si="153"/>
        <v>1</v>
      </c>
      <c r="DK102" s="430" t="b">
        <f t="shared" si="153"/>
        <v>1</v>
      </c>
      <c r="DL102" s="430" t="b">
        <f t="shared" si="153"/>
        <v>1</v>
      </c>
      <c r="DM102" s="430" t="b">
        <f t="shared" si="153"/>
        <v>1</v>
      </c>
      <c r="DN102" s="430" t="b">
        <f t="shared" si="153"/>
        <v>1</v>
      </c>
      <c r="DO102" s="430" t="b">
        <f t="shared" si="153"/>
        <v>1</v>
      </c>
      <c r="DP102" s="430" t="b">
        <f t="shared" si="153"/>
        <v>1</v>
      </c>
      <c r="DQ102" s="430" t="b">
        <f t="shared" si="153"/>
        <v>1</v>
      </c>
      <c r="DR102" s="430" t="b">
        <f t="shared" si="153"/>
        <v>1</v>
      </c>
      <c r="DS102" s="430" t="b">
        <f t="shared" si="153"/>
        <v>1</v>
      </c>
      <c r="DT102" s="430" t="b">
        <f t="shared" si="153"/>
        <v>1</v>
      </c>
      <c r="DU102" s="430" t="b">
        <f t="shared" si="153"/>
        <v>1</v>
      </c>
      <c r="DV102" s="430" t="b">
        <f t="shared" si="142"/>
        <v>1</v>
      </c>
      <c r="DW102" s="430" t="b">
        <f t="shared" si="142"/>
        <v>1</v>
      </c>
      <c r="DX102" s="430" t="b">
        <f t="shared" si="142"/>
        <v>1</v>
      </c>
      <c r="DY102" s="430" t="b">
        <f t="shared" si="142"/>
        <v>1</v>
      </c>
      <c r="DZ102" s="430" t="b">
        <f t="shared" si="142"/>
        <v>1</v>
      </c>
      <c r="EA102" s="430" t="b">
        <f t="shared" si="142"/>
        <v>1</v>
      </c>
      <c r="EB102" s="430" t="b">
        <f t="shared" si="142"/>
        <v>1</v>
      </c>
      <c r="EC102" s="275">
        <f t="shared" si="151"/>
        <v>372437.0588235294</v>
      </c>
      <c r="ED102" s="223">
        <f>BR102-F102</f>
        <v>0</v>
      </c>
      <c r="EE102" s="223">
        <f>BS102-G102</f>
        <v>0</v>
      </c>
      <c r="EF102" s="223">
        <f>BT102-H102</f>
        <v>0</v>
      </c>
      <c r="EG102" s="223">
        <f>BU102-I102</f>
        <v>0</v>
      </c>
      <c r="EH102" s="223">
        <f>BV102-J102</f>
        <v>0</v>
      </c>
      <c r="EI102" s="223">
        <f>BW102-K102</f>
        <v>0</v>
      </c>
      <c r="EJ102" s="223">
        <f>BX102-L102</f>
        <v>0</v>
      </c>
      <c r="EK102" s="223">
        <f>BY102-M102</f>
        <v>0</v>
      </c>
      <c r="EL102" s="223">
        <f>BZ102-N102</f>
        <v>0</v>
      </c>
      <c r="EM102" s="223">
        <f>CA102-O102</f>
        <v>0</v>
      </c>
      <c r="EN102" s="223">
        <f>CB102-P102</f>
        <v>0</v>
      </c>
      <c r="EO102" s="223">
        <f>CC102-Q102</f>
        <v>0</v>
      </c>
      <c r="EP102" s="223">
        <f>CD102-R102</f>
        <v>0</v>
      </c>
      <c r="EQ102" s="223">
        <f>CE102-S102</f>
        <v>90229.75</v>
      </c>
      <c r="ER102" s="223">
        <f>CF102-T102</f>
        <v>90229.75</v>
      </c>
      <c r="ES102" s="223">
        <f>CG102-U102</f>
        <v>90229.75</v>
      </c>
      <c r="ET102" s="223">
        <f>CH102-V102</f>
        <v>90229.75</v>
      </c>
      <c r="EU102" s="223">
        <f>CI102-W102</f>
        <v>90229.75</v>
      </c>
      <c r="EV102" s="223">
        <f>CJ102-X102</f>
        <v>90229.75</v>
      </c>
      <c r="EW102" s="223">
        <f>CK102-Y102</f>
        <v>90229.75</v>
      </c>
      <c r="EX102" s="223">
        <f>CL102-Z102</f>
        <v>90229.75</v>
      </c>
      <c r="EY102" s="275">
        <f>IFERROR(AVERAGE(EQ102:EX102),0)</f>
        <v>90229.75</v>
      </c>
    </row>
    <row r="103" spans="1:155" x14ac:dyDescent="0.35">
      <c r="C103" s="241">
        <v>65</v>
      </c>
      <c r="D103" s="282" t="s">
        <v>74</v>
      </c>
      <c r="E103" s="243" t="s">
        <v>73</v>
      </c>
      <c r="F103" s="384">
        <f>'[10]Данные для переноса'!F104</f>
        <v>126628</v>
      </c>
      <c r="G103" s="384">
        <f>'[10]Данные для переноса'!G104</f>
        <v>94018</v>
      </c>
      <c r="H103" s="384">
        <f>'[10]Данные для переноса'!H104</f>
        <v>110558</v>
      </c>
      <c r="I103" s="384">
        <f>'[10]Данные для переноса'!I104</f>
        <v>110558</v>
      </c>
      <c r="J103" s="384">
        <f>'[10]Данные для переноса'!J104</f>
        <v>110558</v>
      </c>
      <c r="K103" s="384">
        <f>'[10]Данные для переноса'!K104</f>
        <v>110558</v>
      </c>
      <c r="L103" s="384">
        <f>'[10]Данные для переноса'!L104</f>
        <v>110558</v>
      </c>
      <c r="M103" s="384">
        <f>'[10]Данные для переноса'!M104</f>
        <v>110558</v>
      </c>
      <c r="N103" s="384">
        <f>'[10]Данные для переноса'!N104</f>
        <v>110558</v>
      </c>
      <c r="O103" s="384">
        <f>'[10]Данные для переноса'!O104</f>
        <v>110558</v>
      </c>
      <c r="P103" s="384">
        <f>'[10]Данные для переноса'!P104</f>
        <v>110558</v>
      </c>
      <c r="Q103" s="384">
        <f>'[10]Данные для переноса'!Q104</f>
        <v>110558</v>
      </c>
      <c r="R103" s="384">
        <f>'[10]Данные для переноса'!R104</f>
        <v>110558</v>
      </c>
      <c r="S103" s="384">
        <f>'[10]Данные для переноса'!S104</f>
        <v>110558</v>
      </c>
      <c r="T103" s="384">
        <f>'[10]Данные для переноса'!T104</f>
        <v>110558</v>
      </c>
      <c r="U103" s="384">
        <f>'[10]Данные для переноса'!U104</f>
        <v>110558</v>
      </c>
      <c r="V103" s="384">
        <f>'[10]Данные для переноса'!V104</f>
        <v>110558</v>
      </c>
      <c r="W103" s="384">
        <f>'[10]Данные для переноса'!W104</f>
        <v>110558</v>
      </c>
      <c r="X103" s="384">
        <f>'[10]Данные для переноса'!X104</f>
        <v>110558</v>
      </c>
      <c r="Y103" s="384">
        <f>'[10]Данные для переноса'!Y104</f>
        <v>110558</v>
      </c>
      <c r="Z103" s="384">
        <f>'[10]Данные для переноса'!Z104</f>
        <v>110558</v>
      </c>
      <c r="AA103" s="426">
        <v>126628</v>
      </c>
      <c r="AB103" s="426">
        <v>94018</v>
      </c>
      <c r="AC103" s="426">
        <v>110558</v>
      </c>
      <c r="AD103" s="426">
        <v>110558</v>
      </c>
      <c r="AE103" s="426">
        <v>110558</v>
      </c>
      <c r="AF103" s="426">
        <v>110558</v>
      </c>
      <c r="AG103" s="426">
        <v>110558</v>
      </c>
      <c r="AH103" s="426">
        <v>110558</v>
      </c>
      <c r="AI103" s="426">
        <v>110558</v>
      </c>
      <c r="AJ103" s="426">
        <v>110558</v>
      </c>
      <c r="AK103" s="426">
        <v>110558</v>
      </c>
      <c r="AL103" s="426">
        <v>110558</v>
      </c>
      <c r="AM103" s="426">
        <v>110558</v>
      </c>
      <c r="AN103" s="426">
        <v>110558</v>
      </c>
      <c r="AO103" s="426">
        <v>110558</v>
      </c>
      <c r="AP103" s="426">
        <v>110558</v>
      </c>
      <c r="AQ103" s="426">
        <v>110558</v>
      </c>
      <c r="AR103" s="426">
        <v>110558</v>
      </c>
      <c r="AS103" s="426">
        <v>110558</v>
      </c>
      <c r="AT103" s="426">
        <v>110558</v>
      </c>
      <c r="AU103" s="426">
        <v>110558</v>
      </c>
      <c r="AV103" s="430" t="b">
        <f t="shared" si="140"/>
        <v>1</v>
      </c>
      <c r="AW103" s="430" t="b">
        <f t="shared" si="140"/>
        <v>1</v>
      </c>
      <c r="AX103" s="430" t="b">
        <f t="shared" si="140"/>
        <v>1</v>
      </c>
      <c r="AY103" s="430" t="b">
        <f t="shared" si="140"/>
        <v>1</v>
      </c>
      <c r="AZ103" s="430" t="b">
        <f t="shared" si="140"/>
        <v>1</v>
      </c>
      <c r="BA103" s="430" t="b">
        <f t="shared" si="140"/>
        <v>1</v>
      </c>
      <c r="BB103" s="430" t="b">
        <f t="shared" si="140"/>
        <v>1</v>
      </c>
      <c r="BC103" s="430" t="b">
        <f t="shared" si="140"/>
        <v>1</v>
      </c>
      <c r="BD103" s="430" t="b">
        <f t="shared" si="140"/>
        <v>1</v>
      </c>
      <c r="BE103" s="430" t="b">
        <f t="shared" si="140"/>
        <v>1</v>
      </c>
      <c r="BF103" s="430" t="b">
        <f t="shared" si="140"/>
        <v>1</v>
      </c>
      <c r="BG103" s="430" t="b">
        <f t="shared" si="140"/>
        <v>1</v>
      </c>
      <c r="BH103" s="430" t="b">
        <f t="shared" si="140"/>
        <v>1</v>
      </c>
      <c r="BI103" s="430" t="b">
        <f t="shared" si="140"/>
        <v>1</v>
      </c>
      <c r="BJ103" s="430" t="b">
        <f t="shared" si="141"/>
        <v>1</v>
      </c>
      <c r="BK103" s="430" t="b">
        <f t="shared" si="141"/>
        <v>1</v>
      </c>
      <c r="BL103" s="430" t="b">
        <f t="shared" si="141"/>
        <v>1</v>
      </c>
      <c r="BM103" s="430" t="b">
        <f t="shared" si="141"/>
        <v>1</v>
      </c>
      <c r="BN103" s="430" t="b">
        <f t="shared" si="141"/>
        <v>1</v>
      </c>
      <c r="BO103" s="430" t="b">
        <f t="shared" si="141"/>
        <v>1</v>
      </c>
      <c r="BP103" s="430" t="b">
        <f t="shared" si="141"/>
        <v>1</v>
      </c>
      <c r="BQ103" s="275">
        <f t="shared" si="150"/>
        <v>110558</v>
      </c>
      <c r="BR103" s="247">
        <f>'[10]Данные для переноса'!AB104</f>
        <v>126628</v>
      </c>
      <c r="BS103" s="247">
        <f>'[10]Данные для переноса'!AC104</f>
        <v>94018</v>
      </c>
      <c r="BT103" s="247">
        <f>'[10]Данные для переноса'!AD104</f>
        <v>110558</v>
      </c>
      <c r="BU103" s="247">
        <f>'[10]Данные для переноса'!AE104</f>
        <v>110558</v>
      </c>
      <c r="BV103" s="247">
        <f>'[10]Данные для переноса'!AF104</f>
        <v>110558</v>
      </c>
      <c r="BW103" s="247">
        <f>'[10]Данные для переноса'!AG104</f>
        <v>110558</v>
      </c>
      <c r="BX103" s="247">
        <f>'[10]Данные для переноса'!AH104</f>
        <v>110558</v>
      </c>
      <c r="BY103" s="247">
        <f>'[10]Данные для переноса'!AI104</f>
        <v>110558</v>
      </c>
      <c r="BZ103" s="247">
        <f>'[10]Данные для переноса'!AJ104</f>
        <v>110558</v>
      </c>
      <c r="CA103" s="247">
        <f>'[10]Данные для переноса'!AK104</f>
        <v>110558</v>
      </c>
      <c r="CB103" s="247">
        <f>'[10]Данные для переноса'!AL104</f>
        <v>110558</v>
      </c>
      <c r="CC103" s="247">
        <f>'[10]Данные для переноса'!AM104</f>
        <v>110558</v>
      </c>
      <c r="CD103" s="247">
        <f>'[10]Данные для переноса'!AN104</f>
        <v>110558</v>
      </c>
      <c r="CE103" s="247">
        <f>'[10]Данные для переноса'!AO104</f>
        <v>135558</v>
      </c>
      <c r="CF103" s="247">
        <f>'[10]Данные для переноса'!AP104</f>
        <v>135558</v>
      </c>
      <c r="CG103" s="247">
        <f>'[10]Данные для переноса'!AQ104</f>
        <v>135558</v>
      </c>
      <c r="CH103" s="247">
        <f>'[10]Данные для переноса'!AR104</f>
        <v>135558</v>
      </c>
      <c r="CI103" s="247">
        <f>'[10]Данные для переноса'!AS104</f>
        <v>135558</v>
      </c>
      <c r="CJ103" s="247">
        <f>'[10]Данные для переноса'!AT104</f>
        <v>135558</v>
      </c>
      <c r="CK103" s="247">
        <f>'[10]Данные для переноса'!AU104</f>
        <v>135558</v>
      </c>
      <c r="CL103" s="247">
        <f>'[10]Данные для переноса'!AV104</f>
        <v>135558</v>
      </c>
      <c r="CM103" s="426">
        <v>126628</v>
      </c>
      <c r="CN103" s="426">
        <v>94018</v>
      </c>
      <c r="CO103" s="426">
        <v>110558</v>
      </c>
      <c r="CP103" s="426">
        <v>110558</v>
      </c>
      <c r="CQ103" s="426">
        <v>110558</v>
      </c>
      <c r="CR103" s="426">
        <v>110558</v>
      </c>
      <c r="CS103" s="426">
        <v>110558</v>
      </c>
      <c r="CT103" s="426">
        <v>110558</v>
      </c>
      <c r="CU103" s="426">
        <v>110558</v>
      </c>
      <c r="CV103" s="426">
        <v>110558</v>
      </c>
      <c r="CW103" s="426">
        <v>110558</v>
      </c>
      <c r="CX103" s="426">
        <v>110558</v>
      </c>
      <c r="CY103" s="426">
        <v>110558</v>
      </c>
      <c r="CZ103" s="426">
        <v>135558</v>
      </c>
      <c r="DA103" s="426">
        <v>135558</v>
      </c>
      <c r="DB103" s="426">
        <v>135558</v>
      </c>
      <c r="DC103" s="426">
        <v>135558</v>
      </c>
      <c r="DD103" s="426">
        <v>135558</v>
      </c>
      <c r="DE103" s="426">
        <v>135558</v>
      </c>
      <c r="DF103" s="426">
        <v>135558</v>
      </c>
      <c r="DG103" s="426">
        <v>135558</v>
      </c>
      <c r="DH103" s="430" t="b">
        <f t="shared" si="153"/>
        <v>1</v>
      </c>
      <c r="DI103" s="430" t="b">
        <f t="shared" si="153"/>
        <v>1</v>
      </c>
      <c r="DJ103" s="430" t="b">
        <f t="shared" si="153"/>
        <v>1</v>
      </c>
      <c r="DK103" s="430" t="b">
        <f t="shared" si="153"/>
        <v>1</v>
      </c>
      <c r="DL103" s="430" t="b">
        <f t="shared" si="153"/>
        <v>1</v>
      </c>
      <c r="DM103" s="430" t="b">
        <f t="shared" si="153"/>
        <v>1</v>
      </c>
      <c r="DN103" s="430" t="b">
        <f t="shared" si="153"/>
        <v>1</v>
      </c>
      <c r="DO103" s="430" t="b">
        <f t="shared" si="153"/>
        <v>1</v>
      </c>
      <c r="DP103" s="430" t="b">
        <f t="shared" si="153"/>
        <v>1</v>
      </c>
      <c r="DQ103" s="430" t="b">
        <f t="shared" si="153"/>
        <v>1</v>
      </c>
      <c r="DR103" s="430" t="b">
        <f t="shared" si="153"/>
        <v>1</v>
      </c>
      <c r="DS103" s="430" t="b">
        <f t="shared" si="153"/>
        <v>1</v>
      </c>
      <c r="DT103" s="430" t="b">
        <f t="shared" si="153"/>
        <v>1</v>
      </c>
      <c r="DU103" s="430" t="b">
        <f t="shared" si="153"/>
        <v>1</v>
      </c>
      <c r="DV103" s="430" t="b">
        <f t="shared" si="153"/>
        <v>1</v>
      </c>
      <c r="DW103" s="430" t="b">
        <f t="shared" si="153"/>
        <v>1</v>
      </c>
      <c r="DX103" s="430" t="b">
        <f t="shared" ref="DV103:EB139" si="157">DC103=CH103</f>
        <v>1</v>
      </c>
      <c r="DY103" s="430" t="b">
        <f t="shared" si="157"/>
        <v>1</v>
      </c>
      <c r="DZ103" s="430" t="b">
        <f t="shared" si="157"/>
        <v>1</v>
      </c>
      <c r="EA103" s="430" t="b">
        <f t="shared" si="157"/>
        <v>1</v>
      </c>
      <c r="EB103" s="430" t="b">
        <f t="shared" si="157"/>
        <v>1</v>
      </c>
      <c r="EC103" s="275">
        <f t="shared" si="151"/>
        <v>122322.70588235294</v>
      </c>
      <c r="ED103" s="223">
        <f>BR103-F103</f>
        <v>0</v>
      </c>
      <c r="EE103" s="223">
        <f>BS103-G103</f>
        <v>0</v>
      </c>
      <c r="EF103" s="223">
        <f>BT103-H103</f>
        <v>0</v>
      </c>
      <c r="EG103" s="223">
        <f>BU103-I103</f>
        <v>0</v>
      </c>
      <c r="EH103" s="223">
        <f>BV103-J103</f>
        <v>0</v>
      </c>
      <c r="EI103" s="223">
        <f>BW103-K103</f>
        <v>0</v>
      </c>
      <c r="EJ103" s="223">
        <f>BX103-L103</f>
        <v>0</v>
      </c>
      <c r="EK103" s="223">
        <f>BY103-M103</f>
        <v>0</v>
      </c>
      <c r="EL103" s="223">
        <f>BZ103-N103</f>
        <v>0</v>
      </c>
      <c r="EM103" s="223">
        <f>CA103-O103</f>
        <v>0</v>
      </c>
      <c r="EN103" s="223">
        <f>CB103-P103</f>
        <v>0</v>
      </c>
      <c r="EO103" s="223">
        <f>CC103-Q103</f>
        <v>0</v>
      </c>
      <c r="EP103" s="223">
        <f>CD103-R103</f>
        <v>0</v>
      </c>
      <c r="EQ103" s="223">
        <f>CE103-S103</f>
        <v>25000</v>
      </c>
      <c r="ER103" s="223">
        <f>CF103-T103</f>
        <v>25000</v>
      </c>
      <c r="ES103" s="223">
        <f>CG103-U103</f>
        <v>25000</v>
      </c>
      <c r="ET103" s="223">
        <f>CH103-V103</f>
        <v>25000</v>
      </c>
      <c r="EU103" s="223">
        <f>CI103-W103</f>
        <v>25000</v>
      </c>
      <c r="EV103" s="223">
        <f>CJ103-X103</f>
        <v>25000</v>
      </c>
      <c r="EW103" s="223">
        <f>CK103-Y103</f>
        <v>25000</v>
      </c>
      <c r="EX103" s="223">
        <f>CL103-Z103</f>
        <v>25000</v>
      </c>
      <c r="EY103" s="275">
        <f t="shared" ref="EY103:EY106" si="158">IFERROR(AVERAGE(EQ103:EX103),0)</f>
        <v>25000</v>
      </c>
    </row>
    <row r="104" spans="1:155" x14ac:dyDescent="0.35">
      <c r="C104" s="241">
        <v>66</v>
      </c>
      <c r="D104" s="265" t="s">
        <v>75</v>
      </c>
      <c r="E104" s="243" t="s">
        <v>73</v>
      </c>
      <c r="F104" s="384">
        <f>'[10]Данные для переноса'!F105</f>
        <v>13318</v>
      </c>
      <c r="G104" s="384">
        <f>'[10]Данные для переноса'!G105</f>
        <v>12808</v>
      </c>
      <c r="H104" s="384">
        <f>'[10]Данные для переноса'!H105</f>
        <v>29417</v>
      </c>
      <c r="I104" s="384">
        <f>'[10]Данные для переноса'!I105</f>
        <v>29417</v>
      </c>
      <c r="J104" s="384">
        <f>'[10]Данные для переноса'!J105</f>
        <v>29417</v>
      </c>
      <c r="K104" s="384">
        <f>'[10]Данные для переноса'!K105</f>
        <v>29417</v>
      </c>
      <c r="L104" s="384">
        <f>'[10]Данные для переноса'!L105</f>
        <v>29417</v>
      </c>
      <c r="M104" s="384">
        <f>'[10]Данные для переноса'!M105</f>
        <v>29417</v>
      </c>
      <c r="N104" s="384">
        <f>'[10]Данные для переноса'!N105</f>
        <v>29417</v>
      </c>
      <c r="O104" s="384">
        <f>'[10]Данные для переноса'!O105</f>
        <v>29417</v>
      </c>
      <c r="P104" s="384">
        <f>'[10]Данные для переноса'!P105</f>
        <v>29417</v>
      </c>
      <c r="Q104" s="384">
        <f>'[10]Данные для переноса'!Q105</f>
        <v>29417</v>
      </c>
      <c r="R104" s="384">
        <f>'[10]Данные для переноса'!R105</f>
        <v>29417</v>
      </c>
      <c r="S104" s="384">
        <f>'[10]Данные для переноса'!S105</f>
        <v>29417</v>
      </c>
      <c r="T104" s="384">
        <f>'[10]Данные для переноса'!T105</f>
        <v>29417</v>
      </c>
      <c r="U104" s="384">
        <f>'[10]Данные для переноса'!U105</f>
        <v>29417</v>
      </c>
      <c r="V104" s="384">
        <f>'[10]Данные для переноса'!V105</f>
        <v>29417</v>
      </c>
      <c r="W104" s="384">
        <f>'[10]Данные для переноса'!W105</f>
        <v>29417</v>
      </c>
      <c r="X104" s="384">
        <f>'[10]Данные для переноса'!X105</f>
        <v>29417</v>
      </c>
      <c r="Y104" s="384">
        <f>'[10]Данные для переноса'!Y105</f>
        <v>29417</v>
      </c>
      <c r="Z104" s="384">
        <f>'[10]Данные для переноса'!Z105</f>
        <v>29417</v>
      </c>
      <c r="AA104" s="426">
        <v>13318</v>
      </c>
      <c r="AB104" s="426">
        <v>12808</v>
      </c>
      <c r="AC104" s="426">
        <v>29417</v>
      </c>
      <c r="AD104" s="426">
        <v>29417</v>
      </c>
      <c r="AE104" s="426">
        <v>29417</v>
      </c>
      <c r="AF104" s="426">
        <v>29417</v>
      </c>
      <c r="AG104" s="426">
        <v>29417</v>
      </c>
      <c r="AH104" s="426">
        <v>29417</v>
      </c>
      <c r="AI104" s="426">
        <v>29417</v>
      </c>
      <c r="AJ104" s="426">
        <v>29417</v>
      </c>
      <c r="AK104" s="426">
        <v>29417</v>
      </c>
      <c r="AL104" s="426">
        <v>29417</v>
      </c>
      <c r="AM104" s="426">
        <v>29417</v>
      </c>
      <c r="AN104" s="426">
        <v>29417</v>
      </c>
      <c r="AO104" s="426">
        <v>29417</v>
      </c>
      <c r="AP104" s="426">
        <v>29417</v>
      </c>
      <c r="AQ104" s="426">
        <v>29417</v>
      </c>
      <c r="AR104" s="426">
        <v>29417</v>
      </c>
      <c r="AS104" s="426">
        <v>29417</v>
      </c>
      <c r="AT104" s="426">
        <v>29417</v>
      </c>
      <c r="AU104" s="426">
        <v>29417</v>
      </c>
      <c r="AV104" s="430" t="b">
        <f t="shared" si="140"/>
        <v>1</v>
      </c>
      <c r="AW104" s="430" t="b">
        <f t="shared" si="140"/>
        <v>1</v>
      </c>
      <c r="AX104" s="430" t="b">
        <f t="shared" si="140"/>
        <v>1</v>
      </c>
      <c r="AY104" s="430" t="b">
        <f t="shared" si="140"/>
        <v>1</v>
      </c>
      <c r="AZ104" s="430" t="b">
        <f t="shared" si="140"/>
        <v>1</v>
      </c>
      <c r="BA104" s="430" t="b">
        <f t="shared" si="140"/>
        <v>1</v>
      </c>
      <c r="BB104" s="430" t="b">
        <f t="shared" si="140"/>
        <v>1</v>
      </c>
      <c r="BC104" s="430" t="b">
        <f t="shared" si="140"/>
        <v>1</v>
      </c>
      <c r="BD104" s="430" t="b">
        <f t="shared" si="140"/>
        <v>1</v>
      </c>
      <c r="BE104" s="430" t="b">
        <f t="shared" si="140"/>
        <v>1</v>
      </c>
      <c r="BF104" s="430" t="b">
        <f t="shared" si="140"/>
        <v>1</v>
      </c>
      <c r="BG104" s="430" t="b">
        <f t="shared" si="140"/>
        <v>1</v>
      </c>
      <c r="BH104" s="430" t="b">
        <f t="shared" si="140"/>
        <v>1</v>
      </c>
      <c r="BI104" s="430" t="b">
        <f t="shared" ref="BD104:BI137" si="159">AN104=S104</f>
        <v>1</v>
      </c>
      <c r="BJ104" s="430" t="b">
        <f t="shared" si="141"/>
        <v>1</v>
      </c>
      <c r="BK104" s="430" t="b">
        <f t="shared" si="141"/>
        <v>1</v>
      </c>
      <c r="BL104" s="430" t="b">
        <f t="shared" si="141"/>
        <v>1</v>
      </c>
      <c r="BM104" s="430" t="b">
        <f t="shared" si="141"/>
        <v>1</v>
      </c>
      <c r="BN104" s="430" t="b">
        <f t="shared" si="141"/>
        <v>1</v>
      </c>
      <c r="BO104" s="430" t="b">
        <f t="shared" si="141"/>
        <v>1</v>
      </c>
      <c r="BP104" s="430" t="b">
        <f t="shared" si="141"/>
        <v>1</v>
      </c>
      <c r="BQ104" s="275">
        <f t="shared" si="150"/>
        <v>29417</v>
      </c>
      <c r="BR104" s="247">
        <f>'[10]Данные для переноса'!AB105</f>
        <v>13318</v>
      </c>
      <c r="BS104" s="247">
        <f>'[10]Данные для переноса'!AC105</f>
        <v>12808</v>
      </c>
      <c r="BT104" s="247">
        <f>'[10]Данные для переноса'!AD105</f>
        <v>29417</v>
      </c>
      <c r="BU104" s="247">
        <f>'[10]Данные для переноса'!AE105</f>
        <v>29417</v>
      </c>
      <c r="BV104" s="247">
        <f>'[10]Данные для переноса'!AF105</f>
        <v>29417</v>
      </c>
      <c r="BW104" s="247">
        <f>'[10]Данные для переноса'!AG105</f>
        <v>29417</v>
      </c>
      <c r="BX104" s="247">
        <f>'[10]Данные для переноса'!AH105</f>
        <v>29417</v>
      </c>
      <c r="BY104" s="247">
        <f>'[10]Данные для переноса'!AI105</f>
        <v>29417</v>
      </c>
      <c r="BZ104" s="247">
        <f>'[10]Данные для переноса'!AJ105</f>
        <v>29417</v>
      </c>
      <c r="CA104" s="247">
        <f>'[10]Данные для переноса'!AK105</f>
        <v>29417</v>
      </c>
      <c r="CB104" s="247">
        <f>'[10]Данные для переноса'!AL105</f>
        <v>29417</v>
      </c>
      <c r="CC104" s="247">
        <f>'[10]Данные для переноса'!AM105</f>
        <v>29417</v>
      </c>
      <c r="CD104" s="247">
        <f>'[10]Данные для переноса'!AN105</f>
        <v>29417</v>
      </c>
      <c r="CE104" s="247">
        <f>'[10]Данные для переноса'!AO105</f>
        <v>31187.25</v>
      </c>
      <c r="CF104" s="247">
        <f>'[10]Данные для переноса'!AP105</f>
        <v>31187.25</v>
      </c>
      <c r="CG104" s="247">
        <f>'[10]Данные для переноса'!AQ105</f>
        <v>31187.25</v>
      </c>
      <c r="CH104" s="247">
        <f>'[10]Данные для переноса'!AR105</f>
        <v>31187.25</v>
      </c>
      <c r="CI104" s="247">
        <f>'[10]Данные для переноса'!AS105</f>
        <v>31187.25</v>
      </c>
      <c r="CJ104" s="247">
        <f>'[10]Данные для переноса'!AT105</f>
        <v>31187.25</v>
      </c>
      <c r="CK104" s="247">
        <f>'[10]Данные для переноса'!AU105</f>
        <v>31187.25</v>
      </c>
      <c r="CL104" s="247">
        <f>'[10]Данные для переноса'!AV105</f>
        <v>31187.25</v>
      </c>
      <c r="CM104" s="426">
        <v>13318</v>
      </c>
      <c r="CN104" s="426">
        <v>12808</v>
      </c>
      <c r="CO104" s="426">
        <v>29417</v>
      </c>
      <c r="CP104" s="426">
        <v>29417</v>
      </c>
      <c r="CQ104" s="426">
        <v>29417</v>
      </c>
      <c r="CR104" s="426">
        <v>29417</v>
      </c>
      <c r="CS104" s="426">
        <v>29417</v>
      </c>
      <c r="CT104" s="426">
        <v>29417</v>
      </c>
      <c r="CU104" s="426">
        <v>29417</v>
      </c>
      <c r="CV104" s="426">
        <v>29417</v>
      </c>
      <c r="CW104" s="426">
        <v>29417</v>
      </c>
      <c r="CX104" s="426">
        <v>29417</v>
      </c>
      <c r="CY104" s="426">
        <v>29417</v>
      </c>
      <c r="CZ104" s="426">
        <v>31187.25</v>
      </c>
      <c r="DA104" s="426">
        <v>31187.25</v>
      </c>
      <c r="DB104" s="426">
        <v>31187.25</v>
      </c>
      <c r="DC104" s="426">
        <v>31187.25</v>
      </c>
      <c r="DD104" s="426">
        <v>31187.25</v>
      </c>
      <c r="DE104" s="426">
        <v>31187.25</v>
      </c>
      <c r="DF104" s="426">
        <v>31187.25</v>
      </c>
      <c r="DG104" s="426">
        <v>31187.25</v>
      </c>
      <c r="DH104" s="430" t="b">
        <f t="shared" si="153"/>
        <v>1</v>
      </c>
      <c r="DI104" s="430" t="b">
        <f t="shared" si="153"/>
        <v>1</v>
      </c>
      <c r="DJ104" s="430" t="b">
        <f t="shared" si="153"/>
        <v>1</v>
      </c>
      <c r="DK104" s="430" t="b">
        <f t="shared" si="153"/>
        <v>1</v>
      </c>
      <c r="DL104" s="430" t="b">
        <f t="shared" si="153"/>
        <v>1</v>
      </c>
      <c r="DM104" s="430" t="b">
        <f t="shared" si="153"/>
        <v>1</v>
      </c>
      <c r="DN104" s="430" t="b">
        <f t="shared" si="153"/>
        <v>1</v>
      </c>
      <c r="DO104" s="430" t="b">
        <f t="shared" si="153"/>
        <v>1</v>
      </c>
      <c r="DP104" s="430" t="b">
        <f t="shared" si="153"/>
        <v>1</v>
      </c>
      <c r="DQ104" s="430" t="b">
        <f t="shared" si="153"/>
        <v>1</v>
      </c>
      <c r="DR104" s="430" t="b">
        <f t="shared" si="153"/>
        <v>1</v>
      </c>
      <c r="DS104" s="430" t="b">
        <f t="shared" si="153"/>
        <v>1</v>
      </c>
      <c r="DT104" s="430" t="b">
        <f t="shared" si="153"/>
        <v>1</v>
      </c>
      <c r="DU104" s="430" t="b">
        <f t="shared" si="153"/>
        <v>1</v>
      </c>
      <c r="DV104" s="430" t="b">
        <f t="shared" si="157"/>
        <v>1</v>
      </c>
      <c r="DW104" s="430" t="b">
        <f t="shared" si="157"/>
        <v>1</v>
      </c>
      <c r="DX104" s="430" t="b">
        <f t="shared" si="157"/>
        <v>1</v>
      </c>
      <c r="DY104" s="430" t="b">
        <f t="shared" si="157"/>
        <v>1</v>
      </c>
      <c r="DZ104" s="430" t="b">
        <f t="shared" si="157"/>
        <v>1</v>
      </c>
      <c r="EA104" s="430" t="b">
        <f t="shared" si="157"/>
        <v>1</v>
      </c>
      <c r="EB104" s="430" t="b">
        <f t="shared" si="157"/>
        <v>1</v>
      </c>
      <c r="EC104" s="275">
        <f t="shared" si="151"/>
        <v>30250.058823529413</v>
      </c>
      <c r="ED104" s="223">
        <f>BR104-F104</f>
        <v>0</v>
      </c>
      <c r="EE104" s="223">
        <f>BS104-G104</f>
        <v>0</v>
      </c>
      <c r="EF104" s="223">
        <f>BT104-H104</f>
        <v>0</v>
      </c>
      <c r="EG104" s="223">
        <f>BU104-I104</f>
        <v>0</v>
      </c>
      <c r="EH104" s="223">
        <f>BV104-J104</f>
        <v>0</v>
      </c>
      <c r="EI104" s="223">
        <f>BW104-K104</f>
        <v>0</v>
      </c>
      <c r="EJ104" s="223">
        <f>BX104-L104</f>
        <v>0</v>
      </c>
      <c r="EK104" s="223">
        <f>BY104-M104</f>
        <v>0</v>
      </c>
      <c r="EL104" s="223">
        <f>BZ104-N104</f>
        <v>0</v>
      </c>
      <c r="EM104" s="223">
        <f>CA104-O104</f>
        <v>0</v>
      </c>
      <c r="EN104" s="223">
        <f>CB104-P104</f>
        <v>0</v>
      </c>
      <c r="EO104" s="223">
        <f>CC104-Q104</f>
        <v>0</v>
      </c>
      <c r="EP104" s="223">
        <f>CD104-R104</f>
        <v>0</v>
      </c>
      <c r="EQ104" s="223">
        <f>CE104-S104</f>
        <v>1770.25</v>
      </c>
      <c r="ER104" s="223">
        <f>CF104-T104</f>
        <v>1770.25</v>
      </c>
      <c r="ES104" s="223">
        <f>CG104-U104</f>
        <v>1770.25</v>
      </c>
      <c r="ET104" s="223">
        <f>CH104-V104</f>
        <v>1770.25</v>
      </c>
      <c r="EU104" s="223">
        <f>CI104-W104</f>
        <v>1770.25</v>
      </c>
      <c r="EV104" s="223">
        <f>CJ104-X104</f>
        <v>1770.25</v>
      </c>
      <c r="EW104" s="223">
        <f>CK104-Y104</f>
        <v>1770.25</v>
      </c>
      <c r="EX104" s="223">
        <f>CL104-Z104</f>
        <v>1770.25</v>
      </c>
      <c r="EY104" s="275">
        <f t="shared" si="158"/>
        <v>1770.25</v>
      </c>
    </row>
    <row r="105" spans="1:155" x14ac:dyDescent="0.35">
      <c r="C105" s="241">
        <v>67</v>
      </c>
      <c r="D105" s="282" t="s">
        <v>76</v>
      </c>
      <c r="E105" s="243" t="s">
        <v>73</v>
      </c>
      <c r="F105" s="384">
        <f>'[10]Данные для переноса'!F106</f>
        <v>10878</v>
      </c>
      <c r="G105" s="384">
        <f>'[10]Данные для переноса'!G106</f>
        <v>10728</v>
      </c>
      <c r="H105" s="384">
        <f>'[10]Данные для переноса'!H106</f>
        <v>10728</v>
      </c>
      <c r="I105" s="384">
        <f>'[10]Данные для переноса'!I106</f>
        <v>10728</v>
      </c>
      <c r="J105" s="384">
        <f>'[10]Данные для переноса'!J106</f>
        <v>10728</v>
      </c>
      <c r="K105" s="384">
        <f>'[10]Данные для переноса'!K106</f>
        <v>10728</v>
      </c>
      <c r="L105" s="384">
        <f>'[10]Данные для переноса'!L106</f>
        <v>10728</v>
      </c>
      <c r="M105" s="384">
        <f>'[10]Данные для переноса'!M106</f>
        <v>10728</v>
      </c>
      <c r="N105" s="384">
        <f>'[10]Данные для переноса'!N106</f>
        <v>10728</v>
      </c>
      <c r="O105" s="384">
        <f>'[10]Данные для переноса'!O106</f>
        <v>10728</v>
      </c>
      <c r="P105" s="384">
        <f>'[10]Данные для переноса'!P106</f>
        <v>10728</v>
      </c>
      <c r="Q105" s="384">
        <f>'[10]Данные для переноса'!Q106</f>
        <v>10728</v>
      </c>
      <c r="R105" s="384">
        <f>'[10]Данные для переноса'!R106</f>
        <v>10728</v>
      </c>
      <c r="S105" s="384">
        <f>'[10]Данные для переноса'!S106</f>
        <v>10728</v>
      </c>
      <c r="T105" s="384">
        <f>'[10]Данные для переноса'!T106</f>
        <v>10728</v>
      </c>
      <c r="U105" s="384">
        <f>'[10]Данные для переноса'!U106</f>
        <v>10728</v>
      </c>
      <c r="V105" s="384">
        <f>'[10]Данные для переноса'!V106</f>
        <v>10728</v>
      </c>
      <c r="W105" s="384">
        <f>'[10]Данные для переноса'!W106</f>
        <v>10728</v>
      </c>
      <c r="X105" s="384">
        <f>'[10]Данные для переноса'!X106</f>
        <v>10728</v>
      </c>
      <c r="Y105" s="384">
        <f>'[10]Данные для переноса'!Y106</f>
        <v>10728</v>
      </c>
      <c r="Z105" s="384">
        <f>'[10]Данные для переноса'!Z106</f>
        <v>10728</v>
      </c>
      <c r="AA105" s="426">
        <v>10878</v>
      </c>
      <c r="AB105" s="426">
        <v>10728</v>
      </c>
      <c r="AC105" s="426">
        <v>10728</v>
      </c>
      <c r="AD105" s="426">
        <v>10728</v>
      </c>
      <c r="AE105" s="426">
        <v>10728</v>
      </c>
      <c r="AF105" s="426">
        <v>10728</v>
      </c>
      <c r="AG105" s="426">
        <v>10728</v>
      </c>
      <c r="AH105" s="426">
        <v>10728</v>
      </c>
      <c r="AI105" s="426">
        <v>10728</v>
      </c>
      <c r="AJ105" s="426">
        <v>10728</v>
      </c>
      <c r="AK105" s="426">
        <v>10728</v>
      </c>
      <c r="AL105" s="426">
        <v>10728</v>
      </c>
      <c r="AM105" s="426">
        <v>10728</v>
      </c>
      <c r="AN105" s="426">
        <v>10728</v>
      </c>
      <c r="AO105" s="426">
        <v>10728</v>
      </c>
      <c r="AP105" s="426">
        <v>10728</v>
      </c>
      <c r="AQ105" s="426">
        <v>10728</v>
      </c>
      <c r="AR105" s="426">
        <v>10728</v>
      </c>
      <c r="AS105" s="426">
        <v>10728</v>
      </c>
      <c r="AT105" s="426">
        <v>10728</v>
      </c>
      <c r="AU105" s="426">
        <v>10728</v>
      </c>
      <c r="AV105" s="430" t="b">
        <f t="shared" ref="AV105:BC111" si="160">AA105=F105</f>
        <v>1</v>
      </c>
      <c r="AW105" s="430" t="b">
        <f t="shared" si="160"/>
        <v>1</v>
      </c>
      <c r="AX105" s="430" t="b">
        <f t="shared" si="160"/>
        <v>1</v>
      </c>
      <c r="AY105" s="430" t="b">
        <f t="shared" si="160"/>
        <v>1</v>
      </c>
      <c r="AZ105" s="430" t="b">
        <f t="shared" si="160"/>
        <v>1</v>
      </c>
      <c r="BA105" s="430" t="b">
        <f t="shared" si="160"/>
        <v>1</v>
      </c>
      <c r="BB105" s="430" t="b">
        <f t="shared" si="160"/>
        <v>1</v>
      </c>
      <c r="BC105" s="430" t="b">
        <f t="shared" si="160"/>
        <v>1</v>
      </c>
      <c r="BD105" s="430" t="b">
        <f t="shared" si="159"/>
        <v>1</v>
      </c>
      <c r="BE105" s="430" t="b">
        <f t="shared" si="159"/>
        <v>1</v>
      </c>
      <c r="BF105" s="430" t="b">
        <f t="shared" si="159"/>
        <v>1</v>
      </c>
      <c r="BG105" s="430" t="b">
        <f t="shared" si="159"/>
        <v>1</v>
      </c>
      <c r="BH105" s="430" t="b">
        <f t="shared" si="159"/>
        <v>1</v>
      </c>
      <c r="BI105" s="430" t="b">
        <f t="shared" si="159"/>
        <v>1</v>
      </c>
      <c r="BJ105" s="430" t="b">
        <f t="shared" si="141"/>
        <v>1</v>
      </c>
      <c r="BK105" s="430" t="b">
        <f t="shared" si="141"/>
        <v>1</v>
      </c>
      <c r="BL105" s="430" t="b">
        <f t="shared" si="141"/>
        <v>1</v>
      </c>
      <c r="BM105" s="430" t="b">
        <f t="shared" si="141"/>
        <v>1</v>
      </c>
      <c r="BN105" s="430" t="b">
        <f t="shared" si="141"/>
        <v>1</v>
      </c>
      <c r="BO105" s="430" t="b">
        <f t="shared" si="141"/>
        <v>1</v>
      </c>
      <c r="BP105" s="430" t="b">
        <f t="shared" si="141"/>
        <v>1</v>
      </c>
      <c r="BQ105" s="275">
        <f t="shared" si="150"/>
        <v>10728</v>
      </c>
      <c r="BR105" s="247">
        <f>'[10]Данные для переноса'!AB106</f>
        <v>10878</v>
      </c>
      <c r="BS105" s="247">
        <f>'[10]Данные для переноса'!AC106</f>
        <v>10728</v>
      </c>
      <c r="BT105" s="247">
        <f>'[10]Данные для переноса'!AD106</f>
        <v>10728</v>
      </c>
      <c r="BU105" s="247">
        <f>'[10]Данные для переноса'!AE106</f>
        <v>10728</v>
      </c>
      <c r="BV105" s="247">
        <f>'[10]Данные для переноса'!AF106</f>
        <v>10728</v>
      </c>
      <c r="BW105" s="247">
        <f>'[10]Данные для переноса'!AG106</f>
        <v>10728</v>
      </c>
      <c r="BX105" s="247">
        <f>'[10]Данные для переноса'!AH106</f>
        <v>10728</v>
      </c>
      <c r="BY105" s="247">
        <f>'[10]Данные для переноса'!AI106</f>
        <v>10728</v>
      </c>
      <c r="BZ105" s="247">
        <f>'[10]Данные для переноса'!AJ106</f>
        <v>10728</v>
      </c>
      <c r="CA105" s="247">
        <f>'[10]Данные для переноса'!AK106</f>
        <v>10728</v>
      </c>
      <c r="CB105" s="247">
        <f>'[10]Данные для переноса'!AL106</f>
        <v>10728</v>
      </c>
      <c r="CC105" s="247">
        <f>'[10]Данные для переноса'!AM106</f>
        <v>10728</v>
      </c>
      <c r="CD105" s="247">
        <f>'[10]Данные для переноса'!AN106</f>
        <v>10728</v>
      </c>
      <c r="CE105" s="247">
        <f>'[10]Данные для переноса'!AO106</f>
        <v>28728</v>
      </c>
      <c r="CF105" s="247">
        <f>'[10]Данные для переноса'!AP106</f>
        <v>28728</v>
      </c>
      <c r="CG105" s="247">
        <f>'[10]Данные для переноса'!AQ106</f>
        <v>28728</v>
      </c>
      <c r="CH105" s="247">
        <f>'[10]Данные для переноса'!AR106</f>
        <v>28728</v>
      </c>
      <c r="CI105" s="247">
        <f>'[10]Данные для переноса'!AS106</f>
        <v>28728</v>
      </c>
      <c r="CJ105" s="247">
        <f>'[10]Данные для переноса'!AT106</f>
        <v>28728</v>
      </c>
      <c r="CK105" s="247">
        <f>'[10]Данные для переноса'!AU106</f>
        <v>28728</v>
      </c>
      <c r="CL105" s="247">
        <f>'[10]Данные для переноса'!AV106</f>
        <v>28728</v>
      </c>
      <c r="CM105" s="426">
        <v>10878</v>
      </c>
      <c r="CN105" s="426">
        <v>10728</v>
      </c>
      <c r="CO105" s="426">
        <v>10728</v>
      </c>
      <c r="CP105" s="426">
        <v>10728</v>
      </c>
      <c r="CQ105" s="426">
        <v>10728</v>
      </c>
      <c r="CR105" s="426">
        <v>10728</v>
      </c>
      <c r="CS105" s="426">
        <v>10728</v>
      </c>
      <c r="CT105" s="426">
        <v>10728</v>
      </c>
      <c r="CU105" s="426">
        <v>10728</v>
      </c>
      <c r="CV105" s="426">
        <v>10728</v>
      </c>
      <c r="CW105" s="426">
        <v>10728</v>
      </c>
      <c r="CX105" s="426">
        <v>10728</v>
      </c>
      <c r="CY105" s="426">
        <v>10728</v>
      </c>
      <c r="CZ105" s="426">
        <v>28728</v>
      </c>
      <c r="DA105" s="426">
        <v>28728</v>
      </c>
      <c r="DB105" s="426">
        <v>28728</v>
      </c>
      <c r="DC105" s="426">
        <v>28728</v>
      </c>
      <c r="DD105" s="426">
        <v>28728</v>
      </c>
      <c r="DE105" s="426">
        <v>28728</v>
      </c>
      <c r="DF105" s="426">
        <v>28728</v>
      </c>
      <c r="DG105" s="426">
        <v>28728</v>
      </c>
      <c r="DH105" s="430" t="b">
        <f t="shared" si="153"/>
        <v>1</v>
      </c>
      <c r="DI105" s="430" t="b">
        <f t="shared" si="153"/>
        <v>1</v>
      </c>
      <c r="DJ105" s="430" t="b">
        <f t="shared" si="153"/>
        <v>1</v>
      </c>
      <c r="DK105" s="430" t="b">
        <f t="shared" si="153"/>
        <v>1</v>
      </c>
      <c r="DL105" s="430" t="b">
        <f t="shared" si="153"/>
        <v>1</v>
      </c>
      <c r="DM105" s="430" t="b">
        <f t="shared" si="153"/>
        <v>1</v>
      </c>
      <c r="DN105" s="430" t="b">
        <f t="shared" si="153"/>
        <v>1</v>
      </c>
      <c r="DO105" s="430" t="b">
        <f t="shared" si="153"/>
        <v>1</v>
      </c>
      <c r="DP105" s="430" t="b">
        <f t="shared" si="153"/>
        <v>1</v>
      </c>
      <c r="DQ105" s="430" t="b">
        <f t="shared" si="153"/>
        <v>1</v>
      </c>
      <c r="DR105" s="430" t="b">
        <f t="shared" si="153"/>
        <v>1</v>
      </c>
      <c r="DS105" s="430" t="b">
        <f t="shared" si="153"/>
        <v>1</v>
      </c>
      <c r="DT105" s="430" t="b">
        <f t="shared" si="153"/>
        <v>1</v>
      </c>
      <c r="DU105" s="430" t="b">
        <f t="shared" si="153"/>
        <v>1</v>
      </c>
      <c r="DV105" s="430" t="b">
        <f t="shared" si="157"/>
        <v>1</v>
      </c>
      <c r="DW105" s="430" t="b">
        <f t="shared" si="157"/>
        <v>1</v>
      </c>
      <c r="DX105" s="430" t="b">
        <f t="shared" si="157"/>
        <v>1</v>
      </c>
      <c r="DY105" s="430" t="b">
        <f t="shared" si="157"/>
        <v>1</v>
      </c>
      <c r="DZ105" s="430" t="b">
        <f t="shared" si="157"/>
        <v>1</v>
      </c>
      <c r="EA105" s="430" t="b">
        <f t="shared" si="157"/>
        <v>1</v>
      </c>
      <c r="EB105" s="430" t="b">
        <f t="shared" si="157"/>
        <v>1</v>
      </c>
      <c r="EC105" s="275">
        <f t="shared" si="151"/>
        <v>19198.588235294119</v>
      </c>
      <c r="ED105" s="223">
        <f>BR105-F105</f>
        <v>0</v>
      </c>
      <c r="EE105" s="223">
        <f>BS105-G105</f>
        <v>0</v>
      </c>
      <c r="EF105" s="223">
        <f>BT105-H105</f>
        <v>0</v>
      </c>
      <c r="EG105" s="223">
        <f>BU105-I105</f>
        <v>0</v>
      </c>
      <c r="EH105" s="223">
        <f>BV105-J105</f>
        <v>0</v>
      </c>
      <c r="EI105" s="223">
        <f>BW105-K105</f>
        <v>0</v>
      </c>
      <c r="EJ105" s="223">
        <f>BX105-L105</f>
        <v>0</v>
      </c>
      <c r="EK105" s="223">
        <f>BY105-M105</f>
        <v>0</v>
      </c>
      <c r="EL105" s="223">
        <f>BZ105-N105</f>
        <v>0</v>
      </c>
      <c r="EM105" s="223">
        <f>CA105-O105</f>
        <v>0</v>
      </c>
      <c r="EN105" s="223">
        <f>CB105-P105</f>
        <v>0</v>
      </c>
      <c r="EO105" s="223">
        <f>CC105-Q105</f>
        <v>0</v>
      </c>
      <c r="EP105" s="223">
        <f>CD105-R105</f>
        <v>0</v>
      </c>
      <c r="EQ105" s="223">
        <f>CE105-S105</f>
        <v>18000</v>
      </c>
      <c r="ER105" s="223">
        <f>CF105-T105</f>
        <v>18000</v>
      </c>
      <c r="ES105" s="223">
        <f>CG105-U105</f>
        <v>18000</v>
      </c>
      <c r="ET105" s="223">
        <f>CH105-V105</f>
        <v>18000</v>
      </c>
      <c r="EU105" s="223">
        <f>CI105-W105</f>
        <v>18000</v>
      </c>
      <c r="EV105" s="223">
        <f>CJ105-X105</f>
        <v>18000</v>
      </c>
      <c r="EW105" s="223">
        <f>CK105-Y105</f>
        <v>18000</v>
      </c>
      <c r="EX105" s="223">
        <f>CL105-Z105</f>
        <v>18000</v>
      </c>
      <c r="EY105" s="275">
        <f t="shared" si="158"/>
        <v>18000</v>
      </c>
    </row>
    <row r="106" spans="1:155" x14ac:dyDescent="0.35">
      <c r="C106" s="241">
        <v>68</v>
      </c>
      <c r="D106" s="282" t="s">
        <v>77</v>
      </c>
      <c r="E106" s="243" t="s">
        <v>73</v>
      </c>
      <c r="F106" s="384">
        <f>'[10]Данные для переноса'!F107</f>
        <v>48931</v>
      </c>
      <c r="G106" s="384">
        <f>'[10]Данные для переноса'!G107</f>
        <v>48931</v>
      </c>
      <c r="H106" s="384">
        <f>'[10]Данные для переноса'!H107</f>
        <v>48931</v>
      </c>
      <c r="I106" s="384">
        <f>'[10]Данные для переноса'!I107</f>
        <v>48931</v>
      </c>
      <c r="J106" s="384">
        <f>'[10]Данные для переноса'!J107</f>
        <v>48931</v>
      </c>
      <c r="K106" s="384">
        <f>'[10]Данные для переноса'!K107</f>
        <v>48931</v>
      </c>
      <c r="L106" s="384">
        <f>'[10]Данные для переноса'!L107</f>
        <v>48931</v>
      </c>
      <c r="M106" s="384">
        <f>'[10]Данные для переноса'!M107</f>
        <v>48931</v>
      </c>
      <c r="N106" s="384">
        <f>'[10]Данные для переноса'!N107</f>
        <v>48931</v>
      </c>
      <c r="O106" s="384">
        <f>'[10]Данные для переноса'!O107</f>
        <v>48931</v>
      </c>
      <c r="P106" s="384">
        <f>'[10]Данные для переноса'!P107</f>
        <v>48931</v>
      </c>
      <c r="Q106" s="384">
        <f>'[10]Данные для переноса'!Q107</f>
        <v>48931</v>
      </c>
      <c r="R106" s="384">
        <f>'[10]Данные для переноса'!R107</f>
        <v>48931</v>
      </c>
      <c r="S106" s="384">
        <f>'[10]Данные для переноса'!S107</f>
        <v>48931</v>
      </c>
      <c r="T106" s="384">
        <f>'[10]Данные для переноса'!T107</f>
        <v>48931</v>
      </c>
      <c r="U106" s="384">
        <f>'[10]Данные для переноса'!U107</f>
        <v>48931</v>
      </c>
      <c r="V106" s="384">
        <f>'[10]Данные для переноса'!V107</f>
        <v>48931</v>
      </c>
      <c r="W106" s="384">
        <f>'[10]Данные для переноса'!W107</f>
        <v>48931</v>
      </c>
      <c r="X106" s="384">
        <f>'[10]Данные для переноса'!X107</f>
        <v>48931</v>
      </c>
      <c r="Y106" s="384">
        <f>'[10]Данные для переноса'!Y107</f>
        <v>48931</v>
      </c>
      <c r="Z106" s="384">
        <f>'[10]Данные для переноса'!Z107</f>
        <v>48931</v>
      </c>
      <c r="AA106" s="426">
        <v>48931</v>
      </c>
      <c r="AB106" s="426">
        <v>48931</v>
      </c>
      <c r="AC106" s="426">
        <v>48931</v>
      </c>
      <c r="AD106" s="426">
        <v>48931</v>
      </c>
      <c r="AE106" s="426">
        <v>48931</v>
      </c>
      <c r="AF106" s="426">
        <v>48931</v>
      </c>
      <c r="AG106" s="426">
        <v>48931</v>
      </c>
      <c r="AH106" s="426">
        <v>48931</v>
      </c>
      <c r="AI106" s="426">
        <v>48931</v>
      </c>
      <c r="AJ106" s="426">
        <v>48931</v>
      </c>
      <c r="AK106" s="426">
        <v>48931</v>
      </c>
      <c r="AL106" s="426">
        <v>48931</v>
      </c>
      <c r="AM106" s="426">
        <v>48931</v>
      </c>
      <c r="AN106" s="426">
        <v>48931</v>
      </c>
      <c r="AO106" s="426">
        <v>48931</v>
      </c>
      <c r="AP106" s="426">
        <v>48931</v>
      </c>
      <c r="AQ106" s="426">
        <v>48931</v>
      </c>
      <c r="AR106" s="426">
        <v>48931</v>
      </c>
      <c r="AS106" s="426">
        <v>48931</v>
      </c>
      <c r="AT106" s="426">
        <v>48931</v>
      </c>
      <c r="AU106" s="426">
        <v>48931</v>
      </c>
      <c r="AV106" s="430" t="b">
        <f t="shared" si="160"/>
        <v>1</v>
      </c>
      <c r="AW106" s="430" t="b">
        <f t="shared" si="160"/>
        <v>1</v>
      </c>
      <c r="AX106" s="430" t="b">
        <f t="shared" si="160"/>
        <v>1</v>
      </c>
      <c r="AY106" s="430" t="b">
        <f t="shared" si="160"/>
        <v>1</v>
      </c>
      <c r="AZ106" s="430" t="b">
        <f t="shared" si="160"/>
        <v>1</v>
      </c>
      <c r="BA106" s="430" t="b">
        <f t="shared" si="160"/>
        <v>1</v>
      </c>
      <c r="BB106" s="430" t="b">
        <f t="shared" si="160"/>
        <v>1</v>
      </c>
      <c r="BC106" s="430" t="b">
        <f t="shared" si="160"/>
        <v>1</v>
      </c>
      <c r="BD106" s="430" t="b">
        <f t="shared" si="159"/>
        <v>1</v>
      </c>
      <c r="BE106" s="430" t="b">
        <f t="shared" si="159"/>
        <v>1</v>
      </c>
      <c r="BF106" s="430" t="b">
        <f t="shared" si="159"/>
        <v>1</v>
      </c>
      <c r="BG106" s="430" t="b">
        <f t="shared" si="159"/>
        <v>1</v>
      </c>
      <c r="BH106" s="430" t="b">
        <f t="shared" si="159"/>
        <v>1</v>
      </c>
      <c r="BI106" s="430" t="b">
        <f t="shared" si="159"/>
        <v>1</v>
      </c>
      <c r="BJ106" s="430" t="b">
        <f t="shared" si="141"/>
        <v>1</v>
      </c>
      <c r="BK106" s="430" t="b">
        <f t="shared" si="141"/>
        <v>1</v>
      </c>
      <c r="BL106" s="430" t="b">
        <f t="shared" si="141"/>
        <v>1</v>
      </c>
      <c r="BM106" s="430" t="b">
        <f t="shared" si="141"/>
        <v>1</v>
      </c>
      <c r="BN106" s="430" t="b">
        <f t="shared" si="141"/>
        <v>1</v>
      </c>
      <c r="BO106" s="430" t="b">
        <f t="shared" si="141"/>
        <v>1</v>
      </c>
      <c r="BP106" s="430" t="b">
        <f t="shared" si="141"/>
        <v>1</v>
      </c>
      <c r="BQ106" s="275">
        <f t="shared" si="150"/>
        <v>48931</v>
      </c>
      <c r="BR106" s="247">
        <f>'[10]Данные для переноса'!AB107</f>
        <v>48931</v>
      </c>
      <c r="BS106" s="247">
        <f>'[10]Данные для переноса'!AC107</f>
        <v>48931</v>
      </c>
      <c r="BT106" s="247">
        <f>'[10]Данные для переноса'!AD107</f>
        <v>48931</v>
      </c>
      <c r="BU106" s="247">
        <f>'[10]Данные для переноса'!AE107</f>
        <v>48931</v>
      </c>
      <c r="BV106" s="247">
        <f>'[10]Данные для переноса'!AF107</f>
        <v>48931</v>
      </c>
      <c r="BW106" s="247">
        <f>'[10]Данные для переноса'!AG107</f>
        <v>48931</v>
      </c>
      <c r="BX106" s="247">
        <f>'[10]Данные для переноса'!AH107</f>
        <v>48931</v>
      </c>
      <c r="BY106" s="247">
        <f>'[10]Данные для переноса'!AI107</f>
        <v>48931</v>
      </c>
      <c r="BZ106" s="247">
        <f>'[10]Данные для переноса'!AJ107</f>
        <v>48931</v>
      </c>
      <c r="CA106" s="247">
        <f>'[10]Данные для переноса'!AK107</f>
        <v>48931</v>
      </c>
      <c r="CB106" s="247">
        <f>'[10]Данные для переноса'!AL107</f>
        <v>48931</v>
      </c>
      <c r="CC106" s="247">
        <f>'[10]Данные для переноса'!AM107</f>
        <v>48931</v>
      </c>
      <c r="CD106" s="247">
        <f>'[10]Данные для переноса'!AN107</f>
        <v>48931</v>
      </c>
      <c r="CE106" s="247">
        <f>'[10]Данные для переноса'!AO107</f>
        <v>67209.14</v>
      </c>
      <c r="CF106" s="247">
        <f>'[10]Данные для переноса'!AP107</f>
        <v>67209.14</v>
      </c>
      <c r="CG106" s="247">
        <f>'[10]Данные для переноса'!AQ107</f>
        <v>67209.14</v>
      </c>
      <c r="CH106" s="247">
        <f>'[10]Данные для переноса'!AR107</f>
        <v>67209.14</v>
      </c>
      <c r="CI106" s="247">
        <f>'[10]Данные для переноса'!AS107</f>
        <v>67209.14</v>
      </c>
      <c r="CJ106" s="247">
        <f>'[10]Данные для переноса'!AT107</f>
        <v>67209.14</v>
      </c>
      <c r="CK106" s="247">
        <f>'[10]Данные для переноса'!AU107</f>
        <v>67209.14</v>
      </c>
      <c r="CL106" s="247">
        <f>'[10]Данные для переноса'!AV107</f>
        <v>67209.14</v>
      </c>
      <c r="CM106" s="426">
        <v>48931</v>
      </c>
      <c r="CN106" s="426">
        <v>48931</v>
      </c>
      <c r="CO106" s="426">
        <v>48931</v>
      </c>
      <c r="CP106" s="426">
        <v>48931</v>
      </c>
      <c r="CQ106" s="426">
        <v>48931</v>
      </c>
      <c r="CR106" s="426">
        <v>48931</v>
      </c>
      <c r="CS106" s="426">
        <v>48931</v>
      </c>
      <c r="CT106" s="426">
        <v>48931</v>
      </c>
      <c r="CU106" s="426">
        <v>48931</v>
      </c>
      <c r="CV106" s="426">
        <v>48931</v>
      </c>
      <c r="CW106" s="426">
        <v>48931</v>
      </c>
      <c r="CX106" s="426">
        <v>48931</v>
      </c>
      <c r="CY106" s="426">
        <v>48931</v>
      </c>
      <c r="CZ106" s="426">
        <v>67209.14</v>
      </c>
      <c r="DA106" s="426">
        <v>67209.14</v>
      </c>
      <c r="DB106" s="426">
        <v>67209.14</v>
      </c>
      <c r="DC106" s="426">
        <v>67209.14</v>
      </c>
      <c r="DD106" s="426">
        <v>67209.14</v>
      </c>
      <c r="DE106" s="426">
        <v>67209.14</v>
      </c>
      <c r="DF106" s="426">
        <v>67209.14</v>
      </c>
      <c r="DG106" s="426">
        <v>67209.14</v>
      </c>
      <c r="DH106" s="430" t="b">
        <f t="shared" si="153"/>
        <v>1</v>
      </c>
      <c r="DI106" s="430" t="b">
        <f t="shared" si="153"/>
        <v>1</v>
      </c>
      <c r="DJ106" s="430" t="b">
        <f t="shared" si="153"/>
        <v>1</v>
      </c>
      <c r="DK106" s="430" t="b">
        <f t="shared" si="153"/>
        <v>1</v>
      </c>
      <c r="DL106" s="430" t="b">
        <f t="shared" si="153"/>
        <v>1</v>
      </c>
      <c r="DM106" s="430" t="b">
        <f t="shared" si="153"/>
        <v>1</v>
      </c>
      <c r="DN106" s="430" t="b">
        <f t="shared" si="153"/>
        <v>1</v>
      </c>
      <c r="DO106" s="430" t="b">
        <f t="shared" si="153"/>
        <v>1</v>
      </c>
      <c r="DP106" s="430" t="b">
        <f t="shared" si="153"/>
        <v>1</v>
      </c>
      <c r="DQ106" s="430" t="b">
        <f t="shared" si="153"/>
        <v>1</v>
      </c>
      <c r="DR106" s="430" t="b">
        <f t="shared" si="153"/>
        <v>1</v>
      </c>
      <c r="DS106" s="430" t="b">
        <f t="shared" si="153"/>
        <v>1</v>
      </c>
      <c r="DT106" s="430" t="b">
        <f t="shared" si="153"/>
        <v>1</v>
      </c>
      <c r="DU106" s="430" t="b">
        <f t="shared" si="153"/>
        <v>1</v>
      </c>
      <c r="DV106" s="430" t="b">
        <f t="shared" si="157"/>
        <v>1</v>
      </c>
      <c r="DW106" s="430" t="b">
        <f t="shared" si="157"/>
        <v>1</v>
      </c>
      <c r="DX106" s="430" t="b">
        <f t="shared" si="157"/>
        <v>1</v>
      </c>
      <c r="DY106" s="430" t="b">
        <f t="shared" si="157"/>
        <v>1</v>
      </c>
      <c r="DZ106" s="430" t="b">
        <f t="shared" si="157"/>
        <v>1</v>
      </c>
      <c r="EA106" s="430" t="b">
        <f t="shared" si="157"/>
        <v>1</v>
      </c>
      <c r="EB106" s="430" t="b">
        <f t="shared" si="157"/>
        <v>1</v>
      </c>
      <c r="EC106" s="275">
        <f t="shared" si="151"/>
        <v>57532.477647058833</v>
      </c>
      <c r="ED106" s="223">
        <f>BR106-F106</f>
        <v>0</v>
      </c>
      <c r="EE106" s="223">
        <f>BS106-G106</f>
        <v>0</v>
      </c>
      <c r="EF106" s="223">
        <f>BT106-H106</f>
        <v>0</v>
      </c>
      <c r="EG106" s="223">
        <f>BU106-I106</f>
        <v>0</v>
      </c>
      <c r="EH106" s="223">
        <f>BV106-J106</f>
        <v>0</v>
      </c>
      <c r="EI106" s="223">
        <f>BW106-K106</f>
        <v>0</v>
      </c>
      <c r="EJ106" s="223">
        <f>BX106-L106</f>
        <v>0</v>
      </c>
      <c r="EK106" s="223">
        <f>BY106-M106</f>
        <v>0</v>
      </c>
      <c r="EL106" s="223">
        <f>BZ106-N106</f>
        <v>0</v>
      </c>
      <c r="EM106" s="223">
        <f>CA106-O106</f>
        <v>0</v>
      </c>
      <c r="EN106" s="223">
        <f>CB106-P106</f>
        <v>0</v>
      </c>
      <c r="EO106" s="223">
        <f>CC106-Q106</f>
        <v>0</v>
      </c>
      <c r="EP106" s="223">
        <f>CD106-R106</f>
        <v>0</v>
      </c>
      <c r="EQ106" s="223">
        <f>CE106-S106</f>
        <v>18278.14</v>
      </c>
      <c r="ER106" s="223">
        <f>CF106-T106</f>
        <v>18278.14</v>
      </c>
      <c r="ES106" s="223">
        <f>CG106-U106</f>
        <v>18278.14</v>
      </c>
      <c r="ET106" s="223">
        <f>CH106-V106</f>
        <v>18278.14</v>
      </c>
      <c r="EU106" s="223">
        <f>CI106-W106</f>
        <v>18278.14</v>
      </c>
      <c r="EV106" s="223">
        <f>CJ106-X106</f>
        <v>18278.14</v>
      </c>
      <c r="EW106" s="223">
        <f>CK106-Y106</f>
        <v>18278.14</v>
      </c>
      <c r="EX106" s="223">
        <f>CL106-Z106</f>
        <v>18278.14</v>
      </c>
      <c r="EY106" s="275">
        <f t="shared" si="158"/>
        <v>18278.14</v>
      </c>
    </row>
    <row r="107" spans="1:155" x14ac:dyDescent="0.35">
      <c r="C107" s="241">
        <v>69</v>
      </c>
      <c r="D107" s="282" t="s">
        <v>78</v>
      </c>
      <c r="E107" s="243" t="s">
        <v>73</v>
      </c>
      <c r="F107" s="384">
        <f>'[10]Данные для переноса'!F108</f>
        <v>109828</v>
      </c>
      <c r="G107" s="384">
        <f>'[10]Данные для переноса'!G108</f>
        <v>10925</v>
      </c>
      <c r="H107" s="384">
        <f>'[10]Данные для переноса'!H108</f>
        <v>10924</v>
      </c>
      <c r="I107" s="384">
        <f>'[10]Данные для переноса'!I108</f>
        <v>10924</v>
      </c>
      <c r="J107" s="384">
        <f>'[10]Данные для переноса'!J108</f>
        <v>10924</v>
      </c>
      <c r="K107" s="384">
        <f>'[10]Данные для переноса'!K108</f>
        <v>10924</v>
      </c>
      <c r="L107" s="384">
        <f>'[10]Данные для переноса'!L108</f>
        <v>10924</v>
      </c>
      <c r="M107" s="384">
        <f>'[10]Данные для переноса'!M108</f>
        <v>10924</v>
      </c>
      <c r="N107" s="384">
        <f>'[10]Данные для переноса'!N108</f>
        <v>10924</v>
      </c>
      <c r="O107" s="384">
        <f>'[10]Данные для переноса'!O108</f>
        <v>10924</v>
      </c>
      <c r="P107" s="384">
        <f>'[10]Данные для переноса'!P108</f>
        <v>10924</v>
      </c>
      <c r="Q107" s="384">
        <f>'[10]Данные для переноса'!Q108</f>
        <v>10924</v>
      </c>
      <c r="R107" s="384">
        <f>'[10]Данные для переноса'!R108</f>
        <v>10924</v>
      </c>
      <c r="S107" s="384">
        <f>'[10]Данные для переноса'!S108</f>
        <v>10924</v>
      </c>
      <c r="T107" s="384">
        <f>'[10]Данные для переноса'!T108</f>
        <v>10924</v>
      </c>
      <c r="U107" s="384">
        <f>'[10]Данные для переноса'!U108</f>
        <v>10924</v>
      </c>
      <c r="V107" s="384">
        <f>'[10]Данные для переноса'!V108</f>
        <v>10924</v>
      </c>
      <c r="W107" s="384">
        <f>'[10]Данные для переноса'!W108</f>
        <v>10924</v>
      </c>
      <c r="X107" s="384">
        <f>'[10]Данные для переноса'!X108</f>
        <v>10924</v>
      </c>
      <c r="Y107" s="384">
        <f>'[10]Данные для переноса'!Y108</f>
        <v>10924</v>
      </c>
      <c r="Z107" s="384">
        <f>'[10]Данные для переноса'!Z108</f>
        <v>10924</v>
      </c>
      <c r="AA107" s="426">
        <v>109828</v>
      </c>
      <c r="AB107" s="426">
        <v>10925</v>
      </c>
      <c r="AC107" s="426">
        <v>10924</v>
      </c>
      <c r="AD107" s="426">
        <v>10924</v>
      </c>
      <c r="AE107" s="426">
        <v>10924</v>
      </c>
      <c r="AF107" s="426">
        <v>10924</v>
      </c>
      <c r="AG107" s="426">
        <v>10924</v>
      </c>
      <c r="AH107" s="426">
        <v>10924</v>
      </c>
      <c r="AI107" s="426">
        <v>10924</v>
      </c>
      <c r="AJ107" s="426">
        <v>10924</v>
      </c>
      <c r="AK107" s="426">
        <v>10924</v>
      </c>
      <c r="AL107" s="426">
        <v>10924</v>
      </c>
      <c r="AM107" s="426">
        <v>10924</v>
      </c>
      <c r="AN107" s="426">
        <v>10924</v>
      </c>
      <c r="AO107" s="426">
        <v>10924</v>
      </c>
      <c r="AP107" s="426">
        <v>10924</v>
      </c>
      <c r="AQ107" s="426">
        <v>10924</v>
      </c>
      <c r="AR107" s="426">
        <v>10924</v>
      </c>
      <c r="AS107" s="426">
        <v>10924</v>
      </c>
      <c r="AT107" s="426">
        <v>10924</v>
      </c>
      <c r="AU107" s="426">
        <v>10924</v>
      </c>
      <c r="AV107" s="430" t="b">
        <f t="shared" si="160"/>
        <v>1</v>
      </c>
      <c r="AW107" s="430" t="b">
        <f t="shared" si="160"/>
        <v>1</v>
      </c>
      <c r="AX107" s="430" t="b">
        <f t="shared" si="160"/>
        <v>1</v>
      </c>
      <c r="AY107" s="430" t="b">
        <f t="shared" si="160"/>
        <v>1</v>
      </c>
      <c r="AZ107" s="430" t="b">
        <f t="shared" si="160"/>
        <v>1</v>
      </c>
      <c r="BA107" s="430" t="b">
        <f t="shared" si="160"/>
        <v>1</v>
      </c>
      <c r="BB107" s="430" t="b">
        <f t="shared" si="160"/>
        <v>1</v>
      </c>
      <c r="BC107" s="430" t="b">
        <f t="shared" si="160"/>
        <v>1</v>
      </c>
      <c r="BD107" s="430" t="b">
        <f t="shared" si="159"/>
        <v>1</v>
      </c>
      <c r="BE107" s="430" t="b">
        <f t="shared" si="159"/>
        <v>1</v>
      </c>
      <c r="BF107" s="430" t="b">
        <f t="shared" si="159"/>
        <v>1</v>
      </c>
      <c r="BG107" s="430" t="b">
        <f t="shared" si="159"/>
        <v>1</v>
      </c>
      <c r="BH107" s="430" t="b">
        <f t="shared" si="159"/>
        <v>1</v>
      </c>
      <c r="BI107" s="430" t="b">
        <f t="shared" si="159"/>
        <v>1</v>
      </c>
      <c r="BJ107" s="430" t="b">
        <f t="shared" si="141"/>
        <v>1</v>
      </c>
      <c r="BK107" s="430" t="b">
        <f t="shared" si="141"/>
        <v>1</v>
      </c>
      <c r="BL107" s="430" t="b">
        <f t="shared" si="141"/>
        <v>1</v>
      </c>
      <c r="BM107" s="430" t="b">
        <f t="shared" si="141"/>
        <v>1</v>
      </c>
      <c r="BN107" s="430" t="b">
        <f t="shared" si="141"/>
        <v>1</v>
      </c>
      <c r="BO107" s="430" t="b">
        <f t="shared" si="141"/>
        <v>1</v>
      </c>
      <c r="BP107" s="430" t="b">
        <f t="shared" si="141"/>
        <v>1</v>
      </c>
      <c r="BQ107" s="275">
        <f t="shared" si="150"/>
        <v>10924</v>
      </c>
      <c r="BR107" s="247">
        <f>'[10]Данные для переноса'!AB108</f>
        <v>109828</v>
      </c>
      <c r="BS107" s="247">
        <f>'[10]Данные для переноса'!AC108</f>
        <v>158818</v>
      </c>
      <c r="BT107" s="247">
        <f>'[10]Данные для переноса'!AD108</f>
        <v>159759</v>
      </c>
      <c r="BU107" s="247">
        <f>'[10]Данные для переноса'!AE108</f>
        <v>159759</v>
      </c>
      <c r="BV107" s="247">
        <f>'[10]Данные для переноса'!AF108</f>
        <v>159759</v>
      </c>
      <c r="BW107" s="247">
        <f>'[10]Данные для переноса'!AG108</f>
        <v>159759</v>
      </c>
      <c r="BX107" s="247">
        <f>'[10]Данные для переноса'!AH108</f>
        <v>159759</v>
      </c>
      <c r="BY107" s="247">
        <f>'[10]Данные для переноса'!AI108</f>
        <v>159759</v>
      </c>
      <c r="BZ107" s="247">
        <f>'[10]Данные для переноса'!AJ108</f>
        <v>159759</v>
      </c>
      <c r="CA107" s="247">
        <f>'[10]Данные для переноса'!AK108</f>
        <v>159759</v>
      </c>
      <c r="CB107" s="247">
        <f>'[10]Данные для переноса'!AL108</f>
        <v>159759</v>
      </c>
      <c r="CC107" s="247">
        <f>'[10]Данные для переноса'!AM108</f>
        <v>159759</v>
      </c>
      <c r="CD107" s="247">
        <f>'[10]Данные для переноса'!AN108</f>
        <v>159759</v>
      </c>
      <c r="CE107" s="247">
        <f>'[10]Данные для переноса'!AO108</f>
        <v>188710.61</v>
      </c>
      <c r="CF107" s="247">
        <f>'[10]Данные для переноса'!AP108</f>
        <v>188710.61</v>
      </c>
      <c r="CG107" s="247">
        <f>'[10]Данные для переноса'!AQ108</f>
        <v>188710.61</v>
      </c>
      <c r="CH107" s="247">
        <f>'[10]Данные для переноса'!AR108</f>
        <v>188710.61</v>
      </c>
      <c r="CI107" s="247">
        <f>'[10]Данные для переноса'!AS108</f>
        <v>188710.61</v>
      </c>
      <c r="CJ107" s="247">
        <f>'[10]Данные для переноса'!AT108</f>
        <v>188710.61</v>
      </c>
      <c r="CK107" s="247">
        <f>'[10]Данные для переноса'!AU108</f>
        <v>188710.61</v>
      </c>
      <c r="CL107" s="247">
        <f>'[10]Данные для переноса'!AV108</f>
        <v>188710.61</v>
      </c>
      <c r="CM107" s="426">
        <v>109828</v>
      </c>
      <c r="CN107" s="426">
        <v>158818</v>
      </c>
      <c r="CO107" s="426">
        <v>159759</v>
      </c>
      <c r="CP107" s="426">
        <v>159759</v>
      </c>
      <c r="CQ107" s="426">
        <v>159759</v>
      </c>
      <c r="CR107" s="426">
        <v>159759</v>
      </c>
      <c r="CS107" s="426">
        <v>159759</v>
      </c>
      <c r="CT107" s="426">
        <v>159759</v>
      </c>
      <c r="CU107" s="426">
        <v>159759</v>
      </c>
      <c r="CV107" s="426">
        <v>159759</v>
      </c>
      <c r="CW107" s="426">
        <v>159759</v>
      </c>
      <c r="CX107" s="426">
        <v>159759</v>
      </c>
      <c r="CY107" s="426">
        <v>159759</v>
      </c>
      <c r="CZ107" s="426">
        <v>188710.61</v>
      </c>
      <c r="DA107" s="426">
        <v>188710.61</v>
      </c>
      <c r="DB107" s="426">
        <v>188710.61</v>
      </c>
      <c r="DC107" s="426">
        <v>188710.61</v>
      </c>
      <c r="DD107" s="426">
        <v>188710.61</v>
      </c>
      <c r="DE107" s="426">
        <v>188710.61</v>
      </c>
      <c r="DF107" s="426">
        <v>188710.61</v>
      </c>
      <c r="DG107" s="426">
        <v>188710.61</v>
      </c>
      <c r="DH107" s="430" t="b">
        <f t="shared" si="153"/>
        <v>1</v>
      </c>
      <c r="DI107" s="430" t="b">
        <f t="shared" si="153"/>
        <v>1</v>
      </c>
      <c r="DJ107" s="430" t="b">
        <f t="shared" si="153"/>
        <v>1</v>
      </c>
      <c r="DK107" s="430" t="b">
        <f t="shared" si="153"/>
        <v>1</v>
      </c>
      <c r="DL107" s="430" t="b">
        <f t="shared" si="153"/>
        <v>1</v>
      </c>
      <c r="DM107" s="430" t="b">
        <f t="shared" si="153"/>
        <v>1</v>
      </c>
      <c r="DN107" s="430" t="b">
        <f t="shared" si="153"/>
        <v>1</v>
      </c>
      <c r="DO107" s="430" t="b">
        <f t="shared" si="153"/>
        <v>1</v>
      </c>
      <c r="DP107" s="430" t="b">
        <f t="shared" si="153"/>
        <v>1</v>
      </c>
      <c r="DQ107" s="430" t="b">
        <f t="shared" si="153"/>
        <v>1</v>
      </c>
      <c r="DR107" s="430" t="b">
        <f t="shared" si="153"/>
        <v>1</v>
      </c>
      <c r="DS107" s="430" t="b">
        <f t="shared" si="153"/>
        <v>1</v>
      </c>
      <c r="DT107" s="430" t="b">
        <f t="shared" si="153"/>
        <v>1</v>
      </c>
      <c r="DU107" s="430" t="b">
        <f t="shared" si="153"/>
        <v>1</v>
      </c>
      <c r="DV107" s="430" t="b">
        <f t="shared" si="157"/>
        <v>1</v>
      </c>
      <c r="DW107" s="430" t="b">
        <f t="shared" si="157"/>
        <v>1</v>
      </c>
      <c r="DX107" s="430" t="b">
        <f t="shared" si="157"/>
        <v>1</v>
      </c>
      <c r="DY107" s="430" t="b">
        <f t="shared" si="157"/>
        <v>1</v>
      </c>
      <c r="DZ107" s="430" t="b">
        <f t="shared" si="157"/>
        <v>1</v>
      </c>
      <c r="EA107" s="430" t="b">
        <f t="shared" si="157"/>
        <v>1</v>
      </c>
      <c r="EB107" s="430" t="b">
        <f t="shared" si="157"/>
        <v>1</v>
      </c>
      <c r="EC107" s="275">
        <f t="shared" si="151"/>
        <v>173383.28705882348</v>
      </c>
      <c r="ED107" s="223">
        <f>BR107-F107</f>
        <v>0</v>
      </c>
      <c r="EE107" s="223">
        <f>BS107-G107</f>
        <v>147893</v>
      </c>
      <c r="EF107" s="223">
        <f>BT107-H107</f>
        <v>148835</v>
      </c>
      <c r="EG107" s="223">
        <f>BU107-I107</f>
        <v>148835</v>
      </c>
      <c r="EH107" s="223">
        <f>BV107-J107</f>
        <v>148835</v>
      </c>
      <c r="EI107" s="223">
        <f>BW107-K107</f>
        <v>148835</v>
      </c>
      <c r="EJ107" s="223">
        <f>BX107-L107</f>
        <v>148835</v>
      </c>
      <c r="EK107" s="223">
        <f>BY107-M107</f>
        <v>148835</v>
      </c>
      <c r="EL107" s="223">
        <f>BZ107-N107</f>
        <v>148835</v>
      </c>
      <c r="EM107" s="223">
        <f>CA107-O107</f>
        <v>148835</v>
      </c>
      <c r="EN107" s="223">
        <f>CB107-P107</f>
        <v>148835</v>
      </c>
      <c r="EO107" s="223">
        <f>CC107-Q107</f>
        <v>148835</v>
      </c>
      <c r="EP107" s="223">
        <f>CD107-R107</f>
        <v>148835</v>
      </c>
      <c r="EQ107" s="223">
        <f>CE107-S107</f>
        <v>177786.61</v>
      </c>
      <c r="ER107" s="223">
        <f>CF107-T107</f>
        <v>177786.61</v>
      </c>
      <c r="ES107" s="223">
        <f>CG107-U107</f>
        <v>177786.61</v>
      </c>
      <c r="ET107" s="223">
        <f>CH107-V107</f>
        <v>177786.61</v>
      </c>
      <c r="EU107" s="223">
        <f>CI107-W107</f>
        <v>177786.61</v>
      </c>
      <c r="EV107" s="223">
        <f>CJ107-X107</f>
        <v>177786.61</v>
      </c>
      <c r="EW107" s="223">
        <f>CK107-Y107</f>
        <v>177786.61</v>
      </c>
      <c r="EX107" s="223">
        <f>CL107-Z107</f>
        <v>177786.61</v>
      </c>
      <c r="EY107" s="275">
        <f t="shared" si="152"/>
        <v>162459.28705882348</v>
      </c>
    </row>
    <row r="108" spans="1:155" x14ac:dyDescent="0.35">
      <c r="C108" s="241">
        <v>70</v>
      </c>
      <c r="D108" s="265" t="s">
        <v>79</v>
      </c>
      <c r="E108" s="243" t="s">
        <v>73</v>
      </c>
      <c r="F108" s="384">
        <f>'[10]Данные для переноса'!F109</f>
        <v>63.29</v>
      </c>
      <c r="G108" s="384">
        <f>'[10]Данные для переноса'!G109</f>
        <v>62.92</v>
      </c>
      <c r="H108" s="384">
        <f>'[10]Данные для переноса'!H109</f>
        <v>63.11</v>
      </c>
      <c r="I108" s="384">
        <f>'[10]Данные для переноса'!I109</f>
        <v>63.11</v>
      </c>
      <c r="J108" s="384">
        <f>'[10]Данные для переноса'!J109</f>
        <v>63.11</v>
      </c>
      <c r="K108" s="384">
        <f>'[10]Данные для переноса'!K109</f>
        <v>63.11</v>
      </c>
      <c r="L108" s="384">
        <f>'[10]Данные для переноса'!L109</f>
        <v>63.11</v>
      </c>
      <c r="M108" s="384">
        <f>'[10]Данные для переноса'!M109</f>
        <v>63.11</v>
      </c>
      <c r="N108" s="384">
        <f>'[10]Данные для переноса'!N109</f>
        <v>63.11</v>
      </c>
      <c r="O108" s="384">
        <f>'[10]Данные для переноса'!O109</f>
        <v>63.11</v>
      </c>
      <c r="P108" s="384">
        <f>'[10]Данные для переноса'!P109</f>
        <v>63.11</v>
      </c>
      <c r="Q108" s="384">
        <f>'[10]Данные для переноса'!Q109</f>
        <v>63.11</v>
      </c>
      <c r="R108" s="384">
        <f>'[10]Данные для переноса'!R109</f>
        <v>63.11</v>
      </c>
      <c r="S108" s="384">
        <f>'[10]Данные для переноса'!S109</f>
        <v>63.11</v>
      </c>
      <c r="T108" s="384">
        <f>'[10]Данные для переноса'!T109</f>
        <v>63.11</v>
      </c>
      <c r="U108" s="384">
        <f>'[10]Данные для переноса'!U109</f>
        <v>63.11</v>
      </c>
      <c r="V108" s="384">
        <f>'[10]Данные для переноса'!V109</f>
        <v>63.11</v>
      </c>
      <c r="W108" s="384">
        <f>'[10]Данные для переноса'!W109</f>
        <v>63.11</v>
      </c>
      <c r="X108" s="384">
        <f>'[10]Данные для переноса'!X109</f>
        <v>63.11</v>
      </c>
      <c r="Y108" s="384">
        <f>'[10]Данные для переноса'!Y109</f>
        <v>63.11</v>
      </c>
      <c r="Z108" s="384">
        <f>'[10]Данные для переноса'!Z109</f>
        <v>63.11</v>
      </c>
      <c r="AA108" s="426">
        <v>63.29</v>
      </c>
      <c r="AB108" s="426">
        <v>62.92</v>
      </c>
      <c r="AC108" s="426">
        <v>63.11</v>
      </c>
      <c r="AD108" s="426">
        <v>63.11</v>
      </c>
      <c r="AE108" s="426">
        <v>63.11</v>
      </c>
      <c r="AF108" s="426">
        <v>63.11</v>
      </c>
      <c r="AG108" s="426">
        <v>63.11</v>
      </c>
      <c r="AH108" s="426">
        <v>63.11</v>
      </c>
      <c r="AI108" s="426">
        <v>63.11</v>
      </c>
      <c r="AJ108" s="426">
        <v>63.11</v>
      </c>
      <c r="AK108" s="426">
        <v>63.11</v>
      </c>
      <c r="AL108" s="426">
        <v>63.11</v>
      </c>
      <c r="AM108" s="426">
        <v>63.11</v>
      </c>
      <c r="AN108" s="426">
        <v>63.11</v>
      </c>
      <c r="AO108" s="426">
        <v>63.11</v>
      </c>
      <c r="AP108" s="426">
        <v>63.11</v>
      </c>
      <c r="AQ108" s="426">
        <v>63.11</v>
      </c>
      <c r="AR108" s="426">
        <v>63.11</v>
      </c>
      <c r="AS108" s="426">
        <v>63.11</v>
      </c>
      <c r="AT108" s="426">
        <v>63.11</v>
      </c>
      <c r="AU108" s="426">
        <v>63.11</v>
      </c>
      <c r="AV108" s="430" t="b">
        <f t="shared" si="160"/>
        <v>1</v>
      </c>
      <c r="AW108" s="430" t="b">
        <f t="shared" si="160"/>
        <v>1</v>
      </c>
      <c r="AX108" s="430" t="b">
        <f t="shared" si="160"/>
        <v>1</v>
      </c>
      <c r="AY108" s="430" t="b">
        <f t="shared" si="160"/>
        <v>1</v>
      </c>
      <c r="AZ108" s="430" t="b">
        <f t="shared" si="160"/>
        <v>1</v>
      </c>
      <c r="BA108" s="430" t="b">
        <f t="shared" si="160"/>
        <v>1</v>
      </c>
      <c r="BB108" s="430" t="b">
        <f t="shared" si="160"/>
        <v>1</v>
      </c>
      <c r="BC108" s="430" t="b">
        <f t="shared" si="160"/>
        <v>1</v>
      </c>
      <c r="BD108" s="430" t="b">
        <f t="shared" si="159"/>
        <v>1</v>
      </c>
      <c r="BE108" s="430" t="b">
        <f t="shared" si="159"/>
        <v>1</v>
      </c>
      <c r="BF108" s="430" t="b">
        <f t="shared" si="159"/>
        <v>1</v>
      </c>
      <c r="BG108" s="430" t="b">
        <f t="shared" si="159"/>
        <v>1</v>
      </c>
      <c r="BH108" s="430" t="b">
        <f t="shared" si="159"/>
        <v>1</v>
      </c>
      <c r="BI108" s="430" t="b">
        <f t="shared" si="159"/>
        <v>1</v>
      </c>
      <c r="BJ108" s="430" t="b">
        <f t="shared" si="141"/>
        <v>1</v>
      </c>
      <c r="BK108" s="430" t="b">
        <f t="shared" si="141"/>
        <v>1</v>
      </c>
      <c r="BL108" s="430" t="b">
        <f t="shared" si="141"/>
        <v>1</v>
      </c>
      <c r="BM108" s="430" t="b">
        <f t="shared" si="141"/>
        <v>1</v>
      </c>
      <c r="BN108" s="430" t="b">
        <f t="shared" si="141"/>
        <v>1</v>
      </c>
      <c r="BO108" s="430" t="b">
        <f t="shared" si="141"/>
        <v>1</v>
      </c>
      <c r="BP108" s="430" t="b">
        <f t="shared" si="141"/>
        <v>1</v>
      </c>
      <c r="BQ108" s="275">
        <f t="shared" si="150"/>
        <v>63.110000000000007</v>
      </c>
      <c r="BR108" s="247">
        <f>'[10]Данные для переноса'!AB109</f>
        <v>63.29</v>
      </c>
      <c r="BS108" s="247">
        <f>'[10]Данные для переноса'!AC109</f>
        <v>62.92</v>
      </c>
      <c r="BT108" s="247">
        <f>'[10]Данные для переноса'!AD109</f>
        <v>63.11</v>
      </c>
      <c r="BU108" s="247">
        <f>'[10]Данные для переноса'!AE109</f>
        <v>63.11</v>
      </c>
      <c r="BV108" s="247">
        <f>'[10]Данные для переноса'!AF109</f>
        <v>63.11</v>
      </c>
      <c r="BW108" s="247">
        <f>'[10]Данные для переноса'!AG109</f>
        <v>63.11</v>
      </c>
      <c r="BX108" s="247">
        <f>'[10]Данные для переноса'!AH109</f>
        <v>63.11</v>
      </c>
      <c r="BY108" s="247">
        <f>'[10]Данные для переноса'!AI109</f>
        <v>63.11</v>
      </c>
      <c r="BZ108" s="247">
        <f>'[10]Данные для переноса'!AJ109</f>
        <v>63.11</v>
      </c>
      <c r="CA108" s="247">
        <f>'[10]Данные для переноса'!AK109</f>
        <v>63.11</v>
      </c>
      <c r="CB108" s="247">
        <f>'[10]Данные для переноса'!AL109</f>
        <v>63.11</v>
      </c>
      <c r="CC108" s="247">
        <f>'[10]Данные для переноса'!AM109</f>
        <v>63.11</v>
      </c>
      <c r="CD108" s="247">
        <f>'[10]Данные для переноса'!AN109</f>
        <v>63.11</v>
      </c>
      <c r="CE108" s="247">
        <f>'[10]Данные для переноса'!AO109</f>
        <v>63.11</v>
      </c>
      <c r="CF108" s="247">
        <f>'[10]Данные для переноса'!AP109</f>
        <v>63.11</v>
      </c>
      <c r="CG108" s="247">
        <f>'[10]Данные для переноса'!AQ109</f>
        <v>63.11</v>
      </c>
      <c r="CH108" s="247">
        <f>'[10]Данные для переноса'!AR109</f>
        <v>63.11</v>
      </c>
      <c r="CI108" s="247">
        <f>'[10]Данные для переноса'!AS109</f>
        <v>63.11</v>
      </c>
      <c r="CJ108" s="247">
        <f>'[10]Данные для переноса'!AT109</f>
        <v>63.11</v>
      </c>
      <c r="CK108" s="247">
        <f>'[10]Данные для переноса'!AU109</f>
        <v>63.11</v>
      </c>
      <c r="CL108" s="247">
        <f>'[10]Данные для переноса'!AV109</f>
        <v>63.11</v>
      </c>
      <c r="CM108" s="426">
        <v>63.29</v>
      </c>
      <c r="CN108" s="426">
        <v>62.92</v>
      </c>
      <c r="CO108" s="426">
        <v>63.11</v>
      </c>
      <c r="CP108" s="426">
        <v>63.11</v>
      </c>
      <c r="CQ108" s="426">
        <v>63.11</v>
      </c>
      <c r="CR108" s="426">
        <v>63.11</v>
      </c>
      <c r="CS108" s="426">
        <v>63.11</v>
      </c>
      <c r="CT108" s="426">
        <v>63.11</v>
      </c>
      <c r="CU108" s="426">
        <v>63.11</v>
      </c>
      <c r="CV108" s="426">
        <v>63.11</v>
      </c>
      <c r="CW108" s="426">
        <v>63.11</v>
      </c>
      <c r="CX108" s="426">
        <v>63.11</v>
      </c>
      <c r="CY108" s="426">
        <v>63.11</v>
      </c>
      <c r="CZ108" s="426">
        <v>63.11</v>
      </c>
      <c r="DA108" s="426">
        <v>63.11</v>
      </c>
      <c r="DB108" s="426">
        <v>63.11</v>
      </c>
      <c r="DC108" s="426">
        <v>63.11</v>
      </c>
      <c r="DD108" s="426">
        <v>63.11</v>
      </c>
      <c r="DE108" s="426">
        <v>63.11</v>
      </c>
      <c r="DF108" s="426">
        <v>63.11</v>
      </c>
      <c r="DG108" s="426">
        <v>63.11</v>
      </c>
      <c r="DH108" s="430" t="b">
        <f t="shared" si="153"/>
        <v>1</v>
      </c>
      <c r="DI108" s="430" t="b">
        <f t="shared" si="153"/>
        <v>1</v>
      </c>
      <c r="DJ108" s="430" t="b">
        <f t="shared" si="153"/>
        <v>1</v>
      </c>
      <c r="DK108" s="430" t="b">
        <f t="shared" si="153"/>
        <v>1</v>
      </c>
      <c r="DL108" s="430" t="b">
        <f t="shared" si="153"/>
        <v>1</v>
      </c>
      <c r="DM108" s="430" t="b">
        <f t="shared" si="153"/>
        <v>1</v>
      </c>
      <c r="DN108" s="430" t="b">
        <f t="shared" si="153"/>
        <v>1</v>
      </c>
      <c r="DO108" s="430" t="b">
        <f t="shared" si="153"/>
        <v>1</v>
      </c>
      <c r="DP108" s="430" t="b">
        <f t="shared" si="153"/>
        <v>1</v>
      </c>
      <c r="DQ108" s="430" t="b">
        <f t="shared" si="153"/>
        <v>1</v>
      </c>
      <c r="DR108" s="430" t="b">
        <f t="shared" si="153"/>
        <v>1</v>
      </c>
      <c r="DS108" s="430" t="b">
        <f t="shared" si="153"/>
        <v>1</v>
      </c>
      <c r="DT108" s="430" t="b">
        <f t="shared" si="153"/>
        <v>1</v>
      </c>
      <c r="DU108" s="430" t="b">
        <f t="shared" si="153"/>
        <v>1</v>
      </c>
      <c r="DV108" s="430" t="b">
        <f t="shared" si="157"/>
        <v>1</v>
      </c>
      <c r="DW108" s="430" t="b">
        <f t="shared" si="157"/>
        <v>1</v>
      </c>
      <c r="DX108" s="430" t="b">
        <f t="shared" si="157"/>
        <v>1</v>
      </c>
      <c r="DY108" s="430" t="b">
        <f t="shared" si="157"/>
        <v>1</v>
      </c>
      <c r="DZ108" s="430" t="b">
        <f t="shared" si="157"/>
        <v>1</v>
      </c>
      <c r="EA108" s="430" t="b">
        <f t="shared" si="157"/>
        <v>1</v>
      </c>
      <c r="EB108" s="430" t="b">
        <f t="shared" si="157"/>
        <v>1</v>
      </c>
      <c r="EC108" s="275">
        <f t="shared" si="151"/>
        <v>63.110000000000007</v>
      </c>
      <c r="ED108" s="223">
        <f>BR108-F108</f>
        <v>0</v>
      </c>
      <c r="EE108" s="223">
        <f>BS108-G108</f>
        <v>0</v>
      </c>
      <c r="EF108" s="223">
        <f>BT108-H108</f>
        <v>0</v>
      </c>
      <c r="EG108" s="223">
        <f>BU108-I108</f>
        <v>0</v>
      </c>
      <c r="EH108" s="223">
        <f>BV108-J108</f>
        <v>0</v>
      </c>
      <c r="EI108" s="223">
        <f>BW108-K108</f>
        <v>0</v>
      </c>
      <c r="EJ108" s="223">
        <f>BX108-L108</f>
        <v>0</v>
      </c>
      <c r="EK108" s="223">
        <f>BY108-M108</f>
        <v>0</v>
      </c>
      <c r="EL108" s="223">
        <f>BZ108-N108</f>
        <v>0</v>
      </c>
      <c r="EM108" s="223">
        <f>CA108-O108</f>
        <v>0</v>
      </c>
      <c r="EN108" s="223">
        <f>CB108-P108</f>
        <v>0</v>
      </c>
      <c r="EO108" s="223">
        <f>CC108-Q108</f>
        <v>0</v>
      </c>
      <c r="EP108" s="223">
        <f>CD108-R108</f>
        <v>0</v>
      </c>
      <c r="EQ108" s="223">
        <f>CE108-S108</f>
        <v>0</v>
      </c>
      <c r="ER108" s="223">
        <f>CF108-T108</f>
        <v>0</v>
      </c>
      <c r="ES108" s="223">
        <f>CG108-U108</f>
        <v>0</v>
      </c>
      <c r="ET108" s="223">
        <f>CH108-V108</f>
        <v>0</v>
      </c>
      <c r="EU108" s="223">
        <f>CI108-W108</f>
        <v>0</v>
      </c>
      <c r="EV108" s="223">
        <f>CJ108-X108</f>
        <v>0</v>
      </c>
      <c r="EW108" s="223">
        <f>CK108-Y108</f>
        <v>0</v>
      </c>
      <c r="EX108" s="223">
        <f>CL108-Z108</f>
        <v>0</v>
      </c>
      <c r="EY108" s="275">
        <f t="shared" si="152"/>
        <v>0</v>
      </c>
    </row>
    <row r="109" spans="1:155" s="235" customFormat="1" ht="13" x14ac:dyDescent="0.3">
      <c r="A109" s="221"/>
      <c r="B109" s="222"/>
      <c r="C109" s="233"/>
      <c r="D109" s="234" t="s">
        <v>80</v>
      </c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428"/>
      <c r="AB109" s="428"/>
      <c r="AC109" s="428"/>
      <c r="AD109" s="428"/>
      <c r="AE109" s="428"/>
      <c r="AF109" s="428"/>
      <c r="AG109" s="428"/>
      <c r="AH109" s="428"/>
      <c r="AI109" s="428"/>
      <c r="AJ109" s="428"/>
      <c r="AK109" s="428"/>
      <c r="AL109" s="428"/>
      <c r="AM109" s="428"/>
      <c r="AN109" s="428"/>
      <c r="AO109" s="428"/>
      <c r="AP109" s="428"/>
      <c r="AQ109" s="428"/>
      <c r="AR109" s="428"/>
      <c r="AS109" s="428"/>
      <c r="AT109" s="428"/>
      <c r="AU109" s="428"/>
      <c r="AV109" s="424" t="b">
        <f t="shared" si="160"/>
        <v>1</v>
      </c>
      <c r="AW109" s="424" t="b">
        <f t="shared" si="160"/>
        <v>1</v>
      </c>
      <c r="AX109" s="424" t="b">
        <f t="shared" si="160"/>
        <v>1</v>
      </c>
      <c r="AY109" s="424" t="b">
        <f t="shared" si="160"/>
        <v>1</v>
      </c>
      <c r="AZ109" s="424" t="b">
        <f t="shared" si="160"/>
        <v>1</v>
      </c>
      <c r="BA109" s="424" t="b">
        <f t="shared" si="160"/>
        <v>1</v>
      </c>
      <c r="BB109" s="424" t="b">
        <f t="shared" si="160"/>
        <v>1</v>
      </c>
      <c r="BC109" s="424" t="b">
        <f t="shared" si="160"/>
        <v>1</v>
      </c>
      <c r="BD109" s="424" t="b">
        <f t="shared" si="159"/>
        <v>1</v>
      </c>
      <c r="BE109" s="424" t="b">
        <f t="shared" si="159"/>
        <v>1</v>
      </c>
      <c r="BF109" s="424" t="b">
        <f t="shared" si="159"/>
        <v>1</v>
      </c>
      <c r="BG109" s="424" t="b">
        <f t="shared" si="159"/>
        <v>1</v>
      </c>
      <c r="BH109" s="424" t="b">
        <f t="shared" si="159"/>
        <v>1</v>
      </c>
      <c r="BI109" s="424" t="b">
        <f t="shared" si="159"/>
        <v>1</v>
      </c>
      <c r="BJ109" s="424" t="b">
        <f t="shared" si="141"/>
        <v>1</v>
      </c>
      <c r="BK109" s="424" t="b">
        <f t="shared" si="141"/>
        <v>1</v>
      </c>
      <c r="BL109" s="424" t="b">
        <f t="shared" si="141"/>
        <v>1</v>
      </c>
      <c r="BM109" s="424" t="b">
        <f t="shared" si="141"/>
        <v>1</v>
      </c>
      <c r="BN109" s="424" t="b">
        <f t="shared" si="141"/>
        <v>1</v>
      </c>
      <c r="BO109" s="424" t="b">
        <f t="shared" si="141"/>
        <v>1</v>
      </c>
      <c r="BP109" s="424" t="b">
        <f t="shared" si="141"/>
        <v>1</v>
      </c>
      <c r="BQ109" s="217"/>
      <c r="BR109" s="216"/>
      <c r="BS109" s="216"/>
      <c r="BT109" s="216"/>
      <c r="BU109" s="216"/>
      <c r="BV109" s="216"/>
      <c r="BW109" s="216"/>
      <c r="BX109" s="216"/>
      <c r="BY109" s="216"/>
      <c r="BZ109" s="216"/>
      <c r="CA109" s="216"/>
      <c r="CB109" s="216"/>
      <c r="CC109" s="216"/>
      <c r="CD109" s="216"/>
      <c r="CE109" s="216"/>
      <c r="CF109" s="216"/>
      <c r="CG109" s="216"/>
      <c r="CH109" s="216"/>
      <c r="CI109" s="216"/>
      <c r="CJ109" s="216"/>
      <c r="CK109" s="216"/>
      <c r="CL109" s="216"/>
      <c r="CM109" s="428"/>
      <c r="CN109" s="428"/>
      <c r="CO109" s="428"/>
      <c r="CP109" s="428"/>
      <c r="CQ109" s="428"/>
      <c r="CR109" s="428"/>
      <c r="CS109" s="428"/>
      <c r="CT109" s="428"/>
      <c r="CU109" s="428"/>
      <c r="CV109" s="428"/>
      <c r="CW109" s="428"/>
      <c r="CX109" s="428"/>
      <c r="CY109" s="428"/>
      <c r="CZ109" s="428"/>
      <c r="DA109" s="428"/>
      <c r="DB109" s="428"/>
      <c r="DC109" s="428"/>
      <c r="DD109" s="428"/>
      <c r="DE109" s="428"/>
      <c r="DF109" s="428"/>
      <c r="DG109" s="428"/>
      <c r="DH109" s="424" t="b">
        <f t="shared" si="153"/>
        <v>1</v>
      </c>
      <c r="DI109" s="424" t="b">
        <f t="shared" si="153"/>
        <v>1</v>
      </c>
      <c r="DJ109" s="424" t="b">
        <f t="shared" si="153"/>
        <v>1</v>
      </c>
      <c r="DK109" s="424" t="b">
        <f t="shared" si="153"/>
        <v>1</v>
      </c>
      <c r="DL109" s="424" t="b">
        <f t="shared" si="153"/>
        <v>1</v>
      </c>
      <c r="DM109" s="424" t="b">
        <f t="shared" si="153"/>
        <v>1</v>
      </c>
      <c r="DN109" s="424" t="b">
        <f t="shared" si="153"/>
        <v>1</v>
      </c>
      <c r="DO109" s="424" t="b">
        <f t="shared" si="153"/>
        <v>1</v>
      </c>
      <c r="DP109" s="424" t="b">
        <f t="shared" si="153"/>
        <v>1</v>
      </c>
      <c r="DQ109" s="424" t="b">
        <f t="shared" si="153"/>
        <v>1</v>
      </c>
      <c r="DR109" s="424" t="b">
        <f t="shared" si="153"/>
        <v>1</v>
      </c>
      <c r="DS109" s="424" t="b">
        <f t="shared" si="153"/>
        <v>1</v>
      </c>
      <c r="DT109" s="424" t="b">
        <f t="shared" si="153"/>
        <v>1</v>
      </c>
      <c r="DU109" s="424" t="b">
        <f t="shared" si="153"/>
        <v>1</v>
      </c>
      <c r="DV109" s="424" t="b">
        <f t="shared" si="157"/>
        <v>1</v>
      </c>
      <c r="DW109" s="424" t="b">
        <f t="shared" si="157"/>
        <v>1</v>
      </c>
      <c r="DX109" s="424" t="b">
        <f t="shared" si="157"/>
        <v>1</v>
      </c>
      <c r="DY109" s="424" t="b">
        <f t="shared" si="157"/>
        <v>1</v>
      </c>
      <c r="DZ109" s="424" t="b">
        <f t="shared" si="157"/>
        <v>1</v>
      </c>
      <c r="EA109" s="424" t="b">
        <f t="shared" si="157"/>
        <v>1</v>
      </c>
      <c r="EB109" s="424" t="b">
        <f t="shared" si="157"/>
        <v>1</v>
      </c>
      <c r="EC109" s="217"/>
      <c r="ED109" s="218"/>
      <c r="EE109" s="218"/>
      <c r="EF109" s="218"/>
      <c r="EG109" s="218"/>
      <c r="EH109" s="218"/>
      <c r="EI109" s="218"/>
      <c r="EJ109" s="218"/>
      <c r="EK109" s="218"/>
      <c r="EL109" s="218"/>
      <c r="EM109" s="218"/>
      <c r="EN109" s="218"/>
      <c r="EO109" s="218"/>
      <c r="EP109" s="218"/>
      <c r="EQ109" s="218"/>
      <c r="ER109" s="218"/>
      <c r="ES109" s="218"/>
      <c r="ET109" s="218"/>
      <c r="EU109" s="218"/>
      <c r="EV109" s="218"/>
      <c r="EW109" s="218"/>
      <c r="EX109" s="218"/>
      <c r="EY109" s="217"/>
    </row>
    <row r="110" spans="1:155" x14ac:dyDescent="0.35">
      <c r="C110" s="241">
        <v>71</v>
      </c>
      <c r="D110" s="282" t="s">
        <v>81</v>
      </c>
      <c r="E110" s="243" t="s">
        <v>29</v>
      </c>
      <c r="F110" s="383">
        <f>'[10]Данные для переноса'!F111</f>
        <v>4.5215261984685423E-2</v>
      </c>
      <c r="G110" s="383">
        <f>'[10]Данные для переноса'!G111</f>
        <v>3.5059022014605097E-2</v>
      </c>
      <c r="H110" s="383">
        <f>'[10]Данные для переноса'!H111</f>
        <v>4.0021913655991281E-2</v>
      </c>
      <c r="I110" s="383">
        <f>'[10]Данные для переноса'!I111</f>
        <v>3.72158345317068E-2</v>
      </c>
      <c r="J110" s="383">
        <f>'[10]Данные для переноса'!J111</f>
        <v>3.6079797554235168E-2</v>
      </c>
      <c r="K110" s="383">
        <f>'[10]Данные для переноса'!K111</f>
        <v>3.5032911319118905E-2</v>
      </c>
      <c r="L110" s="383">
        <f>'[10]Данные для переноса'!L111</f>
        <v>3.4929244933220562E-2</v>
      </c>
      <c r="M110" s="383">
        <f>'[10]Данные для переноса'!M111</f>
        <v>3.4940762893760503E-2</v>
      </c>
      <c r="N110" s="383">
        <f>'[10]Данные для переноса'!N111</f>
        <v>3.4940117488352865E-2</v>
      </c>
      <c r="O110" s="383">
        <f>'[10]Данные для переноса'!O111</f>
        <v>3.4939501311860091E-2</v>
      </c>
      <c r="P110" s="383">
        <f>'[10]Данные для переноса'!P111</f>
        <v>3.4938901888986636E-2</v>
      </c>
      <c r="Q110" s="383">
        <f>'[10]Данные для переноса'!Q111</f>
        <v>3.493832600698088E-2</v>
      </c>
      <c r="R110" s="383">
        <f>'[10]Данные для переноса'!R111</f>
        <v>3.4937772606213113E-2</v>
      </c>
      <c r="S110" s="383">
        <f>'[10]Данные для переноса'!S111</f>
        <v>3.4937243054080518E-2</v>
      </c>
      <c r="T110" s="383">
        <f>'[10]Данные для переноса'!T111</f>
        <v>3.4936733878093845E-2</v>
      </c>
      <c r="U110" s="383">
        <f>'[10]Данные для переноса'!U111</f>
        <v>3.493624137050591E-2</v>
      </c>
      <c r="V110" s="383">
        <f>'[10]Данные для переноса'!V111</f>
        <v>3.493576791678385E-2</v>
      </c>
      <c r="W110" s="383">
        <f>'[10]Данные для переноса'!W111</f>
        <v>3.49353149084995E-2</v>
      </c>
      <c r="X110" s="383">
        <f>'[10]Данные для переноса'!X111</f>
        <v>3.4934882331789881E-2</v>
      </c>
      <c r="Y110" s="383">
        <f>'[10]Данные для переноса'!Y111</f>
        <v>3.4934459428400524E-2</v>
      </c>
      <c r="Z110" s="383">
        <f>'[10]Данные для переноса'!Z111</f>
        <v>3.4934055509027589E-2</v>
      </c>
      <c r="AA110" s="455">
        <v>4.5215261984685423E-2</v>
      </c>
      <c r="AB110" s="455">
        <v>3.5059022014605097E-2</v>
      </c>
      <c r="AC110" s="455">
        <v>4.0021913655991281E-2</v>
      </c>
      <c r="AD110" s="455">
        <v>3.72158345317068E-2</v>
      </c>
      <c r="AE110" s="455">
        <v>3.6079797554235168E-2</v>
      </c>
      <c r="AF110" s="455">
        <v>3.5032911319118905E-2</v>
      </c>
      <c r="AG110" s="455">
        <v>3.4929244933220562E-2</v>
      </c>
      <c r="AH110" s="455">
        <v>3.4940762893760503E-2</v>
      </c>
      <c r="AI110" s="455">
        <v>3.4940117488352865E-2</v>
      </c>
      <c r="AJ110" s="455">
        <v>3.4939501311860091E-2</v>
      </c>
      <c r="AK110" s="455">
        <v>3.4938901888986636E-2</v>
      </c>
      <c r="AL110" s="455">
        <v>3.493832600698088E-2</v>
      </c>
      <c r="AM110" s="455">
        <v>3.4937772606213113E-2</v>
      </c>
      <c r="AN110" s="455">
        <v>3.4937243054080518E-2</v>
      </c>
      <c r="AO110" s="455">
        <v>3.4936733878093845E-2</v>
      </c>
      <c r="AP110" s="455">
        <v>3.493624137050591E-2</v>
      </c>
      <c r="AQ110" s="455">
        <v>3.493576791678385E-2</v>
      </c>
      <c r="AR110" s="455">
        <v>3.49353149084995E-2</v>
      </c>
      <c r="AS110" s="455">
        <v>3.4934882331789881E-2</v>
      </c>
      <c r="AT110" s="455">
        <v>3.4934459428400524E-2</v>
      </c>
      <c r="AU110" s="455">
        <v>3.4934055509027589E-2</v>
      </c>
      <c r="AV110" s="456" t="b">
        <f t="shared" si="160"/>
        <v>1</v>
      </c>
      <c r="AW110" s="456" t="b">
        <f t="shared" si="160"/>
        <v>1</v>
      </c>
      <c r="AX110" s="456" t="b">
        <f t="shared" si="160"/>
        <v>1</v>
      </c>
      <c r="AY110" s="456" t="b">
        <f t="shared" si="160"/>
        <v>1</v>
      </c>
      <c r="AZ110" s="456" t="b">
        <f t="shared" si="160"/>
        <v>1</v>
      </c>
      <c r="BA110" s="456" t="b">
        <f t="shared" si="160"/>
        <v>1</v>
      </c>
      <c r="BB110" s="456" t="b">
        <f t="shared" si="160"/>
        <v>1</v>
      </c>
      <c r="BC110" s="456" t="b">
        <f t="shared" si="160"/>
        <v>1</v>
      </c>
      <c r="BD110" s="456" t="b">
        <f t="shared" si="159"/>
        <v>1</v>
      </c>
      <c r="BE110" s="456" t="b">
        <f t="shared" si="159"/>
        <v>1</v>
      </c>
      <c r="BF110" s="456" t="b">
        <f t="shared" si="159"/>
        <v>1</v>
      </c>
      <c r="BG110" s="456" t="b">
        <f t="shared" si="159"/>
        <v>1</v>
      </c>
      <c r="BH110" s="456" t="b">
        <f t="shared" si="159"/>
        <v>1</v>
      </c>
      <c r="BI110" s="456" t="b">
        <f t="shared" si="159"/>
        <v>1</v>
      </c>
      <c r="BJ110" s="456" t="b">
        <f t="shared" si="141"/>
        <v>1</v>
      </c>
      <c r="BK110" s="456" t="b">
        <f t="shared" si="141"/>
        <v>1</v>
      </c>
      <c r="BL110" s="456" t="b">
        <f t="shared" si="141"/>
        <v>1</v>
      </c>
      <c r="BM110" s="456" t="b">
        <f t="shared" si="141"/>
        <v>1</v>
      </c>
      <c r="BN110" s="456" t="b">
        <f t="shared" si="141"/>
        <v>1</v>
      </c>
      <c r="BO110" s="456" t="b">
        <f t="shared" si="141"/>
        <v>1</v>
      </c>
      <c r="BP110" s="456" t="b">
        <f t="shared" si="141"/>
        <v>1</v>
      </c>
      <c r="BQ110" s="284">
        <f t="shared" si="150"/>
        <v>3.500953143528885E-2</v>
      </c>
      <c r="BR110" s="283">
        <f>'[10]Данные для переноса'!AB111</f>
        <v>4.5215261984685423E-2</v>
      </c>
      <c r="BS110" s="283">
        <f>'[10]Данные для переноса'!AC111</f>
        <v>3.5059022014605097E-2</v>
      </c>
      <c r="BT110" s="283">
        <f>'[10]Данные для переноса'!AD111</f>
        <v>4.0021913655991281E-2</v>
      </c>
      <c r="BU110" s="283">
        <f>'[10]Данные для переноса'!AE111</f>
        <v>3.3966234635412262E-2</v>
      </c>
      <c r="BV110" s="283">
        <f>'[10]Данные для переноса'!AF111</f>
        <v>3.0610693510218993E-2</v>
      </c>
      <c r="BW110" s="283">
        <f>'[10]Данные для переноса'!AG111</f>
        <v>2.8652077090836253E-2</v>
      </c>
      <c r="BX110" s="283">
        <f>'[10]Данные для переноса'!AH111</f>
        <v>2.760882741081858E-2</v>
      </c>
      <c r="BY110" s="283">
        <f>'[10]Данные для переноса'!AI111</f>
        <v>2.7422486393636654E-2</v>
      </c>
      <c r="BZ110" s="283">
        <f>'[10]Данные для переноса'!AJ111</f>
        <v>2.767848687083449E-2</v>
      </c>
      <c r="CA110" s="283">
        <f>'[10]Данные для переноса'!AK111</f>
        <v>2.8024488336187248E-2</v>
      </c>
      <c r="CB110" s="283">
        <f>'[10]Данные для переноса'!AL111</f>
        <v>2.8438671690362738E-2</v>
      </c>
      <c r="CC110" s="283">
        <f>'[10]Данные для переноса'!AM111</f>
        <v>2.8918713922994475E-2</v>
      </c>
      <c r="CD110" s="283">
        <f>'[10]Данные для переноса'!AN111</f>
        <v>2.9468217761913457E-2</v>
      </c>
      <c r="CE110" s="283">
        <f>'[10]Данные для переноса'!AO111</f>
        <v>8.5206312491288447E-2</v>
      </c>
      <c r="CF110" s="283">
        <f>'[10]Данные для переноса'!AP111</f>
        <v>0.15400261568094059</v>
      </c>
      <c r="CG110" s="283">
        <f>'[10]Данные для переноса'!AQ111</f>
        <v>0.15227262281490861</v>
      </c>
      <c r="CH110" s="283">
        <f>'[10]Данные для переноса'!AR111</f>
        <v>0.15016772991655553</v>
      </c>
      <c r="CI110" s="283">
        <f>'[10]Данные для переноса'!AS111</f>
        <v>0.13095821721833709</v>
      </c>
      <c r="CJ110" s="283">
        <f>'[10]Данные для переноса'!AT111</f>
        <v>0.1461969510731001</v>
      </c>
      <c r="CK110" s="283">
        <f>'[10]Данные для переноса'!AU111</f>
        <v>0.14436878063549344</v>
      </c>
      <c r="CL110" s="283">
        <f>'[10]Данные для переноса'!AV111</f>
        <v>0.14253555475987284</v>
      </c>
      <c r="CM110" s="455">
        <v>4.5215261984685423E-2</v>
      </c>
      <c r="CN110" s="455">
        <v>3.5059022014605097E-2</v>
      </c>
      <c r="CO110" s="455">
        <v>4.0021913655991281E-2</v>
      </c>
      <c r="CP110" s="455">
        <v>3.3966234635412262E-2</v>
      </c>
      <c r="CQ110" s="455">
        <v>3.0610693510218993E-2</v>
      </c>
      <c r="CR110" s="455">
        <v>2.8652077090836253E-2</v>
      </c>
      <c r="CS110" s="455">
        <v>2.760882741081858E-2</v>
      </c>
      <c r="CT110" s="455">
        <v>2.7422486393636654E-2</v>
      </c>
      <c r="CU110" s="455">
        <v>2.767848687083449E-2</v>
      </c>
      <c r="CV110" s="455">
        <v>2.8024488336187248E-2</v>
      </c>
      <c r="CW110" s="455">
        <v>2.8438671690362738E-2</v>
      </c>
      <c r="CX110" s="455">
        <v>2.8918713922994475E-2</v>
      </c>
      <c r="CY110" s="455">
        <v>2.9468217761913457E-2</v>
      </c>
      <c r="CZ110" s="455">
        <v>8.5206312491288447E-2</v>
      </c>
      <c r="DA110" s="455">
        <v>0.15400261568094059</v>
      </c>
      <c r="DB110" s="455">
        <v>0.15227262281490861</v>
      </c>
      <c r="DC110" s="455">
        <v>0.15016772991655553</v>
      </c>
      <c r="DD110" s="455">
        <v>0.13095821721833709</v>
      </c>
      <c r="DE110" s="455">
        <v>0.1461969510731001</v>
      </c>
      <c r="DF110" s="455">
        <v>0.14436878063549344</v>
      </c>
      <c r="DG110" s="455">
        <v>0.14253555475987284</v>
      </c>
      <c r="DH110" s="456" t="b">
        <f t="shared" si="153"/>
        <v>1</v>
      </c>
      <c r="DI110" s="456" t="b">
        <f t="shared" si="153"/>
        <v>1</v>
      </c>
      <c r="DJ110" s="456" t="b">
        <f t="shared" si="153"/>
        <v>1</v>
      </c>
      <c r="DK110" s="456" t="b">
        <f t="shared" si="153"/>
        <v>1</v>
      </c>
      <c r="DL110" s="456" t="b">
        <f t="shared" si="153"/>
        <v>1</v>
      </c>
      <c r="DM110" s="456" t="b">
        <f t="shared" si="153"/>
        <v>1</v>
      </c>
      <c r="DN110" s="456" t="b">
        <f t="shared" si="153"/>
        <v>1</v>
      </c>
      <c r="DO110" s="456" t="b">
        <f t="shared" si="153"/>
        <v>1</v>
      </c>
      <c r="DP110" s="456" t="b">
        <f t="shared" si="153"/>
        <v>1</v>
      </c>
      <c r="DQ110" s="456" t="b">
        <f t="shared" si="153"/>
        <v>1</v>
      </c>
      <c r="DR110" s="456" t="b">
        <f t="shared" si="153"/>
        <v>1</v>
      </c>
      <c r="DS110" s="456" t="b">
        <f t="shared" si="153"/>
        <v>1</v>
      </c>
      <c r="DT110" s="456" t="b">
        <f t="shared" si="153"/>
        <v>1</v>
      </c>
      <c r="DU110" s="456" t="b">
        <f t="shared" si="153"/>
        <v>1</v>
      </c>
      <c r="DV110" s="456" t="b">
        <f t="shared" si="157"/>
        <v>1</v>
      </c>
      <c r="DW110" s="456" t="b">
        <f t="shared" si="157"/>
        <v>1</v>
      </c>
      <c r="DX110" s="456" t="b">
        <f t="shared" si="157"/>
        <v>1</v>
      </c>
      <c r="DY110" s="456" t="b">
        <f t="shared" si="157"/>
        <v>1</v>
      </c>
      <c r="DZ110" s="456" t="b">
        <f t="shared" si="157"/>
        <v>1</v>
      </c>
      <c r="EA110" s="456" t="b">
        <f t="shared" si="157"/>
        <v>1</v>
      </c>
      <c r="EB110" s="456" t="b">
        <f t="shared" si="157"/>
        <v>1</v>
      </c>
      <c r="EC110" s="284">
        <f>IFERROR(AVERAGE(BV110:CL110),0)</f>
        <v>8.0148908681076436E-2</v>
      </c>
      <c r="ED110" s="285">
        <f>BR110-F110</f>
        <v>0</v>
      </c>
      <c r="EE110" s="285">
        <f>BS110-G110</f>
        <v>0</v>
      </c>
      <c r="EF110" s="285">
        <f>BT110-H110</f>
        <v>0</v>
      </c>
      <c r="EG110" s="285">
        <f>BU110-I110</f>
        <v>-3.2495998962945374E-3</v>
      </c>
      <c r="EH110" s="285">
        <f>BV110-J110</f>
        <v>-5.4691040440161751E-3</v>
      </c>
      <c r="EI110" s="285">
        <f>BW110-K110</f>
        <v>-6.3808342282826516E-3</v>
      </c>
      <c r="EJ110" s="285">
        <f>BX110-L110</f>
        <v>-7.320417522401982E-3</v>
      </c>
      <c r="EK110" s="285">
        <f>BY110-M110</f>
        <v>-7.5182765001238494E-3</v>
      </c>
      <c r="EL110" s="285">
        <f>BZ110-N110</f>
        <v>-7.2616306175183748E-3</v>
      </c>
      <c r="EM110" s="285">
        <f>CA110-O110</f>
        <v>-6.9150129756728428E-3</v>
      </c>
      <c r="EN110" s="285">
        <f>CB110-P110</f>
        <v>-6.5002301986238978E-3</v>
      </c>
      <c r="EO110" s="285">
        <f>CC110-Q110</f>
        <v>-6.0196120839864052E-3</v>
      </c>
      <c r="EP110" s="285">
        <f>CD110-R110</f>
        <v>-5.469554844299656E-3</v>
      </c>
      <c r="EQ110" s="285">
        <f>CE110-S110</f>
        <v>5.0269069437207929E-2</v>
      </c>
      <c r="ER110" s="285">
        <f>CF110-T110</f>
        <v>0.11906588180284675</v>
      </c>
      <c r="ES110" s="285">
        <f>CG110-U110</f>
        <v>0.1173363814444027</v>
      </c>
      <c r="ET110" s="285">
        <f>CH110-V110</f>
        <v>0.11523196199977168</v>
      </c>
      <c r="EU110" s="285">
        <f>CI110-W110</f>
        <v>9.6022902309837593E-2</v>
      </c>
      <c r="EV110" s="285">
        <f>CJ110-X110</f>
        <v>0.11126206874131023</v>
      </c>
      <c r="EW110" s="285">
        <f>CK110-Y110</f>
        <v>0.10943432120709291</v>
      </c>
      <c r="EX110" s="285">
        <f>CL110-Z110</f>
        <v>0.10760149925084525</v>
      </c>
      <c r="EY110" s="284">
        <f>IFERROR(AVERAGE(EH110:EX110),0)</f>
        <v>4.5139377245787607E-2</v>
      </c>
    </row>
    <row r="111" spans="1:155" x14ac:dyDescent="0.35">
      <c r="BQ111" s="286"/>
      <c r="EC111" s="287"/>
      <c r="EY111" s="287"/>
    </row>
    <row r="113" spans="1:155" s="289" customFormat="1" ht="299" x14ac:dyDescent="0.35">
      <c r="A113" s="288"/>
      <c r="AA113" s="457"/>
      <c r="AB113" s="457"/>
      <c r="AC113" s="457"/>
      <c r="AD113" s="457"/>
      <c r="AE113" s="457"/>
      <c r="AF113" s="457"/>
      <c r="AG113" s="457"/>
      <c r="AH113" s="457"/>
      <c r="AI113" s="457"/>
      <c r="AJ113" s="457"/>
      <c r="AK113" s="457"/>
      <c r="AL113" s="457"/>
      <c r="AM113" s="457"/>
      <c r="AN113" s="457"/>
      <c r="AO113" s="457"/>
      <c r="AP113" s="457"/>
      <c r="AQ113" s="457"/>
      <c r="AR113" s="457"/>
      <c r="AS113" s="457"/>
      <c r="AT113" s="457"/>
      <c r="AU113" s="457"/>
      <c r="AV113" s="457"/>
      <c r="AW113" s="457"/>
      <c r="AX113" s="457"/>
      <c r="AY113" s="457"/>
      <c r="AZ113" s="457"/>
      <c r="BA113" s="457"/>
      <c r="BB113" s="457"/>
      <c r="BC113" s="457"/>
      <c r="BD113" s="457"/>
      <c r="BE113" s="457"/>
      <c r="BF113" s="457"/>
      <c r="BG113" s="457"/>
      <c r="BH113" s="457"/>
      <c r="BI113" s="457"/>
      <c r="BJ113" s="457"/>
      <c r="BK113" s="457"/>
      <c r="BL113" s="457"/>
      <c r="BM113" s="457"/>
      <c r="BN113" s="457"/>
      <c r="BO113" s="457"/>
      <c r="BP113" s="457"/>
      <c r="BQ113" s="290" t="s">
        <v>286</v>
      </c>
      <c r="CM113" s="457"/>
      <c r="CN113" s="457"/>
      <c r="CO113" s="457"/>
      <c r="CP113" s="457"/>
      <c r="CQ113" s="457"/>
      <c r="CR113" s="457"/>
      <c r="CS113" s="457"/>
      <c r="CT113" s="457"/>
      <c r="CU113" s="457"/>
      <c r="CV113" s="457"/>
      <c r="CW113" s="457"/>
      <c r="CX113" s="457"/>
      <c r="CY113" s="457"/>
      <c r="CZ113" s="457"/>
      <c r="DA113" s="457"/>
      <c r="DB113" s="457"/>
      <c r="DC113" s="457"/>
      <c r="DD113" s="457"/>
      <c r="DE113" s="457"/>
      <c r="DF113" s="457"/>
      <c r="DG113" s="457"/>
      <c r="DH113" s="457"/>
      <c r="DI113" s="457"/>
      <c r="DJ113" s="457"/>
      <c r="DK113" s="457"/>
      <c r="DL113" s="457"/>
      <c r="DM113" s="457"/>
      <c r="DN113" s="457"/>
      <c r="DO113" s="457"/>
      <c r="DP113" s="457"/>
      <c r="DQ113" s="457"/>
      <c r="DR113" s="457"/>
      <c r="DS113" s="457"/>
      <c r="DT113" s="457"/>
      <c r="DU113" s="457"/>
      <c r="DV113" s="457"/>
      <c r="DW113" s="457"/>
      <c r="DX113" s="457"/>
      <c r="DY113" s="457"/>
      <c r="DZ113" s="457"/>
      <c r="EA113" s="457"/>
      <c r="EB113" s="457"/>
      <c r="EC113" s="290" t="s">
        <v>286</v>
      </c>
      <c r="EY113" s="290" t="s">
        <v>286</v>
      </c>
    </row>
  </sheetData>
  <mergeCells count="10">
    <mergeCell ref="ED4:EY4"/>
    <mergeCell ref="BR4:CL4"/>
    <mergeCell ref="C5:C6"/>
    <mergeCell ref="D5:D6"/>
    <mergeCell ref="E5:E6"/>
    <mergeCell ref="EY5:EY6"/>
    <mergeCell ref="BQ5:BQ6"/>
    <mergeCell ref="EC5:EC6"/>
    <mergeCell ref="AV4:BP4"/>
    <mergeCell ref="DH4:EB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01"/>
  <sheetViews>
    <sheetView showGridLines="0" showZeros="0"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S255" sqref="S255"/>
    </sheetView>
  </sheetViews>
  <sheetFormatPr defaultColWidth="8.54296875" defaultRowHeight="13" outlineLevelRow="2" x14ac:dyDescent="0.25"/>
  <cols>
    <col min="1" max="1" width="13.54296875" style="221" customWidth="1"/>
    <col min="2" max="2" width="15" style="391" customWidth="1"/>
    <col min="3" max="3" width="8.54296875" style="391"/>
    <col min="4" max="4" width="57.54296875" style="391" customWidth="1"/>
    <col min="5" max="5" width="14.453125" style="391" customWidth="1"/>
    <col min="6" max="14" width="5.453125" style="391" bestFit="1" customWidth="1"/>
    <col min="15" max="15" width="8.7265625" style="391" bestFit="1" customWidth="1"/>
    <col min="16" max="18" width="10.26953125" style="391" bestFit="1" customWidth="1"/>
    <col min="19" max="19" width="8.7265625" style="391" bestFit="1" customWidth="1"/>
    <col min="20" max="22" width="9.7265625" style="391" bestFit="1" customWidth="1"/>
    <col min="23" max="23" width="10.26953125" style="391" bestFit="1" customWidth="1"/>
    <col min="24" max="26" width="9.7265625" style="391" bestFit="1" customWidth="1"/>
    <col min="27" max="27" width="10.453125" style="391" bestFit="1" customWidth="1"/>
    <col min="28" max="28" width="11.1796875" style="391" customWidth="1"/>
    <col min="29" max="29" width="20.453125" style="391" customWidth="1"/>
    <col min="30" max="30" width="23.1796875" style="391" customWidth="1"/>
    <col min="31" max="16384" width="8.54296875" style="391"/>
  </cols>
  <sheetData>
    <row r="1" spans="1:28" s="220" customFormat="1" ht="37.5" customHeight="1" x14ac:dyDescent="0.3">
      <c r="A1" s="209"/>
      <c r="D1" s="209"/>
      <c r="E1" s="209"/>
    </row>
    <row r="2" spans="1:28" ht="13.5" thickBot="1" x14ac:dyDescent="0.3"/>
    <row r="3" spans="1:28" s="316" customFormat="1" ht="13.5" thickBot="1" x14ac:dyDescent="0.35">
      <c r="A3" s="221"/>
      <c r="B3" s="225"/>
      <c r="C3" s="225"/>
      <c r="D3" s="225" t="s">
        <v>168</v>
      </c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1"/>
      <c r="V3" s="391"/>
      <c r="W3" s="391"/>
      <c r="X3" s="391"/>
      <c r="Y3" s="391"/>
      <c r="Z3" s="391"/>
      <c r="AA3" s="391"/>
    </row>
    <row r="4" spans="1:28" s="235" customFormat="1" x14ac:dyDescent="0.3">
      <c r="A4" s="221"/>
      <c r="B4" s="391"/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1"/>
      <c r="O4" s="391"/>
      <c r="P4" s="391"/>
      <c r="Q4" s="391"/>
      <c r="R4" s="391"/>
      <c r="S4" s="391"/>
      <c r="T4" s="391"/>
      <c r="U4" s="391"/>
      <c r="V4" s="391"/>
      <c r="W4" s="391"/>
      <c r="X4" s="391"/>
      <c r="Y4" s="391"/>
      <c r="Z4" s="391"/>
      <c r="AA4" s="391"/>
    </row>
    <row r="5" spans="1:28" ht="39" x14ac:dyDescent="0.25">
      <c r="C5" s="317" t="s">
        <v>4</v>
      </c>
      <c r="D5" s="318" t="s">
        <v>5</v>
      </c>
      <c r="E5" s="319" t="s">
        <v>6</v>
      </c>
      <c r="F5" s="291">
        <v>2022</v>
      </c>
      <c r="G5" s="291">
        <v>2023</v>
      </c>
      <c r="H5" s="291">
        <v>2024</v>
      </c>
      <c r="I5" s="291">
        <v>2025</v>
      </c>
      <c r="J5" s="291">
        <v>2026</v>
      </c>
      <c r="K5" s="291">
        <v>2027</v>
      </c>
      <c r="L5" s="291">
        <v>2028</v>
      </c>
      <c r="M5" s="291">
        <v>2029</v>
      </c>
      <c r="N5" s="291">
        <v>2030</v>
      </c>
      <c r="O5" s="291">
        <v>2031</v>
      </c>
      <c r="P5" s="291">
        <v>2032</v>
      </c>
      <c r="Q5" s="291">
        <v>2033</v>
      </c>
      <c r="R5" s="291">
        <v>2034</v>
      </c>
      <c r="S5" s="291">
        <v>2035</v>
      </c>
      <c r="T5" s="291">
        <v>2036</v>
      </c>
      <c r="U5" s="291">
        <v>2037</v>
      </c>
      <c r="V5" s="291">
        <v>2038</v>
      </c>
      <c r="W5" s="291">
        <v>2039</v>
      </c>
      <c r="X5" s="291">
        <v>2040</v>
      </c>
      <c r="Y5" s="291">
        <v>2041</v>
      </c>
      <c r="Z5" s="291">
        <v>2042</v>
      </c>
      <c r="AA5" s="292" t="s">
        <v>282</v>
      </c>
      <c r="AB5" s="292" t="s">
        <v>283</v>
      </c>
    </row>
    <row r="6" spans="1:28" x14ac:dyDescent="0.25">
      <c r="C6" s="320"/>
      <c r="D6" s="321"/>
      <c r="E6" s="321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</row>
    <row r="7" spans="1:28" x14ac:dyDescent="0.25">
      <c r="C7" s="322"/>
      <c r="D7" s="323" t="s">
        <v>126</v>
      </c>
      <c r="E7" s="324"/>
      <c r="F7" s="325">
        <f t="shared" ref="F7:R7" si="0">F23+F90+F227</f>
        <v>0</v>
      </c>
      <c r="G7" s="325">
        <f>G23+G90+G227</f>
        <v>0</v>
      </c>
      <c r="H7" s="325">
        <f t="shared" si="0"/>
        <v>0</v>
      </c>
      <c r="I7" s="325">
        <f t="shared" si="0"/>
        <v>0</v>
      </c>
      <c r="J7" s="325">
        <f t="shared" si="0"/>
        <v>0</v>
      </c>
      <c r="K7" s="325">
        <f t="shared" si="0"/>
        <v>0</v>
      </c>
      <c r="L7" s="325">
        <f t="shared" si="0"/>
        <v>0</v>
      </c>
      <c r="M7" s="325">
        <f t="shared" si="0"/>
        <v>0</v>
      </c>
      <c r="N7" s="325">
        <f t="shared" si="0"/>
        <v>0</v>
      </c>
      <c r="O7" s="325">
        <f t="shared" si="0"/>
        <v>0</v>
      </c>
      <c r="P7" s="325">
        <f t="shared" si="0"/>
        <v>0</v>
      </c>
      <c r="Q7" s="325">
        <f t="shared" si="0"/>
        <v>0</v>
      </c>
      <c r="R7" s="325">
        <f t="shared" si="0"/>
        <v>0</v>
      </c>
      <c r="S7" s="325">
        <f t="shared" ref="S7:Z7" si="1">S23+S90+S227</f>
        <v>161921.10571155106</v>
      </c>
      <c r="T7" s="325">
        <f t="shared" si="1"/>
        <v>355344.11850548617</v>
      </c>
      <c r="U7" s="325">
        <f t="shared" si="1"/>
        <v>363596.45706658973</v>
      </c>
      <c r="V7" s="325">
        <f t="shared" si="1"/>
        <v>372229.99572428886</v>
      </c>
      <c r="W7" s="325">
        <f t="shared" si="1"/>
        <v>276074.40623358486</v>
      </c>
      <c r="X7" s="325">
        <f t="shared" si="1"/>
        <v>390714.48502148531</v>
      </c>
      <c r="Y7" s="325">
        <f t="shared" si="1"/>
        <v>400604.64371631207</v>
      </c>
      <c r="Z7" s="325">
        <f t="shared" si="1"/>
        <v>410954.51338118414</v>
      </c>
      <c r="AA7" s="325">
        <f>SUM(J7:Z7)</f>
        <v>2731439.7253604825</v>
      </c>
      <c r="AB7" s="325">
        <f>AA7/1000</f>
        <v>2731.4397253604825</v>
      </c>
    </row>
    <row r="8" spans="1:28" x14ac:dyDescent="0.25">
      <c r="C8" s="326">
        <v>1</v>
      </c>
      <c r="D8" s="327" t="s">
        <v>83</v>
      </c>
      <c r="E8" s="392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328"/>
      <c r="AA8" s="329"/>
      <c r="AB8" s="329"/>
    </row>
    <row r="9" spans="1:28" ht="18" hidden="1" customHeight="1" outlineLevel="1" x14ac:dyDescent="0.25">
      <c r="C9" s="387"/>
      <c r="D9" s="330" t="s">
        <v>97</v>
      </c>
      <c r="E9" s="331" t="s">
        <v>13</v>
      </c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  <c r="AA9" s="295"/>
      <c r="AB9" s="295"/>
    </row>
    <row r="10" spans="1:28" hidden="1" outlineLevel="1" x14ac:dyDescent="0.25">
      <c r="C10" s="387"/>
      <c r="D10" s="332" t="s">
        <v>40</v>
      </c>
      <c r="E10" s="333" t="s">
        <v>13</v>
      </c>
      <c r="F10" s="294"/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294"/>
      <c r="Z10" s="294"/>
      <c r="AA10" s="295"/>
      <c r="AB10" s="295"/>
    </row>
    <row r="11" spans="1:28" hidden="1" outlineLevel="1" x14ac:dyDescent="0.25">
      <c r="C11" s="387"/>
      <c r="D11" s="332" t="s">
        <v>98</v>
      </c>
      <c r="E11" s="333" t="s">
        <v>13</v>
      </c>
      <c r="F11" s="294"/>
      <c r="G11" s="294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  <c r="AA11" s="295"/>
      <c r="AB11" s="295"/>
    </row>
    <row r="12" spans="1:28" hidden="1" outlineLevel="1" x14ac:dyDescent="0.25">
      <c r="C12" s="387"/>
      <c r="D12" s="332" t="s">
        <v>48</v>
      </c>
      <c r="E12" s="333" t="s">
        <v>13</v>
      </c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5"/>
      <c r="AB12" s="295"/>
    </row>
    <row r="13" spans="1:28" hidden="1" outlineLevel="1" x14ac:dyDescent="0.25">
      <c r="C13" s="387"/>
      <c r="D13" s="332" t="s">
        <v>99</v>
      </c>
      <c r="E13" s="333" t="s">
        <v>13</v>
      </c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5"/>
      <c r="AB13" s="295"/>
    </row>
    <row r="14" spans="1:28" hidden="1" outlineLevel="1" x14ac:dyDescent="0.25">
      <c r="C14" s="387"/>
      <c r="D14" s="332" t="s">
        <v>100</v>
      </c>
      <c r="E14" s="333" t="s">
        <v>13</v>
      </c>
      <c r="F14" s="294"/>
      <c r="G14" s="294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  <c r="AA14" s="295"/>
      <c r="AB14" s="295"/>
    </row>
    <row r="15" spans="1:28" hidden="1" outlineLevel="1" x14ac:dyDescent="0.25">
      <c r="C15" s="387"/>
      <c r="D15" s="332" t="s">
        <v>101</v>
      </c>
      <c r="E15" s="333" t="s">
        <v>13</v>
      </c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5"/>
      <c r="AB15" s="295"/>
    </row>
    <row r="16" spans="1:28" hidden="1" outlineLevel="1" x14ac:dyDescent="0.25">
      <c r="C16" s="387"/>
      <c r="D16" s="332" t="s">
        <v>102</v>
      </c>
      <c r="E16" s="333" t="s">
        <v>13</v>
      </c>
      <c r="F16" s="294"/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  <c r="AA16" s="295"/>
      <c r="AB16" s="295"/>
    </row>
    <row r="17" spans="2:28" hidden="1" outlineLevel="1" x14ac:dyDescent="0.25">
      <c r="C17" s="387"/>
      <c r="D17" s="332" t="s">
        <v>103</v>
      </c>
      <c r="E17" s="333" t="s">
        <v>13</v>
      </c>
      <c r="F17" s="294"/>
      <c r="G17" s="294"/>
      <c r="H17" s="294"/>
      <c r="I17" s="294"/>
      <c r="J17" s="294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  <c r="Z17" s="294"/>
      <c r="AA17" s="295"/>
      <c r="AB17" s="295"/>
    </row>
    <row r="18" spans="2:28" hidden="1" outlineLevel="1" x14ac:dyDescent="0.25">
      <c r="C18" s="387"/>
      <c r="D18" s="332" t="s">
        <v>104</v>
      </c>
      <c r="E18" s="333" t="s">
        <v>13</v>
      </c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  <c r="Z18" s="294"/>
      <c r="AA18" s="295"/>
      <c r="AB18" s="295"/>
    </row>
    <row r="19" spans="2:28" hidden="1" outlineLevel="1" x14ac:dyDescent="0.25">
      <c r="C19" s="387"/>
      <c r="D19" s="332" t="s">
        <v>105</v>
      </c>
      <c r="E19" s="333" t="s">
        <v>13</v>
      </c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295"/>
      <c r="AB19" s="295"/>
    </row>
    <row r="20" spans="2:28" hidden="1" outlineLevel="1" x14ac:dyDescent="0.25">
      <c r="C20" s="387"/>
      <c r="D20" s="332" t="s">
        <v>106</v>
      </c>
      <c r="E20" s="333" t="s">
        <v>13</v>
      </c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5"/>
      <c r="AB20" s="295"/>
    </row>
    <row r="21" spans="2:28" hidden="1" outlineLevel="1" x14ac:dyDescent="0.25">
      <c r="C21" s="387"/>
      <c r="D21" s="332" t="s">
        <v>49</v>
      </c>
      <c r="E21" s="333" t="s">
        <v>13</v>
      </c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5"/>
      <c r="AB21" s="295"/>
    </row>
    <row r="22" spans="2:28" hidden="1" outlineLevel="1" x14ac:dyDescent="0.25">
      <c r="C22" s="387"/>
      <c r="D22" s="332" t="s">
        <v>107</v>
      </c>
      <c r="E22" s="333" t="s">
        <v>13</v>
      </c>
      <c r="F22" s="294"/>
      <c r="G22" s="294"/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  <c r="AA22" s="295"/>
      <c r="AB22" s="295"/>
    </row>
    <row r="23" spans="2:28" ht="26" hidden="1" outlineLevel="1" x14ac:dyDescent="0.25">
      <c r="C23" s="388"/>
      <c r="D23" s="334" t="s">
        <v>108</v>
      </c>
      <c r="E23" s="335" t="s">
        <v>13</v>
      </c>
      <c r="F23" s="296">
        <f>SUM(F24:F48)</f>
        <v>0</v>
      </c>
      <c r="G23" s="296">
        <f>SUM(G24:G48)</f>
        <v>0</v>
      </c>
      <c r="H23" s="296">
        <f t="shared" ref="H23:Y23" si="2">SUM(H24:H48)</f>
        <v>0</v>
      </c>
      <c r="I23" s="296">
        <f t="shared" si="2"/>
        <v>0</v>
      </c>
      <c r="J23" s="296">
        <f t="shared" si="2"/>
        <v>0</v>
      </c>
      <c r="K23" s="296">
        <f t="shared" si="2"/>
        <v>0</v>
      </c>
      <c r="L23" s="296">
        <f t="shared" si="2"/>
        <v>0</v>
      </c>
      <c r="M23" s="296">
        <f t="shared" si="2"/>
        <v>0</v>
      </c>
      <c r="N23" s="296">
        <f t="shared" si="2"/>
        <v>0</v>
      </c>
      <c r="O23" s="296">
        <f t="shared" si="2"/>
        <v>0</v>
      </c>
      <c r="P23" s="296">
        <f t="shared" si="2"/>
        <v>0</v>
      </c>
      <c r="Q23" s="296">
        <f t="shared" si="2"/>
        <v>0</v>
      </c>
      <c r="R23" s="296">
        <f t="shared" si="2"/>
        <v>0</v>
      </c>
      <c r="S23" s="296">
        <f t="shared" si="2"/>
        <v>0</v>
      </c>
      <c r="T23" s="296">
        <f t="shared" si="2"/>
        <v>0</v>
      </c>
      <c r="U23" s="296">
        <f t="shared" si="2"/>
        <v>0</v>
      </c>
      <c r="V23" s="296">
        <f t="shared" si="2"/>
        <v>0</v>
      </c>
      <c r="W23" s="296">
        <f t="shared" si="2"/>
        <v>0</v>
      </c>
      <c r="X23" s="296">
        <f t="shared" si="2"/>
        <v>0</v>
      </c>
      <c r="Y23" s="296">
        <f t="shared" si="2"/>
        <v>0</v>
      </c>
      <c r="Z23" s="296">
        <f>SUM(Z24:Z48)</f>
        <v>0</v>
      </c>
      <c r="AA23" s="296">
        <f>SUM(AA24:AA48)</f>
        <v>0</v>
      </c>
      <c r="AB23" s="296">
        <f>AA23/1000</f>
        <v>0</v>
      </c>
    </row>
    <row r="24" spans="2:28" ht="18" hidden="1" customHeight="1" outlineLevel="1" x14ac:dyDescent="0.25">
      <c r="B24" s="408" t="s">
        <v>284</v>
      </c>
      <c r="C24" s="387"/>
      <c r="D24" s="399" t="str">
        <f>'[9]Сводная форма'!D24</f>
        <v>Центр РАН и НИЦ интегральной электроники</v>
      </c>
      <c r="E24" s="337" t="s">
        <v>13</v>
      </c>
      <c r="F24" s="297"/>
      <c r="G24" s="297"/>
      <c r="H24" s="297"/>
      <c r="I24" s="297"/>
      <c r="J24" s="297"/>
      <c r="K24" s="297"/>
      <c r="L24" s="297"/>
      <c r="M24" s="297"/>
      <c r="N24" s="297"/>
      <c r="O24" s="297"/>
      <c r="P24" s="297"/>
      <c r="Q24" s="297"/>
      <c r="R24" s="297"/>
      <c r="S24" s="297"/>
      <c r="T24" s="297"/>
      <c r="U24" s="297"/>
      <c r="V24" s="297"/>
      <c r="W24" s="297"/>
      <c r="X24" s="297"/>
      <c r="Y24" s="297"/>
      <c r="Z24" s="297"/>
      <c r="AA24" s="296">
        <f>SUM(J24:Z24)</f>
        <v>0</v>
      </c>
      <c r="AB24" s="296">
        <f t="shared" ref="AB24:AB41" si="3">AA24/1000</f>
        <v>0</v>
      </c>
    </row>
    <row r="25" spans="2:28" hidden="1" outlineLevel="1" x14ac:dyDescent="0.25">
      <c r="B25" s="408"/>
      <c r="C25" s="387"/>
      <c r="D25" s="399" t="str">
        <f>'[9]Сводная форма'!D25</f>
        <v xml:space="preserve">Университет МИРЭА
</v>
      </c>
      <c r="E25" s="337" t="s">
        <v>13</v>
      </c>
      <c r="F25" s="297"/>
      <c r="G25" s="297"/>
      <c r="H25" s="297"/>
      <c r="I25" s="297"/>
      <c r="J25" s="297"/>
      <c r="K25" s="297"/>
      <c r="L25" s="297"/>
      <c r="M25" s="297"/>
      <c r="N25" s="393"/>
      <c r="O25" s="297"/>
      <c r="P25" s="297"/>
      <c r="Q25" s="297"/>
      <c r="R25" s="297"/>
      <c r="S25" s="297"/>
      <c r="T25" s="297"/>
      <c r="U25" s="297"/>
      <c r="V25" s="297"/>
      <c r="W25" s="297"/>
      <c r="X25" s="297"/>
      <c r="Y25" s="297"/>
      <c r="Z25" s="297"/>
      <c r="AA25" s="296">
        <f t="shared" ref="AA25:AA48" si="4">SUM(J25:Z25)</f>
        <v>0</v>
      </c>
      <c r="AB25" s="296">
        <f>AA25/1000</f>
        <v>0</v>
      </c>
    </row>
    <row r="26" spans="2:28" hidden="1" outlineLevel="1" x14ac:dyDescent="0.25">
      <c r="B26" s="408"/>
      <c r="C26" s="387"/>
      <c r="D26" s="399" t="str">
        <f>'[9]Сводная форма'!D26</f>
        <v>Технологический центр</v>
      </c>
      <c r="E26" s="337" t="s">
        <v>13</v>
      </c>
      <c r="F26" s="297"/>
      <c r="G26" s="297"/>
      <c r="H26" s="297"/>
      <c r="I26" s="297"/>
      <c r="J26" s="297"/>
      <c r="K26" s="297"/>
      <c r="L26" s="297"/>
      <c r="M26" s="297"/>
      <c r="N26" s="393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6">
        <f t="shared" si="4"/>
        <v>0</v>
      </c>
      <c r="AB26" s="296">
        <f t="shared" si="3"/>
        <v>0</v>
      </c>
    </row>
    <row r="27" spans="2:28" hidden="1" outlineLevel="1" x14ac:dyDescent="0.25">
      <c r="B27" s="408"/>
      <c r="C27" s="387"/>
      <c r="D27" s="399" t="str">
        <f>'[9]Сводная форма'!D27</f>
        <v>Спортивный центр</v>
      </c>
      <c r="E27" s="337" t="s">
        <v>13</v>
      </c>
      <c r="F27" s="297"/>
      <c r="G27" s="297"/>
      <c r="H27" s="297"/>
      <c r="I27" s="297"/>
      <c r="J27" s="297"/>
      <c r="K27" s="297"/>
      <c r="L27" s="297"/>
      <c r="M27" s="297"/>
      <c r="N27" s="393"/>
      <c r="O27" s="297"/>
      <c r="P27" s="297"/>
      <c r="Q27" s="297"/>
      <c r="R27" s="297"/>
      <c r="S27" s="297"/>
      <c r="T27" s="297"/>
      <c r="U27" s="297"/>
      <c r="V27" s="297"/>
      <c r="W27" s="297"/>
      <c r="X27" s="297"/>
      <c r="Y27" s="297"/>
      <c r="Z27" s="297"/>
      <c r="AA27" s="296">
        <f t="shared" si="4"/>
        <v>0</v>
      </c>
      <c r="AB27" s="296">
        <f t="shared" si="3"/>
        <v>0</v>
      </c>
    </row>
    <row r="28" spans="2:28" ht="18" hidden="1" customHeight="1" outlineLevel="1" x14ac:dyDescent="0.25">
      <c r="B28" s="408"/>
      <c r="C28" s="387"/>
      <c r="D28" s="399" t="str">
        <f>'[9]Сводная форма'!D28</f>
        <v>Гостиничный комплекс</v>
      </c>
      <c r="E28" s="337" t="s">
        <v>13</v>
      </c>
      <c r="F28" s="297"/>
      <c r="G28" s="297"/>
      <c r="H28" s="297"/>
      <c r="I28" s="297"/>
      <c r="J28" s="297"/>
      <c r="K28" s="297"/>
      <c r="L28" s="297"/>
      <c r="M28" s="297"/>
      <c r="N28" s="393"/>
      <c r="O28" s="297"/>
      <c r="P28" s="297"/>
      <c r="Q28" s="297"/>
      <c r="R28" s="297"/>
      <c r="S28" s="297"/>
      <c r="T28" s="297"/>
      <c r="U28" s="297"/>
      <c r="V28" s="297"/>
      <c r="W28" s="297"/>
      <c r="X28" s="297"/>
      <c r="Y28" s="297"/>
      <c r="Z28" s="297"/>
      <c r="AA28" s="296">
        <f t="shared" si="4"/>
        <v>0</v>
      </c>
      <c r="AB28" s="296">
        <f t="shared" si="3"/>
        <v>0</v>
      </c>
    </row>
    <row r="29" spans="2:28" hidden="1" outlineLevel="2" x14ac:dyDescent="0.25">
      <c r="B29" s="408"/>
      <c r="C29" s="387"/>
      <c r="D29" s="336" t="s">
        <v>266</v>
      </c>
      <c r="E29" s="337" t="s">
        <v>13</v>
      </c>
      <c r="F29" s="297"/>
      <c r="G29" s="297"/>
      <c r="H29" s="297"/>
      <c r="I29" s="297"/>
      <c r="J29" s="297"/>
      <c r="K29" s="297"/>
      <c r="L29" s="297"/>
      <c r="M29" s="297"/>
      <c r="N29" s="393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6">
        <f t="shared" si="4"/>
        <v>0</v>
      </c>
      <c r="AB29" s="296">
        <f t="shared" si="3"/>
        <v>0</v>
      </c>
    </row>
    <row r="30" spans="2:28" hidden="1" outlineLevel="2" x14ac:dyDescent="0.25">
      <c r="B30" s="408"/>
      <c r="C30" s="387"/>
      <c r="D30" s="336" t="s">
        <v>267</v>
      </c>
      <c r="E30" s="337" t="s">
        <v>13</v>
      </c>
      <c r="F30" s="297"/>
      <c r="G30" s="297"/>
      <c r="H30" s="297"/>
      <c r="I30" s="297"/>
      <c r="J30" s="297"/>
      <c r="K30" s="297"/>
      <c r="L30" s="297"/>
      <c r="M30" s="297"/>
      <c r="N30" s="393"/>
      <c r="O30" s="297"/>
      <c r="P30" s="297"/>
      <c r="Q30" s="297"/>
      <c r="R30" s="297"/>
      <c r="S30" s="297"/>
      <c r="T30" s="297"/>
      <c r="U30" s="297"/>
      <c r="V30" s="297"/>
      <c r="W30" s="297"/>
      <c r="X30" s="297"/>
      <c r="Y30" s="297"/>
      <c r="Z30" s="297"/>
      <c r="AA30" s="296">
        <f t="shared" si="4"/>
        <v>0</v>
      </c>
      <c r="AB30" s="296">
        <f t="shared" si="3"/>
        <v>0</v>
      </c>
    </row>
    <row r="31" spans="2:28" hidden="1" outlineLevel="2" x14ac:dyDescent="0.25">
      <c r="B31" s="408"/>
      <c r="C31" s="387"/>
      <c r="D31" s="336" t="s">
        <v>268</v>
      </c>
      <c r="E31" s="337" t="s">
        <v>13</v>
      </c>
      <c r="F31" s="297"/>
      <c r="G31" s="297"/>
      <c r="H31" s="297"/>
      <c r="I31" s="297"/>
      <c r="J31" s="297"/>
      <c r="K31" s="297"/>
      <c r="L31" s="297"/>
      <c r="M31" s="297"/>
      <c r="N31" s="393"/>
      <c r="O31" s="297"/>
      <c r="P31" s="297"/>
      <c r="Q31" s="297"/>
      <c r="R31" s="297"/>
      <c r="S31" s="297"/>
      <c r="T31" s="297"/>
      <c r="U31" s="297"/>
      <c r="V31" s="297"/>
      <c r="W31" s="297"/>
      <c r="X31" s="297"/>
      <c r="Y31" s="297"/>
      <c r="Z31" s="297"/>
      <c r="AA31" s="296">
        <f t="shared" si="4"/>
        <v>0</v>
      </c>
      <c r="AB31" s="296">
        <f t="shared" si="3"/>
        <v>0</v>
      </c>
    </row>
    <row r="32" spans="2:28" ht="18" hidden="1" customHeight="1" outlineLevel="2" x14ac:dyDescent="0.25">
      <c r="C32" s="387"/>
      <c r="D32" s="336" t="s">
        <v>269</v>
      </c>
      <c r="E32" s="337" t="s">
        <v>13</v>
      </c>
      <c r="F32" s="297"/>
      <c r="G32" s="297"/>
      <c r="H32" s="297"/>
      <c r="I32" s="297"/>
      <c r="J32" s="297"/>
      <c r="K32" s="297"/>
      <c r="L32" s="297"/>
      <c r="M32" s="297"/>
      <c r="N32" s="393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6">
        <f t="shared" si="4"/>
        <v>0</v>
      </c>
      <c r="AB32" s="296">
        <f t="shared" si="3"/>
        <v>0</v>
      </c>
    </row>
    <row r="33" spans="3:28" hidden="1" outlineLevel="2" x14ac:dyDescent="0.25">
      <c r="C33" s="387"/>
      <c r="D33" s="336" t="s">
        <v>270</v>
      </c>
      <c r="E33" s="337" t="s">
        <v>13</v>
      </c>
      <c r="F33" s="297"/>
      <c r="G33" s="297"/>
      <c r="H33" s="297"/>
      <c r="I33" s="297"/>
      <c r="J33" s="297"/>
      <c r="K33" s="297"/>
      <c r="L33" s="297"/>
      <c r="M33" s="297"/>
      <c r="N33" s="393"/>
      <c r="O33" s="297"/>
      <c r="P33" s="297"/>
      <c r="Q33" s="297"/>
      <c r="R33" s="297"/>
      <c r="S33" s="297"/>
      <c r="T33" s="297"/>
      <c r="U33" s="297"/>
      <c r="V33" s="297"/>
      <c r="W33" s="297"/>
      <c r="X33" s="297"/>
      <c r="Y33" s="297"/>
      <c r="Z33" s="297"/>
      <c r="AA33" s="296">
        <f t="shared" si="4"/>
        <v>0</v>
      </c>
      <c r="AB33" s="296">
        <f t="shared" si="3"/>
        <v>0</v>
      </c>
    </row>
    <row r="34" spans="3:28" hidden="1" outlineLevel="2" x14ac:dyDescent="0.25">
      <c r="C34" s="387"/>
      <c r="D34" s="336" t="s">
        <v>271</v>
      </c>
      <c r="E34" s="337" t="s">
        <v>13</v>
      </c>
      <c r="F34" s="297"/>
      <c r="G34" s="297"/>
      <c r="H34" s="297"/>
      <c r="I34" s="297"/>
      <c r="J34" s="297"/>
      <c r="K34" s="297"/>
      <c r="L34" s="297"/>
      <c r="M34" s="297"/>
      <c r="N34" s="393"/>
      <c r="O34" s="297"/>
      <c r="P34" s="297"/>
      <c r="Q34" s="297"/>
      <c r="R34" s="297"/>
      <c r="S34" s="297"/>
      <c r="T34" s="297"/>
      <c r="U34" s="297"/>
      <c r="V34" s="297"/>
      <c r="W34" s="297"/>
      <c r="X34" s="297"/>
      <c r="Y34" s="297"/>
      <c r="Z34" s="297"/>
      <c r="AA34" s="296">
        <f t="shared" si="4"/>
        <v>0</v>
      </c>
      <c r="AB34" s="296">
        <f t="shared" si="3"/>
        <v>0</v>
      </c>
    </row>
    <row r="35" spans="3:28" hidden="1" outlineLevel="2" x14ac:dyDescent="0.25">
      <c r="C35" s="387"/>
      <c r="D35" s="336" t="s">
        <v>272</v>
      </c>
      <c r="E35" s="337" t="s">
        <v>13</v>
      </c>
      <c r="F35" s="297"/>
      <c r="G35" s="297"/>
      <c r="H35" s="297"/>
      <c r="I35" s="297"/>
      <c r="J35" s="297"/>
      <c r="K35" s="297"/>
      <c r="L35" s="297"/>
      <c r="M35" s="297"/>
      <c r="N35" s="393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6">
        <f t="shared" si="4"/>
        <v>0</v>
      </c>
      <c r="AB35" s="296">
        <f t="shared" si="3"/>
        <v>0</v>
      </c>
    </row>
    <row r="36" spans="3:28" hidden="1" outlineLevel="2" x14ac:dyDescent="0.25">
      <c r="C36" s="387"/>
      <c r="D36" s="336" t="s">
        <v>273</v>
      </c>
      <c r="E36" s="337" t="s">
        <v>13</v>
      </c>
      <c r="F36" s="297"/>
      <c r="G36" s="297"/>
      <c r="H36" s="297"/>
      <c r="I36" s="297"/>
      <c r="J36" s="297"/>
      <c r="K36" s="297"/>
      <c r="L36" s="297"/>
      <c r="M36" s="297"/>
      <c r="N36" s="393"/>
      <c r="O36" s="297"/>
      <c r="P36" s="297"/>
      <c r="Q36" s="297"/>
      <c r="R36" s="297"/>
      <c r="S36" s="297"/>
      <c r="T36" s="297"/>
      <c r="U36" s="297"/>
      <c r="V36" s="297"/>
      <c r="W36" s="297"/>
      <c r="X36" s="297"/>
      <c r="Y36" s="297"/>
      <c r="Z36" s="297"/>
      <c r="AA36" s="296">
        <f t="shared" si="4"/>
        <v>0</v>
      </c>
      <c r="AB36" s="296">
        <f t="shared" si="3"/>
        <v>0</v>
      </c>
    </row>
    <row r="37" spans="3:28" hidden="1" outlineLevel="2" x14ac:dyDescent="0.25">
      <c r="C37" s="387"/>
      <c r="D37" s="336" t="s">
        <v>274</v>
      </c>
      <c r="E37" s="337" t="s">
        <v>13</v>
      </c>
      <c r="F37" s="297"/>
      <c r="G37" s="297"/>
      <c r="H37" s="297"/>
      <c r="I37" s="297"/>
      <c r="J37" s="297"/>
      <c r="K37" s="297"/>
      <c r="L37" s="297"/>
      <c r="M37" s="297"/>
      <c r="N37" s="393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Y37" s="297"/>
      <c r="Z37" s="297"/>
      <c r="AA37" s="296">
        <f t="shared" si="4"/>
        <v>0</v>
      </c>
      <c r="AB37" s="296">
        <f t="shared" si="3"/>
        <v>0</v>
      </c>
    </row>
    <row r="38" spans="3:28" hidden="1" outlineLevel="2" x14ac:dyDescent="0.25">
      <c r="C38" s="387"/>
      <c r="D38" s="336" t="s">
        <v>275</v>
      </c>
      <c r="E38" s="337" t="s">
        <v>13</v>
      </c>
      <c r="F38" s="297"/>
      <c r="G38" s="297"/>
      <c r="H38" s="297"/>
      <c r="I38" s="297"/>
      <c r="J38" s="297"/>
      <c r="K38" s="297"/>
      <c r="L38" s="297"/>
      <c r="M38" s="297"/>
      <c r="N38" s="393"/>
      <c r="O38" s="297"/>
      <c r="P38" s="297"/>
      <c r="Q38" s="297"/>
      <c r="R38" s="297"/>
      <c r="S38" s="297"/>
      <c r="T38" s="297"/>
      <c r="U38" s="297"/>
      <c r="V38" s="297"/>
      <c r="W38" s="297"/>
      <c r="X38" s="297"/>
      <c r="Y38" s="297"/>
      <c r="Z38" s="297"/>
      <c r="AA38" s="296">
        <f t="shared" si="4"/>
        <v>0</v>
      </c>
      <c r="AB38" s="296">
        <f t="shared" si="3"/>
        <v>0</v>
      </c>
    </row>
    <row r="39" spans="3:28" hidden="1" outlineLevel="2" x14ac:dyDescent="0.25">
      <c r="C39" s="387"/>
      <c r="D39" s="336" t="s">
        <v>276</v>
      </c>
      <c r="E39" s="337" t="s">
        <v>13</v>
      </c>
      <c r="F39" s="297"/>
      <c r="G39" s="297"/>
      <c r="H39" s="297"/>
      <c r="I39" s="297"/>
      <c r="J39" s="297"/>
      <c r="K39" s="297"/>
      <c r="L39" s="297"/>
      <c r="M39" s="297"/>
      <c r="N39" s="393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7"/>
      <c r="Z39" s="297"/>
      <c r="AA39" s="296">
        <f t="shared" si="4"/>
        <v>0</v>
      </c>
      <c r="AB39" s="296">
        <f t="shared" si="3"/>
        <v>0</v>
      </c>
    </row>
    <row r="40" spans="3:28" hidden="1" outlineLevel="2" x14ac:dyDescent="0.25">
      <c r="C40" s="387"/>
      <c r="D40" s="336" t="s">
        <v>277</v>
      </c>
      <c r="E40" s="337" t="s">
        <v>13</v>
      </c>
      <c r="F40" s="297"/>
      <c r="G40" s="297"/>
      <c r="H40" s="297"/>
      <c r="I40" s="297"/>
      <c r="J40" s="297"/>
      <c r="K40" s="297"/>
      <c r="L40" s="297"/>
      <c r="M40" s="297"/>
      <c r="N40" s="393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Y40" s="297"/>
      <c r="Z40" s="297"/>
      <c r="AA40" s="296">
        <f t="shared" si="4"/>
        <v>0</v>
      </c>
      <c r="AB40" s="296">
        <f t="shared" si="3"/>
        <v>0</v>
      </c>
    </row>
    <row r="41" spans="3:28" hidden="1" outlineLevel="2" x14ac:dyDescent="0.25">
      <c r="C41" s="387"/>
      <c r="D41" s="336" t="s">
        <v>278</v>
      </c>
      <c r="E41" s="337" t="s">
        <v>13</v>
      </c>
      <c r="F41" s="297"/>
      <c r="G41" s="297"/>
      <c r="H41" s="297"/>
      <c r="I41" s="297"/>
      <c r="J41" s="297"/>
      <c r="K41" s="297"/>
      <c r="L41" s="297"/>
      <c r="M41" s="297"/>
      <c r="N41" s="393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Y41" s="297"/>
      <c r="Z41" s="297"/>
      <c r="AA41" s="296">
        <f t="shared" si="4"/>
        <v>0</v>
      </c>
      <c r="AB41" s="298">
        <f t="shared" si="3"/>
        <v>0</v>
      </c>
    </row>
    <row r="42" spans="3:28" hidden="1" outlineLevel="2" x14ac:dyDescent="0.25">
      <c r="C42" s="387"/>
      <c r="D42" s="336" t="s">
        <v>279</v>
      </c>
      <c r="E42" s="337" t="s">
        <v>13</v>
      </c>
      <c r="F42" s="297"/>
      <c r="G42" s="297"/>
      <c r="H42" s="297"/>
      <c r="I42" s="297"/>
      <c r="J42" s="297"/>
      <c r="K42" s="297"/>
      <c r="L42" s="297"/>
      <c r="M42" s="297"/>
      <c r="N42" s="393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Y42" s="297"/>
      <c r="Z42" s="297"/>
      <c r="AA42" s="296">
        <f t="shared" si="4"/>
        <v>0</v>
      </c>
      <c r="AB42" s="298">
        <f t="shared" ref="AB42:AB48" si="5">AA42/1000</f>
        <v>0</v>
      </c>
    </row>
    <row r="43" spans="3:28" hidden="1" outlineLevel="2" x14ac:dyDescent="0.25">
      <c r="C43" s="387"/>
      <c r="D43" s="336" t="s">
        <v>280</v>
      </c>
      <c r="E43" s="337" t="s">
        <v>13</v>
      </c>
      <c r="F43" s="297"/>
      <c r="G43" s="297"/>
      <c r="H43" s="297"/>
      <c r="I43" s="297"/>
      <c r="J43" s="297"/>
      <c r="K43" s="297"/>
      <c r="L43" s="297"/>
      <c r="M43" s="297"/>
      <c r="N43" s="393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6">
        <f t="shared" si="4"/>
        <v>0</v>
      </c>
      <c r="AB43" s="298">
        <f t="shared" si="5"/>
        <v>0</v>
      </c>
    </row>
    <row r="44" spans="3:28" hidden="1" outlineLevel="2" x14ac:dyDescent="0.25">
      <c r="C44" s="387"/>
      <c r="D44" s="336" t="s">
        <v>281</v>
      </c>
      <c r="E44" s="337" t="s">
        <v>13</v>
      </c>
      <c r="F44" s="297"/>
      <c r="G44" s="297"/>
      <c r="H44" s="297"/>
      <c r="I44" s="297"/>
      <c r="J44" s="297"/>
      <c r="K44" s="297"/>
      <c r="L44" s="297"/>
      <c r="M44" s="297"/>
      <c r="N44" s="393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296">
        <f t="shared" si="4"/>
        <v>0</v>
      </c>
      <c r="AB44" s="298">
        <f t="shared" si="5"/>
        <v>0</v>
      </c>
    </row>
    <row r="45" spans="3:28" hidden="1" outlineLevel="2" x14ac:dyDescent="0.25">
      <c r="C45" s="387"/>
      <c r="D45" s="336" t="s">
        <v>121</v>
      </c>
      <c r="E45" s="337" t="s">
        <v>13</v>
      </c>
      <c r="F45" s="297"/>
      <c r="G45" s="297"/>
      <c r="H45" s="297"/>
      <c r="I45" s="297"/>
      <c r="J45" s="297"/>
      <c r="K45" s="297"/>
      <c r="L45" s="297"/>
      <c r="M45" s="297"/>
      <c r="N45" s="393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  <c r="AA45" s="296">
        <f t="shared" si="4"/>
        <v>0</v>
      </c>
      <c r="AB45" s="298">
        <f t="shared" si="5"/>
        <v>0</v>
      </c>
    </row>
    <row r="46" spans="3:28" hidden="1" outlineLevel="2" x14ac:dyDescent="0.25">
      <c r="C46" s="387"/>
      <c r="D46" s="336" t="s">
        <v>122</v>
      </c>
      <c r="E46" s="337" t="s">
        <v>13</v>
      </c>
      <c r="F46" s="297"/>
      <c r="G46" s="297"/>
      <c r="H46" s="297"/>
      <c r="I46" s="297"/>
      <c r="J46" s="297"/>
      <c r="K46" s="297"/>
      <c r="L46" s="297"/>
      <c r="M46" s="297"/>
      <c r="N46" s="393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  <c r="AA46" s="296">
        <f t="shared" si="4"/>
        <v>0</v>
      </c>
      <c r="AB46" s="298">
        <f t="shared" si="5"/>
        <v>0</v>
      </c>
    </row>
    <row r="47" spans="3:28" hidden="1" outlineLevel="2" x14ac:dyDescent="0.25">
      <c r="C47" s="387"/>
      <c r="D47" s="336" t="s">
        <v>123</v>
      </c>
      <c r="E47" s="337" t="s">
        <v>13</v>
      </c>
      <c r="F47" s="297"/>
      <c r="G47" s="297"/>
      <c r="H47" s="297"/>
      <c r="I47" s="297"/>
      <c r="J47" s="297"/>
      <c r="K47" s="297"/>
      <c r="L47" s="297"/>
      <c r="M47" s="297"/>
      <c r="N47" s="393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  <c r="AA47" s="296">
        <f t="shared" si="4"/>
        <v>0</v>
      </c>
      <c r="AB47" s="298">
        <f t="shared" si="5"/>
        <v>0</v>
      </c>
    </row>
    <row r="48" spans="3:28" hidden="1" outlineLevel="2" x14ac:dyDescent="0.25">
      <c r="C48" s="387"/>
      <c r="D48" s="336" t="s">
        <v>124</v>
      </c>
      <c r="E48" s="337" t="s">
        <v>13</v>
      </c>
      <c r="F48" s="297"/>
      <c r="G48" s="297"/>
      <c r="H48" s="297"/>
      <c r="I48" s="297"/>
      <c r="J48" s="297"/>
      <c r="K48" s="297"/>
      <c r="L48" s="297"/>
      <c r="M48" s="297"/>
      <c r="N48" s="393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  <c r="AA48" s="296">
        <f t="shared" si="4"/>
        <v>0</v>
      </c>
      <c r="AB48" s="298">
        <f t="shared" si="5"/>
        <v>0</v>
      </c>
    </row>
    <row r="49" spans="3:30" hidden="1" outlineLevel="1" collapsed="1" x14ac:dyDescent="0.25">
      <c r="C49" s="388"/>
      <c r="D49" s="338" t="s">
        <v>109</v>
      </c>
      <c r="E49" s="339" t="s">
        <v>13</v>
      </c>
      <c r="F49" s="299"/>
      <c r="G49" s="299"/>
      <c r="H49" s="299"/>
      <c r="I49" s="299"/>
      <c r="J49" s="299"/>
      <c r="K49" s="299"/>
      <c r="L49" s="299"/>
      <c r="M49" s="299"/>
      <c r="N49" s="299"/>
      <c r="O49" s="299"/>
      <c r="P49" s="299"/>
      <c r="Q49" s="299"/>
      <c r="R49" s="299"/>
      <c r="S49" s="299"/>
      <c r="T49" s="299"/>
      <c r="U49" s="299"/>
      <c r="V49" s="299"/>
      <c r="W49" s="299"/>
      <c r="X49" s="299"/>
      <c r="Y49" s="299"/>
      <c r="Z49" s="299"/>
      <c r="AA49" s="300"/>
      <c r="AB49" s="296"/>
    </row>
    <row r="50" spans="3:30" ht="18" hidden="1" customHeight="1" outlineLevel="1" x14ac:dyDescent="0.25">
      <c r="C50" s="387"/>
      <c r="D50" s="332" t="str">
        <f>D24</f>
        <v>Центр РАН и НИЦ интегральной электроники</v>
      </c>
      <c r="E50" s="337" t="s">
        <v>13</v>
      </c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301">
        <f>IFERROR(AVERAGE(J50:Z50),0)</f>
        <v>0</v>
      </c>
      <c r="AB50" s="296">
        <f t="shared" ref="AB50:AB74" si="6">AA50/1000</f>
        <v>0</v>
      </c>
      <c r="AD50" s="408" t="s">
        <v>285</v>
      </c>
    </row>
    <row r="51" spans="3:30" hidden="1" outlineLevel="1" x14ac:dyDescent="0.25">
      <c r="C51" s="387"/>
      <c r="D51" s="332" t="str">
        <f t="shared" ref="D51:D74" si="7">D25</f>
        <v xml:space="preserve">Университет МИРЭА
</v>
      </c>
      <c r="E51" s="337" t="s">
        <v>13</v>
      </c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  <c r="AA51" s="301">
        <f t="shared" ref="AA51:AA74" si="8">IFERROR(AVERAGE(J51:Z51),0)</f>
        <v>0</v>
      </c>
      <c r="AB51" s="296">
        <f t="shared" si="6"/>
        <v>0</v>
      </c>
      <c r="AD51" s="408"/>
    </row>
    <row r="52" spans="3:30" hidden="1" outlineLevel="1" x14ac:dyDescent="0.25">
      <c r="C52" s="387"/>
      <c r="D52" s="332" t="str">
        <f t="shared" si="7"/>
        <v>Технологический центр</v>
      </c>
      <c r="E52" s="337" t="s">
        <v>13</v>
      </c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Y52" s="297"/>
      <c r="Z52" s="297"/>
      <c r="AA52" s="301">
        <f t="shared" si="8"/>
        <v>0</v>
      </c>
      <c r="AB52" s="296">
        <f t="shared" si="6"/>
        <v>0</v>
      </c>
      <c r="AD52" s="408"/>
    </row>
    <row r="53" spans="3:30" hidden="1" outlineLevel="1" x14ac:dyDescent="0.25">
      <c r="C53" s="387"/>
      <c r="D53" s="332" t="str">
        <f t="shared" si="7"/>
        <v>Спортивный центр</v>
      </c>
      <c r="E53" s="337" t="s">
        <v>13</v>
      </c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Y53" s="297"/>
      <c r="Z53" s="297"/>
      <c r="AA53" s="301">
        <f t="shared" si="8"/>
        <v>0</v>
      </c>
      <c r="AB53" s="296">
        <f t="shared" si="6"/>
        <v>0</v>
      </c>
      <c r="AD53" s="408"/>
    </row>
    <row r="54" spans="3:30" hidden="1" outlineLevel="1" x14ac:dyDescent="0.25">
      <c r="C54" s="387"/>
      <c r="D54" s="332" t="str">
        <f t="shared" si="7"/>
        <v>Гостиничный комплекс</v>
      </c>
      <c r="E54" s="337" t="s">
        <v>13</v>
      </c>
      <c r="F54" s="297"/>
      <c r="G54" s="297"/>
      <c r="H54" s="297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Y54" s="297"/>
      <c r="Z54" s="297"/>
      <c r="AA54" s="301">
        <f t="shared" si="8"/>
        <v>0</v>
      </c>
      <c r="AB54" s="296">
        <f t="shared" si="6"/>
        <v>0</v>
      </c>
      <c r="AD54" s="408"/>
    </row>
    <row r="55" spans="3:30" hidden="1" outlineLevel="1" x14ac:dyDescent="0.25">
      <c r="C55" s="387"/>
      <c r="D55" s="332" t="str">
        <f t="shared" si="7"/>
        <v>Наименование объекта / группы объектов 6</v>
      </c>
      <c r="E55" s="337" t="s">
        <v>13</v>
      </c>
      <c r="F55" s="297"/>
      <c r="G55" s="297"/>
      <c r="H55" s="297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Y55" s="297"/>
      <c r="Z55" s="297"/>
      <c r="AA55" s="301">
        <f t="shared" si="8"/>
        <v>0</v>
      </c>
      <c r="AB55" s="296">
        <f t="shared" si="6"/>
        <v>0</v>
      </c>
      <c r="AD55" s="408"/>
    </row>
    <row r="56" spans="3:30" hidden="1" outlineLevel="1" x14ac:dyDescent="0.25">
      <c r="C56" s="387"/>
      <c r="D56" s="332" t="str">
        <f t="shared" si="7"/>
        <v>Наименование объекта / группы объектов 7</v>
      </c>
      <c r="E56" s="337" t="s">
        <v>13</v>
      </c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Y56" s="297"/>
      <c r="Z56" s="297"/>
      <c r="AA56" s="301">
        <f t="shared" si="8"/>
        <v>0</v>
      </c>
      <c r="AB56" s="296">
        <f t="shared" si="6"/>
        <v>0</v>
      </c>
      <c r="AD56" s="408"/>
    </row>
    <row r="57" spans="3:30" hidden="1" outlineLevel="1" x14ac:dyDescent="0.25">
      <c r="C57" s="387"/>
      <c r="D57" s="332" t="str">
        <f t="shared" si="7"/>
        <v>Наименование объекта / группы объектов 8</v>
      </c>
      <c r="E57" s="337" t="s">
        <v>13</v>
      </c>
      <c r="F57" s="297"/>
      <c r="G57" s="297"/>
      <c r="H57" s="297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Y57" s="297"/>
      <c r="Z57" s="297"/>
      <c r="AA57" s="301">
        <f t="shared" si="8"/>
        <v>0</v>
      </c>
      <c r="AB57" s="296">
        <f t="shared" si="6"/>
        <v>0</v>
      </c>
      <c r="AD57" s="408"/>
    </row>
    <row r="58" spans="3:30" hidden="1" outlineLevel="1" x14ac:dyDescent="0.25">
      <c r="C58" s="387"/>
      <c r="D58" s="332" t="str">
        <f t="shared" si="7"/>
        <v>Наименование объекта / группы объектов 9</v>
      </c>
      <c r="E58" s="337" t="s">
        <v>13</v>
      </c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301">
        <f t="shared" si="8"/>
        <v>0</v>
      </c>
      <c r="AB58" s="296">
        <f t="shared" si="6"/>
        <v>0</v>
      </c>
      <c r="AD58" s="408"/>
    </row>
    <row r="59" spans="3:30" hidden="1" outlineLevel="1" x14ac:dyDescent="0.25">
      <c r="C59" s="387"/>
      <c r="D59" s="332" t="str">
        <f t="shared" si="7"/>
        <v>Наименование объекта / группы объектов 10</v>
      </c>
      <c r="E59" s="337" t="s">
        <v>13</v>
      </c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Y59" s="297"/>
      <c r="Z59" s="297"/>
      <c r="AA59" s="301">
        <f t="shared" si="8"/>
        <v>0</v>
      </c>
      <c r="AB59" s="296">
        <f t="shared" si="6"/>
        <v>0</v>
      </c>
      <c r="AC59" s="394"/>
      <c r="AD59" s="408"/>
    </row>
    <row r="60" spans="3:30" hidden="1" outlineLevel="1" x14ac:dyDescent="0.25">
      <c r="C60" s="387"/>
      <c r="D60" s="332" t="str">
        <f t="shared" si="7"/>
        <v>Наименование объекта / группы объектов 11</v>
      </c>
      <c r="E60" s="337" t="s">
        <v>13</v>
      </c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301">
        <f t="shared" si="8"/>
        <v>0</v>
      </c>
      <c r="AB60" s="296">
        <f t="shared" si="6"/>
        <v>0</v>
      </c>
      <c r="AC60" s="394"/>
    </row>
    <row r="61" spans="3:30" hidden="1" outlineLevel="1" x14ac:dyDescent="0.25">
      <c r="C61" s="387"/>
      <c r="D61" s="332" t="str">
        <f t="shared" si="7"/>
        <v>Наименование объекта / группы объектов 12</v>
      </c>
      <c r="E61" s="337" t="s">
        <v>13</v>
      </c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301">
        <f t="shared" si="8"/>
        <v>0</v>
      </c>
      <c r="AB61" s="296">
        <f t="shared" si="6"/>
        <v>0</v>
      </c>
    </row>
    <row r="62" spans="3:30" hidden="1" outlineLevel="1" x14ac:dyDescent="0.25">
      <c r="C62" s="387"/>
      <c r="D62" s="332" t="str">
        <f t="shared" si="7"/>
        <v>Наименование объекта / группы объектов 13</v>
      </c>
      <c r="E62" s="337" t="s">
        <v>13</v>
      </c>
      <c r="F62" s="297"/>
      <c r="G62" s="297"/>
      <c r="H62" s="297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Y62" s="297"/>
      <c r="Z62" s="297"/>
      <c r="AA62" s="301">
        <f t="shared" si="8"/>
        <v>0</v>
      </c>
      <c r="AB62" s="296">
        <f t="shared" si="6"/>
        <v>0</v>
      </c>
    </row>
    <row r="63" spans="3:30" hidden="1" outlineLevel="1" x14ac:dyDescent="0.25">
      <c r="C63" s="387"/>
      <c r="D63" s="332" t="str">
        <f t="shared" si="7"/>
        <v>Наименование объекта / группы объектов 14</v>
      </c>
      <c r="E63" s="337" t="s">
        <v>13</v>
      </c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Y63" s="297"/>
      <c r="Z63" s="297"/>
      <c r="AA63" s="301">
        <f t="shared" si="8"/>
        <v>0</v>
      </c>
      <c r="AB63" s="296">
        <f t="shared" si="6"/>
        <v>0</v>
      </c>
    </row>
    <row r="64" spans="3:30" hidden="1" outlineLevel="1" x14ac:dyDescent="0.25">
      <c r="C64" s="387"/>
      <c r="D64" s="332" t="str">
        <f t="shared" si="7"/>
        <v>Наименование объекта / группы объектов 15</v>
      </c>
      <c r="E64" s="337" t="s">
        <v>13</v>
      </c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  <c r="S64" s="297"/>
      <c r="T64" s="297"/>
      <c r="U64" s="297"/>
      <c r="V64" s="297"/>
      <c r="W64" s="297"/>
      <c r="X64" s="297"/>
      <c r="Y64" s="297"/>
      <c r="Z64" s="297"/>
      <c r="AA64" s="301">
        <f t="shared" si="8"/>
        <v>0</v>
      </c>
      <c r="AB64" s="296">
        <f t="shared" si="6"/>
        <v>0</v>
      </c>
    </row>
    <row r="65" spans="3:28" hidden="1" outlineLevel="1" x14ac:dyDescent="0.25">
      <c r="C65" s="387"/>
      <c r="D65" s="332" t="str">
        <f t="shared" si="7"/>
        <v>Наименование объекта / группы объектов 16</v>
      </c>
      <c r="E65" s="337" t="s">
        <v>13</v>
      </c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7"/>
      <c r="V65" s="297"/>
      <c r="W65" s="297"/>
      <c r="X65" s="297"/>
      <c r="Y65" s="297"/>
      <c r="Z65" s="297"/>
      <c r="AA65" s="301">
        <f t="shared" si="8"/>
        <v>0</v>
      </c>
      <c r="AB65" s="296">
        <f t="shared" si="6"/>
        <v>0</v>
      </c>
    </row>
    <row r="66" spans="3:28" hidden="1" outlineLevel="1" x14ac:dyDescent="0.25">
      <c r="C66" s="387"/>
      <c r="D66" s="332" t="str">
        <f t="shared" si="7"/>
        <v>Наименование объекта / группы объектов 17</v>
      </c>
      <c r="E66" s="337" t="s">
        <v>13</v>
      </c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7"/>
      <c r="R66" s="297"/>
      <c r="S66" s="297"/>
      <c r="T66" s="297"/>
      <c r="U66" s="297"/>
      <c r="V66" s="297"/>
      <c r="W66" s="297"/>
      <c r="X66" s="297"/>
      <c r="Y66" s="297"/>
      <c r="Z66" s="297"/>
      <c r="AA66" s="301">
        <f t="shared" si="8"/>
        <v>0</v>
      </c>
      <c r="AB66" s="296">
        <f t="shared" si="6"/>
        <v>0</v>
      </c>
    </row>
    <row r="67" spans="3:28" hidden="1" outlineLevel="1" x14ac:dyDescent="0.25">
      <c r="C67" s="387"/>
      <c r="D67" s="332" t="str">
        <f t="shared" si="7"/>
        <v>Наименование объекта / группы объектов 18</v>
      </c>
      <c r="E67" s="337" t="s">
        <v>13</v>
      </c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301">
        <f t="shared" si="8"/>
        <v>0</v>
      </c>
      <c r="AB67" s="298">
        <f t="shared" ref="AB67" si="9">AA67/1000</f>
        <v>0</v>
      </c>
    </row>
    <row r="68" spans="3:28" hidden="1" outlineLevel="1" x14ac:dyDescent="0.25">
      <c r="C68" s="387"/>
      <c r="D68" s="332" t="str">
        <f t="shared" si="7"/>
        <v>Наименование объекта / группы объектов 19</v>
      </c>
      <c r="E68" s="337" t="s">
        <v>13</v>
      </c>
      <c r="F68" s="297"/>
      <c r="G68" s="297"/>
      <c r="H68" s="297"/>
      <c r="I68" s="297"/>
      <c r="J68" s="297"/>
      <c r="K68" s="297"/>
      <c r="L68" s="297"/>
      <c r="M68" s="297"/>
      <c r="N68" s="297"/>
      <c r="O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  <c r="AA68" s="301">
        <f t="shared" si="8"/>
        <v>0</v>
      </c>
      <c r="AB68" s="298">
        <f t="shared" si="6"/>
        <v>0</v>
      </c>
    </row>
    <row r="69" spans="3:28" hidden="1" outlineLevel="1" x14ac:dyDescent="0.25">
      <c r="C69" s="387"/>
      <c r="D69" s="332" t="str">
        <f t="shared" si="7"/>
        <v>Наименование объекта / группы объектов 20</v>
      </c>
      <c r="E69" s="337" t="s">
        <v>13</v>
      </c>
      <c r="F69" s="297"/>
      <c r="G69" s="297"/>
      <c r="H69" s="297"/>
      <c r="I69" s="297"/>
      <c r="J69" s="297"/>
      <c r="K69" s="297"/>
      <c r="L69" s="297"/>
      <c r="M69" s="297"/>
      <c r="N69" s="297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  <c r="AA69" s="301">
        <f t="shared" si="8"/>
        <v>0</v>
      </c>
      <c r="AB69" s="298">
        <f t="shared" si="6"/>
        <v>0</v>
      </c>
    </row>
    <row r="70" spans="3:28" hidden="1" outlineLevel="1" x14ac:dyDescent="0.25">
      <c r="C70" s="387"/>
      <c r="D70" s="332" t="str">
        <f t="shared" si="7"/>
        <v>Наименование объекта / группы объектов 21</v>
      </c>
      <c r="E70" s="337" t="s">
        <v>13</v>
      </c>
      <c r="F70" s="297"/>
      <c r="G70" s="297"/>
      <c r="H70" s="297"/>
      <c r="I70" s="297"/>
      <c r="J70" s="297"/>
      <c r="K70" s="297"/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  <c r="Z70" s="297"/>
      <c r="AA70" s="301">
        <f t="shared" si="8"/>
        <v>0</v>
      </c>
      <c r="AB70" s="298">
        <f t="shared" si="6"/>
        <v>0</v>
      </c>
    </row>
    <row r="71" spans="3:28" hidden="1" outlineLevel="1" x14ac:dyDescent="0.25">
      <c r="C71" s="387"/>
      <c r="D71" s="332" t="str">
        <f t="shared" si="7"/>
        <v>Наименование объекта / группы объектов 22</v>
      </c>
      <c r="E71" s="337" t="s">
        <v>13</v>
      </c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297"/>
      <c r="S71" s="297"/>
      <c r="T71" s="297"/>
      <c r="U71" s="297"/>
      <c r="V71" s="297"/>
      <c r="W71" s="297"/>
      <c r="X71" s="297"/>
      <c r="Y71" s="297"/>
      <c r="Z71" s="297"/>
      <c r="AA71" s="301">
        <f t="shared" si="8"/>
        <v>0</v>
      </c>
      <c r="AB71" s="298">
        <f t="shared" si="6"/>
        <v>0</v>
      </c>
    </row>
    <row r="72" spans="3:28" hidden="1" outlineLevel="1" x14ac:dyDescent="0.25">
      <c r="C72" s="387"/>
      <c r="D72" s="332" t="str">
        <f t="shared" si="7"/>
        <v>Наименование объекта / группы объектов 23</v>
      </c>
      <c r="E72" s="337" t="s">
        <v>13</v>
      </c>
      <c r="F72" s="297"/>
      <c r="G72" s="297"/>
      <c r="H72" s="297"/>
      <c r="I72" s="297"/>
      <c r="J72" s="297"/>
      <c r="K72" s="297"/>
      <c r="L72" s="297"/>
      <c r="M72" s="297"/>
      <c r="N72" s="297"/>
      <c r="O72" s="297"/>
      <c r="P72" s="297"/>
      <c r="Q72" s="297"/>
      <c r="R72" s="297"/>
      <c r="S72" s="297"/>
      <c r="T72" s="297"/>
      <c r="U72" s="297"/>
      <c r="V72" s="297"/>
      <c r="W72" s="297"/>
      <c r="X72" s="297"/>
      <c r="Y72" s="297"/>
      <c r="Z72" s="297"/>
      <c r="AA72" s="301">
        <f t="shared" si="8"/>
        <v>0</v>
      </c>
      <c r="AB72" s="298">
        <f t="shared" si="6"/>
        <v>0</v>
      </c>
    </row>
    <row r="73" spans="3:28" hidden="1" outlineLevel="1" x14ac:dyDescent="0.25">
      <c r="C73" s="387"/>
      <c r="D73" s="332" t="str">
        <f t="shared" si="7"/>
        <v>Наименование объекта / группы объектов 24</v>
      </c>
      <c r="E73" s="337" t="s">
        <v>13</v>
      </c>
      <c r="F73" s="297"/>
      <c r="G73" s="297"/>
      <c r="H73" s="297"/>
      <c r="I73" s="297"/>
      <c r="J73" s="297"/>
      <c r="K73" s="297"/>
      <c r="L73" s="297"/>
      <c r="M73" s="297"/>
      <c r="N73" s="297"/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301">
        <f t="shared" si="8"/>
        <v>0</v>
      </c>
      <c r="AB73" s="298">
        <f t="shared" si="6"/>
        <v>0</v>
      </c>
    </row>
    <row r="74" spans="3:28" hidden="1" outlineLevel="1" x14ac:dyDescent="0.25">
      <c r="C74" s="387"/>
      <c r="D74" s="332" t="str">
        <f t="shared" si="7"/>
        <v>Наименование объекта / группы объектов 25</v>
      </c>
      <c r="E74" s="337" t="s">
        <v>13</v>
      </c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  <c r="Z74" s="297"/>
      <c r="AA74" s="301">
        <f t="shared" si="8"/>
        <v>0</v>
      </c>
      <c r="AB74" s="298">
        <f t="shared" si="6"/>
        <v>0</v>
      </c>
    </row>
    <row r="75" spans="3:28" collapsed="1" x14ac:dyDescent="0.25">
      <c r="C75" s="326">
        <v>2</v>
      </c>
      <c r="D75" s="327" t="s">
        <v>93</v>
      </c>
      <c r="E75" s="392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  <c r="W75" s="328"/>
      <c r="X75" s="328"/>
      <c r="Y75" s="328"/>
      <c r="Z75" s="328"/>
      <c r="AA75" s="329"/>
      <c r="AB75" s="329"/>
    </row>
    <row r="76" spans="3:28" hidden="1" outlineLevel="1" x14ac:dyDescent="0.25">
      <c r="C76" s="387"/>
      <c r="D76" s="330" t="s">
        <v>110</v>
      </c>
      <c r="E76" s="333" t="s">
        <v>13</v>
      </c>
      <c r="F76" s="294"/>
      <c r="G76" s="294"/>
      <c r="H76" s="294"/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  <c r="AA76" s="295"/>
      <c r="AB76" s="295"/>
    </row>
    <row r="77" spans="3:28" hidden="1" outlineLevel="1" x14ac:dyDescent="0.25">
      <c r="C77" s="387"/>
      <c r="D77" s="332" t="s">
        <v>40</v>
      </c>
      <c r="E77" s="333" t="s">
        <v>13</v>
      </c>
      <c r="F77" s="294"/>
      <c r="G77" s="294"/>
      <c r="H77" s="29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  <c r="AA77" s="295"/>
      <c r="AB77" s="295"/>
    </row>
    <row r="78" spans="3:28" hidden="1" outlineLevel="1" x14ac:dyDescent="0.25">
      <c r="C78" s="387"/>
      <c r="D78" s="332" t="s">
        <v>98</v>
      </c>
      <c r="E78" s="333" t="s">
        <v>13</v>
      </c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95"/>
      <c r="AB78" s="295"/>
    </row>
    <row r="79" spans="3:28" hidden="1" outlineLevel="1" x14ac:dyDescent="0.25">
      <c r="C79" s="387"/>
      <c r="D79" s="332" t="s">
        <v>48</v>
      </c>
      <c r="E79" s="333" t="s">
        <v>13</v>
      </c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95"/>
      <c r="AB79" s="295"/>
    </row>
    <row r="80" spans="3:28" hidden="1" outlineLevel="1" x14ac:dyDescent="0.25">
      <c r="C80" s="387"/>
      <c r="D80" s="332" t="s">
        <v>99</v>
      </c>
      <c r="E80" s="333" t="s">
        <v>13</v>
      </c>
      <c r="F80" s="294"/>
      <c r="G80" s="294"/>
      <c r="H80" s="294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  <c r="AA80" s="295"/>
      <c r="AB80" s="295"/>
    </row>
    <row r="81" spans="3:28" hidden="1" outlineLevel="1" x14ac:dyDescent="0.25">
      <c r="C81" s="387"/>
      <c r="D81" s="332" t="s">
        <v>100</v>
      </c>
      <c r="E81" s="333" t="s">
        <v>13</v>
      </c>
      <c r="F81" s="294"/>
      <c r="G81" s="294"/>
      <c r="H81" s="294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  <c r="AA81" s="295"/>
      <c r="AB81" s="295"/>
    </row>
    <row r="82" spans="3:28" hidden="1" outlineLevel="1" x14ac:dyDescent="0.25">
      <c r="C82" s="387"/>
      <c r="D82" s="332" t="s">
        <v>101</v>
      </c>
      <c r="E82" s="333"/>
      <c r="F82" s="294"/>
      <c r="G82" s="294"/>
      <c r="H82" s="29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  <c r="AA82" s="295"/>
      <c r="AB82" s="295"/>
    </row>
    <row r="83" spans="3:28" hidden="1" outlineLevel="1" x14ac:dyDescent="0.25">
      <c r="C83" s="387"/>
      <c r="D83" s="332" t="s">
        <v>102</v>
      </c>
      <c r="E83" s="333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95"/>
      <c r="AB83" s="295"/>
    </row>
    <row r="84" spans="3:28" hidden="1" outlineLevel="1" x14ac:dyDescent="0.25">
      <c r="C84" s="387"/>
      <c r="D84" s="332" t="s">
        <v>103</v>
      </c>
      <c r="E84" s="333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95"/>
      <c r="AB84" s="295"/>
    </row>
    <row r="85" spans="3:28" hidden="1" outlineLevel="1" x14ac:dyDescent="0.25">
      <c r="C85" s="387"/>
      <c r="D85" s="332" t="s">
        <v>104</v>
      </c>
      <c r="E85" s="333"/>
      <c r="F85" s="294"/>
      <c r="G85" s="294"/>
      <c r="H85" s="294"/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295"/>
      <c r="AB85" s="295"/>
    </row>
    <row r="86" spans="3:28" hidden="1" outlineLevel="1" x14ac:dyDescent="0.25">
      <c r="C86" s="387"/>
      <c r="D86" s="332" t="s">
        <v>105</v>
      </c>
      <c r="E86" s="333"/>
      <c r="F86" s="294"/>
      <c r="G86" s="294"/>
      <c r="H86" s="294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  <c r="AA86" s="295"/>
      <c r="AB86" s="295"/>
    </row>
    <row r="87" spans="3:28" hidden="1" outlineLevel="1" x14ac:dyDescent="0.25">
      <c r="C87" s="387"/>
      <c r="D87" s="332" t="s">
        <v>106</v>
      </c>
      <c r="E87" s="333"/>
      <c r="F87" s="294"/>
      <c r="G87" s="294"/>
      <c r="H87" s="294"/>
      <c r="I87" s="294"/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  <c r="AA87" s="295"/>
      <c r="AB87" s="295"/>
    </row>
    <row r="88" spans="3:28" hidden="1" outlineLevel="1" x14ac:dyDescent="0.25">
      <c r="C88" s="387"/>
      <c r="D88" s="332" t="s">
        <v>49</v>
      </c>
      <c r="E88" s="333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  <c r="AA88" s="295"/>
      <c r="AB88" s="295"/>
    </row>
    <row r="89" spans="3:28" hidden="1" outlineLevel="1" x14ac:dyDescent="0.25">
      <c r="C89" s="387"/>
      <c r="D89" s="332" t="s">
        <v>107</v>
      </c>
      <c r="E89" s="333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95"/>
      <c r="AB89" s="295"/>
    </row>
    <row r="90" spans="3:28" ht="26" hidden="1" outlineLevel="1" x14ac:dyDescent="0.25">
      <c r="C90" s="340"/>
      <c r="D90" s="334" t="s">
        <v>108</v>
      </c>
      <c r="E90" s="335" t="s">
        <v>13</v>
      </c>
      <c r="F90" s="296">
        <f>SUM(F91:F115)</f>
        <v>0</v>
      </c>
      <c r="G90" s="296">
        <f>SUM(G91:G115)</f>
        <v>0</v>
      </c>
      <c r="H90" s="296">
        <f>SUM(H91:H115)</f>
        <v>0</v>
      </c>
      <c r="I90" s="296">
        <f t="shared" ref="I90:Z90" si="10">SUM(I91:I115)</f>
        <v>0</v>
      </c>
      <c r="J90" s="296">
        <f t="shared" si="10"/>
        <v>0</v>
      </c>
      <c r="K90" s="296">
        <f t="shared" si="10"/>
        <v>0</v>
      </c>
      <c r="L90" s="296">
        <f t="shared" si="10"/>
        <v>0</v>
      </c>
      <c r="M90" s="296">
        <f t="shared" si="10"/>
        <v>0</v>
      </c>
      <c r="N90" s="296">
        <f t="shared" si="10"/>
        <v>0</v>
      </c>
      <c r="O90" s="296">
        <f t="shared" si="10"/>
        <v>0</v>
      </c>
      <c r="P90" s="296">
        <f t="shared" si="10"/>
        <v>0</v>
      </c>
      <c r="Q90" s="296">
        <f t="shared" si="10"/>
        <v>0</v>
      </c>
      <c r="R90" s="296">
        <f t="shared" si="10"/>
        <v>0</v>
      </c>
      <c r="S90" s="296">
        <f t="shared" si="10"/>
        <v>0</v>
      </c>
      <c r="T90" s="296">
        <f t="shared" si="10"/>
        <v>0</v>
      </c>
      <c r="U90" s="296">
        <f t="shared" si="10"/>
        <v>0</v>
      </c>
      <c r="V90" s="296">
        <f t="shared" si="10"/>
        <v>0</v>
      </c>
      <c r="W90" s="296">
        <f t="shared" si="10"/>
        <v>0</v>
      </c>
      <c r="X90" s="296">
        <f t="shared" si="10"/>
        <v>0</v>
      </c>
      <c r="Y90" s="296">
        <f t="shared" si="10"/>
        <v>0</v>
      </c>
      <c r="Z90" s="296">
        <f t="shared" si="10"/>
        <v>0</v>
      </c>
      <c r="AA90" s="296">
        <f>SUM(AA91:AA115)</f>
        <v>0</v>
      </c>
      <c r="AB90" s="296">
        <f t="shared" ref="AB90:AB139" si="11">AA90/1000</f>
        <v>0</v>
      </c>
    </row>
    <row r="91" spans="3:28" hidden="1" outlineLevel="1" x14ac:dyDescent="0.25">
      <c r="C91" s="387"/>
      <c r="D91" s="332" t="str">
        <f>D24</f>
        <v>Центр РАН и НИЦ интегральной электроники</v>
      </c>
      <c r="E91" s="337" t="s">
        <v>13</v>
      </c>
      <c r="F91" s="297"/>
      <c r="G91" s="297"/>
      <c r="H91" s="297"/>
      <c r="I91" s="297"/>
      <c r="J91" s="297"/>
      <c r="K91" s="297"/>
      <c r="L91" s="297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297"/>
      <c r="X91" s="297"/>
      <c r="Y91" s="297"/>
      <c r="Z91" s="297"/>
      <c r="AA91" s="302">
        <f>SUM(J91:Z91)</f>
        <v>0</v>
      </c>
      <c r="AB91" s="302">
        <f t="shared" si="11"/>
        <v>0</v>
      </c>
    </row>
    <row r="92" spans="3:28" hidden="1" outlineLevel="1" x14ac:dyDescent="0.25">
      <c r="C92" s="387"/>
      <c r="D92" s="332" t="str">
        <f t="shared" ref="D92:D114" si="12">D25</f>
        <v xml:space="preserve">Университет МИРЭА
</v>
      </c>
      <c r="E92" s="337" t="s">
        <v>13</v>
      </c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  <c r="Z92" s="297"/>
      <c r="AA92" s="302">
        <f t="shared" ref="AA92:AA115" si="13">SUM(J92:Z92)</f>
        <v>0</v>
      </c>
      <c r="AB92" s="302">
        <f t="shared" si="11"/>
        <v>0</v>
      </c>
    </row>
    <row r="93" spans="3:28" hidden="1" outlineLevel="1" x14ac:dyDescent="0.25">
      <c r="C93" s="387"/>
      <c r="D93" s="332" t="str">
        <f t="shared" si="12"/>
        <v>Технологический центр</v>
      </c>
      <c r="E93" s="337" t="s">
        <v>13</v>
      </c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  <c r="Z93" s="297"/>
      <c r="AA93" s="302">
        <f t="shared" si="13"/>
        <v>0</v>
      </c>
      <c r="AB93" s="302">
        <f t="shared" si="11"/>
        <v>0</v>
      </c>
    </row>
    <row r="94" spans="3:28" hidden="1" outlineLevel="1" x14ac:dyDescent="0.25">
      <c r="C94" s="387"/>
      <c r="D94" s="332" t="str">
        <f t="shared" si="12"/>
        <v>Спортивный центр</v>
      </c>
      <c r="E94" s="337" t="s">
        <v>13</v>
      </c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297"/>
      <c r="X94" s="297"/>
      <c r="Y94" s="297"/>
      <c r="Z94" s="297"/>
      <c r="AA94" s="302">
        <f t="shared" si="13"/>
        <v>0</v>
      </c>
      <c r="AB94" s="302">
        <f t="shared" si="11"/>
        <v>0</v>
      </c>
    </row>
    <row r="95" spans="3:28" hidden="1" outlineLevel="1" x14ac:dyDescent="0.25">
      <c r="C95" s="387"/>
      <c r="D95" s="332" t="str">
        <f t="shared" si="12"/>
        <v>Гостиничный комплекс</v>
      </c>
      <c r="E95" s="337" t="s">
        <v>13</v>
      </c>
      <c r="F95" s="297"/>
      <c r="G95" s="297"/>
      <c r="H95" s="297"/>
      <c r="I95" s="297"/>
      <c r="J95" s="297"/>
      <c r="K95" s="297"/>
      <c r="L95" s="297"/>
      <c r="M95" s="297"/>
      <c r="N95" s="297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  <c r="Z95" s="297"/>
      <c r="AA95" s="302">
        <f t="shared" si="13"/>
        <v>0</v>
      </c>
      <c r="AB95" s="302">
        <f t="shared" si="11"/>
        <v>0</v>
      </c>
    </row>
    <row r="96" spans="3:28" hidden="1" outlineLevel="2" x14ac:dyDescent="0.25">
      <c r="C96" s="387"/>
      <c r="D96" s="332" t="str">
        <f t="shared" si="12"/>
        <v>Наименование объекта / группы объектов 6</v>
      </c>
      <c r="E96" s="337" t="s">
        <v>13</v>
      </c>
      <c r="F96" s="297"/>
      <c r="G96" s="297"/>
      <c r="H96" s="297"/>
      <c r="I96" s="297"/>
      <c r="J96" s="297"/>
      <c r="K96" s="297"/>
      <c r="L96" s="297"/>
      <c r="M96" s="297"/>
      <c r="N96" s="297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  <c r="Z96" s="297"/>
      <c r="AA96" s="302">
        <f t="shared" si="13"/>
        <v>0</v>
      </c>
      <c r="AB96" s="302">
        <f t="shared" si="11"/>
        <v>0</v>
      </c>
    </row>
    <row r="97" spans="3:28" hidden="1" outlineLevel="2" x14ac:dyDescent="0.25">
      <c r="C97" s="387"/>
      <c r="D97" s="332" t="str">
        <f t="shared" si="12"/>
        <v>Наименование объекта / группы объектов 7</v>
      </c>
      <c r="E97" s="337" t="s">
        <v>13</v>
      </c>
      <c r="F97" s="297"/>
      <c r="G97" s="297"/>
      <c r="H97" s="297"/>
      <c r="I97" s="297"/>
      <c r="J97" s="297"/>
      <c r="K97" s="297"/>
      <c r="L97" s="297"/>
      <c r="M97" s="297"/>
      <c r="N97" s="297"/>
      <c r="O97" s="297"/>
      <c r="P97" s="297"/>
      <c r="Q97" s="297"/>
      <c r="R97" s="297"/>
      <c r="S97" s="297"/>
      <c r="T97" s="297"/>
      <c r="U97" s="297"/>
      <c r="V97" s="297"/>
      <c r="W97" s="297"/>
      <c r="X97" s="297"/>
      <c r="Y97" s="297"/>
      <c r="Z97" s="297"/>
      <c r="AA97" s="302">
        <f t="shared" si="13"/>
        <v>0</v>
      </c>
      <c r="AB97" s="302">
        <f t="shared" si="11"/>
        <v>0</v>
      </c>
    </row>
    <row r="98" spans="3:28" hidden="1" outlineLevel="2" x14ac:dyDescent="0.25">
      <c r="C98" s="387"/>
      <c r="D98" s="332" t="str">
        <f t="shared" si="12"/>
        <v>Наименование объекта / группы объектов 8</v>
      </c>
      <c r="E98" s="337" t="s">
        <v>13</v>
      </c>
      <c r="F98" s="297"/>
      <c r="G98" s="297"/>
      <c r="H98" s="297"/>
      <c r="I98" s="297"/>
      <c r="J98" s="297"/>
      <c r="K98" s="297"/>
      <c r="L98" s="297"/>
      <c r="M98" s="297"/>
      <c r="N98" s="297"/>
      <c r="O98" s="297"/>
      <c r="P98" s="297"/>
      <c r="Q98" s="297"/>
      <c r="R98" s="297"/>
      <c r="S98" s="297"/>
      <c r="T98" s="297"/>
      <c r="U98" s="297"/>
      <c r="V98" s="297"/>
      <c r="W98" s="297"/>
      <c r="X98" s="297"/>
      <c r="Y98" s="297"/>
      <c r="Z98" s="297"/>
      <c r="AA98" s="302">
        <f t="shared" si="13"/>
        <v>0</v>
      </c>
      <c r="AB98" s="302">
        <f t="shared" si="11"/>
        <v>0</v>
      </c>
    </row>
    <row r="99" spans="3:28" hidden="1" outlineLevel="2" x14ac:dyDescent="0.25">
      <c r="C99" s="387"/>
      <c r="D99" s="332" t="str">
        <f t="shared" si="12"/>
        <v>Наименование объекта / группы объектов 9</v>
      </c>
      <c r="E99" s="337" t="s">
        <v>13</v>
      </c>
      <c r="F99" s="297"/>
      <c r="G99" s="297"/>
      <c r="H99" s="297"/>
      <c r="I99" s="297"/>
      <c r="J99" s="297"/>
      <c r="K99" s="297"/>
      <c r="L99" s="297"/>
      <c r="M99" s="297"/>
      <c r="N99" s="297"/>
      <c r="O99" s="297"/>
      <c r="P99" s="297"/>
      <c r="Q99" s="297"/>
      <c r="R99" s="297"/>
      <c r="S99" s="297"/>
      <c r="T99" s="297"/>
      <c r="U99" s="297"/>
      <c r="V99" s="297"/>
      <c r="W99" s="297"/>
      <c r="X99" s="297"/>
      <c r="Y99" s="297"/>
      <c r="Z99" s="297"/>
      <c r="AA99" s="302">
        <f t="shared" si="13"/>
        <v>0</v>
      </c>
      <c r="AB99" s="302">
        <f t="shared" si="11"/>
        <v>0</v>
      </c>
    </row>
    <row r="100" spans="3:28" hidden="1" outlineLevel="2" x14ac:dyDescent="0.25">
      <c r="C100" s="387"/>
      <c r="D100" s="332" t="str">
        <f t="shared" si="12"/>
        <v>Наименование объекта / группы объектов 10</v>
      </c>
      <c r="E100" s="337" t="s">
        <v>13</v>
      </c>
      <c r="F100" s="297"/>
      <c r="G100" s="297"/>
      <c r="H100" s="297"/>
      <c r="I100" s="297"/>
      <c r="J100" s="297"/>
      <c r="K100" s="297"/>
      <c r="L100" s="297"/>
      <c r="M100" s="297"/>
      <c r="N100" s="297"/>
      <c r="O100" s="297"/>
      <c r="P100" s="297"/>
      <c r="Q100" s="297"/>
      <c r="R100" s="297"/>
      <c r="S100" s="297"/>
      <c r="T100" s="297"/>
      <c r="U100" s="297"/>
      <c r="V100" s="297"/>
      <c r="W100" s="297"/>
      <c r="X100" s="297"/>
      <c r="Y100" s="297"/>
      <c r="Z100" s="297"/>
      <c r="AA100" s="302">
        <f t="shared" si="13"/>
        <v>0</v>
      </c>
      <c r="AB100" s="302">
        <f t="shared" si="11"/>
        <v>0</v>
      </c>
    </row>
    <row r="101" spans="3:28" hidden="1" outlineLevel="2" x14ac:dyDescent="0.25">
      <c r="C101" s="387"/>
      <c r="D101" s="332" t="str">
        <f t="shared" si="12"/>
        <v>Наименование объекта / группы объектов 11</v>
      </c>
      <c r="E101" s="337" t="s">
        <v>13</v>
      </c>
      <c r="F101" s="297"/>
      <c r="G101" s="297"/>
      <c r="H101" s="297"/>
      <c r="I101" s="297"/>
      <c r="J101" s="297"/>
      <c r="K101" s="297"/>
      <c r="L101" s="297"/>
      <c r="M101" s="297"/>
      <c r="N101" s="297"/>
      <c r="O101" s="297"/>
      <c r="P101" s="297"/>
      <c r="Q101" s="297"/>
      <c r="R101" s="297"/>
      <c r="S101" s="297"/>
      <c r="T101" s="297"/>
      <c r="U101" s="297"/>
      <c r="V101" s="297"/>
      <c r="W101" s="297"/>
      <c r="X101" s="297"/>
      <c r="Y101" s="297"/>
      <c r="Z101" s="297"/>
      <c r="AA101" s="302">
        <f t="shared" si="13"/>
        <v>0</v>
      </c>
      <c r="AB101" s="302">
        <f t="shared" si="11"/>
        <v>0</v>
      </c>
    </row>
    <row r="102" spans="3:28" hidden="1" outlineLevel="2" x14ac:dyDescent="0.25">
      <c r="C102" s="387"/>
      <c r="D102" s="332" t="str">
        <f t="shared" si="12"/>
        <v>Наименование объекта / группы объектов 12</v>
      </c>
      <c r="E102" s="337" t="s">
        <v>13</v>
      </c>
      <c r="F102" s="297"/>
      <c r="G102" s="297"/>
      <c r="H102" s="297"/>
      <c r="I102" s="297"/>
      <c r="J102" s="297"/>
      <c r="K102" s="297"/>
      <c r="L102" s="297"/>
      <c r="M102" s="297"/>
      <c r="N102" s="297"/>
      <c r="O102" s="297"/>
      <c r="P102" s="297"/>
      <c r="Q102" s="297"/>
      <c r="R102" s="297"/>
      <c r="S102" s="297"/>
      <c r="T102" s="297"/>
      <c r="U102" s="297"/>
      <c r="V102" s="297"/>
      <c r="W102" s="297"/>
      <c r="X102" s="297"/>
      <c r="Y102" s="297"/>
      <c r="Z102" s="297"/>
      <c r="AA102" s="302">
        <f t="shared" si="13"/>
        <v>0</v>
      </c>
      <c r="AB102" s="302">
        <f t="shared" si="11"/>
        <v>0</v>
      </c>
    </row>
    <row r="103" spans="3:28" hidden="1" outlineLevel="2" x14ac:dyDescent="0.25">
      <c r="C103" s="387"/>
      <c r="D103" s="332" t="str">
        <f t="shared" si="12"/>
        <v>Наименование объекта / группы объектов 13</v>
      </c>
      <c r="E103" s="337" t="s">
        <v>13</v>
      </c>
      <c r="F103" s="297"/>
      <c r="G103" s="297"/>
      <c r="H103" s="297"/>
      <c r="I103" s="297"/>
      <c r="J103" s="297"/>
      <c r="K103" s="297"/>
      <c r="L103" s="297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297"/>
      <c r="X103" s="297"/>
      <c r="Y103" s="297"/>
      <c r="Z103" s="297"/>
      <c r="AA103" s="302">
        <f t="shared" si="13"/>
        <v>0</v>
      </c>
      <c r="AB103" s="302">
        <f t="shared" si="11"/>
        <v>0</v>
      </c>
    </row>
    <row r="104" spans="3:28" hidden="1" outlineLevel="2" x14ac:dyDescent="0.25">
      <c r="C104" s="387"/>
      <c r="D104" s="332" t="str">
        <f t="shared" si="12"/>
        <v>Наименование объекта / группы объектов 14</v>
      </c>
      <c r="E104" s="337" t="s">
        <v>13</v>
      </c>
      <c r="F104" s="297"/>
      <c r="G104" s="297"/>
      <c r="H104" s="297"/>
      <c r="I104" s="297"/>
      <c r="J104" s="297"/>
      <c r="K104" s="297"/>
      <c r="L104" s="297"/>
      <c r="M104" s="297"/>
      <c r="N104" s="297"/>
      <c r="O104" s="297"/>
      <c r="P104" s="297"/>
      <c r="Q104" s="297"/>
      <c r="R104" s="297"/>
      <c r="S104" s="297"/>
      <c r="T104" s="297"/>
      <c r="U104" s="297"/>
      <c r="V104" s="297"/>
      <c r="W104" s="297"/>
      <c r="X104" s="297"/>
      <c r="Y104" s="297"/>
      <c r="Z104" s="297"/>
      <c r="AA104" s="302">
        <f t="shared" si="13"/>
        <v>0</v>
      </c>
      <c r="AB104" s="302">
        <f t="shared" si="11"/>
        <v>0</v>
      </c>
    </row>
    <row r="105" spans="3:28" hidden="1" outlineLevel="2" x14ac:dyDescent="0.25">
      <c r="C105" s="387"/>
      <c r="D105" s="332" t="str">
        <f t="shared" si="12"/>
        <v>Наименование объекта / группы объектов 15</v>
      </c>
      <c r="E105" s="337" t="s">
        <v>13</v>
      </c>
      <c r="F105" s="297"/>
      <c r="G105" s="297"/>
      <c r="H105" s="297"/>
      <c r="I105" s="297"/>
      <c r="J105" s="297"/>
      <c r="K105" s="297"/>
      <c r="L105" s="297"/>
      <c r="M105" s="297"/>
      <c r="N105" s="297"/>
      <c r="O105" s="297"/>
      <c r="P105" s="297"/>
      <c r="Q105" s="297"/>
      <c r="R105" s="297"/>
      <c r="S105" s="297"/>
      <c r="T105" s="297"/>
      <c r="U105" s="297"/>
      <c r="V105" s="297"/>
      <c r="W105" s="297"/>
      <c r="X105" s="297"/>
      <c r="Y105" s="297"/>
      <c r="Z105" s="297"/>
      <c r="AA105" s="302">
        <f t="shared" si="13"/>
        <v>0</v>
      </c>
      <c r="AB105" s="302">
        <f t="shared" si="11"/>
        <v>0</v>
      </c>
    </row>
    <row r="106" spans="3:28" hidden="1" outlineLevel="2" x14ac:dyDescent="0.25">
      <c r="C106" s="387"/>
      <c r="D106" s="332" t="str">
        <f t="shared" si="12"/>
        <v>Наименование объекта / группы объектов 16</v>
      </c>
      <c r="E106" s="337" t="s">
        <v>13</v>
      </c>
      <c r="F106" s="297"/>
      <c r="G106" s="297"/>
      <c r="H106" s="297"/>
      <c r="I106" s="297"/>
      <c r="J106" s="297"/>
      <c r="K106" s="297"/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297"/>
      <c r="X106" s="297"/>
      <c r="Y106" s="297"/>
      <c r="Z106" s="297"/>
      <c r="AA106" s="302">
        <f t="shared" si="13"/>
        <v>0</v>
      </c>
      <c r="AB106" s="302">
        <f t="shared" si="11"/>
        <v>0</v>
      </c>
    </row>
    <row r="107" spans="3:28" hidden="1" outlineLevel="2" x14ac:dyDescent="0.25">
      <c r="C107" s="387"/>
      <c r="D107" s="332" t="str">
        <f t="shared" si="12"/>
        <v>Наименование объекта / группы объектов 17</v>
      </c>
      <c r="E107" s="337" t="s">
        <v>13</v>
      </c>
      <c r="F107" s="297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  <c r="W107" s="297"/>
      <c r="X107" s="297"/>
      <c r="Y107" s="297"/>
      <c r="Z107" s="297"/>
      <c r="AA107" s="302">
        <f t="shared" si="13"/>
        <v>0</v>
      </c>
      <c r="AB107" s="302">
        <f t="shared" si="11"/>
        <v>0</v>
      </c>
    </row>
    <row r="108" spans="3:28" hidden="1" outlineLevel="2" x14ac:dyDescent="0.25">
      <c r="C108" s="387"/>
      <c r="D108" s="332" t="str">
        <f t="shared" si="12"/>
        <v>Наименование объекта / группы объектов 18</v>
      </c>
      <c r="E108" s="337" t="s">
        <v>13</v>
      </c>
      <c r="F108" s="297"/>
      <c r="G108" s="297"/>
      <c r="H108" s="297"/>
      <c r="I108" s="297"/>
      <c r="J108" s="297"/>
      <c r="K108" s="297"/>
      <c r="L108" s="297"/>
      <c r="M108" s="297"/>
      <c r="N108" s="297"/>
      <c r="O108" s="297"/>
      <c r="P108" s="297"/>
      <c r="Q108" s="297"/>
      <c r="R108" s="297"/>
      <c r="S108" s="297"/>
      <c r="T108" s="297"/>
      <c r="U108" s="297"/>
      <c r="V108" s="297"/>
      <c r="W108" s="297"/>
      <c r="X108" s="297"/>
      <c r="Y108" s="297"/>
      <c r="Z108" s="297"/>
      <c r="AA108" s="302">
        <f t="shared" si="13"/>
        <v>0</v>
      </c>
      <c r="AB108" s="302">
        <f t="shared" si="11"/>
        <v>0</v>
      </c>
    </row>
    <row r="109" spans="3:28" hidden="1" outlineLevel="2" x14ac:dyDescent="0.25">
      <c r="C109" s="387"/>
      <c r="D109" s="332" t="str">
        <f t="shared" si="12"/>
        <v>Наименование объекта / группы объектов 19</v>
      </c>
      <c r="E109" s="337" t="s">
        <v>13</v>
      </c>
      <c r="F109" s="297"/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  <c r="Z109" s="297"/>
      <c r="AA109" s="302">
        <f t="shared" si="13"/>
        <v>0</v>
      </c>
      <c r="AB109" s="302">
        <f t="shared" si="11"/>
        <v>0</v>
      </c>
    </row>
    <row r="110" spans="3:28" hidden="1" outlineLevel="2" x14ac:dyDescent="0.25">
      <c r="C110" s="387"/>
      <c r="D110" s="332" t="str">
        <f t="shared" si="12"/>
        <v>Наименование объекта / группы объектов 20</v>
      </c>
      <c r="E110" s="337" t="s">
        <v>13</v>
      </c>
      <c r="F110" s="297"/>
      <c r="G110" s="297"/>
      <c r="H110" s="297"/>
      <c r="I110" s="297"/>
      <c r="J110" s="297"/>
      <c r="K110" s="297"/>
      <c r="L110" s="297"/>
      <c r="M110" s="297"/>
      <c r="N110" s="297"/>
      <c r="O110" s="297"/>
      <c r="P110" s="297"/>
      <c r="Q110" s="297"/>
      <c r="R110" s="297"/>
      <c r="S110" s="297"/>
      <c r="T110" s="297"/>
      <c r="U110" s="297"/>
      <c r="V110" s="297"/>
      <c r="W110" s="297"/>
      <c r="X110" s="297"/>
      <c r="Y110" s="297"/>
      <c r="Z110" s="297"/>
      <c r="AA110" s="302">
        <f t="shared" si="13"/>
        <v>0</v>
      </c>
      <c r="AB110" s="302">
        <f t="shared" si="11"/>
        <v>0</v>
      </c>
    </row>
    <row r="111" spans="3:28" hidden="1" outlineLevel="2" x14ac:dyDescent="0.25">
      <c r="C111" s="387"/>
      <c r="D111" s="332" t="str">
        <f t="shared" si="12"/>
        <v>Наименование объекта / группы объектов 21</v>
      </c>
      <c r="E111" s="337" t="s">
        <v>13</v>
      </c>
      <c r="F111" s="297"/>
      <c r="G111" s="297"/>
      <c r="H111" s="297"/>
      <c r="I111" s="297"/>
      <c r="J111" s="297"/>
      <c r="K111" s="297"/>
      <c r="L111" s="297"/>
      <c r="M111" s="297"/>
      <c r="N111" s="297"/>
      <c r="O111" s="297"/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  <c r="Z111" s="297"/>
      <c r="AA111" s="302">
        <f t="shared" si="13"/>
        <v>0</v>
      </c>
      <c r="AB111" s="302">
        <f t="shared" si="11"/>
        <v>0</v>
      </c>
    </row>
    <row r="112" spans="3:28" hidden="1" outlineLevel="2" x14ac:dyDescent="0.25">
      <c r="C112" s="387"/>
      <c r="D112" s="332" t="str">
        <f t="shared" si="12"/>
        <v>Наименование объекта / группы объектов 22</v>
      </c>
      <c r="E112" s="337" t="s">
        <v>13</v>
      </c>
      <c r="F112" s="297"/>
      <c r="G112" s="297"/>
      <c r="H112" s="297"/>
      <c r="I112" s="297"/>
      <c r="J112" s="297"/>
      <c r="K112" s="297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  <c r="AA112" s="302">
        <f t="shared" si="13"/>
        <v>0</v>
      </c>
      <c r="AB112" s="302">
        <f t="shared" si="11"/>
        <v>0</v>
      </c>
    </row>
    <row r="113" spans="3:28" hidden="1" outlineLevel="2" x14ac:dyDescent="0.25">
      <c r="C113" s="387"/>
      <c r="D113" s="332" t="str">
        <f t="shared" si="12"/>
        <v>Наименование объекта / группы объектов 23</v>
      </c>
      <c r="E113" s="337" t="s">
        <v>13</v>
      </c>
      <c r="F113" s="297"/>
      <c r="G113" s="297"/>
      <c r="H113" s="297"/>
      <c r="I113" s="297"/>
      <c r="J113" s="297"/>
      <c r="K113" s="297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302">
        <f t="shared" si="13"/>
        <v>0</v>
      </c>
      <c r="AB113" s="302">
        <f t="shared" si="11"/>
        <v>0</v>
      </c>
    </row>
    <row r="114" spans="3:28" hidden="1" outlineLevel="2" x14ac:dyDescent="0.25">
      <c r="C114" s="387"/>
      <c r="D114" s="332" t="str">
        <f t="shared" si="12"/>
        <v>Наименование объекта / группы объектов 24</v>
      </c>
      <c r="E114" s="337" t="s">
        <v>13</v>
      </c>
      <c r="F114" s="297"/>
      <c r="G114" s="297"/>
      <c r="H114" s="297"/>
      <c r="I114" s="297"/>
      <c r="J114" s="297"/>
      <c r="K114" s="297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  <c r="Z114" s="297"/>
      <c r="AA114" s="302">
        <f t="shared" si="13"/>
        <v>0</v>
      </c>
      <c r="AB114" s="302">
        <f t="shared" si="11"/>
        <v>0</v>
      </c>
    </row>
    <row r="115" spans="3:28" hidden="1" outlineLevel="2" x14ac:dyDescent="0.25">
      <c r="C115" s="387"/>
      <c r="D115" s="332" t="str">
        <f>D48</f>
        <v>Наименование объекта / группы объектов 25</v>
      </c>
      <c r="E115" s="337" t="s">
        <v>13</v>
      </c>
      <c r="F115" s="297"/>
      <c r="G115" s="297"/>
      <c r="H115" s="297"/>
      <c r="I115" s="297"/>
      <c r="J115" s="297"/>
      <c r="K115" s="297"/>
      <c r="L115" s="297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297"/>
      <c r="X115" s="297"/>
      <c r="Y115" s="297"/>
      <c r="Z115" s="297"/>
      <c r="AA115" s="302">
        <f t="shared" si="13"/>
        <v>0</v>
      </c>
      <c r="AB115" s="302">
        <f t="shared" si="11"/>
        <v>0</v>
      </c>
    </row>
    <row r="116" spans="3:28" hidden="1" outlineLevel="1" collapsed="1" x14ac:dyDescent="0.25">
      <c r="C116" s="387"/>
      <c r="D116" s="338" t="s">
        <v>109</v>
      </c>
      <c r="E116" s="339" t="s">
        <v>13</v>
      </c>
      <c r="F116" s="303"/>
      <c r="G116" s="303"/>
      <c r="H116" s="303"/>
      <c r="I116" s="303"/>
      <c r="J116" s="303"/>
      <c r="K116" s="303"/>
      <c r="L116" s="303"/>
      <c r="M116" s="303"/>
      <c r="N116" s="303"/>
      <c r="O116" s="303"/>
      <c r="P116" s="303"/>
      <c r="Q116" s="303"/>
      <c r="R116" s="303"/>
      <c r="S116" s="303"/>
      <c r="T116" s="303"/>
      <c r="U116" s="303"/>
      <c r="V116" s="303"/>
      <c r="W116" s="303"/>
      <c r="X116" s="303"/>
      <c r="Y116" s="303"/>
      <c r="Z116" s="303"/>
      <c r="AA116" s="296"/>
      <c r="AB116" s="296"/>
    </row>
    <row r="117" spans="3:28" hidden="1" outlineLevel="1" x14ac:dyDescent="0.25">
      <c r="C117" s="387"/>
      <c r="D117" s="332" t="str">
        <f>D24</f>
        <v>Центр РАН и НИЦ интегральной электроники</v>
      </c>
      <c r="E117" s="337" t="s">
        <v>13</v>
      </c>
      <c r="F117" s="297"/>
      <c r="G117" s="297"/>
      <c r="H117" s="297"/>
      <c r="I117" s="297"/>
      <c r="J117" s="297"/>
      <c r="K117" s="297"/>
      <c r="L117" s="297"/>
      <c r="M117" s="297"/>
      <c r="N117" s="297"/>
      <c r="O117" s="297"/>
      <c r="P117" s="297"/>
      <c r="Q117" s="297"/>
      <c r="R117" s="297"/>
      <c r="S117" s="297"/>
      <c r="T117" s="297"/>
      <c r="U117" s="297"/>
      <c r="V117" s="297"/>
      <c r="W117" s="297"/>
      <c r="X117" s="297"/>
      <c r="Y117" s="297"/>
      <c r="Z117" s="297"/>
      <c r="AA117" s="301">
        <f>IFERROR(AVERAGE(J117:Z117),0)</f>
        <v>0</v>
      </c>
      <c r="AB117" s="296">
        <f t="shared" si="11"/>
        <v>0</v>
      </c>
    </row>
    <row r="118" spans="3:28" hidden="1" outlineLevel="1" x14ac:dyDescent="0.25">
      <c r="C118" s="387"/>
      <c r="D118" s="332" t="str">
        <f t="shared" ref="D118:D141" si="14">D25</f>
        <v xml:space="preserve">Университет МИРЭА
</v>
      </c>
      <c r="E118" s="337" t="s">
        <v>13</v>
      </c>
      <c r="F118" s="297"/>
      <c r="G118" s="297"/>
      <c r="H118" s="297"/>
      <c r="I118" s="297"/>
      <c r="J118" s="297"/>
      <c r="K118" s="297"/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297"/>
      <c r="X118" s="297"/>
      <c r="Y118" s="297"/>
      <c r="Z118" s="297"/>
      <c r="AA118" s="301">
        <f t="shared" ref="AA118:AA141" si="15">IFERROR(AVERAGE(J118:Z118),0)</f>
        <v>0</v>
      </c>
      <c r="AB118" s="298">
        <f t="shared" si="11"/>
        <v>0</v>
      </c>
    </row>
    <row r="119" spans="3:28" hidden="1" outlineLevel="1" x14ac:dyDescent="0.25">
      <c r="C119" s="387"/>
      <c r="D119" s="332" t="str">
        <f t="shared" si="14"/>
        <v>Технологический центр</v>
      </c>
      <c r="E119" s="337" t="s">
        <v>13</v>
      </c>
      <c r="F119" s="297"/>
      <c r="G119" s="297"/>
      <c r="H119" s="297"/>
      <c r="I119" s="297"/>
      <c r="J119" s="297"/>
      <c r="K119" s="297"/>
      <c r="L119" s="297"/>
      <c r="M119" s="297"/>
      <c r="N119" s="297"/>
      <c r="O119" s="297"/>
      <c r="P119" s="297"/>
      <c r="Q119" s="297"/>
      <c r="R119" s="297"/>
      <c r="S119" s="297"/>
      <c r="T119" s="297"/>
      <c r="U119" s="297"/>
      <c r="V119" s="297"/>
      <c r="W119" s="297"/>
      <c r="X119" s="297"/>
      <c r="Y119" s="297"/>
      <c r="Z119" s="297"/>
      <c r="AA119" s="301">
        <f t="shared" si="15"/>
        <v>0</v>
      </c>
      <c r="AB119" s="296">
        <f t="shared" si="11"/>
        <v>0</v>
      </c>
    </row>
    <row r="120" spans="3:28" hidden="1" outlineLevel="1" x14ac:dyDescent="0.25">
      <c r="C120" s="387"/>
      <c r="D120" s="332" t="str">
        <f t="shared" si="14"/>
        <v>Спортивный центр</v>
      </c>
      <c r="E120" s="337" t="s">
        <v>13</v>
      </c>
      <c r="F120" s="297"/>
      <c r="G120" s="297"/>
      <c r="H120" s="297"/>
      <c r="I120" s="297"/>
      <c r="J120" s="297"/>
      <c r="K120" s="297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  <c r="Z120" s="297"/>
      <c r="AA120" s="301">
        <f t="shared" si="15"/>
        <v>0</v>
      </c>
      <c r="AB120" s="296">
        <f t="shared" si="11"/>
        <v>0</v>
      </c>
    </row>
    <row r="121" spans="3:28" hidden="1" outlineLevel="1" x14ac:dyDescent="0.25">
      <c r="C121" s="387"/>
      <c r="D121" s="332" t="str">
        <f t="shared" si="14"/>
        <v>Гостиничный комплекс</v>
      </c>
      <c r="E121" s="337" t="s">
        <v>13</v>
      </c>
      <c r="F121" s="297"/>
      <c r="G121" s="297"/>
      <c r="H121" s="297"/>
      <c r="I121" s="297"/>
      <c r="J121" s="297"/>
      <c r="K121" s="297"/>
      <c r="L121" s="297"/>
      <c r="M121" s="297"/>
      <c r="N121" s="297"/>
      <c r="O121" s="297"/>
      <c r="P121" s="297"/>
      <c r="Q121" s="297"/>
      <c r="R121" s="297"/>
      <c r="S121" s="297"/>
      <c r="T121" s="297"/>
      <c r="U121" s="297"/>
      <c r="V121" s="297"/>
      <c r="W121" s="297"/>
      <c r="X121" s="297"/>
      <c r="Y121" s="297"/>
      <c r="Z121" s="297"/>
      <c r="AA121" s="301">
        <f t="shared" si="15"/>
        <v>0</v>
      </c>
      <c r="AB121" s="296">
        <f t="shared" si="11"/>
        <v>0</v>
      </c>
    </row>
    <row r="122" spans="3:28" hidden="1" outlineLevel="1" x14ac:dyDescent="0.25">
      <c r="C122" s="387"/>
      <c r="D122" s="332" t="str">
        <f t="shared" si="14"/>
        <v>Наименование объекта / группы объектов 6</v>
      </c>
      <c r="E122" s="337" t="s">
        <v>13</v>
      </c>
      <c r="F122" s="297"/>
      <c r="G122" s="297"/>
      <c r="H122" s="297"/>
      <c r="I122" s="297"/>
      <c r="J122" s="297"/>
      <c r="K122" s="297"/>
      <c r="L122" s="297"/>
      <c r="M122" s="297"/>
      <c r="N122" s="297"/>
      <c r="O122" s="297"/>
      <c r="P122" s="297"/>
      <c r="Q122" s="297"/>
      <c r="R122" s="297"/>
      <c r="S122" s="297"/>
      <c r="T122" s="297"/>
      <c r="U122" s="297"/>
      <c r="V122" s="297"/>
      <c r="W122" s="297"/>
      <c r="X122" s="297"/>
      <c r="Y122" s="297"/>
      <c r="Z122" s="297"/>
      <c r="AA122" s="301">
        <f t="shared" si="15"/>
        <v>0</v>
      </c>
      <c r="AB122" s="296">
        <f t="shared" si="11"/>
        <v>0</v>
      </c>
    </row>
    <row r="123" spans="3:28" hidden="1" outlineLevel="1" x14ac:dyDescent="0.25">
      <c r="C123" s="387"/>
      <c r="D123" s="332" t="str">
        <f t="shared" si="14"/>
        <v>Наименование объекта / группы объектов 7</v>
      </c>
      <c r="E123" s="337" t="s">
        <v>13</v>
      </c>
      <c r="F123" s="297"/>
      <c r="G123" s="297"/>
      <c r="H123" s="297"/>
      <c r="I123" s="297"/>
      <c r="J123" s="297"/>
      <c r="K123" s="297"/>
      <c r="L123" s="297"/>
      <c r="M123" s="297"/>
      <c r="N123" s="297"/>
      <c r="O123" s="297"/>
      <c r="P123" s="297"/>
      <c r="Q123" s="297"/>
      <c r="R123" s="297"/>
      <c r="S123" s="297"/>
      <c r="T123" s="297"/>
      <c r="U123" s="297"/>
      <c r="V123" s="297"/>
      <c r="W123" s="297"/>
      <c r="X123" s="297"/>
      <c r="Y123" s="297"/>
      <c r="Z123" s="297"/>
      <c r="AA123" s="301">
        <f t="shared" si="15"/>
        <v>0</v>
      </c>
      <c r="AB123" s="296">
        <f t="shared" si="11"/>
        <v>0</v>
      </c>
    </row>
    <row r="124" spans="3:28" hidden="1" outlineLevel="1" x14ac:dyDescent="0.25">
      <c r="C124" s="387"/>
      <c r="D124" s="332" t="str">
        <f t="shared" si="14"/>
        <v>Наименование объекта / группы объектов 8</v>
      </c>
      <c r="E124" s="337" t="s">
        <v>13</v>
      </c>
      <c r="F124" s="297"/>
      <c r="G124" s="297"/>
      <c r="H124" s="297"/>
      <c r="I124" s="297"/>
      <c r="J124" s="297"/>
      <c r="K124" s="297"/>
      <c r="L124" s="297"/>
      <c r="M124" s="297"/>
      <c r="N124" s="297"/>
      <c r="O124" s="297"/>
      <c r="P124" s="297"/>
      <c r="Q124" s="297"/>
      <c r="R124" s="297"/>
      <c r="S124" s="297"/>
      <c r="T124" s="297"/>
      <c r="U124" s="297"/>
      <c r="V124" s="297"/>
      <c r="W124" s="297"/>
      <c r="X124" s="297"/>
      <c r="Y124" s="297"/>
      <c r="Z124" s="297"/>
      <c r="AA124" s="301">
        <f t="shared" si="15"/>
        <v>0</v>
      </c>
      <c r="AB124" s="296">
        <f t="shared" si="11"/>
        <v>0</v>
      </c>
    </row>
    <row r="125" spans="3:28" hidden="1" outlineLevel="1" x14ac:dyDescent="0.25">
      <c r="C125" s="387"/>
      <c r="D125" s="332" t="str">
        <f t="shared" si="14"/>
        <v>Наименование объекта / группы объектов 9</v>
      </c>
      <c r="E125" s="337" t="s">
        <v>13</v>
      </c>
      <c r="F125" s="297"/>
      <c r="G125" s="297"/>
      <c r="H125" s="297"/>
      <c r="I125" s="297"/>
      <c r="J125" s="297"/>
      <c r="K125" s="297"/>
      <c r="L125" s="297"/>
      <c r="M125" s="297"/>
      <c r="N125" s="297"/>
      <c r="O125" s="297"/>
      <c r="P125" s="297"/>
      <c r="Q125" s="297"/>
      <c r="R125" s="297"/>
      <c r="S125" s="297"/>
      <c r="T125" s="297"/>
      <c r="U125" s="297"/>
      <c r="V125" s="297"/>
      <c r="W125" s="297"/>
      <c r="X125" s="297"/>
      <c r="Y125" s="297"/>
      <c r="Z125" s="297"/>
      <c r="AA125" s="301">
        <f t="shared" si="15"/>
        <v>0</v>
      </c>
      <c r="AB125" s="296">
        <f t="shared" si="11"/>
        <v>0</v>
      </c>
    </row>
    <row r="126" spans="3:28" hidden="1" outlineLevel="1" x14ac:dyDescent="0.25">
      <c r="C126" s="387"/>
      <c r="D126" s="332" t="str">
        <f t="shared" si="14"/>
        <v>Наименование объекта / группы объектов 10</v>
      </c>
      <c r="E126" s="337" t="s">
        <v>13</v>
      </c>
      <c r="F126" s="297"/>
      <c r="G126" s="297"/>
      <c r="H126" s="297"/>
      <c r="I126" s="297"/>
      <c r="J126" s="297"/>
      <c r="K126" s="297"/>
      <c r="L126" s="297"/>
      <c r="M126" s="297"/>
      <c r="N126" s="297"/>
      <c r="O126" s="297"/>
      <c r="P126" s="297"/>
      <c r="Q126" s="297"/>
      <c r="R126" s="297"/>
      <c r="S126" s="297"/>
      <c r="T126" s="297"/>
      <c r="U126" s="297"/>
      <c r="V126" s="297"/>
      <c r="W126" s="297"/>
      <c r="X126" s="297"/>
      <c r="Y126" s="297"/>
      <c r="Z126" s="297"/>
      <c r="AA126" s="301">
        <f t="shared" si="15"/>
        <v>0</v>
      </c>
      <c r="AB126" s="296">
        <f t="shared" si="11"/>
        <v>0</v>
      </c>
    </row>
    <row r="127" spans="3:28" hidden="1" outlineLevel="1" x14ac:dyDescent="0.25">
      <c r="C127" s="387"/>
      <c r="D127" s="332" t="str">
        <f t="shared" si="14"/>
        <v>Наименование объекта / группы объектов 11</v>
      </c>
      <c r="E127" s="337" t="s">
        <v>13</v>
      </c>
      <c r="F127" s="297"/>
      <c r="G127" s="297"/>
      <c r="H127" s="297"/>
      <c r="I127" s="297"/>
      <c r="J127" s="297"/>
      <c r="K127" s="297"/>
      <c r="L127" s="297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297"/>
      <c r="X127" s="297"/>
      <c r="Y127" s="297"/>
      <c r="Z127" s="297"/>
      <c r="AA127" s="301">
        <f t="shared" si="15"/>
        <v>0</v>
      </c>
      <c r="AB127" s="296">
        <f t="shared" si="11"/>
        <v>0</v>
      </c>
    </row>
    <row r="128" spans="3:28" hidden="1" outlineLevel="1" x14ac:dyDescent="0.25">
      <c r="C128" s="387"/>
      <c r="D128" s="332" t="str">
        <f t="shared" si="14"/>
        <v>Наименование объекта / группы объектов 12</v>
      </c>
      <c r="E128" s="337" t="s">
        <v>13</v>
      </c>
      <c r="F128" s="297"/>
      <c r="G128" s="297"/>
      <c r="H128" s="297"/>
      <c r="I128" s="297"/>
      <c r="J128" s="297"/>
      <c r="K128" s="297"/>
      <c r="L128" s="297"/>
      <c r="M128" s="297"/>
      <c r="N128" s="297"/>
      <c r="O128" s="297"/>
      <c r="P128" s="297"/>
      <c r="Q128" s="297"/>
      <c r="R128" s="297"/>
      <c r="S128" s="297"/>
      <c r="T128" s="297"/>
      <c r="U128" s="297"/>
      <c r="V128" s="297"/>
      <c r="W128" s="297"/>
      <c r="X128" s="297"/>
      <c r="Y128" s="297"/>
      <c r="Z128" s="297"/>
      <c r="AA128" s="301">
        <f t="shared" si="15"/>
        <v>0</v>
      </c>
      <c r="AB128" s="296">
        <f t="shared" si="11"/>
        <v>0</v>
      </c>
    </row>
    <row r="129" spans="3:28" hidden="1" outlineLevel="1" x14ac:dyDescent="0.25">
      <c r="C129" s="387"/>
      <c r="D129" s="332" t="str">
        <f t="shared" si="14"/>
        <v>Наименование объекта / группы объектов 13</v>
      </c>
      <c r="E129" s="337" t="s">
        <v>13</v>
      </c>
      <c r="F129" s="297"/>
      <c r="G129" s="297"/>
      <c r="H129" s="297"/>
      <c r="I129" s="297"/>
      <c r="J129" s="297"/>
      <c r="K129" s="297"/>
      <c r="L129" s="297"/>
      <c r="M129" s="297"/>
      <c r="N129" s="297"/>
      <c r="O129" s="297"/>
      <c r="P129" s="297"/>
      <c r="Q129" s="297"/>
      <c r="R129" s="297"/>
      <c r="S129" s="297"/>
      <c r="T129" s="297"/>
      <c r="U129" s="297"/>
      <c r="V129" s="297"/>
      <c r="W129" s="297"/>
      <c r="X129" s="297"/>
      <c r="Y129" s="297"/>
      <c r="Z129" s="297"/>
      <c r="AA129" s="301">
        <f t="shared" si="15"/>
        <v>0</v>
      </c>
      <c r="AB129" s="296">
        <f t="shared" si="11"/>
        <v>0</v>
      </c>
    </row>
    <row r="130" spans="3:28" hidden="1" outlineLevel="1" x14ac:dyDescent="0.25">
      <c r="C130" s="387"/>
      <c r="D130" s="332" t="str">
        <f t="shared" si="14"/>
        <v>Наименование объекта / группы объектов 14</v>
      </c>
      <c r="E130" s="337" t="s">
        <v>13</v>
      </c>
      <c r="F130" s="297"/>
      <c r="G130" s="297"/>
      <c r="H130" s="297"/>
      <c r="I130" s="297"/>
      <c r="J130" s="297"/>
      <c r="K130" s="297"/>
      <c r="L130" s="297"/>
      <c r="M130" s="297"/>
      <c r="N130" s="297"/>
      <c r="O130" s="297"/>
      <c r="P130" s="297"/>
      <c r="Q130" s="297"/>
      <c r="R130" s="297"/>
      <c r="S130" s="297"/>
      <c r="T130" s="297"/>
      <c r="U130" s="297"/>
      <c r="V130" s="297"/>
      <c r="W130" s="297"/>
      <c r="X130" s="297"/>
      <c r="Y130" s="297"/>
      <c r="Z130" s="297"/>
      <c r="AA130" s="301">
        <f t="shared" si="15"/>
        <v>0</v>
      </c>
      <c r="AB130" s="296">
        <f t="shared" si="11"/>
        <v>0</v>
      </c>
    </row>
    <row r="131" spans="3:28" hidden="1" outlineLevel="1" x14ac:dyDescent="0.25">
      <c r="C131" s="387"/>
      <c r="D131" s="332" t="str">
        <f t="shared" si="14"/>
        <v>Наименование объекта / группы объектов 15</v>
      </c>
      <c r="E131" s="337" t="s">
        <v>13</v>
      </c>
      <c r="F131" s="297"/>
      <c r="G131" s="297"/>
      <c r="H131" s="297"/>
      <c r="I131" s="297"/>
      <c r="J131" s="297"/>
      <c r="K131" s="297"/>
      <c r="L131" s="297"/>
      <c r="M131" s="297"/>
      <c r="N131" s="297"/>
      <c r="O131" s="297"/>
      <c r="P131" s="297"/>
      <c r="Q131" s="297"/>
      <c r="R131" s="297"/>
      <c r="S131" s="297"/>
      <c r="T131" s="297"/>
      <c r="U131" s="297"/>
      <c r="V131" s="297"/>
      <c r="W131" s="297"/>
      <c r="X131" s="297"/>
      <c r="Y131" s="297"/>
      <c r="Z131" s="297"/>
      <c r="AA131" s="301">
        <f t="shared" si="15"/>
        <v>0</v>
      </c>
      <c r="AB131" s="296">
        <f t="shared" si="11"/>
        <v>0</v>
      </c>
    </row>
    <row r="132" spans="3:28" hidden="1" outlineLevel="1" x14ac:dyDescent="0.25">
      <c r="C132" s="387"/>
      <c r="D132" s="332" t="str">
        <f t="shared" si="14"/>
        <v>Наименование объекта / группы объектов 16</v>
      </c>
      <c r="E132" s="337" t="s">
        <v>13</v>
      </c>
      <c r="F132" s="297"/>
      <c r="G132" s="297"/>
      <c r="H132" s="297"/>
      <c r="I132" s="297"/>
      <c r="J132" s="297"/>
      <c r="K132" s="297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  <c r="V132" s="297"/>
      <c r="W132" s="297"/>
      <c r="X132" s="297"/>
      <c r="Y132" s="297"/>
      <c r="Z132" s="297"/>
      <c r="AA132" s="301">
        <f t="shared" si="15"/>
        <v>0</v>
      </c>
      <c r="AB132" s="298">
        <f t="shared" si="11"/>
        <v>0</v>
      </c>
    </row>
    <row r="133" spans="3:28" hidden="1" outlineLevel="1" x14ac:dyDescent="0.25">
      <c r="C133" s="387"/>
      <c r="D133" s="332" t="str">
        <f t="shared" si="14"/>
        <v>Наименование объекта / группы объектов 17</v>
      </c>
      <c r="E133" s="337" t="s">
        <v>13</v>
      </c>
      <c r="F133" s="297"/>
      <c r="G133" s="297"/>
      <c r="H133" s="297"/>
      <c r="I133" s="297"/>
      <c r="J133" s="297"/>
      <c r="K133" s="297"/>
      <c r="L133" s="297"/>
      <c r="M133" s="297"/>
      <c r="N133" s="297"/>
      <c r="O133" s="297"/>
      <c r="P133" s="297"/>
      <c r="Q133" s="297"/>
      <c r="R133" s="297"/>
      <c r="S133" s="297"/>
      <c r="T133" s="297"/>
      <c r="U133" s="297"/>
      <c r="V133" s="297"/>
      <c r="W133" s="297"/>
      <c r="X133" s="297"/>
      <c r="Y133" s="297"/>
      <c r="Z133" s="297"/>
      <c r="AA133" s="301">
        <f t="shared" si="15"/>
        <v>0</v>
      </c>
      <c r="AB133" s="298">
        <f t="shared" si="11"/>
        <v>0</v>
      </c>
    </row>
    <row r="134" spans="3:28" hidden="1" outlineLevel="1" x14ac:dyDescent="0.25">
      <c r="C134" s="387"/>
      <c r="D134" s="332" t="str">
        <f t="shared" si="14"/>
        <v>Наименование объекта / группы объектов 18</v>
      </c>
      <c r="E134" s="337" t="s">
        <v>13</v>
      </c>
      <c r="F134" s="297"/>
      <c r="G134" s="297"/>
      <c r="H134" s="297"/>
      <c r="I134" s="297"/>
      <c r="J134" s="297"/>
      <c r="K134" s="297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  <c r="V134" s="297"/>
      <c r="W134" s="297"/>
      <c r="X134" s="297"/>
      <c r="Y134" s="297"/>
      <c r="Z134" s="297"/>
      <c r="AA134" s="301">
        <f t="shared" si="15"/>
        <v>0</v>
      </c>
      <c r="AB134" s="296">
        <f t="shared" si="11"/>
        <v>0</v>
      </c>
    </row>
    <row r="135" spans="3:28" hidden="1" outlineLevel="1" x14ac:dyDescent="0.25">
      <c r="C135" s="387"/>
      <c r="D135" s="332" t="str">
        <f t="shared" si="14"/>
        <v>Наименование объекта / группы объектов 19</v>
      </c>
      <c r="E135" s="337" t="s">
        <v>13</v>
      </c>
      <c r="F135" s="297"/>
      <c r="G135" s="297"/>
      <c r="H135" s="297"/>
      <c r="I135" s="297"/>
      <c r="J135" s="297"/>
      <c r="K135" s="297"/>
      <c r="L135" s="297"/>
      <c r="M135" s="297"/>
      <c r="N135" s="297"/>
      <c r="O135" s="297"/>
      <c r="P135" s="297"/>
      <c r="Q135" s="297"/>
      <c r="R135" s="297"/>
      <c r="S135" s="297"/>
      <c r="T135" s="297"/>
      <c r="U135" s="297"/>
      <c r="V135" s="297"/>
      <c r="W135" s="297"/>
      <c r="X135" s="297"/>
      <c r="Y135" s="297"/>
      <c r="Z135" s="297"/>
      <c r="AA135" s="301">
        <f t="shared" si="15"/>
        <v>0</v>
      </c>
      <c r="AB135" s="296">
        <f t="shared" si="11"/>
        <v>0</v>
      </c>
    </row>
    <row r="136" spans="3:28" hidden="1" outlineLevel="1" x14ac:dyDescent="0.25">
      <c r="C136" s="387"/>
      <c r="D136" s="332" t="str">
        <f t="shared" si="14"/>
        <v>Наименование объекта / группы объектов 20</v>
      </c>
      <c r="E136" s="337" t="s">
        <v>13</v>
      </c>
      <c r="F136" s="297"/>
      <c r="G136" s="297"/>
      <c r="H136" s="297"/>
      <c r="I136" s="297"/>
      <c r="J136" s="297"/>
      <c r="K136" s="297"/>
      <c r="L136" s="297"/>
      <c r="M136" s="297"/>
      <c r="N136" s="297"/>
      <c r="O136" s="297"/>
      <c r="P136" s="297"/>
      <c r="Q136" s="297"/>
      <c r="R136" s="297"/>
      <c r="S136" s="297"/>
      <c r="T136" s="297"/>
      <c r="U136" s="297"/>
      <c r="V136" s="297"/>
      <c r="W136" s="297"/>
      <c r="X136" s="297"/>
      <c r="Y136" s="297"/>
      <c r="Z136" s="297"/>
      <c r="AA136" s="301">
        <f t="shared" si="15"/>
        <v>0</v>
      </c>
      <c r="AB136" s="296">
        <f t="shared" si="11"/>
        <v>0</v>
      </c>
    </row>
    <row r="137" spans="3:28" hidden="1" outlineLevel="1" x14ac:dyDescent="0.25">
      <c r="C137" s="387"/>
      <c r="D137" s="332" t="str">
        <f t="shared" si="14"/>
        <v>Наименование объекта / группы объектов 21</v>
      </c>
      <c r="E137" s="337" t="s">
        <v>13</v>
      </c>
      <c r="F137" s="297"/>
      <c r="G137" s="297"/>
      <c r="H137" s="297"/>
      <c r="I137" s="297"/>
      <c r="J137" s="297"/>
      <c r="K137" s="297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  <c r="V137" s="297"/>
      <c r="W137" s="297"/>
      <c r="X137" s="297"/>
      <c r="Y137" s="297"/>
      <c r="Z137" s="297"/>
      <c r="AA137" s="301">
        <f t="shared" si="15"/>
        <v>0</v>
      </c>
      <c r="AB137" s="296">
        <f t="shared" si="11"/>
        <v>0</v>
      </c>
    </row>
    <row r="138" spans="3:28" hidden="1" outlineLevel="1" x14ac:dyDescent="0.25">
      <c r="C138" s="387"/>
      <c r="D138" s="332" t="str">
        <f t="shared" si="14"/>
        <v>Наименование объекта / группы объектов 22</v>
      </c>
      <c r="E138" s="337" t="s">
        <v>13</v>
      </c>
      <c r="F138" s="297"/>
      <c r="G138" s="297"/>
      <c r="H138" s="297"/>
      <c r="I138" s="297"/>
      <c r="J138" s="297"/>
      <c r="K138" s="297"/>
      <c r="L138" s="297"/>
      <c r="M138" s="297"/>
      <c r="N138" s="297"/>
      <c r="O138" s="297"/>
      <c r="P138" s="297"/>
      <c r="Q138" s="297"/>
      <c r="R138" s="297"/>
      <c r="S138" s="297"/>
      <c r="T138" s="297"/>
      <c r="U138" s="297"/>
      <c r="V138" s="297"/>
      <c r="W138" s="297"/>
      <c r="X138" s="297"/>
      <c r="Y138" s="297"/>
      <c r="Z138" s="297"/>
      <c r="AA138" s="301">
        <f t="shared" si="15"/>
        <v>0</v>
      </c>
      <c r="AB138" s="296">
        <f t="shared" si="11"/>
        <v>0</v>
      </c>
    </row>
    <row r="139" spans="3:28" hidden="1" outlineLevel="1" x14ac:dyDescent="0.25">
      <c r="C139" s="387"/>
      <c r="D139" s="332" t="str">
        <f t="shared" si="14"/>
        <v>Наименование объекта / группы объектов 23</v>
      </c>
      <c r="E139" s="337" t="s">
        <v>13</v>
      </c>
      <c r="F139" s="297"/>
      <c r="G139" s="297"/>
      <c r="H139" s="297"/>
      <c r="I139" s="297"/>
      <c r="J139" s="297"/>
      <c r="K139" s="297"/>
      <c r="L139" s="297"/>
      <c r="M139" s="297"/>
      <c r="N139" s="297"/>
      <c r="O139" s="297"/>
      <c r="P139" s="297"/>
      <c r="Q139" s="297"/>
      <c r="R139" s="297"/>
      <c r="S139" s="297"/>
      <c r="T139" s="297"/>
      <c r="U139" s="297"/>
      <c r="V139" s="297"/>
      <c r="W139" s="297"/>
      <c r="X139" s="297"/>
      <c r="Y139" s="297"/>
      <c r="Z139" s="297"/>
      <c r="AA139" s="301">
        <f t="shared" si="15"/>
        <v>0</v>
      </c>
      <c r="AB139" s="296">
        <f t="shared" si="11"/>
        <v>0</v>
      </c>
    </row>
    <row r="140" spans="3:28" hidden="1" outlineLevel="1" x14ac:dyDescent="0.25">
      <c r="C140" s="387"/>
      <c r="D140" s="332" t="str">
        <f t="shared" si="14"/>
        <v>Наименование объекта / группы объектов 24</v>
      </c>
      <c r="E140" s="337" t="s">
        <v>13</v>
      </c>
      <c r="F140" s="297"/>
      <c r="G140" s="297"/>
      <c r="H140" s="297"/>
      <c r="I140" s="297"/>
      <c r="J140" s="297"/>
      <c r="K140" s="297"/>
      <c r="L140" s="297"/>
      <c r="M140" s="297"/>
      <c r="N140" s="297"/>
      <c r="O140" s="297"/>
      <c r="P140" s="297"/>
      <c r="Q140" s="297"/>
      <c r="R140" s="297"/>
      <c r="S140" s="297"/>
      <c r="T140" s="297"/>
      <c r="U140" s="297"/>
      <c r="V140" s="297"/>
      <c r="W140" s="297"/>
      <c r="X140" s="297"/>
      <c r="Y140" s="297"/>
      <c r="Z140" s="297"/>
      <c r="AA140" s="301">
        <f t="shared" si="15"/>
        <v>0</v>
      </c>
      <c r="AB140" s="296">
        <f t="shared" ref="AB140:AB141" si="16">AA140/1000</f>
        <v>0</v>
      </c>
    </row>
    <row r="141" spans="3:28" hidden="1" outlineLevel="1" x14ac:dyDescent="0.25">
      <c r="C141" s="387"/>
      <c r="D141" s="332" t="str">
        <f t="shared" si="14"/>
        <v>Наименование объекта / группы объектов 25</v>
      </c>
      <c r="E141" s="337" t="s">
        <v>13</v>
      </c>
      <c r="F141" s="297"/>
      <c r="G141" s="297"/>
      <c r="H141" s="297"/>
      <c r="I141" s="297"/>
      <c r="J141" s="297"/>
      <c r="K141" s="297"/>
      <c r="L141" s="297"/>
      <c r="M141" s="297"/>
      <c r="N141" s="297"/>
      <c r="O141" s="297"/>
      <c r="P141" s="297"/>
      <c r="Q141" s="297"/>
      <c r="R141" s="297"/>
      <c r="S141" s="297"/>
      <c r="T141" s="297"/>
      <c r="U141" s="297"/>
      <c r="V141" s="297"/>
      <c r="W141" s="297"/>
      <c r="X141" s="297"/>
      <c r="Y141" s="297"/>
      <c r="Z141" s="297"/>
      <c r="AA141" s="301">
        <f t="shared" si="15"/>
        <v>0</v>
      </c>
      <c r="AB141" s="296">
        <f t="shared" si="16"/>
        <v>0</v>
      </c>
    </row>
    <row r="142" spans="3:28" collapsed="1" x14ac:dyDescent="0.3">
      <c r="C142" s="341">
        <v>3</v>
      </c>
      <c r="D142" s="342" t="s">
        <v>171</v>
      </c>
      <c r="E142" s="386"/>
      <c r="F142" s="386"/>
      <c r="G142" s="386"/>
      <c r="H142" s="386"/>
      <c r="I142" s="386"/>
      <c r="J142" s="386"/>
      <c r="K142" s="386"/>
      <c r="L142" s="386"/>
      <c r="M142" s="386"/>
      <c r="N142" s="386"/>
      <c r="O142" s="386"/>
      <c r="P142" s="386"/>
      <c r="Q142" s="386"/>
      <c r="R142" s="386"/>
      <c r="S142" s="386"/>
      <c r="T142" s="386"/>
      <c r="U142" s="386"/>
      <c r="V142" s="386"/>
      <c r="W142" s="386"/>
      <c r="X142" s="386"/>
      <c r="Y142" s="386"/>
      <c r="Z142" s="386"/>
      <c r="AA142" s="386"/>
      <c r="AB142" s="386"/>
    </row>
    <row r="143" spans="3:28" hidden="1" outlineLevel="1" x14ac:dyDescent="0.3">
      <c r="C143" s="387"/>
      <c r="D143" s="343" t="s">
        <v>97</v>
      </c>
      <c r="E143" s="344" t="s">
        <v>13</v>
      </c>
      <c r="F143" s="297"/>
      <c r="G143" s="297"/>
      <c r="H143" s="297"/>
      <c r="I143" s="297"/>
      <c r="J143" s="297"/>
      <c r="K143" s="297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  <c r="V143" s="297"/>
      <c r="W143" s="297"/>
      <c r="X143" s="297"/>
      <c r="Y143" s="297"/>
      <c r="Z143" s="297"/>
      <c r="AA143" s="296"/>
      <c r="AB143" s="296"/>
    </row>
    <row r="144" spans="3:28" hidden="1" outlineLevel="1" x14ac:dyDescent="0.25">
      <c r="C144" s="387"/>
      <c r="D144" s="345" t="s">
        <v>40</v>
      </c>
      <c r="E144" s="346" t="s">
        <v>13</v>
      </c>
      <c r="F144" s="297"/>
      <c r="G144" s="297"/>
      <c r="H144" s="297"/>
      <c r="I144" s="297"/>
      <c r="J144" s="297"/>
      <c r="K144" s="297"/>
      <c r="L144" s="297"/>
      <c r="M144" s="297"/>
      <c r="N144" s="297"/>
      <c r="O144" s="297"/>
      <c r="P144" s="297"/>
      <c r="Q144" s="297"/>
      <c r="R144" s="297"/>
      <c r="S144" s="297"/>
      <c r="T144" s="297"/>
      <c r="U144" s="297"/>
      <c r="V144" s="297"/>
      <c r="W144" s="297"/>
      <c r="X144" s="297"/>
      <c r="Y144" s="297"/>
      <c r="Z144" s="297"/>
      <c r="AA144" s="296"/>
      <c r="AB144" s="296"/>
    </row>
    <row r="145" spans="3:28" hidden="1" outlineLevel="1" x14ac:dyDescent="0.25">
      <c r="C145" s="387"/>
      <c r="D145" s="345" t="s">
        <v>98</v>
      </c>
      <c r="E145" s="346" t="s">
        <v>13</v>
      </c>
      <c r="F145" s="297"/>
      <c r="G145" s="297"/>
      <c r="H145" s="297"/>
      <c r="I145" s="297"/>
      <c r="J145" s="297"/>
      <c r="K145" s="297"/>
      <c r="L145" s="297"/>
      <c r="M145" s="297"/>
      <c r="N145" s="297"/>
      <c r="O145" s="297"/>
      <c r="P145" s="297"/>
      <c r="Q145" s="297"/>
      <c r="R145" s="297"/>
      <c r="S145" s="297"/>
      <c r="T145" s="297"/>
      <c r="U145" s="297"/>
      <c r="V145" s="297"/>
      <c r="W145" s="297"/>
      <c r="X145" s="297"/>
      <c r="Y145" s="297"/>
      <c r="Z145" s="297"/>
      <c r="AA145" s="296"/>
      <c r="AB145" s="296"/>
    </row>
    <row r="146" spans="3:28" hidden="1" outlineLevel="1" x14ac:dyDescent="0.25">
      <c r="C146" s="387"/>
      <c r="D146" s="345" t="s">
        <v>48</v>
      </c>
      <c r="E146" s="346" t="s">
        <v>13</v>
      </c>
      <c r="F146" s="297"/>
      <c r="G146" s="297"/>
      <c r="H146" s="297"/>
      <c r="I146" s="297"/>
      <c r="J146" s="297"/>
      <c r="K146" s="297"/>
      <c r="L146" s="297"/>
      <c r="M146" s="297"/>
      <c r="N146" s="297"/>
      <c r="O146" s="297"/>
      <c r="P146" s="297"/>
      <c r="Q146" s="297"/>
      <c r="R146" s="297"/>
      <c r="S146" s="297"/>
      <c r="T146" s="297"/>
      <c r="U146" s="297"/>
      <c r="V146" s="297"/>
      <c r="W146" s="297"/>
      <c r="X146" s="297"/>
      <c r="Y146" s="297"/>
      <c r="Z146" s="297"/>
      <c r="AA146" s="296"/>
      <c r="AB146" s="296"/>
    </row>
    <row r="147" spans="3:28" hidden="1" outlineLevel="1" x14ac:dyDescent="0.25">
      <c r="C147" s="387"/>
      <c r="D147" s="345" t="s">
        <v>99</v>
      </c>
      <c r="E147" s="346" t="s">
        <v>13</v>
      </c>
      <c r="F147" s="297"/>
      <c r="G147" s="297"/>
      <c r="H147" s="297"/>
      <c r="I147" s="297"/>
      <c r="J147" s="297"/>
      <c r="K147" s="297"/>
      <c r="L147" s="297"/>
      <c r="M147" s="297"/>
      <c r="N147" s="297"/>
      <c r="O147" s="297"/>
      <c r="P147" s="297"/>
      <c r="Q147" s="297"/>
      <c r="R147" s="297"/>
      <c r="S147" s="297"/>
      <c r="T147" s="297"/>
      <c r="U147" s="297"/>
      <c r="V147" s="297"/>
      <c r="W147" s="297"/>
      <c r="X147" s="297"/>
      <c r="Y147" s="297"/>
      <c r="Z147" s="297"/>
      <c r="AA147" s="296"/>
      <c r="AB147" s="296"/>
    </row>
    <row r="148" spans="3:28" hidden="1" outlineLevel="1" x14ac:dyDescent="0.25">
      <c r="C148" s="387"/>
      <c r="D148" s="345" t="s">
        <v>100</v>
      </c>
      <c r="E148" s="346" t="s">
        <v>13</v>
      </c>
      <c r="F148" s="297"/>
      <c r="G148" s="297"/>
      <c r="H148" s="297"/>
      <c r="I148" s="297"/>
      <c r="J148" s="297"/>
      <c r="K148" s="297"/>
      <c r="L148" s="297"/>
      <c r="M148" s="297"/>
      <c r="N148" s="297"/>
      <c r="O148" s="297"/>
      <c r="P148" s="297"/>
      <c r="Q148" s="297"/>
      <c r="R148" s="297"/>
      <c r="S148" s="297"/>
      <c r="T148" s="297"/>
      <c r="U148" s="297"/>
      <c r="V148" s="297"/>
      <c r="W148" s="297"/>
      <c r="X148" s="297"/>
      <c r="Y148" s="297"/>
      <c r="Z148" s="297"/>
      <c r="AA148" s="296"/>
      <c r="AB148" s="296"/>
    </row>
    <row r="149" spans="3:28" hidden="1" outlineLevel="1" x14ac:dyDescent="0.25">
      <c r="C149" s="387"/>
      <c r="D149" s="345" t="s">
        <v>101</v>
      </c>
      <c r="E149" s="346" t="s">
        <v>13</v>
      </c>
      <c r="F149" s="297"/>
      <c r="G149" s="297"/>
      <c r="H149" s="297"/>
      <c r="I149" s="297"/>
      <c r="J149" s="297"/>
      <c r="K149" s="297"/>
      <c r="L149" s="297"/>
      <c r="M149" s="297"/>
      <c r="N149" s="297"/>
      <c r="O149" s="297"/>
      <c r="P149" s="297"/>
      <c r="Q149" s="297"/>
      <c r="R149" s="297"/>
      <c r="S149" s="297"/>
      <c r="T149" s="297"/>
      <c r="U149" s="297"/>
      <c r="V149" s="297"/>
      <c r="W149" s="297"/>
      <c r="X149" s="297"/>
      <c r="Y149" s="297"/>
      <c r="Z149" s="297"/>
      <c r="AA149" s="296"/>
      <c r="AB149" s="296"/>
    </row>
    <row r="150" spans="3:28" hidden="1" outlineLevel="1" x14ac:dyDescent="0.25">
      <c r="C150" s="387"/>
      <c r="D150" s="345" t="s">
        <v>102</v>
      </c>
      <c r="E150" s="346" t="s">
        <v>13</v>
      </c>
      <c r="F150" s="297"/>
      <c r="G150" s="297"/>
      <c r="H150" s="297"/>
      <c r="I150" s="297"/>
      <c r="J150" s="297"/>
      <c r="K150" s="297"/>
      <c r="L150" s="297"/>
      <c r="M150" s="297"/>
      <c r="N150" s="297"/>
      <c r="O150" s="297"/>
      <c r="P150" s="297"/>
      <c r="Q150" s="297"/>
      <c r="R150" s="297"/>
      <c r="S150" s="297"/>
      <c r="T150" s="297"/>
      <c r="U150" s="297"/>
      <c r="V150" s="297"/>
      <c r="W150" s="297"/>
      <c r="X150" s="297"/>
      <c r="Y150" s="297"/>
      <c r="Z150" s="297"/>
      <c r="AA150" s="296"/>
      <c r="AB150" s="296"/>
    </row>
    <row r="151" spans="3:28" hidden="1" outlineLevel="1" x14ac:dyDescent="0.25">
      <c r="C151" s="387"/>
      <c r="D151" s="345" t="s">
        <v>103</v>
      </c>
      <c r="E151" s="346" t="s">
        <v>13</v>
      </c>
      <c r="F151" s="297"/>
      <c r="G151" s="297"/>
      <c r="H151" s="297"/>
      <c r="I151" s="297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  <c r="V151" s="297"/>
      <c r="W151" s="297"/>
      <c r="X151" s="297"/>
      <c r="Y151" s="297"/>
      <c r="Z151" s="297"/>
      <c r="AA151" s="296"/>
      <c r="AB151" s="296"/>
    </row>
    <row r="152" spans="3:28" hidden="1" outlineLevel="1" x14ac:dyDescent="0.25">
      <c r="C152" s="387"/>
      <c r="D152" s="345" t="s">
        <v>104</v>
      </c>
      <c r="E152" s="346" t="s">
        <v>13</v>
      </c>
      <c r="F152" s="297"/>
      <c r="G152" s="297"/>
      <c r="H152" s="297"/>
      <c r="I152" s="297"/>
      <c r="J152" s="297"/>
      <c r="K152" s="297"/>
      <c r="L152" s="297"/>
      <c r="M152" s="297"/>
      <c r="N152" s="297"/>
      <c r="O152" s="297"/>
      <c r="P152" s="297"/>
      <c r="Q152" s="297"/>
      <c r="R152" s="297"/>
      <c r="S152" s="297"/>
      <c r="T152" s="297"/>
      <c r="U152" s="297"/>
      <c r="V152" s="297"/>
      <c r="W152" s="297"/>
      <c r="X152" s="297"/>
      <c r="Y152" s="297"/>
      <c r="Z152" s="297"/>
      <c r="AA152" s="296"/>
      <c r="AB152" s="296"/>
    </row>
    <row r="153" spans="3:28" hidden="1" outlineLevel="1" x14ac:dyDescent="0.25">
      <c r="C153" s="387"/>
      <c r="D153" s="345" t="s">
        <v>105</v>
      </c>
      <c r="E153" s="346" t="s">
        <v>13</v>
      </c>
      <c r="F153" s="297"/>
      <c r="G153" s="297"/>
      <c r="H153" s="297"/>
      <c r="I153" s="297"/>
      <c r="J153" s="297"/>
      <c r="K153" s="297"/>
      <c r="L153" s="297"/>
      <c r="M153" s="297"/>
      <c r="N153" s="297"/>
      <c r="O153" s="297"/>
      <c r="P153" s="297"/>
      <c r="Q153" s="297"/>
      <c r="R153" s="297"/>
      <c r="S153" s="297"/>
      <c r="T153" s="297"/>
      <c r="U153" s="297"/>
      <c r="V153" s="297"/>
      <c r="W153" s="297"/>
      <c r="X153" s="297"/>
      <c r="Y153" s="297"/>
      <c r="Z153" s="297"/>
      <c r="AA153" s="296"/>
      <c r="AB153" s="296"/>
    </row>
    <row r="154" spans="3:28" hidden="1" outlineLevel="1" x14ac:dyDescent="0.25">
      <c r="C154" s="387"/>
      <c r="D154" s="345" t="s">
        <v>106</v>
      </c>
      <c r="E154" s="346" t="s">
        <v>13</v>
      </c>
      <c r="F154" s="297"/>
      <c r="G154" s="297"/>
      <c r="H154" s="297"/>
      <c r="I154" s="297"/>
      <c r="J154" s="297"/>
      <c r="K154" s="297"/>
      <c r="L154" s="297"/>
      <c r="M154" s="297"/>
      <c r="N154" s="297"/>
      <c r="O154" s="297"/>
      <c r="P154" s="297"/>
      <c r="Q154" s="297"/>
      <c r="R154" s="297"/>
      <c r="S154" s="297"/>
      <c r="T154" s="297"/>
      <c r="U154" s="297"/>
      <c r="V154" s="297"/>
      <c r="W154" s="297"/>
      <c r="X154" s="297"/>
      <c r="Y154" s="297"/>
      <c r="Z154" s="297"/>
      <c r="AA154" s="296"/>
      <c r="AB154" s="296"/>
    </row>
    <row r="155" spans="3:28" hidden="1" outlineLevel="1" x14ac:dyDescent="0.25">
      <c r="C155" s="387"/>
      <c r="D155" s="345" t="s">
        <v>49</v>
      </c>
      <c r="E155" s="346" t="s">
        <v>13</v>
      </c>
      <c r="F155" s="297"/>
      <c r="G155" s="297"/>
      <c r="H155" s="297"/>
      <c r="I155" s="297"/>
      <c r="J155" s="297"/>
      <c r="K155" s="297"/>
      <c r="L155" s="297"/>
      <c r="M155" s="297"/>
      <c r="N155" s="297"/>
      <c r="O155" s="297"/>
      <c r="P155" s="297"/>
      <c r="Q155" s="297"/>
      <c r="R155" s="297"/>
      <c r="S155" s="297"/>
      <c r="T155" s="297"/>
      <c r="U155" s="297"/>
      <c r="V155" s="297"/>
      <c r="W155" s="297"/>
      <c r="X155" s="297"/>
      <c r="Y155" s="297"/>
      <c r="Z155" s="297"/>
      <c r="AA155" s="296"/>
      <c r="AB155" s="296"/>
    </row>
    <row r="156" spans="3:28" hidden="1" outlineLevel="1" x14ac:dyDescent="0.25">
      <c r="C156" s="387"/>
      <c r="D156" s="345" t="s">
        <v>107</v>
      </c>
      <c r="E156" s="346" t="s">
        <v>13</v>
      </c>
      <c r="F156" s="297"/>
      <c r="G156" s="297"/>
      <c r="H156" s="297"/>
      <c r="I156" s="297"/>
      <c r="J156" s="297"/>
      <c r="K156" s="297"/>
      <c r="L156" s="297"/>
      <c r="M156" s="297"/>
      <c r="N156" s="297"/>
      <c r="O156" s="297"/>
      <c r="P156" s="297"/>
      <c r="Q156" s="297"/>
      <c r="R156" s="297"/>
      <c r="S156" s="297"/>
      <c r="T156" s="297"/>
      <c r="U156" s="297"/>
      <c r="V156" s="297"/>
      <c r="W156" s="297"/>
      <c r="X156" s="297"/>
      <c r="Y156" s="297"/>
      <c r="Z156" s="297"/>
      <c r="AA156" s="296"/>
      <c r="AB156" s="296"/>
    </row>
    <row r="157" spans="3:28" ht="26" hidden="1" outlineLevel="1" x14ac:dyDescent="0.3">
      <c r="C157" s="388"/>
      <c r="D157" s="347" t="s">
        <v>108</v>
      </c>
      <c r="E157" s="348" t="s">
        <v>13</v>
      </c>
      <c r="F157" s="349">
        <f>SUM(F158:F182)</f>
        <v>0</v>
      </c>
      <c r="G157" s="349">
        <f t="shared" ref="G157:Z157" si="17">SUM(G158:G182)</f>
        <v>0</v>
      </c>
      <c r="H157" s="349">
        <f>SUM(H158:H182)</f>
        <v>0</v>
      </c>
      <c r="I157" s="349">
        <f t="shared" si="17"/>
        <v>0</v>
      </c>
      <c r="J157" s="349">
        <f t="shared" si="17"/>
        <v>0</v>
      </c>
      <c r="K157" s="349">
        <f t="shared" si="17"/>
        <v>0</v>
      </c>
      <c r="L157" s="349">
        <f t="shared" si="17"/>
        <v>0</v>
      </c>
      <c r="M157" s="349">
        <f t="shared" si="17"/>
        <v>0</v>
      </c>
      <c r="N157" s="349">
        <f t="shared" si="17"/>
        <v>0</v>
      </c>
      <c r="O157" s="349">
        <f t="shared" si="17"/>
        <v>0</v>
      </c>
      <c r="P157" s="349">
        <f t="shared" si="17"/>
        <v>0</v>
      </c>
      <c r="Q157" s="349">
        <f t="shared" si="17"/>
        <v>0</v>
      </c>
      <c r="R157" s="349">
        <f t="shared" si="17"/>
        <v>0</v>
      </c>
      <c r="S157" s="349">
        <f t="shared" si="17"/>
        <v>0</v>
      </c>
      <c r="T157" s="349">
        <f t="shared" si="17"/>
        <v>0</v>
      </c>
      <c r="U157" s="349">
        <f t="shared" si="17"/>
        <v>0</v>
      </c>
      <c r="V157" s="349">
        <f t="shared" si="17"/>
        <v>0</v>
      </c>
      <c r="W157" s="349">
        <f t="shared" si="17"/>
        <v>0</v>
      </c>
      <c r="X157" s="349">
        <f t="shared" si="17"/>
        <v>0</v>
      </c>
      <c r="Y157" s="349">
        <f t="shared" si="17"/>
        <v>0</v>
      </c>
      <c r="Z157" s="349">
        <f t="shared" si="17"/>
        <v>0</v>
      </c>
      <c r="AA157" s="350">
        <f>SUM(J157:Z157)</f>
        <v>0</v>
      </c>
      <c r="AB157" s="350">
        <f t="shared" ref="AB157:AB182" si="18">AA157/1000</f>
        <v>0</v>
      </c>
    </row>
    <row r="158" spans="3:28" hidden="1" outlineLevel="1" x14ac:dyDescent="0.25">
      <c r="C158" s="387"/>
      <c r="D158" s="332" t="str">
        <f>D24</f>
        <v>Центр РАН и НИЦ интегральной электроники</v>
      </c>
      <c r="E158" s="351" t="s">
        <v>13</v>
      </c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  <c r="Z158" s="297"/>
      <c r="AA158" s="302">
        <f>SUM(J158:Z158)</f>
        <v>0</v>
      </c>
      <c r="AB158" s="298">
        <f t="shared" si="18"/>
        <v>0</v>
      </c>
    </row>
    <row r="159" spans="3:28" hidden="1" outlineLevel="1" x14ac:dyDescent="0.25">
      <c r="C159" s="387"/>
      <c r="D159" s="332" t="str">
        <f t="shared" ref="D159:D182" si="19">D25</f>
        <v xml:space="preserve">Университет МИРЭА
</v>
      </c>
      <c r="E159" s="351" t="s">
        <v>13</v>
      </c>
      <c r="F159" s="297"/>
      <c r="G159" s="297"/>
      <c r="H159" s="297"/>
      <c r="I159" s="297"/>
      <c r="J159" s="297"/>
      <c r="K159" s="297"/>
      <c r="L159" s="297"/>
      <c r="M159" s="297"/>
      <c r="N159" s="297"/>
      <c r="O159" s="297"/>
      <c r="P159" s="297"/>
      <c r="Q159" s="297"/>
      <c r="R159" s="297"/>
      <c r="S159" s="297"/>
      <c r="T159" s="297"/>
      <c r="U159" s="297"/>
      <c r="V159" s="297"/>
      <c r="W159" s="297"/>
      <c r="X159" s="297"/>
      <c r="Y159" s="297"/>
      <c r="Z159" s="297"/>
      <c r="AA159" s="302">
        <f t="shared" ref="AA159:AA182" si="20">SUM(J159:Z159)</f>
        <v>0</v>
      </c>
      <c r="AB159" s="296">
        <f t="shared" si="18"/>
        <v>0</v>
      </c>
    </row>
    <row r="160" spans="3:28" hidden="1" outlineLevel="1" x14ac:dyDescent="0.25">
      <c r="C160" s="387"/>
      <c r="D160" s="332" t="str">
        <f t="shared" si="19"/>
        <v>Технологический центр</v>
      </c>
      <c r="E160" s="351" t="s">
        <v>13</v>
      </c>
      <c r="F160" s="297"/>
      <c r="G160" s="297"/>
      <c r="H160" s="297"/>
      <c r="I160" s="297"/>
      <c r="J160" s="297"/>
      <c r="K160" s="297"/>
      <c r="L160" s="297"/>
      <c r="M160" s="297"/>
      <c r="N160" s="297"/>
      <c r="O160" s="297"/>
      <c r="P160" s="297"/>
      <c r="Q160" s="297"/>
      <c r="R160" s="297"/>
      <c r="S160" s="297"/>
      <c r="T160" s="297"/>
      <c r="U160" s="297"/>
      <c r="V160" s="297"/>
      <c r="W160" s="297"/>
      <c r="X160" s="297"/>
      <c r="Y160" s="297"/>
      <c r="Z160" s="297"/>
      <c r="AA160" s="302">
        <f t="shared" si="20"/>
        <v>0</v>
      </c>
      <c r="AB160" s="296">
        <f t="shared" si="18"/>
        <v>0</v>
      </c>
    </row>
    <row r="161" spans="3:28" hidden="1" outlineLevel="1" x14ac:dyDescent="0.25">
      <c r="C161" s="387"/>
      <c r="D161" s="332" t="str">
        <f t="shared" si="19"/>
        <v>Спортивный центр</v>
      </c>
      <c r="E161" s="351" t="s">
        <v>13</v>
      </c>
      <c r="F161" s="297"/>
      <c r="G161" s="297"/>
      <c r="H161" s="297"/>
      <c r="I161" s="297"/>
      <c r="J161" s="297"/>
      <c r="K161" s="297"/>
      <c r="L161" s="297"/>
      <c r="M161" s="297"/>
      <c r="N161" s="297"/>
      <c r="O161" s="297"/>
      <c r="P161" s="297"/>
      <c r="Q161" s="297"/>
      <c r="R161" s="297"/>
      <c r="S161" s="297"/>
      <c r="T161" s="297"/>
      <c r="U161" s="297"/>
      <c r="V161" s="297"/>
      <c r="W161" s="297"/>
      <c r="X161" s="297"/>
      <c r="Y161" s="297"/>
      <c r="Z161" s="297"/>
      <c r="AA161" s="302">
        <f t="shared" si="20"/>
        <v>0</v>
      </c>
      <c r="AB161" s="296">
        <f t="shared" si="18"/>
        <v>0</v>
      </c>
    </row>
    <row r="162" spans="3:28" hidden="1" outlineLevel="1" x14ac:dyDescent="0.25">
      <c r="C162" s="387"/>
      <c r="D162" s="332" t="str">
        <f t="shared" si="19"/>
        <v>Гостиничный комплекс</v>
      </c>
      <c r="E162" s="351" t="s">
        <v>13</v>
      </c>
      <c r="F162" s="297"/>
      <c r="G162" s="297"/>
      <c r="H162" s="297"/>
      <c r="I162" s="297"/>
      <c r="J162" s="297"/>
      <c r="K162" s="297"/>
      <c r="L162" s="297"/>
      <c r="M162" s="297"/>
      <c r="N162" s="297"/>
      <c r="O162" s="297"/>
      <c r="P162" s="297"/>
      <c r="Q162" s="297"/>
      <c r="R162" s="297"/>
      <c r="S162" s="297"/>
      <c r="T162" s="297"/>
      <c r="U162" s="297"/>
      <c r="V162" s="297"/>
      <c r="W162" s="297"/>
      <c r="X162" s="297"/>
      <c r="Y162" s="297"/>
      <c r="Z162" s="297"/>
      <c r="AA162" s="302">
        <f t="shared" si="20"/>
        <v>0</v>
      </c>
      <c r="AB162" s="296">
        <f t="shared" si="18"/>
        <v>0</v>
      </c>
    </row>
    <row r="163" spans="3:28" hidden="1" outlineLevel="2" x14ac:dyDescent="0.25">
      <c r="C163" s="387"/>
      <c r="D163" s="332" t="str">
        <f t="shared" si="19"/>
        <v>Наименование объекта / группы объектов 6</v>
      </c>
      <c r="E163" s="351" t="s">
        <v>13</v>
      </c>
      <c r="F163" s="297"/>
      <c r="G163" s="297"/>
      <c r="H163" s="297"/>
      <c r="I163" s="297"/>
      <c r="J163" s="297"/>
      <c r="K163" s="297"/>
      <c r="L163" s="297"/>
      <c r="M163" s="297"/>
      <c r="N163" s="297"/>
      <c r="O163" s="297"/>
      <c r="P163" s="297"/>
      <c r="Q163" s="297"/>
      <c r="R163" s="297"/>
      <c r="S163" s="297"/>
      <c r="T163" s="297"/>
      <c r="U163" s="297"/>
      <c r="V163" s="297"/>
      <c r="W163" s="297"/>
      <c r="X163" s="297"/>
      <c r="Y163" s="297"/>
      <c r="Z163" s="297"/>
      <c r="AA163" s="302">
        <f t="shared" si="20"/>
        <v>0</v>
      </c>
      <c r="AB163" s="296">
        <f t="shared" si="18"/>
        <v>0</v>
      </c>
    </row>
    <row r="164" spans="3:28" hidden="1" outlineLevel="2" x14ac:dyDescent="0.25">
      <c r="C164" s="387"/>
      <c r="D164" s="332" t="str">
        <f t="shared" si="19"/>
        <v>Наименование объекта / группы объектов 7</v>
      </c>
      <c r="E164" s="351" t="s">
        <v>13</v>
      </c>
      <c r="F164" s="297"/>
      <c r="G164" s="297"/>
      <c r="H164" s="297"/>
      <c r="I164" s="297"/>
      <c r="J164" s="297"/>
      <c r="K164" s="297"/>
      <c r="L164" s="297"/>
      <c r="M164" s="297"/>
      <c r="N164" s="297"/>
      <c r="O164" s="297"/>
      <c r="P164" s="297"/>
      <c r="Q164" s="297"/>
      <c r="R164" s="297"/>
      <c r="S164" s="297"/>
      <c r="T164" s="297"/>
      <c r="U164" s="297"/>
      <c r="V164" s="297"/>
      <c r="W164" s="297"/>
      <c r="X164" s="297"/>
      <c r="Y164" s="297"/>
      <c r="Z164" s="297"/>
      <c r="AA164" s="302">
        <f t="shared" si="20"/>
        <v>0</v>
      </c>
      <c r="AB164" s="296">
        <f t="shared" si="18"/>
        <v>0</v>
      </c>
    </row>
    <row r="165" spans="3:28" hidden="1" outlineLevel="2" x14ac:dyDescent="0.25">
      <c r="C165" s="387"/>
      <c r="D165" s="332" t="str">
        <f t="shared" si="19"/>
        <v>Наименование объекта / группы объектов 8</v>
      </c>
      <c r="E165" s="351" t="s">
        <v>13</v>
      </c>
      <c r="F165" s="297"/>
      <c r="G165" s="297"/>
      <c r="H165" s="297"/>
      <c r="I165" s="297"/>
      <c r="J165" s="297"/>
      <c r="K165" s="297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  <c r="V165" s="297"/>
      <c r="W165" s="297"/>
      <c r="X165" s="297"/>
      <c r="Y165" s="297"/>
      <c r="Z165" s="297"/>
      <c r="AA165" s="302">
        <f t="shared" si="20"/>
        <v>0</v>
      </c>
      <c r="AB165" s="296">
        <f t="shared" si="18"/>
        <v>0</v>
      </c>
    </row>
    <row r="166" spans="3:28" hidden="1" outlineLevel="2" x14ac:dyDescent="0.25">
      <c r="C166" s="387"/>
      <c r="D166" s="332" t="str">
        <f t="shared" si="19"/>
        <v>Наименование объекта / группы объектов 9</v>
      </c>
      <c r="E166" s="351" t="s">
        <v>13</v>
      </c>
      <c r="F166" s="297"/>
      <c r="G166" s="297"/>
      <c r="H166" s="297"/>
      <c r="I166" s="297"/>
      <c r="J166" s="297"/>
      <c r="K166" s="297"/>
      <c r="L166" s="297"/>
      <c r="M166" s="297"/>
      <c r="N166" s="297"/>
      <c r="O166" s="297"/>
      <c r="P166" s="297"/>
      <c r="Q166" s="297"/>
      <c r="R166" s="297"/>
      <c r="S166" s="297"/>
      <c r="T166" s="297"/>
      <c r="U166" s="297"/>
      <c r="V166" s="297"/>
      <c r="W166" s="297"/>
      <c r="X166" s="297"/>
      <c r="Y166" s="297"/>
      <c r="Z166" s="297"/>
      <c r="AA166" s="302">
        <f t="shared" si="20"/>
        <v>0</v>
      </c>
      <c r="AB166" s="296">
        <f t="shared" si="18"/>
        <v>0</v>
      </c>
    </row>
    <row r="167" spans="3:28" hidden="1" outlineLevel="2" x14ac:dyDescent="0.25">
      <c r="C167" s="387"/>
      <c r="D167" s="332" t="str">
        <f t="shared" si="19"/>
        <v>Наименование объекта / группы объектов 10</v>
      </c>
      <c r="E167" s="351" t="s">
        <v>13</v>
      </c>
      <c r="F167" s="297"/>
      <c r="G167" s="297"/>
      <c r="H167" s="297"/>
      <c r="I167" s="297"/>
      <c r="J167" s="297"/>
      <c r="K167" s="297"/>
      <c r="L167" s="297"/>
      <c r="M167" s="297"/>
      <c r="N167" s="297"/>
      <c r="O167" s="297"/>
      <c r="P167" s="297"/>
      <c r="Q167" s="297"/>
      <c r="R167" s="297"/>
      <c r="S167" s="297"/>
      <c r="T167" s="297"/>
      <c r="U167" s="297"/>
      <c r="V167" s="297"/>
      <c r="W167" s="297"/>
      <c r="X167" s="297"/>
      <c r="Y167" s="297"/>
      <c r="Z167" s="297"/>
      <c r="AA167" s="302">
        <f t="shared" si="20"/>
        <v>0</v>
      </c>
      <c r="AB167" s="296">
        <f t="shared" si="18"/>
        <v>0</v>
      </c>
    </row>
    <row r="168" spans="3:28" hidden="1" outlineLevel="2" x14ac:dyDescent="0.25">
      <c r="C168" s="387"/>
      <c r="D168" s="332" t="str">
        <f t="shared" si="19"/>
        <v>Наименование объекта / группы объектов 11</v>
      </c>
      <c r="E168" s="351" t="s">
        <v>13</v>
      </c>
      <c r="F168" s="297"/>
      <c r="G168" s="297"/>
      <c r="H168" s="297"/>
      <c r="I168" s="297"/>
      <c r="J168" s="297"/>
      <c r="K168" s="297"/>
      <c r="L168" s="297"/>
      <c r="M168" s="297"/>
      <c r="N168" s="297"/>
      <c r="O168" s="297"/>
      <c r="P168" s="297"/>
      <c r="Q168" s="297"/>
      <c r="R168" s="297"/>
      <c r="S168" s="297"/>
      <c r="T168" s="297"/>
      <c r="U168" s="297"/>
      <c r="V168" s="297"/>
      <c r="W168" s="297"/>
      <c r="X168" s="297"/>
      <c r="Y168" s="297"/>
      <c r="Z168" s="297"/>
      <c r="AA168" s="302">
        <f t="shared" si="20"/>
        <v>0</v>
      </c>
      <c r="AB168" s="296">
        <f t="shared" si="18"/>
        <v>0</v>
      </c>
    </row>
    <row r="169" spans="3:28" hidden="1" outlineLevel="2" x14ac:dyDescent="0.25">
      <c r="C169" s="387"/>
      <c r="D169" s="332" t="str">
        <f t="shared" si="19"/>
        <v>Наименование объекта / группы объектов 12</v>
      </c>
      <c r="E169" s="351" t="s">
        <v>13</v>
      </c>
      <c r="F169" s="297"/>
      <c r="G169" s="297"/>
      <c r="H169" s="297"/>
      <c r="I169" s="297"/>
      <c r="J169" s="297"/>
      <c r="K169" s="297"/>
      <c r="L169" s="297"/>
      <c r="M169" s="297"/>
      <c r="N169" s="297"/>
      <c r="O169" s="297"/>
      <c r="P169" s="297"/>
      <c r="Q169" s="297"/>
      <c r="R169" s="297"/>
      <c r="S169" s="297"/>
      <c r="T169" s="297"/>
      <c r="U169" s="297"/>
      <c r="V169" s="297"/>
      <c r="W169" s="297"/>
      <c r="X169" s="297"/>
      <c r="Y169" s="297"/>
      <c r="Z169" s="297"/>
      <c r="AA169" s="302">
        <f t="shared" si="20"/>
        <v>0</v>
      </c>
      <c r="AB169" s="296">
        <f t="shared" si="18"/>
        <v>0</v>
      </c>
    </row>
    <row r="170" spans="3:28" hidden="1" outlineLevel="2" x14ac:dyDescent="0.25">
      <c r="C170" s="387"/>
      <c r="D170" s="332" t="str">
        <f t="shared" si="19"/>
        <v>Наименование объекта / группы объектов 13</v>
      </c>
      <c r="E170" s="351" t="s">
        <v>13</v>
      </c>
      <c r="F170" s="297"/>
      <c r="G170" s="297"/>
      <c r="H170" s="297"/>
      <c r="I170" s="297"/>
      <c r="J170" s="297"/>
      <c r="K170" s="297"/>
      <c r="L170" s="297"/>
      <c r="M170" s="297"/>
      <c r="N170" s="297"/>
      <c r="O170" s="297"/>
      <c r="P170" s="297"/>
      <c r="Q170" s="297"/>
      <c r="R170" s="297"/>
      <c r="S170" s="297"/>
      <c r="T170" s="297"/>
      <c r="U170" s="297"/>
      <c r="V170" s="297"/>
      <c r="W170" s="297"/>
      <c r="X170" s="297"/>
      <c r="Y170" s="297"/>
      <c r="Z170" s="297"/>
      <c r="AA170" s="302">
        <f t="shared" si="20"/>
        <v>0</v>
      </c>
      <c r="AB170" s="296">
        <f t="shared" si="18"/>
        <v>0</v>
      </c>
    </row>
    <row r="171" spans="3:28" hidden="1" outlineLevel="2" x14ac:dyDescent="0.25">
      <c r="C171" s="387"/>
      <c r="D171" s="332" t="str">
        <f t="shared" si="19"/>
        <v>Наименование объекта / группы объектов 14</v>
      </c>
      <c r="E171" s="351" t="s">
        <v>13</v>
      </c>
      <c r="F171" s="297"/>
      <c r="G171" s="297"/>
      <c r="H171" s="297"/>
      <c r="I171" s="297"/>
      <c r="J171" s="297"/>
      <c r="K171" s="297"/>
      <c r="L171" s="297"/>
      <c r="M171" s="297"/>
      <c r="N171" s="297"/>
      <c r="O171" s="297"/>
      <c r="P171" s="297"/>
      <c r="Q171" s="297"/>
      <c r="R171" s="297"/>
      <c r="S171" s="297"/>
      <c r="T171" s="297"/>
      <c r="U171" s="297"/>
      <c r="V171" s="297"/>
      <c r="W171" s="297"/>
      <c r="X171" s="297"/>
      <c r="Y171" s="297"/>
      <c r="Z171" s="297"/>
      <c r="AA171" s="302">
        <f t="shared" si="20"/>
        <v>0</v>
      </c>
      <c r="AB171" s="296">
        <f t="shared" si="18"/>
        <v>0</v>
      </c>
    </row>
    <row r="172" spans="3:28" hidden="1" outlineLevel="2" x14ac:dyDescent="0.25">
      <c r="C172" s="387"/>
      <c r="D172" s="332" t="str">
        <f t="shared" si="19"/>
        <v>Наименование объекта / группы объектов 15</v>
      </c>
      <c r="E172" s="351" t="s">
        <v>13</v>
      </c>
      <c r="F172" s="297"/>
      <c r="G172" s="297"/>
      <c r="H172" s="297"/>
      <c r="I172" s="297"/>
      <c r="J172" s="297"/>
      <c r="K172" s="297"/>
      <c r="L172" s="297"/>
      <c r="M172" s="297"/>
      <c r="N172" s="297"/>
      <c r="O172" s="297"/>
      <c r="P172" s="297"/>
      <c r="Q172" s="297"/>
      <c r="R172" s="297"/>
      <c r="S172" s="297"/>
      <c r="T172" s="297"/>
      <c r="U172" s="297"/>
      <c r="V172" s="297"/>
      <c r="W172" s="297"/>
      <c r="X172" s="297"/>
      <c r="Y172" s="297"/>
      <c r="Z172" s="297"/>
      <c r="AA172" s="302">
        <f t="shared" si="20"/>
        <v>0</v>
      </c>
      <c r="AB172" s="298">
        <f t="shared" si="18"/>
        <v>0</v>
      </c>
    </row>
    <row r="173" spans="3:28" hidden="1" outlineLevel="2" x14ac:dyDescent="0.25">
      <c r="C173" s="387"/>
      <c r="D173" s="332" t="str">
        <f t="shared" si="19"/>
        <v>Наименование объекта / группы объектов 16</v>
      </c>
      <c r="E173" s="351" t="s">
        <v>13</v>
      </c>
      <c r="F173" s="297"/>
      <c r="G173" s="297"/>
      <c r="H173" s="297"/>
      <c r="I173" s="297"/>
      <c r="J173" s="297"/>
      <c r="K173" s="297"/>
      <c r="L173" s="297"/>
      <c r="M173" s="297"/>
      <c r="N173" s="297"/>
      <c r="O173" s="297"/>
      <c r="P173" s="297"/>
      <c r="Q173" s="297"/>
      <c r="R173" s="297"/>
      <c r="S173" s="297"/>
      <c r="T173" s="297"/>
      <c r="U173" s="297"/>
      <c r="V173" s="297"/>
      <c r="W173" s="297"/>
      <c r="X173" s="297"/>
      <c r="Y173" s="297"/>
      <c r="Z173" s="297"/>
      <c r="AA173" s="302">
        <f t="shared" si="20"/>
        <v>0</v>
      </c>
      <c r="AB173" s="298">
        <f t="shared" si="18"/>
        <v>0</v>
      </c>
    </row>
    <row r="174" spans="3:28" hidden="1" outlineLevel="2" x14ac:dyDescent="0.25">
      <c r="C174" s="387"/>
      <c r="D174" s="332" t="str">
        <f t="shared" si="19"/>
        <v>Наименование объекта / группы объектов 17</v>
      </c>
      <c r="E174" s="351" t="s">
        <v>13</v>
      </c>
      <c r="F174" s="297"/>
      <c r="G174" s="297"/>
      <c r="H174" s="297"/>
      <c r="I174" s="297"/>
      <c r="J174" s="297"/>
      <c r="K174" s="297"/>
      <c r="L174" s="297"/>
      <c r="M174" s="297"/>
      <c r="N174" s="297"/>
      <c r="O174" s="297"/>
      <c r="P174" s="297"/>
      <c r="Q174" s="297"/>
      <c r="R174" s="297"/>
      <c r="S174" s="297"/>
      <c r="T174" s="297"/>
      <c r="U174" s="297"/>
      <c r="V174" s="297"/>
      <c r="W174" s="297"/>
      <c r="X174" s="297"/>
      <c r="Y174" s="297"/>
      <c r="Z174" s="297"/>
      <c r="AA174" s="302">
        <f t="shared" si="20"/>
        <v>0</v>
      </c>
      <c r="AB174" s="296">
        <f t="shared" si="18"/>
        <v>0</v>
      </c>
    </row>
    <row r="175" spans="3:28" hidden="1" outlineLevel="2" x14ac:dyDescent="0.25">
      <c r="C175" s="387"/>
      <c r="D175" s="332" t="str">
        <f t="shared" si="19"/>
        <v>Наименование объекта / группы объектов 18</v>
      </c>
      <c r="E175" s="351" t="s">
        <v>13</v>
      </c>
      <c r="F175" s="297"/>
      <c r="G175" s="297"/>
      <c r="H175" s="297"/>
      <c r="I175" s="297"/>
      <c r="J175" s="297"/>
      <c r="K175" s="297"/>
      <c r="L175" s="297"/>
      <c r="M175" s="297"/>
      <c r="N175" s="297"/>
      <c r="O175" s="297"/>
      <c r="P175" s="297"/>
      <c r="Q175" s="297"/>
      <c r="R175" s="297"/>
      <c r="S175" s="297"/>
      <c r="T175" s="297"/>
      <c r="U175" s="297"/>
      <c r="V175" s="297"/>
      <c r="W175" s="297"/>
      <c r="X175" s="297"/>
      <c r="Y175" s="297"/>
      <c r="Z175" s="297"/>
      <c r="AA175" s="302">
        <f t="shared" si="20"/>
        <v>0</v>
      </c>
      <c r="AB175" s="296">
        <f t="shared" si="18"/>
        <v>0</v>
      </c>
    </row>
    <row r="176" spans="3:28" hidden="1" outlineLevel="2" x14ac:dyDescent="0.25">
      <c r="C176" s="387"/>
      <c r="D176" s="332" t="str">
        <f t="shared" si="19"/>
        <v>Наименование объекта / группы объектов 19</v>
      </c>
      <c r="E176" s="351" t="s">
        <v>13</v>
      </c>
      <c r="F176" s="297"/>
      <c r="G176" s="297"/>
      <c r="H176" s="297"/>
      <c r="I176" s="297"/>
      <c r="J176" s="297"/>
      <c r="K176" s="297"/>
      <c r="L176" s="297"/>
      <c r="M176" s="297"/>
      <c r="N176" s="297"/>
      <c r="O176" s="297"/>
      <c r="P176" s="297"/>
      <c r="Q176" s="297"/>
      <c r="R176" s="297"/>
      <c r="S176" s="297"/>
      <c r="T176" s="297"/>
      <c r="U176" s="297"/>
      <c r="V176" s="297"/>
      <c r="W176" s="297"/>
      <c r="X176" s="297"/>
      <c r="Y176" s="297"/>
      <c r="Z176" s="297"/>
      <c r="AA176" s="302">
        <f t="shared" si="20"/>
        <v>0</v>
      </c>
      <c r="AB176" s="296">
        <f t="shared" si="18"/>
        <v>0</v>
      </c>
    </row>
    <row r="177" spans="3:28" hidden="1" outlineLevel="2" x14ac:dyDescent="0.25">
      <c r="C177" s="387"/>
      <c r="D177" s="332" t="str">
        <f t="shared" si="19"/>
        <v>Наименование объекта / группы объектов 20</v>
      </c>
      <c r="E177" s="351" t="s">
        <v>13</v>
      </c>
      <c r="F177" s="297"/>
      <c r="G177" s="297"/>
      <c r="H177" s="297"/>
      <c r="I177" s="297"/>
      <c r="J177" s="297"/>
      <c r="K177" s="297"/>
      <c r="L177" s="297"/>
      <c r="M177" s="297"/>
      <c r="N177" s="297"/>
      <c r="O177" s="297"/>
      <c r="P177" s="297"/>
      <c r="Q177" s="297"/>
      <c r="R177" s="297"/>
      <c r="S177" s="297"/>
      <c r="T177" s="297"/>
      <c r="U177" s="297"/>
      <c r="V177" s="297"/>
      <c r="W177" s="297"/>
      <c r="X177" s="297"/>
      <c r="Y177" s="297"/>
      <c r="Z177" s="297"/>
      <c r="AA177" s="302">
        <f t="shared" si="20"/>
        <v>0</v>
      </c>
      <c r="AB177" s="296">
        <f t="shared" si="18"/>
        <v>0</v>
      </c>
    </row>
    <row r="178" spans="3:28" hidden="1" outlineLevel="2" x14ac:dyDescent="0.25">
      <c r="C178" s="387"/>
      <c r="D178" s="332" t="str">
        <f t="shared" si="19"/>
        <v>Наименование объекта / группы объектов 21</v>
      </c>
      <c r="E178" s="351" t="s">
        <v>13</v>
      </c>
      <c r="F178" s="297"/>
      <c r="G178" s="297"/>
      <c r="H178" s="297"/>
      <c r="I178" s="297"/>
      <c r="J178" s="297"/>
      <c r="K178" s="297"/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  <c r="V178" s="297"/>
      <c r="W178" s="297"/>
      <c r="X178" s="297"/>
      <c r="Y178" s="297"/>
      <c r="Z178" s="297"/>
      <c r="AA178" s="302">
        <f t="shared" si="20"/>
        <v>0</v>
      </c>
      <c r="AB178" s="296">
        <f t="shared" si="18"/>
        <v>0</v>
      </c>
    </row>
    <row r="179" spans="3:28" hidden="1" outlineLevel="2" x14ac:dyDescent="0.25">
      <c r="C179" s="387"/>
      <c r="D179" s="332" t="str">
        <f t="shared" si="19"/>
        <v>Наименование объекта / группы объектов 22</v>
      </c>
      <c r="E179" s="351" t="s">
        <v>13</v>
      </c>
      <c r="F179" s="297"/>
      <c r="G179" s="297"/>
      <c r="H179" s="297"/>
      <c r="I179" s="297"/>
      <c r="J179" s="297"/>
      <c r="K179" s="297"/>
      <c r="L179" s="297"/>
      <c r="M179" s="297"/>
      <c r="N179" s="297"/>
      <c r="O179" s="297"/>
      <c r="P179" s="297"/>
      <c r="Q179" s="297"/>
      <c r="R179" s="297"/>
      <c r="S179" s="297"/>
      <c r="T179" s="297"/>
      <c r="U179" s="297"/>
      <c r="V179" s="297"/>
      <c r="W179" s="297"/>
      <c r="X179" s="297"/>
      <c r="Y179" s="297"/>
      <c r="Z179" s="297"/>
      <c r="AA179" s="302">
        <f t="shared" si="20"/>
        <v>0</v>
      </c>
      <c r="AB179" s="296">
        <f t="shared" si="18"/>
        <v>0</v>
      </c>
    </row>
    <row r="180" spans="3:28" hidden="1" outlineLevel="2" x14ac:dyDescent="0.25">
      <c r="C180" s="387"/>
      <c r="D180" s="332" t="str">
        <f t="shared" si="19"/>
        <v>Наименование объекта / группы объектов 23</v>
      </c>
      <c r="E180" s="351" t="s">
        <v>13</v>
      </c>
      <c r="F180" s="297"/>
      <c r="G180" s="297"/>
      <c r="H180" s="297"/>
      <c r="I180" s="297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297"/>
      <c r="V180" s="297"/>
      <c r="W180" s="297"/>
      <c r="X180" s="297"/>
      <c r="Y180" s="297"/>
      <c r="Z180" s="297"/>
      <c r="AA180" s="302">
        <f t="shared" si="20"/>
        <v>0</v>
      </c>
      <c r="AB180" s="296">
        <f t="shared" si="18"/>
        <v>0</v>
      </c>
    </row>
    <row r="181" spans="3:28" hidden="1" outlineLevel="2" x14ac:dyDescent="0.25">
      <c r="C181" s="387"/>
      <c r="D181" s="332" t="str">
        <f t="shared" si="19"/>
        <v>Наименование объекта / группы объектов 24</v>
      </c>
      <c r="E181" s="351" t="s">
        <v>13</v>
      </c>
      <c r="F181" s="297"/>
      <c r="G181" s="297"/>
      <c r="H181" s="297"/>
      <c r="I181" s="297"/>
      <c r="J181" s="297"/>
      <c r="K181" s="297"/>
      <c r="L181" s="297"/>
      <c r="M181" s="297"/>
      <c r="N181" s="297"/>
      <c r="O181" s="297"/>
      <c r="P181" s="297"/>
      <c r="Q181" s="297"/>
      <c r="R181" s="297"/>
      <c r="S181" s="297"/>
      <c r="T181" s="297"/>
      <c r="U181" s="297"/>
      <c r="V181" s="297"/>
      <c r="W181" s="297"/>
      <c r="X181" s="297"/>
      <c r="Y181" s="297"/>
      <c r="Z181" s="297"/>
      <c r="AA181" s="302">
        <f t="shared" si="20"/>
        <v>0</v>
      </c>
      <c r="AB181" s="296">
        <f t="shared" si="18"/>
        <v>0</v>
      </c>
    </row>
    <row r="182" spans="3:28" hidden="1" outlineLevel="2" x14ac:dyDescent="0.25">
      <c r="C182" s="387"/>
      <c r="D182" s="332" t="str">
        <f t="shared" si="19"/>
        <v>Наименование объекта / группы объектов 25</v>
      </c>
      <c r="E182" s="351" t="s">
        <v>13</v>
      </c>
      <c r="F182" s="297"/>
      <c r="G182" s="297"/>
      <c r="H182" s="297"/>
      <c r="I182" s="297"/>
      <c r="J182" s="297"/>
      <c r="K182" s="297"/>
      <c r="L182" s="297"/>
      <c r="M182" s="297"/>
      <c r="N182" s="297"/>
      <c r="O182" s="297"/>
      <c r="P182" s="297"/>
      <c r="Q182" s="297"/>
      <c r="R182" s="297"/>
      <c r="S182" s="297"/>
      <c r="T182" s="297"/>
      <c r="U182" s="297"/>
      <c r="V182" s="297"/>
      <c r="W182" s="297"/>
      <c r="X182" s="297"/>
      <c r="Y182" s="297"/>
      <c r="Z182" s="297"/>
      <c r="AA182" s="302">
        <f t="shared" si="20"/>
        <v>0</v>
      </c>
      <c r="AB182" s="296">
        <f t="shared" si="18"/>
        <v>0</v>
      </c>
    </row>
    <row r="183" spans="3:28" hidden="1" outlineLevel="1" collapsed="1" x14ac:dyDescent="0.3">
      <c r="C183" s="388"/>
      <c r="D183" s="352" t="s">
        <v>109</v>
      </c>
      <c r="E183" s="353" t="s">
        <v>13</v>
      </c>
      <c r="F183" s="353"/>
      <c r="G183" s="353"/>
      <c r="H183" s="353"/>
      <c r="I183" s="353"/>
      <c r="J183" s="353"/>
      <c r="K183" s="353"/>
      <c r="L183" s="353"/>
      <c r="M183" s="353"/>
      <c r="N183" s="353"/>
      <c r="O183" s="353"/>
      <c r="P183" s="353"/>
      <c r="Q183" s="353"/>
      <c r="R183" s="353"/>
      <c r="S183" s="353"/>
      <c r="T183" s="353"/>
      <c r="U183" s="353"/>
      <c r="V183" s="353"/>
      <c r="W183" s="353"/>
      <c r="X183" s="353"/>
      <c r="Y183" s="353"/>
      <c r="Z183" s="353"/>
      <c r="AA183" s="353"/>
      <c r="AB183" s="296"/>
    </row>
    <row r="184" spans="3:28" hidden="1" outlineLevel="1" x14ac:dyDescent="0.25">
      <c r="C184" s="387"/>
      <c r="D184" s="332" t="str">
        <f>D24</f>
        <v>Центр РАН и НИЦ интегральной электроники</v>
      </c>
      <c r="E184" s="351" t="s">
        <v>13</v>
      </c>
      <c r="F184" s="297"/>
      <c r="G184" s="297"/>
      <c r="H184" s="297"/>
      <c r="I184" s="297"/>
      <c r="J184" s="297"/>
      <c r="K184" s="297"/>
      <c r="L184" s="297"/>
      <c r="M184" s="297"/>
      <c r="N184" s="297"/>
      <c r="O184" s="297"/>
      <c r="P184" s="297"/>
      <c r="Q184" s="297"/>
      <c r="R184" s="297"/>
      <c r="S184" s="297"/>
      <c r="T184" s="297"/>
      <c r="U184" s="297"/>
      <c r="V184" s="297"/>
      <c r="W184" s="297"/>
      <c r="X184" s="297"/>
      <c r="Y184" s="297"/>
      <c r="Z184" s="297"/>
      <c r="AA184" s="301">
        <f>IFERROR(AVERAGE(J184:Z184),0)</f>
        <v>0</v>
      </c>
      <c r="AB184" s="296">
        <f t="shared" ref="AB184:AB208" si="21">AA184/1000</f>
        <v>0</v>
      </c>
    </row>
    <row r="185" spans="3:28" hidden="1" outlineLevel="1" x14ac:dyDescent="0.25">
      <c r="C185" s="387"/>
      <c r="D185" s="332" t="str">
        <f t="shared" ref="D185:D208" si="22">D25</f>
        <v xml:space="preserve">Университет МИРЭА
</v>
      </c>
      <c r="E185" s="351" t="s">
        <v>13</v>
      </c>
      <c r="F185" s="297"/>
      <c r="G185" s="297"/>
      <c r="H185" s="297"/>
      <c r="I185" s="297"/>
      <c r="J185" s="297"/>
      <c r="K185" s="297"/>
      <c r="L185" s="297"/>
      <c r="M185" s="297"/>
      <c r="N185" s="297"/>
      <c r="O185" s="297"/>
      <c r="P185" s="297"/>
      <c r="Q185" s="297"/>
      <c r="R185" s="297"/>
      <c r="S185" s="297"/>
      <c r="T185" s="297"/>
      <c r="U185" s="297"/>
      <c r="V185" s="297"/>
      <c r="W185" s="297"/>
      <c r="X185" s="297"/>
      <c r="Y185" s="297"/>
      <c r="Z185" s="297"/>
      <c r="AA185" s="301">
        <f t="shared" ref="AA185:AA208" si="23">IFERROR(AVERAGE(J185:Z185),0)</f>
        <v>0</v>
      </c>
      <c r="AB185" s="298">
        <f t="shared" si="21"/>
        <v>0</v>
      </c>
    </row>
    <row r="186" spans="3:28" hidden="1" outlineLevel="1" x14ac:dyDescent="0.25">
      <c r="C186" s="387"/>
      <c r="D186" s="332" t="str">
        <f t="shared" si="22"/>
        <v>Технологический центр</v>
      </c>
      <c r="E186" s="351" t="s">
        <v>13</v>
      </c>
      <c r="F186" s="297"/>
      <c r="G186" s="297"/>
      <c r="H186" s="297"/>
      <c r="I186" s="297"/>
      <c r="J186" s="297"/>
      <c r="K186" s="297"/>
      <c r="L186" s="297"/>
      <c r="M186" s="297"/>
      <c r="N186" s="297"/>
      <c r="O186" s="297"/>
      <c r="P186" s="297"/>
      <c r="Q186" s="297"/>
      <c r="R186" s="297"/>
      <c r="S186" s="297"/>
      <c r="T186" s="297"/>
      <c r="U186" s="297"/>
      <c r="V186" s="297"/>
      <c r="W186" s="297"/>
      <c r="X186" s="297"/>
      <c r="Y186" s="297"/>
      <c r="Z186" s="297"/>
      <c r="AA186" s="301">
        <f t="shared" si="23"/>
        <v>0</v>
      </c>
      <c r="AB186" s="296">
        <f t="shared" si="21"/>
        <v>0</v>
      </c>
    </row>
    <row r="187" spans="3:28" hidden="1" outlineLevel="1" x14ac:dyDescent="0.25">
      <c r="C187" s="387"/>
      <c r="D187" s="332" t="str">
        <f t="shared" si="22"/>
        <v>Спортивный центр</v>
      </c>
      <c r="E187" s="351" t="s">
        <v>13</v>
      </c>
      <c r="F187" s="297"/>
      <c r="G187" s="297"/>
      <c r="H187" s="297"/>
      <c r="I187" s="297"/>
      <c r="J187" s="297"/>
      <c r="K187" s="297"/>
      <c r="L187" s="297"/>
      <c r="M187" s="297"/>
      <c r="N187" s="297"/>
      <c r="O187" s="297"/>
      <c r="P187" s="297"/>
      <c r="Q187" s="297"/>
      <c r="R187" s="297"/>
      <c r="S187" s="297"/>
      <c r="T187" s="297"/>
      <c r="U187" s="297"/>
      <c r="V187" s="297"/>
      <c r="W187" s="297"/>
      <c r="X187" s="297"/>
      <c r="Y187" s="297"/>
      <c r="Z187" s="297"/>
      <c r="AA187" s="301">
        <f t="shared" si="23"/>
        <v>0</v>
      </c>
      <c r="AB187" s="296">
        <f t="shared" si="21"/>
        <v>0</v>
      </c>
    </row>
    <row r="188" spans="3:28" hidden="1" outlineLevel="1" x14ac:dyDescent="0.25">
      <c r="C188" s="387"/>
      <c r="D188" s="332" t="str">
        <f t="shared" si="22"/>
        <v>Гостиничный комплекс</v>
      </c>
      <c r="E188" s="351" t="s">
        <v>13</v>
      </c>
      <c r="F188" s="297"/>
      <c r="G188" s="297"/>
      <c r="H188" s="297"/>
      <c r="I188" s="297"/>
      <c r="J188" s="297"/>
      <c r="K188" s="297"/>
      <c r="L188" s="297"/>
      <c r="M188" s="297"/>
      <c r="N188" s="297"/>
      <c r="O188" s="297"/>
      <c r="P188" s="297"/>
      <c r="Q188" s="297"/>
      <c r="R188" s="297"/>
      <c r="S188" s="297"/>
      <c r="T188" s="297"/>
      <c r="U188" s="297"/>
      <c r="V188" s="297"/>
      <c r="W188" s="297"/>
      <c r="X188" s="297"/>
      <c r="Y188" s="297"/>
      <c r="Z188" s="297"/>
      <c r="AA188" s="301">
        <f t="shared" si="23"/>
        <v>0</v>
      </c>
      <c r="AB188" s="296">
        <f t="shared" si="21"/>
        <v>0</v>
      </c>
    </row>
    <row r="189" spans="3:28" hidden="1" outlineLevel="1" x14ac:dyDescent="0.25">
      <c r="C189" s="387"/>
      <c r="D189" s="332" t="str">
        <f t="shared" si="22"/>
        <v>Наименование объекта / группы объектов 6</v>
      </c>
      <c r="E189" s="351" t="s">
        <v>13</v>
      </c>
      <c r="F189" s="297"/>
      <c r="G189" s="297"/>
      <c r="H189" s="297"/>
      <c r="I189" s="297"/>
      <c r="J189" s="297"/>
      <c r="K189" s="297"/>
      <c r="L189" s="297"/>
      <c r="M189" s="297"/>
      <c r="N189" s="297"/>
      <c r="O189" s="297"/>
      <c r="P189" s="297"/>
      <c r="Q189" s="297"/>
      <c r="R189" s="297"/>
      <c r="S189" s="297"/>
      <c r="T189" s="297"/>
      <c r="U189" s="297"/>
      <c r="V189" s="297"/>
      <c r="W189" s="297"/>
      <c r="X189" s="297"/>
      <c r="Y189" s="297"/>
      <c r="Z189" s="297"/>
      <c r="AA189" s="301">
        <f t="shared" si="23"/>
        <v>0</v>
      </c>
      <c r="AB189" s="296">
        <f t="shared" si="21"/>
        <v>0</v>
      </c>
    </row>
    <row r="190" spans="3:28" hidden="1" outlineLevel="1" x14ac:dyDescent="0.25">
      <c r="C190" s="387"/>
      <c r="D190" s="332" t="str">
        <f t="shared" si="22"/>
        <v>Наименование объекта / группы объектов 7</v>
      </c>
      <c r="E190" s="351" t="s">
        <v>13</v>
      </c>
      <c r="F190" s="297"/>
      <c r="G190" s="297"/>
      <c r="H190" s="297"/>
      <c r="I190" s="297"/>
      <c r="J190" s="297"/>
      <c r="K190" s="297"/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  <c r="V190" s="297"/>
      <c r="W190" s="297"/>
      <c r="X190" s="297"/>
      <c r="Y190" s="297"/>
      <c r="Z190" s="297"/>
      <c r="AA190" s="301">
        <f t="shared" si="23"/>
        <v>0</v>
      </c>
      <c r="AB190" s="296">
        <f t="shared" si="21"/>
        <v>0</v>
      </c>
    </row>
    <row r="191" spans="3:28" hidden="1" outlineLevel="1" x14ac:dyDescent="0.25">
      <c r="C191" s="387"/>
      <c r="D191" s="332" t="str">
        <f t="shared" si="22"/>
        <v>Наименование объекта / группы объектов 8</v>
      </c>
      <c r="E191" s="351" t="s">
        <v>13</v>
      </c>
      <c r="F191" s="297"/>
      <c r="G191" s="297"/>
      <c r="H191" s="297"/>
      <c r="I191" s="297"/>
      <c r="J191" s="297"/>
      <c r="K191" s="297"/>
      <c r="L191" s="297"/>
      <c r="M191" s="297"/>
      <c r="N191" s="297"/>
      <c r="O191" s="297"/>
      <c r="P191" s="297"/>
      <c r="Q191" s="297"/>
      <c r="R191" s="297"/>
      <c r="S191" s="297"/>
      <c r="T191" s="297"/>
      <c r="U191" s="297"/>
      <c r="V191" s="297"/>
      <c r="W191" s="297"/>
      <c r="X191" s="297"/>
      <c r="Y191" s="297"/>
      <c r="Z191" s="297"/>
      <c r="AA191" s="301">
        <f t="shared" si="23"/>
        <v>0</v>
      </c>
      <c r="AB191" s="296">
        <f t="shared" si="21"/>
        <v>0</v>
      </c>
    </row>
    <row r="192" spans="3:28" hidden="1" outlineLevel="1" x14ac:dyDescent="0.25">
      <c r="C192" s="387"/>
      <c r="D192" s="332" t="str">
        <f t="shared" si="22"/>
        <v>Наименование объекта / группы объектов 9</v>
      </c>
      <c r="E192" s="351" t="s">
        <v>13</v>
      </c>
      <c r="F192" s="297"/>
      <c r="G192" s="297"/>
      <c r="H192" s="297"/>
      <c r="I192" s="297"/>
      <c r="J192" s="297"/>
      <c r="K192" s="297"/>
      <c r="L192" s="297"/>
      <c r="M192" s="297"/>
      <c r="N192" s="297"/>
      <c r="O192" s="297"/>
      <c r="P192" s="297"/>
      <c r="Q192" s="297"/>
      <c r="R192" s="297"/>
      <c r="S192" s="297"/>
      <c r="T192" s="297"/>
      <c r="U192" s="297"/>
      <c r="V192" s="297"/>
      <c r="W192" s="297"/>
      <c r="X192" s="297"/>
      <c r="Y192" s="297"/>
      <c r="Z192" s="297"/>
      <c r="AA192" s="301">
        <f t="shared" si="23"/>
        <v>0</v>
      </c>
      <c r="AB192" s="296">
        <f t="shared" si="21"/>
        <v>0</v>
      </c>
    </row>
    <row r="193" spans="3:28" hidden="1" outlineLevel="1" x14ac:dyDescent="0.25">
      <c r="C193" s="387"/>
      <c r="D193" s="332" t="str">
        <f t="shared" si="22"/>
        <v>Наименование объекта / группы объектов 10</v>
      </c>
      <c r="E193" s="351" t="s">
        <v>13</v>
      </c>
      <c r="F193" s="297"/>
      <c r="G193" s="297"/>
      <c r="H193" s="297"/>
      <c r="I193" s="297"/>
      <c r="J193" s="297"/>
      <c r="K193" s="297"/>
      <c r="L193" s="297"/>
      <c r="M193" s="297"/>
      <c r="N193" s="297"/>
      <c r="O193" s="297"/>
      <c r="P193" s="297"/>
      <c r="Q193" s="297"/>
      <c r="R193" s="297"/>
      <c r="S193" s="297"/>
      <c r="T193" s="297"/>
      <c r="U193" s="297"/>
      <c r="V193" s="297"/>
      <c r="W193" s="297"/>
      <c r="X193" s="297"/>
      <c r="Y193" s="297"/>
      <c r="Z193" s="297"/>
      <c r="AA193" s="301">
        <f t="shared" si="23"/>
        <v>0</v>
      </c>
      <c r="AB193" s="296">
        <f t="shared" si="21"/>
        <v>0</v>
      </c>
    </row>
    <row r="194" spans="3:28" hidden="1" outlineLevel="1" x14ac:dyDescent="0.25">
      <c r="C194" s="387"/>
      <c r="D194" s="332" t="str">
        <f t="shared" si="22"/>
        <v>Наименование объекта / группы объектов 11</v>
      </c>
      <c r="E194" s="351" t="s">
        <v>13</v>
      </c>
      <c r="F194" s="297"/>
      <c r="G194" s="297"/>
      <c r="H194" s="297"/>
      <c r="I194" s="297"/>
      <c r="J194" s="297"/>
      <c r="K194" s="297"/>
      <c r="L194" s="297"/>
      <c r="M194" s="297"/>
      <c r="N194" s="297"/>
      <c r="O194" s="297"/>
      <c r="P194" s="297"/>
      <c r="Q194" s="297"/>
      <c r="R194" s="297"/>
      <c r="S194" s="297"/>
      <c r="T194" s="297"/>
      <c r="U194" s="297"/>
      <c r="V194" s="297"/>
      <c r="W194" s="297"/>
      <c r="X194" s="297"/>
      <c r="Y194" s="297"/>
      <c r="Z194" s="297"/>
      <c r="AA194" s="301">
        <f t="shared" si="23"/>
        <v>0</v>
      </c>
      <c r="AB194" s="296">
        <f t="shared" si="21"/>
        <v>0</v>
      </c>
    </row>
    <row r="195" spans="3:28" hidden="1" outlineLevel="1" x14ac:dyDescent="0.25">
      <c r="C195" s="387"/>
      <c r="D195" s="332" t="str">
        <f t="shared" si="22"/>
        <v>Наименование объекта / группы объектов 12</v>
      </c>
      <c r="E195" s="351" t="s">
        <v>13</v>
      </c>
      <c r="F195" s="297"/>
      <c r="G195" s="297"/>
      <c r="H195" s="297"/>
      <c r="I195" s="297"/>
      <c r="J195" s="297"/>
      <c r="K195" s="297"/>
      <c r="L195" s="297"/>
      <c r="M195" s="297"/>
      <c r="N195" s="297"/>
      <c r="O195" s="297"/>
      <c r="P195" s="297"/>
      <c r="Q195" s="297"/>
      <c r="R195" s="297"/>
      <c r="S195" s="297"/>
      <c r="T195" s="297"/>
      <c r="U195" s="297"/>
      <c r="V195" s="297"/>
      <c r="W195" s="297"/>
      <c r="X195" s="297"/>
      <c r="Y195" s="297"/>
      <c r="Z195" s="297"/>
      <c r="AA195" s="301">
        <f t="shared" si="23"/>
        <v>0</v>
      </c>
      <c r="AB195" s="296">
        <f t="shared" si="21"/>
        <v>0</v>
      </c>
    </row>
    <row r="196" spans="3:28" hidden="1" outlineLevel="1" x14ac:dyDescent="0.25">
      <c r="C196" s="387"/>
      <c r="D196" s="332" t="str">
        <f t="shared" si="22"/>
        <v>Наименование объекта / группы объектов 13</v>
      </c>
      <c r="E196" s="351" t="s">
        <v>13</v>
      </c>
      <c r="F196" s="297"/>
      <c r="G196" s="297"/>
      <c r="H196" s="297"/>
      <c r="I196" s="297"/>
      <c r="J196" s="297"/>
      <c r="K196" s="297"/>
      <c r="L196" s="297"/>
      <c r="M196" s="297"/>
      <c r="N196" s="297"/>
      <c r="O196" s="297"/>
      <c r="P196" s="297"/>
      <c r="Q196" s="297"/>
      <c r="R196" s="297"/>
      <c r="S196" s="297"/>
      <c r="T196" s="297"/>
      <c r="U196" s="297"/>
      <c r="V196" s="297"/>
      <c r="W196" s="297"/>
      <c r="X196" s="297"/>
      <c r="Y196" s="297"/>
      <c r="Z196" s="297"/>
      <c r="AA196" s="301">
        <f t="shared" si="23"/>
        <v>0</v>
      </c>
      <c r="AB196" s="296">
        <f t="shared" si="21"/>
        <v>0</v>
      </c>
    </row>
    <row r="197" spans="3:28" hidden="1" outlineLevel="1" x14ac:dyDescent="0.25">
      <c r="C197" s="387"/>
      <c r="D197" s="332" t="str">
        <f t="shared" si="22"/>
        <v>Наименование объекта / группы объектов 14</v>
      </c>
      <c r="E197" s="351" t="s">
        <v>13</v>
      </c>
      <c r="F197" s="297"/>
      <c r="G197" s="297"/>
      <c r="H197" s="297"/>
      <c r="I197" s="297"/>
      <c r="J197" s="297"/>
      <c r="K197" s="297"/>
      <c r="L197" s="297"/>
      <c r="M197" s="297"/>
      <c r="N197" s="297"/>
      <c r="O197" s="297"/>
      <c r="P197" s="297"/>
      <c r="Q197" s="297"/>
      <c r="R197" s="297"/>
      <c r="S197" s="297"/>
      <c r="T197" s="297"/>
      <c r="U197" s="297"/>
      <c r="V197" s="297"/>
      <c r="W197" s="297"/>
      <c r="X197" s="297"/>
      <c r="Y197" s="297"/>
      <c r="Z197" s="297"/>
      <c r="AA197" s="301">
        <f t="shared" si="23"/>
        <v>0</v>
      </c>
      <c r="AB197" s="296">
        <f t="shared" si="21"/>
        <v>0</v>
      </c>
    </row>
    <row r="198" spans="3:28" hidden="1" outlineLevel="1" x14ac:dyDescent="0.25">
      <c r="C198" s="387"/>
      <c r="D198" s="332" t="str">
        <f t="shared" si="22"/>
        <v>Наименование объекта / группы объектов 15</v>
      </c>
      <c r="E198" s="351" t="s">
        <v>13</v>
      </c>
      <c r="F198" s="297"/>
      <c r="G198" s="297"/>
      <c r="H198" s="297"/>
      <c r="I198" s="297"/>
      <c r="J198" s="297"/>
      <c r="K198" s="297"/>
      <c r="L198" s="297"/>
      <c r="M198" s="297"/>
      <c r="N198" s="297"/>
      <c r="O198" s="297"/>
      <c r="P198" s="297"/>
      <c r="Q198" s="297"/>
      <c r="R198" s="297"/>
      <c r="S198" s="297"/>
      <c r="T198" s="297"/>
      <c r="U198" s="297"/>
      <c r="V198" s="297"/>
      <c r="W198" s="297"/>
      <c r="X198" s="297"/>
      <c r="Y198" s="297"/>
      <c r="Z198" s="297"/>
      <c r="AA198" s="301">
        <f t="shared" si="23"/>
        <v>0</v>
      </c>
      <c r="AB198" s="296">
        <f t="shared" si="21"/>
        <v>0</v>
      </c>
    </row>
    <row r="199" spans="3:28" hidden="1" outlineLevel="1" x14ac:dyDescent="0.25">
      <c r="C199" s="387"/>
      <c r="D199" s="332" t="str">
        <f t="shared" si="22"/>
        <v>Наименование объекта / группы объектов 16</v>
      </c>
      <c r="E199" s="351" t="s">
        <v>13</v>
      </c>
      <c r="F199" s="297"/>
      <c r="G199" s="297"/>
      <c r="H199" s="297"/>
      <c r="I199" s="297"/>
      <c r="J199" s="297"/>
      <c r="K199" s="297"/>
      <c r="L199" s="297"/>
      <c r="M199" s="297"/>
      <c r="N199" s="297"/>
      <c r="O199" s="297"/>
      <c r="P199" s="297"/>
      <c r="Q199" s="297"/>
      <c r="R199" s="297"/>
      <c r="S199" s="297"/>
      <c r="T199" s="297"/>
      <c r="U199" s="297"/>
      <c r="V199" s="297"/>
      <c r="W199" s="297"/>
      <c r="X199" s="297"/>
      <c r="Y199" s="297"/>
      <c r="Z199" s="297"/>
      <c r="AA199" s="301">
        <f t="shared" si="23"/>
        <v>0</v>
      </c>
      <c r="AB199" s="298">
        <f t="shared" si="21"/>
        <v>0</v>
      </c>
    </row>
    <row r="200" spans="3:28" hidden="1" outlineLevel="1" x14ac:dyDescent="0.25">
      <c r="C200" s="387"/>
      <c r="D200" s="332" t="str">
        <f t="shared" si="22"/>
        <v>Наименование объекта / группы объектов 17</v>
      </c>
      <c r="E200" s="351" t="s">
        <v>13</v>
      </c>
      <c r="F200" s="297"/>
      <c r="G200" s="297"/>
      <c r="H200" s="297"/>
      <c r="I200" s="297"/>
      <c r="J200" s="297"/>
      <c r="K200" s="297"/>
      <c r="L200" s="297"/>
      <c r="M200" s="297"/>
      <c r="N200" s="297"/>
      <c r="O200" s="297"/>
      <c r="P200" s="297"/>
      <c r="Q200" s="297"/>
      <c r="R200" s="297"/>
      <c r="S200" s="297"/>
      <c r="T200" s="297"/>
      <c r="U200" s="297"/>
      <c r="V200" s="297"/>
      <c r="W200" s="297"/>
      <c r="X200" s="297"/>
      <c r="Y200" s="297"/>
      <c r="Z200" s="297"/>
      <c r="AA200" s="301">
        <f t="shared" si="23"/>
        <v>0</v>
      </c>
      <c r="AB200" s="298">
        <f t="shared" si="21"/>
        <v>0</v>
      </c>
    </row>
    <row r="201" spans="3:28" hidden="1" outlineLevel="1" x14ac:dyDescent="0.25">
      <c r="C201" s="387"/>
      <c r="D201" s="332" t="str">
        <f t="shared" si="22"/>
        <v>Наименование объекта / группы объектов 18</v>
      </c>
      <c r="E201" s="351" t="s">
        <v>13</v>
      </c>
      <c r="F201" s="297"/>
      <c r="G201" s="297"/>
      <c r="H201" s="297"/>
      <c r="I201" s="297"/>
      <c r="J201" s="297"/>
      <c r="K201" s="297"/>
      <c r="L201" s="297"/>
      <c r="M201" s="297"/>
      <c r="N201" s="297"/>
      <c r="O201" s="297"/>
      <c r="P201" s="297"/>
      <c r="Q201" s="297"/>
      <c r="R201" s="297"/>
      <c r="S201" s="297"/>
      <c r="T201" s="297"/>
      <c r="U201" s="297"/>
      <c r="V201" s="297"/>
      <c r="W201" s="297"/>
      <c r="X201" s="297"/>
      <c r="Y201" s="297"/>
      <c r="Z201" s="297"/>
      <c r="AA201" s="301">
        <f t="shared" si="23"/>
        <v>0</v>
      </c>
      <c r="AB201" s="296">
        <f t="shared" si="21"/>
        <v>0</v>
      </c>
    </row>
    <row r="202" spans="3:28" hidden="1" outlineLevel="1" x14ac:dyDescent="0.25">
      <c r="C202" s="387"/>
      <c r="D202" s="332" t="str">
        <f t="shared" si="22"/>
        <v>Наименование объекта / группы объектов 19</v>
      </c>
      <c r="E202" s="351" t="s">
        <v>13</v>
      </c>
      <c r="F202" s="297"/>
      <c r="G202" s="297"/>
      <c r="H202" s="297"/>
      <c r="I202" s="297"/>
      <c r="J202" s="297"/>
      <c r="K202" s="297"/>
      <c r="L202" s="297"/>
      <c r="M202" s="297"/>
      <c r="N202" s="297"/>
      <c r="O202" s="297"/>
      <c r="P202" s="297"/>
      <c r="Q202" s="297"/>
      <c r="R202" s="297"/>
      <c r="S202" s="297"/>
      <c r="T202" s="297"/>
      <c r="U202" s="297"/>
      <c r="V202" s="297"/>
      <c r="W202" s="297"/>
      <c r="X202" s="297"/>
      <c r="Y202" s="297"/>
      <c r="Z202" s="297"/>
      <c r="AA202" s="301">
        <f t="shared" si="23"/>
        <v>0</v>
      </c>
      <c r="AB202" s="296">
        <f t="shared" si="21"/>
        <v>0</v>
      </c>
    </row>
    <row r="203" spans="3:28" hidden="1" outlineLevel="1" x14ac:dyDescent="0.25">
      <c r="C203" s="387"/>
      <c r="D203" s="332" t="str">
        <f t="shared" si="22"/>
        <v>Наименование объекта / группы объектов 20</v>
      </c>
      <c r="E203" s="351" t="s">
        <v>13</v>
      </c>
      <c r="F203" s="297"/>
      <c r="G203" s="297"/>
      <c r="H203" s="297"/>
      <c r="I203" s="297"/>
      <c r="J203" s="297"/>
      <c r="K203" s="297"/>
      <c r="L203" s="297"/>
      <c r="M203" s="297"/>
      <c r="N203" s="297"/>
      <c r="O203" s="297"/>
      <c r="P203" s="297"/>
      <c r="Q203" s="297"/>
      <c r="R203" s="297"/>
      <c r="S203" s="297"/>
      <c r="T203" s="297"/>
      <c r="U203" s="297"/>
      <c r="V203" s="297"/>
      <c r="W203" s="297"/>
      <c r="X203" s="297"/>
      <c r="Y203" s="297"/>
      <c r="Z203" s="297"/>
      <c r="AA203" s="301">
        <f t="shared" si="23"/>
        <v>0</v>
      </c>
      <c r="AB203" s="296">
        <f t="shared" si="21"/>
        <v>0</v>
      </c>
    </row>
    <row r="204" spans="3:28" hidden="1" outlineLevel="1" x14ac:dyDescent="0.25">
      <c r="C204" s="387"/>
      <c r="D204" s="332" t="str">
        <f t="shared" si="22"/>
        <v>Наименование объекта / группы объектов 21</v>
      </c>
      <c r="E204" s="351" t="s">
        <v>13</v>
      </c>
      <c r="F204" s="297"/>
      <c r="G204" s="297"/>
      <c r="H204" s="297"/>
      <c r="I204" s="297"/>
      <c r="J204" s="297"/>
      <c r="K204" s="297"/>
      <c r="L204" s="297"/>
      <c r="M204" s="297"/>
      <c r="N204" s="297"/>
      <c r="O204" s="297"/>
      <c r="P204" s="297"/>
      <c r="Q204" s="297"/>
      <c r="R204" s="297"/>
      <c r="S204" s="297"/>
      <c r="T204" s="297"/>
      <c r="U204" s="297"/>
      <c r="V204" s="297"/>
      <c r="W204" s="297"/>
      <c r="X204" s="297"/>
      <c r="Y204" s="297"/>
      <c r="Z204" s="297"/>
      <c r="AA204" s="301">
        <f t="shared" si="23"/>
        <v>0</v>
      </c>
      <c r="AB204" s="296">
        <f t="shared" si="21"/>
        <v>0</v>
      </c>
    </row>
    <row r="205" spans="3:28" hidden="1" outlineLevel="1" x14ac:dyDescent="0.25">
      <c r="C205" s="387"/>
      <c r="D205" s="332" t="str">
        <f t="shared" si="22"/>
        <v>Наименование объекта / группы объектов 22</v>
      </c>
      <c r="E205" s="351" t="s">
        <v>13</v>
      </c>
      <c r="F205" s="297"/>
      <c r="G205" s="297"/>
      <c r="H205" s="297"/>
      <c r="I205" s="297"/>
      <c r="J205" s="297"/>
      <c r="K205" s="297"/>
      <c r="L205" s="297"/>
      <c r="M205" s="297"/>
      <c r="N205" s="297"/>
      <c r="O205" s="297"/>
      <c r="P205" s="297"/>
      <c r="Q205" s="297"/>
      <c r="R205" s="297"/>
      <c r="S205" s="297"/>
      <c r="T205" s="297"/>
      <c r="U205" s="297"/>
      <c r="V205" s="297"/>
      <c r="W205" s="297"/>
      <c r="X205" s="297"/>
      <c r="Y205" s="297"/>
      <c r="Z205" s="297"/>
      <c r="AA205" s="301">
        <f t="shared" si="23"/>
        <v>0</v>
      </c>
      <c r="AB205" s="296">
        <f t="shared" si="21"/>
        <v>0</v>
      </c>
    </row>
    <row r="206" spans="3:28" hidden="1" outlineLevel="1" x14ac:dyDescent="0.25">
      <c r="C206" s="387"/>
      <c r="D206" s="332" t="str">
        <f t="shared" si="22"/>
        <v>Наименование объекта / группы объектов 23</v>
      </c>
      <c r="E206" s="351" t="s">
        <v>13</v>
      </c>
      <c r="F206" s="297"/>
      <c r="G206" s="297"/>
      <c r="H206" s="297"/>
      <c r="I206" s="297"/>
      <c r="J206" s="297"/>
      <c r="K206" s="297"/>
      <c r="L206" s="297"/>
      <c r="M206" s="297"/>
      <c r="N206" s="297"/>
      <c r="O206" s="297"/>
      <c r="P206" s="297"/>
      <c r="Q206" s="297"/>
      <c r="R206" s="297"/>
      <c r="S206" s="297"/>
      <c r="T206" s="297"/>
      <c r="U206" s="297"/>
      <c r="V206" s="297"/>
      <c r="W206" s="297"/>
      <c r="X206" s="297"/>
      <c r="Y206" s="297"/>
      <c r="Z206" s="297"/>
      <c r="AA206" s="301">
        <f t="shared" si="23"/>
        <v>0</v>
      </c>
      <c r="AB206" s="296">
        <f t="shared" si="21"/>
        <v>0</v>
      </c>
    </row>
    <row r="207" spans="3:28" hidden="1" outlineLevel="1" x14ac:dyDescent="0.25">
      <c r="C207" s="387"/>
      <c r="D207" s="332" t="str">
        <f t="shared" si="22"/>
        <v>Наименование объекта / группы объектов 24</v>
      </c>
      <c r="E207" s="351" t="s">
        <v>13</v>
      </c>
      <c r="F207" s="297"/>
      <c r="G207" s="297"/>
      <c r="H207" s="297"/>
      <c r="I207" s="297"/>
      <c r="J207" s="297"/>
      <c r="K207" s="297"/>
      <c r="L207" s="297"/>
      <c r="M207" s="297"/>
      <c r="N207" s="297"/>
      <c r="O207" s="297"/>
      <c r="P207" s="297"/>
      <c r="Q207" s="297"/>
      <c r="R207" s="297"/>
      <c r="S207" s="297"/>
      <c r="T207" s="297"/>
      <c r="U207" s="297"/>
      <c r="V207" s="297"/>
      <c r="W207" s="297"/>
      <c r="X207" s="297"/>
      <c r="Y207" s="297"/>
      <c r="Z207" s="297"/>
      <c r="AA207" s="301">
        <f t="shared" si="23"/>
        <v>0</v>
      </c>
      <c r="AB207" s="296">
        <f t="shared" si="21"/>
        <v>0</v>
      </c>
    </row>
    <row r="208" spans="3:28" hidden="1" outlineLevel="1" x14ac:dyDescent="0.25">
      <c r="C208" s="387"/>
      <c r="D208" s="332" t="str">
        <f t="shared" si="22"/>
        <v>Наименование объекта / группы объектов 25</v>
      </c>
      <c r="E208" s="351" t="s">
        <v>13</v>
      </c>
      <c r="F208" s="297"/>
      <c r="G208" s="297"/>
      <c r="H208" s="297"/>
      <c r="I208" s="297"/>
      <c r="J208" s="297"/>
      <c r="K208" s="297"/>
      <c r="L208" s="297"/>
      <c r="M208" s="297"/>
      <c r="N208" s="297"/>
      <c r="O208" s="297"/>
      <c r="P208" s="297"/>
      <c r="Q208" s="297"/>
      <c r="R208" s="297"/>
      <c r="S208" s="297"/>
      <c r="T208" s="297"/>
      <c r="U208" s="297"/>
      <c r="V208" s="297"/>
      <c r="W208" s="297"/>
      <c r="X208" s="297"/>
      <c r="Y208" s="297"/>
      <c r="Z208" s="297"/>
      <c r="AA208" s="301">
        <f t="shared" si="23"/>
        <v>0</v>
      </c>
      <c r="AB208" s="296">
        <f t="shared" si="21"/>
        <v>0</v>
      </c>
    </row>
    <row r="209" spans="3:28" collapsed="1" x14ac:dyDescent="0.25">
      <c r="C209" s="326">
        <v>4</v>
      </c>
      <c r="D209" s="327" t="s">
        <v>111</v>
      </c>
      <c r="E209" s="392" t="s">
        <v>10</v>
      </c>
      <c r="F209" s="354">
        <f>F210-F211</f>
        <v>0</v>
      </c>
      <c r="G209" s="354">
        <f t="shared" ref="G209:R209" si="24">G210-G211</f>
        <v>0</v>
      </c>
      <c r="H209" s="354">
        <f t="shared" si="24"/>
        <v>0</v>
      </c>
      <c r="I209" s="354">
        <f t="shared" si="24"/>
        <v>0</v>
      </c>
      <c r="J209" s="354">
        <f t="shared" si="24"/>
        <v>0</v>
      </c>
      <c r="K209" s="354">
        <f t="shared" si="24"/>
        <v>0</v>
      </c>
      <c r="L209" s="354">
        <f t="shared" si="24"/>
        <v>0</v>
      </c>
      <c r="M209" s="354">
        <f t="shared" si="24"/>
        <v>0</v>
      </c>
      <c r="N209" s="354">
        <f t="shared" si="24"/>
        <v>0</v>
      </c>
      <c r="O209" s="354">
        <f t="shared" si="24"/>
        <v>0</v>
      </c>
      <c r="P209" s="354">
        <f t="shared" si="24"/>
        <v>0</v>
      </c>
      <c r="Q209" s="354">
        <f t="shared" si="24"/>
        <v>0</v>
      </c>
      <c r="R209" s="354">
        <f t="shared" si="24"/>
        <v>0</v>
      </c>
      <c r="S209" s="354">
        <f t="shared" ref="S209:X209" si="25">S210-S211</f>
        <v>604002.86470456049</v>
      </c>
      <c r="T209" s="354">
        <f t="shared" si="25"/>
        <v>1328838.0473468448</v>
      </c>
      <c r="U209" s="354">
        <f t="shared" si="25"/>
        <v>1350086.6183818057</v>
      </c>
      <c r="V209" s="354">
        <f t="shared" si="25"/>
        <v>1372274.4629493395</v>
      </c>
      <c r="W209" s="354">
        <f t="shared" si="25"/>
        <v>1208860.9242203566</v>
      </c>
      <c r="X209" s="354">
        <f t="shared" si="25"/>
        <v>1419641.2022711656</v>
      </c>
      <c r="Y209" s="354">
        <f>Y210-Y211</f>
        <v>1444911.8539714944</v>
      </c>
      <c r="Z209" s="354">
        <f>Z210-Z211</f>
        <v>1471305.495021146</v>
      </c>
      <c r="AA209" s="354">
        <f>AA210-AA211</f>
        <v>10199921.468866713</v>
      </c>
      <c r="AB209" s="354">
        <f>AB210-AB211</f>
        <v>10199.921468866713</v>
      </c>
    </row>
    <row r="210" spans="3:28" x14ac:dyDescent="0.25">
      <c r="C210" s="395"/>
      <c r="D210" s="338" t="s">
        <v>12</v>
      </c>
      <c r="E210" s="339" t="s">
        <v>13</v>
      </c>
      <c r="F210" s="303">
        <f>F280+F349+F420+F491+F561+F631</f>
        <v>0</v>
      </c>
      <c r="G210" s="303">
        <f t="shared" ref="G210:R210" si="26">G280+G349+G420+G491+G561+G631</f>
        <v>0</v>
      </c>
      <c r="H210" s="303">
        <f t="shared" si="26"/>
        <v>0</v>
      </c>
      <c r="I210" s="303">
        <f t="shared" si="26"/>
        <v>0</v>
      </c>
      <c r="J210" s="303">
        <f>J280+J349+J420+J491+J561+J631</f>
        <v>0</v>
      </c>
      <c r="K210" s="303">
        <f t="shared" si="26"/>
        <v>0</v>
      </c>
      <c r="L210" s="303">
        <f t="shared" si="26"/>
        <v>0</v>
      </c>
      <c r="M210" s="303">
        <f t="shared" si="26"/>
        <v>0</v>
      </c>
      <c r="N210" s="303">
        <f t="shared" si="26"/>
        <v>0</v>
      </c>
      <c r="O210" s="303">
        <f t="shared" si="26"/>
        <v>0</v>
      </c>
      <c r="P210" s="303">
        <f t="shared" si="26"/>
        <v>0</v>
      </c>
      <c r="Q210" s="303">
        <f t="shared" si="26"/>
        <v>0</v>
      </c>
      <c r="R210" s="303">
        <f t="shared" si="26"/>
        <v>0</v>
      </c>
      <c r="S210" s="303">
        <f t="shared" ref="S210:Y210" si="27">S280+S349+S420+S491+S561+S631</f>
        <v>798746.69377249246</v>
      </c>
      <c r="T210" s="303">
        <f t="shared" si="27"/>
        <v>1752440.3013442608</v>
      </c>
      <c r="U210" s="303">
        <f t="shared" si="27"/>
        <v>1784657.8847329041</v>
      </c>
      <c r="V210" s="303">
        <f t="shared" si="27"/>
        <v>1818304.0653676605</v>
      </c>
      <c r="W210" s="303">
        <f t="shared" si="27"/>
        <v>1561672.1614943962</v>
      </c>
      <c r="X210" s="303">
        <f t="shared" si="27"/>
        <v>1890146.6442085155</v>
      </c>
      <c r="Y210" s="303">
        <f t="shared" si="27"/>
        <v>1928483.1346889227</v>
      </c>
      <c r="Z210" s="303">
        <f t="shared" ref="Z210" si="28">Z280+Z349+Z420+Z491+Z561+Z631</f>
        <v>1968528.7175560908</v>
      </c>
      <c r="AA210" s="303">
        <f>AA280+AA349+AA420+AA491+AA561+AA631</f>
        <v>13502979.603165243</v>
      </c>
      <c r="AB210" s="296">
        <f>AA210/1000</f>
        <v>13502.979603165242</v>
      </c>
    </row>
    <row r="211" spans="3:28" x14ac:dyDescent="0.25">
      <c r="C211" s="395"/>
      <c r="D211" s="338" t="s">
        <v>112</v>
      </c>
      <c r="E211" s="339" t="s">
        <v>13</v>
      </c>
      <c r="F211" s="303">
        <f>F212+F227</f>
        <v>0</v>
      </c>
      <c r="G211" s="303">
        <f t="shared" ref="G211:R211" si="29">G212+G227</f>
        <v>0</v>
      </c>
      <c r="H211" s="303">
        <f t="shared" si="29"/>
        <v>0</v>
      </c>
      <c r="I211" s="303">
        <f t="shared" si="29"/>
        <v>0</v>
      </c>
      <c r="J211" s="303">
        <f t="shared" si="29"/>
        <v>0</v>
      </c>
      <c r="K211" s="303">
        <f t="shared" si="29"/>
        <v>0</v>
      </c>
      <c r="L211" s="303">
        <f t="shared" si="29"/>
        <v>0</v>
      </c>
      <c r="M211" s="303">
        <f t="shared" si="29"/>
        <v>0</v>
      </c>
      <c r="N211" s="303">
        <f t="shared" si="29"/>
        <v>0</v>
      </c>
      <c r="O211" s="303">
        <f t="shared" si="29"/>
        <v>0</v>
      </c>
      <c r="P211" s="303">
        <f t="shared" si="29"/>
        <v>0</v>
      </c>
      <c r="Q211" s="303">
        <f t="shared" si="29"/>
        <v>0</v>
      </c>
      <c r="R211" s="303">
        <f t="shared" si="29"/>
        <v>0</v>
      </c>
      <c r="S211" s="303">
        <f t="shared" ref="S211:Y211" si="30">S212+S227</f>
        <v>194743.82906793203</v>
      </c>
      <c r="T211" s="303">
        <f t="shared" si="30"/>
        <v>423602.25399741606</v>
      </c>
      <c r="U211" s="303">
        <f t="shared" si="30"/>
        <v>434571.26635109843</v>
      </c>
      <c r="V211" s="303">
        <f t="shared" si="30"/>
        <v>446029.60241832101</v>
      </c>
      <c r="W211" s="303">
        <f t="shared" si="30"/>
        <v>352811.23727403948</v>
      </c>
      <c r="X211" s="303">
        <f t="shared" si="30"/>
        <v>470505.44193735003</v>
      </c>
      <c r="Y211" s="303">
        <f t="shared" si="30"/>
        <v>483571.28071742819</v>
      </c>
      <c r="Z211" s="303">
        <f t="shared" ref="Z211:AA211" si="31">Z212+Z227</f>
        <v>497223.22253494471</v>
      </c>
      <c r="AA211" s="303">
        <f t="shared" si="31"/>
        <v>3303058.1342985304</v>
      </c>
      <c r="AB211" s="296">
        <f t="shared" ref="AB211:AB226" si="32">AA211/1000</f>
        <v>3303.0581342985306</v>
      </c>
    </row>
    <row r="212" spans="3:28" x14ac:dyDescent="0.25">
      <c r="C212" s="395"/>
      <c r="D212" s="338" t="s">
        <v>113</v>
      </c>
      <c r="E212" s="339" t="s">
        <v>13</v>
      </c>
      <c r="F212" s="303">
        <f>F351+F422+F493+F563+F633</f>
        <v>0</v>
      </c>
      <c r="G212" s="303">
        <f t="shared" ref="G212:Y225" si="33">G351+G422+G493+G563+G633</f>
        <v>0</v>
      </c>
      <c r="H212" s="303">
        <f t="shared" si="33"/>
        <v>0</v>
      </c>
      <c r="I212" s="303">
        <f t="shared" si="33"/>
        <v>0</v>
      </c>
      <c r="J212" s="303">
        <f t="shared" si="33"/>
        <v>0</v>
      </c>
      <c r="K212" s="303">
        <f t="shared" si="33"/>
        <v>0</v>
      </c>
      <c r="L212" s="303">
        <f t="shared" si="33"/>
        <v>0</v>
      </c>
      <c r="M212" s="303">
        <f t="shared" si="33"/>
        <v>0</v>
      </c>
      <c r="N212" s="303">
        <f t="shared" si="33"/>
        <v>0</v>
      </c>
      <c r="O212" s="303">
        <f t="shared" si="33"/>
        <v>0</v>
      </c>
      <c r="P212" s="303">
        <f t="shared" si="33"/>
        <v>0</v>
      </c>
      <c r="Q212" s="303">
        <f t="shared" si="33"/>
        <v>0</v>
      </c>
      <c r="R212" s="303">
        <f t="shared" si="33"/>
        <v>0</v>
      </c>
      <c r="S212" s="303">
        <f t="shared" si="33"/>
        <v>32822.723356380979</v>
      </c>
      <c r="T212" s="303">
        <f t="shared" si="33"/>
        <v>68258.135491929876</v>
      </c>
      <c r="U212" s="303">
        <f t="shared" si="33"/>
        <v>70974.809284508694</v>
      </c>
      <c r="V212" s="303">
        <f t="shared" si="33"/>
        <v>73799.606694032147</v>
      </c>
      <c r="W212" s="303">
        <f t="shared" si="33"/>
        <v>76736.831040454636</v>
      </c>
      <c r="X212" s="303">
        <f t="shared" si="33"/>
        <v>79790.956915864721</v>
      </c>
      <c r="Y212" s="303">
        <f t="shared" si="33"/>
        <v>82966.637001116134</v>
      </c>
      <c r="Z212" s="303">
        <f t="shared" ref="Z212:AA224" si="34">Z351+Z422+Z493+Z563+Z633</f>
        <v>86268.709153760574</v>
      </c>
      <c r="AA212" s="303">
        <f t="shared" si="34"/>
        <v>571618.40893804771</v>
      </c>
      <c r="AB212" s="296">
        <f t="shared" si="32"/>
        <v>571.61840893804776</v>
      </c>
    </row>
    <row r="213" spans="3:28" x14ac:dyDescent="0.25">
      <c r="C213" s="396"/>
      <c r="D213" s="355" t="s">
        <v>114</v>
      </c>
      <c r="E213" s="356" t="s">
        <v>13</v>
      </c>
      <c r="F213" s="304">
        <f t="shared" ref="F213:U226" si="35">F352+F423+F494+F564+F634</f>
        <v>0</v>
      </c>
      <c r="G213" s="304">
        <f t="shared" si="35"/>
        <v>0</v>
      </c>
      <c r="H213" s="304">
        <f t="shared" si="35"/>
        <v>0</v>
      </c>
      <c r="I213" s="304">
        <f t="shared" si="35"/>
        <v>0</v>
      </c>
      <c r="J213" s="304">
        <f t="shared" si="35"/>
        <v>0</v>
      </c>
      <c r="K213" s="304">
        <f t="shared" si="35"/>
        <v>0</v>
      </c>
      <c r="L213" s="304">
        <f t="shared" si="35"/>
        <v>0</v>
      </c>
      <c r="M213" s="304">
        <f t="shared" si="35"/>
        <v>0</v>
      </c>
      <c r="N213" s="304">
        <f t="shared" si="35"/>
        <v>0</v>
      </c>
      <c r="O213" s="304">
        <f t="shared" si="35"/>
        <v>0</v>
      </c>
      <c r="P213" s="304">
        <f t="shared" si="35"/>
        <v>0</v>
      </c>
      <c r="Q213" s="304">
        <f t="shared" si="35"/>
        <v>0</v>
      </c>
      <c r="R213" s="304">
        <f t="shared" si="35"/>
        <v>0</v>
      </c>
      <c r="S213" s="304">
        <f t="shared" si="35"/>
        <v>0</v>
      </c>
      <c r="T213" s="304">
        <f t="shared" si="35"/>
        <v>0</v>
      </c>
      <c r="U213" s="304">
        <f t="shared" si="35"/>
        <v>0</v>
      </c>
      <c r="V213" s="304">
        <f t="shared" si="33"/>
        <v>0</v>
      </c>
      <c r="W213" s="304">
        <f t="shared" si="33"/>
        <v>0</v>
      </c>
      <c r="X213" s="304">
        <f t="shared" si="33"/>
        <v>0</v>
      </c>
      <c r="Y213" s="304">
        <f t="shared" si="33"/>
        <v>0</v>
      </c>
      <c r="Z213" s="304">
        <f t="shared" si="34"/>
        <v>0</v>
      </c>
      <c r="AA213" s="304">
        <f t="shared" si="34"/>
        <v>0</v>
      </c>
      <c r="AB213" s="305">
        <f>AA213/1000</f>
        <v>0</v>
      </c>
    </row>
    <row r="214" spans="3:28" x14ac:dyDescent="0.25">
      <c r="C214" s="396"/>
      <c r="D214" s="357" t="s">
        <v>40</v>
      </c>
      <c r="E214" s="356" t="s">
        <v>13</v>
      </c>
      <c r="F214" s="305">
        <f t="shared" si="35"/>
        <v>0</v>
      </c>
      <c r="G214" s="305">
        <f t="shared" si="33"/>
        <v>0</v>
      </c>
      <c r="H214" s="305">
        <f t="shared" si="33"/>
        <v>0</v>
      </c>
      <c r="I214" s="305">
        <f t="shared" si="33"/>
        <v>0</v>
      </c>
      <c r="J214" s="305">
        <f t="shared" si="33"/>
        <v>0</v>
      </c>
      <c r="K214" s="305">
        <f t="shared" si="33"/>
        <v>0</v>
      </c>
      <c r="L214" s="305">
        <f t="shared" si="33"/>
        <v>0</v>
      </c>
      <c r="M214" s="305">
        <f t="shared" si="33"/>
        <v>0</v>
      </c>
      <c r="N214" s="305">
        <f t="shared" si="33"/>
        <v>0</v>
      </c>
      <c r="O214" s="305">
        <f t="shared" si="33"/>
        <v>0</v>
      </c>
      <c r="P214" s="305">
        <f t="shared" si="33"/>
        <v>0</v>
      </c>
      <c r="Q214" s="305">
        <f t="shared" si="33"/>
        <v>0</v>
      </c>
      <c r="R214" s="305">
        <f t="shared" si="33"/>
        <v>0</v>
      </c>
      <c r="S214" s="305">
        <f t="shared" si="33"/>
        <v>0</v>
      </c>
      <c r="T214" s="305">
        <f t="shared" si="33"/>
        <v>0</v>
      </c>
      <c r="U214" s="305">
        <f t="shared" si="33"/>
        <v>0</v>
      </c>
      <c r="V214" s="305">
        <f t="shared" si="33"/>
        <v>0</v>
      </c>
      <c r="W214" s="305">
        <f t="shared" si="33"/>
        <v>0</v>
      </c>
      <c r="X214" s="305">
        <f t="shared" si="33"/>
        <v>0</v>
      </c>
      <c r="Y214" s="305">
        <f t="shared" si="33"/>
        <v>0</v>
      </c>
      <c r="Z214" s="305">
        <f t="shared" si="34"/>
        <v>0</v>
      </c>
      <c r="AA214" s="305">
        <f t="shared" si="34"/>
        <v>0</v>
      </c>
      <c r="AB214" s="305">
        <f t="shared" si="32"/>
        <v>0</v>
      </c>
    </row>
    <row r="215" spans="3:28" x14ac:dyDescent="0.25">
      <c r="C215" s="396"/>
      <c r="D215" s="357" t="s">
        <v>98</v>
      </c>
      <c r="E215" s="356" t="s">
        <v>13</v>
      </c>
      <c r="F215" s="305">
        <f t="shared" si="35"/>
        <v>0</v>
      </c>
      <c r="G215" s="305">
        <f t="shared" si="33"/>
        <v>0</v>
      </c>
      <c r="H215" s="305">
        <f t="shared" si="33"/>
        <v>0</v>
      </c>
      <c r="I215" s="305">
        <f t="shared" si="33"/>
        <v>0</v>
      </c>
      <c r="J215" s="305">
        <f t="shared" si="33"/>
        <v>0</v>
      </c>
      <c r="K215" s="305">
        <f t="shared" si="33"/>
        <v>0</v>
      </c>
      <c r="L215" s="305">
        <f t="shared" si="33"/>
        <v>0</v>
      </c>
      <c r="M215" s="305">
        <f t="shared" si="33"/>
        <v>0</v>
      </c>
      <c r="N215" s="305">
        <f t="shared" si="33"/>
        <v>0</v>
      </c>
      <c r="O215" s="305">
        <f t="shared" si="33"/>
        <v>0</v>
      </c>
      <c r="P215" s="305">
        <f t="shared" si="33"/>
        <v>0</v>
      </c>
      <c r="Q215" s="305">
        <f t="shared" si="33"/>
        <v>0</v>
      </c>
      <c r="R215" s="305">
        <f t="shared" si="33"/>
        <v>0</v>
      </c>
      <c r="S215" s="305">
        <f t="shared" si="33"/>
        <v>0</v>
      </c>
      <c r="T215" s="305">
        <f t="shared" si="33"/>
        <v>0</v>
      </c>
      <c r="U215" s="305">
        <f t="shared" si="33"/>
        <v>0</v>
      </c>
      <c r="V215" s="305">
        <f t="shared" si="33"/>
        <v>0</v>
      </c>
      <c r="W215" s="305">
        <f t="shared" si="33"/>
        <v>0</v>
      </c>
      <c r="X215" s="305">
        <f t="shared" si="33"/>
        <v>0</v>
      </c>
      <c r="Y215" s="305">
        <f t="shared" si="33"/>
        <v>0</v>
      </c>
      <c r="Z215" s="305">
        <f t="shared" si="34"/>
        <v>0</v>
      </c>
      <c r="AA215" s="305">
        <f t="shared" si="34"/>
        <v>0</v>
      </c>
      <c r="AB215" s="305">
        <f t="shared" si="32"/>
        <v>0</v>
      </c>
    </row>
    <row r="216" spans="3:28" x14ac:dyDescent="0.25">
      <c r="C216" s="396"/>
      <c r="D216" s="357" t="s">
        <v>48</v>
      </c>
      <c r="E216" s="356" t="s">
        <v>13</v>
      </c>
      <c r="F216" s="305">
        <f t="shared" si="35"/>
        <v>0</v>
      </c>
      <c r="G216" s="305">
        <f t="shared" si="33"/>
        <v>0</v>
      </c>
      <c r="H216" s="305">
        <f t="shared" si="33"/>
        <v>0</v>
      </c>
      <c r="I216" s="305">
        <f t="shared" si="33"/>
        <v>0</v>
      </c>
      <c r="J216" s="305">
        <f t="shared" si="33"/>
        <v>0</v>
      </c>
      <c r="K216" s="305">
        <f t="shared" si="33"/>
        <v>0</v>
      </c>
      <c r="L216" s="305">
        <f t="shared" si="33"/>
        <v>0</v>
      </c>
      <c r="M216" s="305">
        <f t="shared" si="33"/>
        <v>0</v>
      </c>
      <c r="N216" s="305">
        <f t="shared" si="33"/>
        <v>0</v>
      </c>
      <c r="O216" s="305">
        <f t="shared" si="33"/>
        <v>0</v>
      </c>
      <c r="P216" s="305">
        <f t="shared" si="33"/>
        <v>0</v>
      </c>
      <c r="Q216" s="305">
        <f t="shared" si="33"/>
        <v>0</v>
      </c>
      <c r="R216" s="305">
        <f t="shared" si="33"/>
        <v>0</v>
      </c>
      <c r="S216" s="305">
        <f t="shared" si="33"/>
        <v>0</v>
      </c>
      <c r="T216" s="305">
        <f t="shared" si="33"/>
        <v>0</v>
      </c>
      <c r="U216" s="305">
        <f t="shared" si="33"/>
        <v>0</v>
      </c>
      <c r="V216" s="305">
        <f t="shared" si="33"/>
        <v>0</v>
      </c>
      <c r="W216" s="305">
        <f t="shared" si="33"/>
        <v>0</v>
      </c>
      <c r="X216" s="305">
        <f t="shared" si="33"/>
        <v>0</v>
      </c>
      <c r="Y216" s="305">
        <f t="shared" si="33"/>
        <v>0</v>
      </c>
      <c r="Z216" s="305">
        <f t="shared" si="34"/>
        <v>0</v>
      </c>
      <c r="AA216" s="305">
        <f t="shared" si="34"/>
        <v>0</v>
      </c>
      <c r="AB216" s="305">
        <f t="shared" si="32"/>
        <v>0</v>
      </c>
    </row>
    <row r="217" spans="3:28" x14ac:dyDescent="0.25">
      <c r="C217" s="396"/>
      <c r="D217" s="357" t="s">
        <v>99</v>
      </c>
      <c r="E217" s="356" t="s">
        <v>13</v>
      </c>
      <c r="F217" s="305">
        <f t="shared" si="35"/>
        <v>0</v>
      </c>
      <c r="G217" s="305">
        <f t="shared" si="33"/>
        <v>0</v>
      </c>
      <c r="H217" s="305">
        <f t="shared" si="33"/>
        <v>0</v>
      </c>
      <c r="I217" s="305">
        <f t="shared" si="33"/>
        <v>0</v>
      </c>
      <c r="J217" s="305">
        <f t="shared" si="33"/>
        <v>0</v>
      </c>
      <c r="K217" s="305">
        <f t="shared" si="33"/>
        <v>0</v>
      </c>
      <c r="L217" s="305">
        <f t="shared" si="33"/>
        <v>0</v>
      </c>
      <c r="M217" s="305">
        <f t="shared" si="33"/>
        <v>0</v>
      </c>
      <c r="N217" s="305">
        <f t="shared" si="33"/>
        <v>0</v>
      </c>
      <c r="O217" s="305">
        <f t="shared" si="33"/>
        <v>0</v>
      </c>
      <c r="P217" s="305">
        <f t="shared" si="33"/>
        <v>0</v>
      </c>
      <c r="Q217" s="305">
        <f t="shared" si="33"/>
        <v>0</v>
      </c>
      <c r="R217" s="305">
        <f t="shared" si="33"/>
        <v>0</v>
      </c>
      <c r="S217" s="305">
        <f t="shared" si="33"/>
        <v>0</v>
      </c>
      <c r="T217" s="305">
        <f t="shared" si="33"/>
        <v>0</v>
      </c>
      <c r="U217" s="305">
        <f t="shared" si="33"/>
        <v>0</v>
      </c>
      <c r="V217" s="305">
        <f t="shared" si="33"/>
        <v>0</v>
      </c>
      <c r="W217" s="305">
        <f t="shared" si="33"/>
        <v>0</v>
      </c>
      <c r="X217" s="305">
        <f t="shared" si="33"/>
        <v>0</v>
      </c>
      <c r="Y217" s="305">
        <f t="shared" si="33"/>
        <v>0</v>
      </c>
      <c r="Z217" s="305">
        <f t="shared" si="34"/>
        <v>0</v>
      </c>
      <c r="AA217" s="305">
        <f t="shared" si="34"/>
        <v>0</v>
      </c>
      <c r="AB217" s="305">
        <f t="shared" si="32"/>
        <v>0</v>
      </c>
    </row>
    <row r="218" spans="3:28" x14ac:dyDescent="0.25">
      <c r="C218" s="396"/>
      <c r="D218" s="357" t="s">
        <v>100</v>
      </c>
      <c r="E218" s="356" t="s">
        <v>13</v>
      </c>
      <c r="F218" s="305">
        <f t="shared" si="35"/>
        <v>0</v>
      </c>
      <c r="G218" s="305">
        <f t="shared" si="33"/>
        <v>0</v>
      </c>
      <c r="H218" s="305">
        <f t="shared" si="33"/>
        <v>0</v>
      </c>
      <c r="I218" s="305">
        <f t="shared" si="33"/>
        <v>0</v>
      </c>
      <c r="J218" s="305">
        <f t="shared" si="33"/>
        <v>0</v>
      </c>
      <c r="K218" s="305">
        <f t="shared" si="33"/>
        <v>0</v>
      </c>
      <c r="L218" s="305">
        <f t="shared" si="33"/>
        <v>0</v>
      </c>
      <c r="M218" s="305">
        <f t="shared" si="33"/>
        <v>0</v>
      </c>
      <c r="N218" s="305">
        <f t="shared" si="33"/>
        <v>0</v>
      </c>
      <c r="O218" s="305">
        <f t="shared" si="33"/>
        <v>0</v>
      </c>
      <c r="P218" s="305">
        <f t="shared" si="33"/>
        <v>0</v>
      </c>
      <c r="Q218" s="305">
        <f t="shared" si="33"/>
        <v>0</v>
      </c>
      <c r="R218" s="305">
        <f t="shared" si="33"/>
        <v>0</v>
      </c>
      <c r="S218" s="305">
        <f t="shared" si="33"/>
        <v>0</v>
      </c>
      <c r="T218" s="305">
        <f t="shared" si="33"/>
        <v>0</v>
      </c>
      <c r="U218" s="305">
        <f t="shared" si="33"/>
        <v>0</v>
      </c>
      <c r="V218" s="305">
        <f t="shared" si="33"/>
        <v>0</v>
      </c>
      <c r="W218" s="305">
        <f t="shared" si="33"/>
        <v>0</v>
      </c>
      <c r="X218" s="305">
        <f t="shared" si="33"/>
        <v>0</v>
      </c>
      <c r="Y218" s="305">
        <f t="shared" si="33"/>
        <v>0</v>
      </c>
      <c r="Z218" s="305">
        <f t="shared" si="34"/>
        <v>0</v>
      </c>
      <c r="AA218" s="305">
        <f t="shared" si="34"/>
        <v>0</v>
      </c>
      <c r="AB218" s="305">
        <f t="shared" si="32"/>
        <v>0</v>
      </c>
    </row>
    <row r="219" spans="3:28" x14ac:dyDescent="0.25">
      <c r="C219" s="396"/>
      <c r="D219" s="357" t="s">
        <v>101</v>
      </c>
      <c r="E219" s="356" t="s">
        <v>13</v>
      </c>
      <c r="F219" s="305">
        <f t="shared" si="35"/>
        <v>0</v>
      </c>
      <c r="G219" s="305">
        <f t="shared" si="33"/>
        <v>0</v>
      </c>
      <c r="H219" s="305">
        <f t="shared" si="33"/>
        <v>0</v>
      </c>
      <c r="I219" s="305">
        <f t="shared" si="33"/>
        <v>0</v>
      </c>
      <c r="J219" s="305">
        <f t="shared" si="33"/>
        <v>0</v>
      </c>
      <c r="K219" s="305">
        <f t="shared" si="33"/>
        <v>0</v>
      </c>
      <c r="L219" s="305">
        <f t="shared" si="33"/>
        <v>0</v>
      </c>
      <c r="M219" s="305">
        <f t="shared" si="33"/>
        <v>0</v>
      </c>
      <c r="N219" s="305">
        <f t="shared" si="33"/>
        <v>0</v>
      </c>
      <c r="O219" s="305">
        <f t="shared" si="33"/>
        <v>0</v>
      </c>
      <c r="P219" s="305">
        <f t="shared" si="33"/>
        <v>0</v>
      </c>
      <c r="Q219" s="305">
        <f t="shared" si="33"/>
        <v>0</v>
      </c>
      <c r="R219" s="305">
        <f t="shared" si="33"/>
        <v>0</v>
      </c>
      <c r="S219" s="305">
        <f t="shared" si="33"/>
        <v>0</v>
      </c>
      <c r="T219" s="305">
        <f t="shared" si="33"/>
        <v>0</v>
      </c>
      <c r="U219" s="305">
        <f t="shared" si="33"/>
        <v>0</v>
      </c>
      <c r="V219" s="305">
        <f t="shared" si="33"/>
        <v>0</v>
      </c>
      <c r="W219" s="305">
        <f t="shared" si="33"/>
        <v>0</v>
      </c>
      <c r="X219" s="305">
        <f t="shared" si="33"/>
        <v>0</v>
      </c>
      <c r="Y219" s="305">
        <f t="shared" si="33"/>
        <v>0</v>
      </c>
      <c r="Z219" s="305">
        <f t="shared" si="34"/>
        <v>0</v>
      </c>
      <c r="AA219" s="305">
        <f t="shared" si="34"/>
        <v>0</v>
      </c>
      <c r="AB219" s="305">
        <f t="shared" si="32"/>
        <v>0</v>
      </c>
    </row>
    <row r="220" spans="3:28" x14ac:dyDescent="0.25">
      <c r="C220" s="396"/>
      <c r="D220" s="357" t="s">
        <v>102</v>
      </c>
      <c r="E220" s="356" t="s">
        <v>13</v>
      </c>
      <c r="F220" s="305">
        <f t="shared" si="35"/>
        <v>0</v>
      </c>
      <c r="G220" s="305">
        <f t="shared" si="33"/>
        <v>0</v>
      </c>
      <c r="H220" s="305">
        <f t="shared" si="33"/>
        <v>0</v>
      </c>
      <c r="I220" s="305">
        <f t="shared" si="33"/>
        <v>0</v>
      </c>
      <c r="J220" s="305">
        <f t="shared" si="33"/>
        <v>0</v>
      </c>
      <c r="K220" s="305">
        <f t="shared" si="33"/>
        <v>0</v>
      </c>
      <c r="L220" s="305">
        <f t="shared" si="33"/>
        <v>0</v>
      </c>
      <c r="M220" s="305">
        <f t="shared" si="33"/>
        <v>0</v>
      </c>
      <c r="N220" s="305">
        <f t="shared" si="33"/>
        <v>0</v>
      </c>
      <c r="O220" s="305">
        <f t="shared" si="33"/>
        <v>0</v>
      </c>
      <c r="P220" s="305">
        <f t="shared" si="33"/>
        <v>0</v>
      </c>
      <c r="Q220" s="305">
        <f t="shared" si="33"/>
        <v>0</v>
      </c>
      <c r="R220" s="305">
        <f t="shared" si="33"/>
        <v>0</v>
      </c>
      <c r="S220" s="305">
        <f t="shared" si="33"/>
        <v>0</v>
      </c>
      <c r="T220" s="305">
        <f t="shared" si="33"/>
        <v>0</v>
      </c>
      <c r="U220" s="305">
        <f t="shared" si="33"/>
        <v>0</v>
      </c>
      <c r="V220" s="305">
        <f t="shared" si="33"/>
        <v>0</v>
      </c>
      <c r="W220" s="305">
        <f t="shared" si="33"/>
        <v>0</v>
      </c>
      <c r="X220" s="305">
        <f t="shared" si="33"/>
        <v>0</v>
      </c>
      <c r="Y220" s="305">
        <f t="shared" si="33"/>
        <v>0</v>
      </c>
      <c r="Z220" s="305">
        <f t="shared" si="34"/>
        <v>0</v>
      </c>
      <c r="AA220" s="305">
        <f t="shared" si="34"/>
        <v>0</v>
      </c>
      <c r="AB220" s="305">
        <f t="shared" si="32"/>
        <v>0</v>
      </c>
    </row>
    <row r="221" spans="3:28" x14ac:dyDescent="0.25">
      <c r="C221" s="396"/>
      <c r="D221" s="357" t="s">
        <v>103</v>
      </c>
      <c r="E221" s="356" t="s">
        <v>13</v>
      </c>
      <c r="F221" s="305">
        <f t="shared" si="35"/>
        <v>0</v>
      </c>
      <c r="G221" s="305">
        <f t="shared" si="33"/>
        <v>0</v>
      </c>
      <c r="H221" s="305">
        <f t="shared" si="33"/>
        <v>0</v>
      </c>
      <c r="I221" s="305">
        <f t="shared" si="33"/>
        <v>0</v>
      </c>
      <c r="J221" s="305">
        <f t="shared" si="33"/>
        <v>0</v>
      </c>
      <c r="K221" s="305">
        <f t="shared" si="33"/>
        <v>0</v>
      </c>
      <c r="L221" s="305">
        <f t="shared" si="33"/>
        <v>0</v>
      </c>
      <c r="M221" s="305">
        <f t="shared" si="33"/>
        <v>0</v>
      </c>
      <c r="N221" s="305">
        <f t="shared" si="33"/>
        <v>0</v>
      </c>
      <c r="O221" s="305">
        <f t="shared" si="33"/>
        <v>0</v>
      </c>
      <c r="P221" s="305">
        <f t="shared" si="33"/>
        <v>0</v>
      </c>
      <c r="Q221" s="305">
        <f t="shared" si="33"/>
        <v>0</v>
      </c>
      <c r="R221" s="305">
        <f t="shared" si="33"/>
        <v>0</v>
      </c>
      <c r="S221" s="305">
        <f t="shared" si="33"/>
        <v>0</v>
      </c>
      <c r="T221" s="305">
        <f t="shared" si="33"/>
        <v>0</v>
      </c>
      <c r="U221" s="305">
        <f t="shared" si="33"/>
        <v>0</v>
      </c>
      <c r="V221" s="305">
        <f t="shared" si="33"/>
        <v>0</v>
      </c>
      <c r="W221" s="305">
        <f t="shared" si="33"/>
        <v>0</v>
      </c>
      <c r="X221" s="305">
        <f t="shared" si="33"/>
        <v>0</v>
      </c>
      <c r="Y221" s="305">
        <f t="shared" si="33"/>
        <v>0</v>
      </c>
      <c r="Z221" s="305">
        <f t="shared" si="34"/>
        <v>0</v>
      </c>
      <c r="AA221" s="305">
        <f t="shared" si="34"/>
        <v>0</v>
      </c>
      <c r="AB221" s="305">
        <f t="shared" si="32"/>
        <v>0</v>
      </c>
    </row>
    <row r="222" spans="3:28" x14ac:dyDescent="0.25">
      <c r="C222" s="396"/>
      <c r="D222" s="357" t="s">
        <v>104</v>
      </c>
      <c r="E222" s="356" t="s">
        <v>13</v>
      </c>
      <c r="F222" s="305">
        <f t="shared" si="35"/>
        <v>0</v>
      </c>
      <c r="G222" s="305">
        <f t="shared" si="33"/>
        <v>0</v>
      </c>
      <c r="H222" s="305">
        <f t="shared" si="33"/>
        <v>0</v>
      </c>
      <c r="I222" s="305">
        <f t="shared" si="33"/>
        <v>0</v>
      </c>
      <c r="J222" s="305">
        <f t="shared" si="33"/>
        <v>0</v>
      </c>
      <c r="K222" s="305">
        <f t="shared" si="33"/>
        <v>0</v>
      </c>
      <c r="L222" s="305">
        <f t="shared" si="33"/>
        <v>0</v>
      </c>
      <c r="M222" s="305">
        <f t="shared" si="33"/>
        <v>0</v>
      </c>
      <c r="N222" s="305">
        <f t="shared" si="33"/>
        <v>0</v>
      </c>
      <c r="O222" s="305">
        <f t="shared" si="33"/>
        <v>0</v>
      </c>
      <c r="P222" s="305">
        <f t="shared" si="33"/>
        <v>0</v>
      </c>
      <c r="Q222" s="305">
        <f t="shared" si="33"/>
        <v>0</v>
      </c>
      <c r="R222" s="305">
        <f t="shared" si="33"/>
        <v>0</v>
      </c>
      <c r="S222" s="305">
        <f t="shared" si="33"/>
        <v>0</v>
      </c>
      <c r="T222" s="305">
        <f t="shared" si="33"/>
        <v>0</v>
      </c>
      <c r="U222" s="305">
        <f t="shared" si="33"/>
        <v>0</v>
      </c>
      <c r="V222" s="305">
        <f t="shared" si="33"/>
        <v>0</v>
      </c>
      <c r="W222" s="305">
        <f t="shared" si="33"/>
        <v>0</v>
      </c>
      <c r="X222" s="305">
        <f t="shared" si="33"/>
        <v>0</v>
      </c>
      <c r="Y222" s="305">
        <f t="shared" si="33"/>
        <v>0</v>
      </c>
      <c r="Z222" s="305">
        <f t="shared" si="34"/>
        <v>0</v>
      </c>
      <c r="AA222" s="305">
        <f t="shared" si="34"/>
        <v>0</v>
      </c>
      <c r="AB222" s="305">
        <f t="shared" si="32"/>
        <v>0</v>
      </c>
    </row>
    <row r="223" spans="3:28" x14ac:dyDescent="0.25">
      <c r="C223" s="396"/>
      <c r="D223" s="357" t="s">
        <v>105</v>
      </c>
      <c r="E223" s="356" t="s">
        <v>13</v>
      </c>
      <c r="F223" s="305">
        <f t="shared" si="35"/>
        <v>0</v>
      </c>
      <c r="G223" s="305">
        <f t="shared" si="33"/>
        <v>0</v>
      </c>
      <c r="H223" s="305">
        <f t="shared" si="33"/>
        <v>0</v>
      </c>
      <c r="I223" s="305">
        <f t="shared" si="33"/>
        <v>0</v>
      </c>
      <c r="J223" s="305">
        <f t="shared" si="33"/>
        <v>0</v>
      </c>
      <c r="K223" s="305">
        <f t="shared" si="33"/>
        <v>0</v>
      </c>
      <c r="L223" s="305">
        <f t="shared" si="33"/>
        <v>0</v>
      </c>
      <c r="M223" s="305">
        <f t="shared" si="33"/>
        <v>0</v>
      </c>
      <c r="N223" s="305">
        <f t="shared" si="33"/>
        <v>0</v>
      </c>
      <c r="O223" s="305">
        <f t="shared" si="33"/>
        <v>0</v>
      </c>
      <c r="P223" s="305">
        <f t="shared" si="33"/>
        <v>0</v>
      </c>
      <c r="Q223" s="305">
        <f t="shared" si="33"/>
        <v>0</v>
      </c>
      <c r="R223" s="305">
        <f t="shared" si="33"/>
        <v>0</v>
      </c>
      <c r="S223" s="305">
        <f t="shared" si="33"/>
        <v>0</v>
      </c>
      <c r="T223" s="305">
        <f t="shared" si="33"/>
        <v>0</v>
      </c>
      <c r="U223" s="305">
        <f t="shared" si="33"/>
        <v>0</v>
      </c>
      <c r="V223" s="305">
        <f t="shared" si="33"/>
        <v>0</v>
      </c>
      <c r="W223" s="305">
        <f t="shared" si="33"/>
        <v>0</v>
      </c>
      <c r="X223" s="305">
        <f t="shared" si="33"/>
        <v>0</v>
      </c>
      <c r="Y223" s="305">
        <f t="shared" si="33"/>
        <v>0</v>
      </c>
      <c r="Z223" s="305">
        <f t="shared" si="34"/>
        <v>0</v>
      </c>
      <c r="AA223" s="305">
        <f t="shared" si="34"/>
        <v>0</v>
      </c>
      <c r="AB223" s="305">
        <f t="shared" si="32"/>
        <v>0</v>
      </c>
    </row>
    <row r="224" spans="3:28" x14ac:dyDescent="0.25">
      <c r="C224" s="396"/>
      <c r="D224" s="357" t="s">
        <v>106</v>
      </c>
      <c r="E224" s="356" t="s">
        <v>13</v>
      </c>
      <c r="F224" s="305">
        <f t="shared" si="35"/>
        <v>0</v>
      </c>
      <c r="G224" s="305">
        <f t="shared" si="33"/>
        <v>0</v>
      </c>
      <c r="H224" s="305">
        <f t="shared" si="33"/>
        <v>0</v>
      </c>
      <c r="I224" s="305">
        <f t="shared" si="33"/>
        <v>0</v>
      </c>
      <c r="J224" s="305">
        <f t="shared" si="33"/>
        <v>0</v>
      </c>
      <c r="K224" s="305">
        <f t="shared" si="33"/>
        <v>0</v>
      </c>
      <c r="L224" s="305">
        <f t="shared" si="33"/>
        <v>0</v>
      </c>
      <c r="M224" s="305">
        <f t="shared" si="33"/>
        <v>0</v>
      </c>
      <c r="N224" s="305">
        <f t="shared" si="33"/>
        <v>0</v>
      </c>
      <c r="O224" s="305">
        <f t="shared" si="33"/>
        <v>0</v>
      </c>
      <c r="P224" s="305">
        <f t="shared" si="33"/>
        <v>0</v>
      </c>
      <c r="Q224" s="305">
        <f t="shared" si="33"/>
        <v>0</v>
      </c>
      <c r="R224" s="305">
        <f t="shared" si="33"/>
        <v>0</v>
      </c>
      <c r="S224" s="305">
        <f t="shared" si="33"/>
        <v>0</v>
      </c>
      <c r="T224" s="305">
        <f t="shared" si="33"/>
        <v>0</v>
      </c>
      <c r="U224" s="305">
        <f t="shared" si="33"/>
        <v>0</v>
      </c>
      <c r="V224" s="305">
        <f t="shared" si="33"/>
        <v>0</v>
      </c>
      <c r="W224" s="305">
        <f t="shared" si="33"/>
        <v>0</v>
      </c>
      <c r="X224" s="305">
        <f t="shared" si="33"/>
        <v>0</v>
      </c>
      <c r="Y224" s="305">
        <f t="shared" si="33"/>
        <v>0</v>
      </c>
      <c r="Z224" s="305">
        <f t="shared" si="34"/>
        <v>0</v>
      </c>
      <c r="AA224" s="305">
        <f t="shared" si="34"/>
        <v>0</v>
      </c>
      <c r="AB224" s="305">
        <f t="shared" si="32"/>
        <v>0</v>
      </c>
    </row>
    <row r="225" spans="3:28" x14ac:dyDescent="0.25">
      <c r="C225" s="396"/>
      <c r="D225" s="357" t="s">
        <v>49</v>
      </c>
      <c r="E225" s="356" t="s">
        <v>13</v>
      </c>
      <c r="F225" s="305">
        <f t="shared" si="35"/>
        <v>0</v>
      </c>
      <c r="G225" s="305">
        <f t="shared" si="33"/>
        <v>0</v>
      </c>
      <c r="H225" s="305">
        <f t="shared" si="33"/>
        <v>0</v>
      </c>
      <c r="I225" s="305">
        <f t="shared" si="33"/>
        <v>0</v>
      </c>
      <c r="J225" s="305">
        <f t="shared" si="33"/>
        <v>0</v>
      </c>
      <c r="K225" s="305">
        <f t="shared" si="33"/>
        <v>0</v>
      </c>
      <c r="L225" s="305">
        <f t="shared" si="33"/>
        <v>0</v>
      </c>
      <c r="M225" s="305">
        <f t="shared" si="33"/>
        <v>0</v>
      </c>
      <c r="N225" s="305">
        <f t="shared" si="33"/>
        <v>0</v>
      </c>
      <c r="O225" s="305">
        <f t="shared" si="33"/>
        <v>0</v>
      </c>
      <c r="P225" s="305">
        <f t="shared" si="33"/>
        <v>0</v>
      </c>
      <c r="Q225" s="305">
        <f t="shared" ref="G225:Y226" si="36">Q364+Q435+Q506+Q576+Q646</f>
        <v>0</v>
      </c>
      <c r="R225" s="305">
        <f t="shared" si="36"/>
        <v>0</v>
      </c>
      <c r="S225" s="305">
        <f t="shared" si="36"/>
        <v>0</v>
      </c>
      <c r="T225" s="305">
        <f t="shared" si="36"/>
        <v>0</v>
      </c>
      <c r="U225" s="305">
        <f t="shared" si="36"/>
        <v>0</v>
      </c>
      <c r="V225" s="305">
        <f t="shared" si="36"/>
        <v>0</v>
      </c>
      <c r="W225" s="305">
        <f t="shared" si="36"/>
        <v>0</v>
      </c>
      <c r="X225" s="305">
        <f t="shared" si="36"/>
        <v>0</v>
      </c>
      <c r="Y225" s="305">
        <f t="shared" si="36"/>
        <v>0</v>
      </c>
      <c r="Z225" s="305">
        <f t="shared" ref="Z225:AA225" si="37">Z364+Z435+Z506+Z576+Z646</f>
        <v>0</v>
      </c>
      <c r="AA225" s="305">
        <f t="shared" si="37"/>
        <v>0</v>
      </c>
      <c r="AB225" s="305">
        <f t="shared" si="32"/>
        <v>0</v>
      </c>
    </row>
    <row r="226" spans="3:28" x14ac:dyDescent="0.25">
      <c r="C226" s="396"/>
      <c r="D226" s="357" t="s">
        <v>107</v>
      </c>
      <c r="E226" s="356" t="s">
        <v>13</v>
      </c>
      <c r="F226" s="305">
        <f t="shared" si="35"/>
        <v>0</v>
      </c>
      <c r="G226" s="305">
        <f t="shared" si="36"/>
        <v>0</v>
      </c>
      <c r="H226" s="305">
        <f t="shared" si="36"/>
        <v>0</v>
      </c>
      <c r="I226" s="305">
        <f t="shared" si="36"/>
        <v>0</v>
      </c>
      <c r="J226" s="305">
        <f t="shared" si="36"/>
        <v>0</v>
      </c>
      <c r="K226" s="305">
        <f t="shared" si="36"/>
        <v>0</v>
      </c>
      <c r="L226" s="305">
        <f t="shared" si="36"/>
        <v>0</v>
      </c>
      <c r="M226" s="305">
        <f t="shared" si="36"/>
        <v>0</v>
      </c>
      <c r="N226" s="305">
        <f t="shared" si="36"/>
        <v>0</v>
      </c>
      <c r="O226" s="305">
        <f t="shared" si="36"/>
        <v>0</v>
      </c>
      <c r="P226" s="305">
        <f t="shared" si="36"/>
        <v>0</v>
      </c>
      <c r="Q226" s="305">
        <f t="shared" si="36"/>
        <v>0</v>
      </c>
      <c r="R226" s="305">
        <f t="shared" si="36"/>
        <v>0</v>
      </c>
      <c r="S226" s="305">
        <f t="shared" si="36"/>
        <v>0</v>
      </c>
      <c r="T226" s="305">
        <f t="shared" si="36"/>
        <v>0</v>
      </c>
      <c r="U226" s="305">
        <f t="shared" si="36"/>
        <v>0</v>
      </c>
      <c r="V226" s="305">
        <f t="shared" si="36"/>
        <v>0</v>
      </c>
      <c r="W226" s="305">
        <f t="shared" si="36"/>
        <v>0</v>
      </c>
      <c r="X226" s="305">
        <f t="shared" si="36"/>
        <v>0</v>
      </c>
      <c r="Y226" s="305">
        <f t="shared" si="36"/>
        <v>0</v>
      </c>
      <c r="Z226" s="305">
        <f t="shared" ref="Z226:AA226" si="38">Z365+Z436+Z507+Z577+Z647</f>
        <v>0</v>
      </c>
      <c r="AA226" s="305">
        <f t="shared" si="38"/>
        <v>0</v>
      </c>
      <c r="AB226" s="305">
        <f t="shared" si="32"/>
        <v>0</v>
      </c>
    </row>
    <row r="227" spans="3:28" x14ac:dyDescent="0.25">
      <c r="C227" s="395"/>
      <c r="D227" s="338" t="s">
        <v>115</v>
      </c>
      <c r="E227" s="339" t="s">
        <v>13</v>
      </c>
      <c r="F227" s="306">
        <f>SUM(F228:F252)</f>
        <v>0</v>
      </c>
      <c r="G227" s="306">
        <f t="shared" ref="G227:AB227" si="39">SUM(G228:G252)</f>
        <v>0</v>
      </c>
      <c r="H227" s="306">
        <f t="shared" si="39"/>
        <v>0</v>
      </c>
      <c r="I227" s="306">
        <f t="shared" si="39"/>
        <v>0</v>
      </c>
      <c r="J227" s="306">
        <f t="shared" si="39"/>
        <v>0</v>
      </c>
      <c r="K227" s="306">
        <f t="shared" si="39"/>
        <v>0</v>
      </c>
      <c r="L227" s="306">
        <f t="shared" si="39"/>
        <v>0</v>
      </c>
      <c r="M227" s="306">
        <f t="shared" si="39"/>
        <v>0</v>
      </c>
      <c r="N227" s="306">
        <f t="shared" si="39"/>
        <v>0</v>
      </c>
      <c r="O227" s="306">
        <f t="shared" si="39"/>
        <v>0</v>
      </c>
      <c r="P227" s="306">
        <f t="shared" si="39"/>
        <v>0</v>
      </c>
      <c r="Q227" s="306">
        <f t="shared" si="39"/>
        <v>0</v>
      </c>
      <c r="R227" s="306">
        <f t="shared" si="39"/>
        <v>0</v>
      </c>
      <c r="S227" s="306">
        <f t="shared" si="39"/>
        <v>161921.10571155106</v>
      </c>
      <c r="T227" s="306">
        <f t="shared" si="39"/>
        <v>355344.11850548617</v>
      </c>
      <c r="U227" s="306">
        <f t="shared" si="39"/>
        <v>363596.45706658973</v>
      </c>
      <c r="V227" s="306">
        <f t="shared" si="39"/>
        <v>372229.99572428886</v>
      </c>
      <c r="W227" s="306">
        <f t="shared" si="39"/>
        <v>276074.40623358486</v>
      </c>
      <c r="X227" s="306">
        <f t="shared" si="39"/>
        <v>390714.48502148531</v>
      </c>
      <c r="Y227" s="306">
        <f t="shared" si="39"/>
        <v>400604.64371631207</v>
      </c>
      <c r="Z227" s="306">
        <f t="shared" si="39"/>
        <v>410954.51338118414</v>
      </c>
      <c r="AA227" s="306">
        <f t="shared" si="39"/>
        <v>2731439.7253604825</v>
      </c>
      <c r="AB227" s="306">
        <f t="shared" si="39"/>
        <v>2731.4397253604825</v>
      </c>
    </row>
    <row r="228" spans="3:28" x14ac:dyDescent="0.25">
      <c r="C228" s="397"/>
      <c r="D228" s="332" t="str">
        <f>D24</f>
        <v>Центр РАН и НИЦ интегральной электроники</v>
      </c>
      <c r="E228" s="337" t="s">
        <v>13</v>
      </c>
      <c r="F228" s="307">
        <f>F367+F438+F509+F579+F649</f>
        <v>0</v>
      </c>
      <c r="G228" s="307">
        <f t="shared" ref="G228:AB240" si="40">G367+G438+G509+G579+G649</f>
        <v>0</v>
      </c>
      <c r="H228" s="307">
        <f t="shared" si="40"/>
        <v>0</v>
      </c>
      <c r="I228" s="307">
        <f t="shared" si="40"/>
        <v>0</v>
      </c>
      <c r="J228" s="307">
        <f t="shared" si="40"/>
        <v>0</v>
      </c>
      <c r="K228" s="307">
        <f t="shared" si="40"/>
        <v>0</v>
      </c>
      <c r="L228" s="307">
        <f t="shared" si="40"/>
        <v>0</v>
      </c>
      <c r="M228" s="307">
        <f t="shared" si="40"/>
        <v>0</v>
      </c>
      <c r="N228" s="307">
        <f t="shared" si="40"/>
        <v>0</v>
      </c>
      <c r="O228" s="307">
        <f t="shared" si="40"/>
        <v>0</v>
      </c>
      <c r="P228" s="307">
        <f t="shared" si="40"/>
        <v>0</v>
      </c>
      <c r="Q228" s="307">
        <f t="shared" si="40"/>
        <v>0</v>
      </c>
      <c r="R228" s="307">
        <f t="shared" si="40"/>
        <v>0</v>
      </c>
      <c r="S228" s="307">
        <f t="shared" si="40"/>
        <v>0</v>
      </c>
      <c r="T228" s="307">
        <f t="shared" si="40"/>
        <v>0</v>
      </c>
      <c r="U228" s="307">
        <f t="shared" si="40"/>
        <v>0</v>
      </c>
      <c r="V228" s="307">
        <f t="shared" si="40"/>
        <v>0</v>
      </c>
      <c r="W228" s="307">
        <f t="shared" si="40"/>
        <v>0</v>
      </c>
      <c r="X228" s="307">
        <f t="shared" si="40"/>
        <v>0</v>
      </c>
      <c r="Y228" s="307">
        <f t="shared" si="40"/>
        <v>0</v>
      </c>
      <c r="Z228" s="307">
        <f t="shared" si="40"/>
        <v>0</v>
      </c>
      <c r="AA228" s="307">
        <f t="shared" si="40"/>
        <v>0</v>
      </c>
      <c r="AB228" s="307">
        <f t="shared" si="40"/>
        <v>0</v>
      </c>
    </row>
    <row r="229" spans="3:28" x14ac:dyDescent="0.25">
      <c r="C229" s="397"/>
      <c r="D229" s="332" t="str">
        <f t="shared" ref="D229:D252" si="41">D25</f>
        <v xml:space="preserve">Университет МИРЭА
</v>
      </c>
      <c r="E229" s="337" t="s">
        <v>13</v>
      </c>
      <c r="F229" s="307">
        <f t="shared" ref="F229:U252" si="42">F368+F439+F510+F580+F650</f>
        <v>0</v>
      </c>
      <c r="G229" s="307">
        <f t="shared" si="42"/>
        <v>0</v>
      </c>
      <c r="H229" s="307">
        <f t="shared" si="42"/>
        <v>0</v>
      </c>
      <c r="I229" s="307">
        <f t="shared" si="42"/>
        <v>0</v>
      </c>
      <c r="J229" s="307">
        <f t="shared" si="42"/>
        <v>0</v>
      </c>
      <c r="K229" s="307">
        <f t="shared" si="42"/>
        <v>0</v>
      </c>
      <c r="L229" s="307">
        <f t="shared" si="42"/>
        <v>0</v>
      </c>
      <c r="M229" s="307">
        <f t="shared" si="42"/>
        <v>0</v>
      </c>
      <c r="N229" s="307">
        <f t="shared" si="42"/>
        <v>0</v>
      </c>
      <c r="O229" s="307">
        <f t="shared" si="42"/>
        <v>0</v>
      </c>
      <c r="P229" s="307">
        <f t="shared" si="42"/>
        <v>0</v>
      </c>
      <c r="Q229" s="307">
        <f t="shared" si="42"/>
        <v>0</v>
      </c>
      <c r="R229" s="307">
        <f t="shared" si="42"/>
        <v>0</v>
      </c>
      <c r="S229" s="307">
        <f t="shared" si="42"/>
        <v>0</v>
      </c>
      <c r="T229" s="307">
        <f t="shared" si="42"/>
        <v>0</v>
      </c>
      <c r="U229" s="307">
        <f t="shared" si="42"/>
        <v>0</v>
      </c>
      <c r="V229" s="307">
        <f t="shared" si="40"/>
        <v>0</v>
      </c>
      <c r="W229" s="307">
        <f t="shared" si="40"/>
        <v>0</v>
      </c>
      <c r="X229" s="307">
        <f t="shared" si="40"/>
        <v>0</v>
      </c>
      <c r="Y229" s="307">
        <f t="shared" si="40"/>
        <v>0</v>
      </c>
      <c r="Z229" s="307">
        <f t="shared" si="40"/>
        <v>0</v>
      </c>
      <c r="AA229" s="307">
        <f t="shared" si="40"/>
        <v>0</v>
      </c>
      <c r="AB229" s="307">
        <f t="shared" si="40"/>
        <v>0</v>
      </c>
    </row>
    <row r="230" spans="3:28" x14ac:dyDescent="0.25">
      <c r="C230" s="397"/>
      <c r="D230" s="332" t="str">
        <f t="shared" si="41"/>
        <v>Технологический центр</v>
      </c>
      <c r="E230" s="337" t="s">
        <v>13</v>
      </c>
      <c r="F230" s="307">
        <f t="shared" si="42"/>
        <v>0</v>
      </c>
      <c r="G230" s="307">
        <f t="shared" si="40"/>
        <v>0</v>
      </c>
      <c r="H230" s="307">
        <f t="shared" si="40"/>
        <v>0</v>
      </c>
      <c r="I230" s="307">
        <f t="shared" si="40"/>
        <v>0</v>
      </c>
      <c r="J230" s="307">
        <f t="shared" si="40"/>
        <v>0</v>
      </c>
      <c r="K230" s="307">
        <f t="shared" si="40"/>
        <v>0</v>
      </c>
      <c r="L230" s="307">
        <f t="shared" si="40"/>
        <v>0</v>
      </c>
      <c r="M230" s="307">
        <f t="shared" si="40"/>
        <v>0</v>
      </c>
      <c r="N230" s="307">
        <f t="shared" si="40"/>
        <v>0</v>
      </c>
      <c r="O230" s="307">
        <f t="shared" si="40"/>
        <v>0</v>
      </c>
      <c r="P230" s="307">
        <f t="shared" si="40"/>
        <v>0</v>
      </c>
      <c r="Q230" s="307">
        <f t="shared" si="40"/>
        <v>0</v>
      </c>
      <c r="R230" s="307">
        <f t="shared" si="40"/>
        <v>0</v>
      </c>
      <c r="S230" s="307">
        <f t="shared" si="40"/>
        <v>0</v>
      </c>
      <c r="T230" s="307">
        <f t="shared" si="40"/>
        <v>0</v>
      </c>
      <c r="U230" s="307">
        <f t="shared" si="40"/>
        <v>0</v>
      </c>
      <c r="V230" s="307">
        <f t="shared" si="40"/>
        <v>0</v>
      </c>
      <c r="W230" s="307">
        <f t="shared" si="40"/>
        <v>0</v>
      </c>
      <c r="X230" s="307">
        <f t="shared" si="40"/>
        <v>0</v>
      </c>
      <c r="Y230" s="307">
        <f t="shared" si="40"/>
        <v>0</v>
      </c>
      <c r="Z230" s="307">
        <f t="shared" si="40"/>
        <v>0</v>
      </c>
      <c r="AA230" s="307">
        <f t="shared" si="40"/>
        <v>0</v>
      </c>
      <c r="AB230" s="307">
        <f t="shared" si="40"/>
        <v>0</v>
      </c>
    </row>
    <row r="231" spans="3:28" x14ac:dyDescent="0.25">
      <c r="C231" s="397"/>
      <c r="D231" s="332" t="str">
        <f t="shared" si="41"/>
        <v>Спортивный центр</v>
      </c>
      <c r="E231" s="337" t="s">
        <v>13</v>
      </c>
      <c r="F231" s="307">
        <f t="shared" si="42"/>
        <v>0</v>
      </c>
      <c r="G231" s="307">
        <f t="shared" si="40"/>
        <v>0</v>
      </c>
      <c r="H231" s="307">
        <f t="shared" si="40"/>
        <v>0</v>
      </c>
      <c r="I231" s="307">
        <f t="shared" si="40"/>
        <v>0</v>
      </c>
      <c r="J231" s="307">
        <f t="shared" si="40"/>
        <v>0</v>
      </c>
      <c r="K231" s="307">
        <f t="shared" si="40"/>
        <v>0</v>
      </c>
      <c r="L231" s="307">
        <f t="shared" si="40"/>
        <v>0</v>
      </c>
      <c r="M231" s="307">
        <f t="shared" si="40"/>
        <v>0</v>
      </c>
      <c r="N231" s="307">
        <f t="shared" si="40"/>
        <v>0</v>
      </c>
      <c r="O231" s="307">
        <f t="shared" si="40"/>
        <v>0</v>
      </c>
      <c r="P231" s="307">
        <f t="shared" si="40"/>
        <v>0</v>
      </c>
      <c r="Q231" s="307">
        <f t="shared" si="40"/>
        <v>0</v>
      </c>
      <c r="R231" s="307">
        <f t="shared" si="40"/>
        <v>0</v>
      </c>
      <c r="S231" s="307">
        <f t="shared" si="40"/>
        <v>0</v>
      </c>
      <c r="T231" s="307">
        <f t="shared" si="40"/>
        <v>0</v>
      </c>
      <c r="U231" s="307">
        <f t="shared" si="40"/>
        <v>0</v>
      </c>
      <c r="V231" s="307">
        <f t="shared" si="40"/>
        <v>0</v>
      </c>
      <c r="W231" s="307">
        <f t="shared" si="40"/>
        <v>0</v>
      </c>
      <c r="X231" s="307">
        <f t="shared" si="40"/>
        <v>0</v>
      </c>
      <c r="Y231" s="307">
        <f t="shared" si="40"/>
        <v>0</v>
      </c>
      <c r="Z231" s="307">
        <f t="shared" si="40"/>
        <v>0</v>
      </c>
      <c r="AA231" s="307">
        <f t="shared" si="40"/>
        <v>0</v>
      </c>
      <c r="AB231" s="307">
        <f t="shared" si="40"/>
        <v>0</v>
      </c>
    </row>
    <row r="232" spans="3:28" x14ac:dyDescent="0.25">
      <c r="C232" s="397"/>
      <c r="D232" s="332" t="str">
        <f t="shared" si="41"/>
        <v>Гостиничный комплекс</v>
      </c>
      <c r="E232" s="337" t="s">
        <v>13</v>
      </c>
      <c r="F232" s="307">
        <f t="shared" si="42"/>
        <v>0</v>
      </c>
      <c r="G232" s="307">
        <f t="shared" si="40"/>
        <v>0</v>
      </c>
      <c r="H232" s="307">
        <f t="shared" si="40"/>
        <v>0</v>
      </c>
      <c r="I232" s="307">
        <f t="shared" si="40"/>
        <v>0</v>
      </c>
      <c r="J232" s="307">
        <f t="shared" si="40"/>
        <v>0</v>
      </c>
      <c r="K232" s="307">
        <f t="shared" si="40"/>
        <v>0</v>
      </c>
      <c r="L232" s="307">
        <f t="shared" si="40"/>
        <v>0</v>
      </c>
      <c r="M232" s="307">
        <f t="shared" si="40"/>
        <v>0</v>
      </c>
      <c r="N232" s="307">
        <f t="shared" si="40"/>
        <v>0</v>
      </c>
      <c r="O232" s="307">
        <f t="shared" si="40"/>
        <v>0</v>
      </c>
      <c r="P232" s="307">
        <f t="shared" si="40"/>
        <v>0</v>
      </c>
      <c r="Q232" s="307">
        <f t="shared" si="40"/>
        <v>0</v>
      </c>
      <c r="R232" s="307">
        <f t="shared" si="40"/>
        <v>0</v>
      </c>
      <c r="S232" s="307">
        <f t="shared" si="40"/>
        <v>161921.10571155106</v>
      </c>
      <c r="T232" s="307">
        <f t="shared" si="40"/>
        <v>355344.11850548617</v>
      </c>
      <c r="U232" s="307">
        <f t="shared" si="40"/>
        <v>363596.45706658973</v>
      </c>
      <c r="V232" s="307">
        <f t="shared" si="40"/>
        <v>372229.99572428886</v>
      </c>
      <c r="W232" s="307">
        <f t="shared" si="40"/>
        <v>276074.40623358486</v>
      </c>
      <c r="X232" s="307">
        <f t="shared" si="40"/>
        <v>390714.48502148531</v>
      </c>
      <c r="Y232" s="307">
        <f t="shared" si="40"/>
        <v>400604.64371631207</v>
      </c>
      <c r="Z232" s="307">
        <f t="shared" si="40"/>
        <v>410954.51338118414</v>
      </c>
      <c r="AA232" s="307">
        <f t="shared" si="40"/>
        <v>2731439.7253604825</v>
      </c>
      <c r="AB232" s="307">
        <f t="shared" si="40"/>
        <v>2731.4397253604825</v>
      </c>
    </row>
    <row r="233" spans="3:28" hidden="1" outlineLevel="1" x14ac:dyDescent="0.25">
      <c r="C233" s="397"/>
      <c r="D233" s="332" t="str">
        <f t="shared" si="41"/>
        <v>Наименование объекта / группы объектов 6</v>
      </c>
      <c r="E233" s="337" t="s">
        <v>13</v>
      </c>
      <c r="F233" s="307">
        <f t="shared" si="42"/>
        <v>0</v>
      </c>
      <c r="G233" s="307">
        <f t="shared" si="40"/>
        <v>0</v>
      </c>
      <c r="H233" s="307">
        <f t="shared" si="40"/>
        <v>0</v>
      </c>
      <c r="I233" s="307">
        <f t="shared" si="40"/>
        <v>0</v>
      </c>
      <c r="J233" s="307">
        <f t="shared" si="40"/>
        <v>0</v>
      </c>
      <c r="K233" s="307">
        <f t="shared" si="40"/>
        <v>0</v>
      </c>
      <c r="L233" s="307">
        <f t="shared" si="40"/>
        <v>0</v>
      </c>
      <c r="M233" s="307">
        <f t="shared" si="40"/>
        <v>0</v>
      </c>
      <c r="N233" s="307">
        <f t="shared" si="40"/>
        <v>0</v>
      </c>
      <c r="O233" s="307">
        <f t="shared" si="40"/>
        <v>0</v>
      </c>
      <c r="P233" s="307">
        <f t="shared" si="40"/>
        <v>0</v>
      </c>
      <c r="Q233" s="307">
        <f t="shared" si="40"/>
        <v>0</v>
      </c>
      <c r="R233" s="307">
        <f t="shared" si="40"/>
        <v>0</v>
      </c>
      <c r="S233" s="307">
        <f t="shared" si="40"/>
        <v>0</v>
      </c>
      <c r="T233" s="307">
        <f t="shared" si="40"/>
        <v>0</v>
      </c>
      <c r="U233" s="307">
        <f t="shared" si="40"/>
        <v>0</v>
      </c>
      <c r="V233" s="307">
        <f t="shared" si="40"/>
        <v>0</v>
      </c>
      <c r="W233" s="307">
        <f t="shared" si="40"/>
        <v>0</v>
      </c>
      <c r="X233" s="307">
        <f t="shared" si="40"/>
        <v>0</v>
      </c>
      <c r="Y233" s="307">
        <f t="shared" si="40"/>
        <v>0</v>
      </c>
      <c r="Z233" s="307">
        <f t="shared" si="40"/>
        <v>0</v>
      </c>
      <c r="AA233" s="307">
        <f t="shared" si="40"/>
        <v>0</v>
      </c>
      <c r="AB233" s="307">
        <f t="shared" si="40"/>
        <v>0</v>
      </c>
    </row>
    <row r="234" spans="3:28" hidden="1" outlineLevel="1" x14ac:dyDescent="0.25">
      <c r="C234" s="397"/>
      <c r="D234" s="332" t="str">
        <f t="shared" si="41"/>
        <v>Наименование объекта / группы объектов 7</v>
      </c>
      <c r="E234" s="337" t="s">
        <v>13</v>
      </c>
      <c r="F234" s="307">
        <f t="shared" si="42"/>
        <v>0</v>
      </c>
      <c r="G234" s="307">
        <f t="shared" si="40"/>
        <v>0</v>
      </c>
      <c r="H234" s="307">
        <f t="shared" si="40"/>
        <v>0</v>
      </c>
      <c r="I234" s="307">
        <f t="shared" si="40"/>
        <v>0</v>
      </c>
      <c r="J234" s="307">
        <f t="shared" si="40"/>
        <v>0</v>
      </c>
      <c r="K234" s="307">
        <f t="shared" si="40"/>
        <v>0</v>
      </c>
      <c r="L234" s="307">
        <f t="shared" si="40"/>
        <v>0</v>
      </c>
      <c r="M234" s="307">
        <f t="shared" si="40"/>
        <v>0</v>
      </c>
      <c r="N234" s="307">
        <f t="shared" si="40"/>
        <v>0</v>
      </c>
      <c r="O234" s="307">
        <f t="shared" si="40"/>
        <v>0</v>
      </c>
      <c r="P234" s="307">
        <f t="shared" si="40"/>
        <v>0</v>
      </c>
      <c r="Q234" s="307">
        <f t="shared" si="40"/>
        <v>0</v>
      </c>
      <c r="R234" s="307">
        <f t="shared" si="40"/>
        <v>0</v>
      </c>
      <c r="S234" s="307">
        <f t="shared" si="40"/>
        <v>0</v>
      </c>
      <c r="T234" s="307">
        <f t="shared" si="40"/>
        <v>0</v>
      </c>
      <c r="U234" s="307">
        <f t="shared" si="40"/>
        <v>0</v>
      </c>
      <c r="V234" s="307">
        <f t="shared" si="40"/>
        <v>0</v>
      </c>
      <c r="W234" s="307">
        <f t="shared" si="40"/>
        <v>0</v>
      </c>
      <c r="X234" s="307">
        <f t="shared" si="40"/>
        <v>0</v>
      </c>
      <c r="Y234" s="307">
        <f t="shared" si="40"/>
        <v>0</v>
      </c>
      <c r="Z234" s="307">
        <f t="shared" si="40"/>
        <v>0</v>
      </c>
      <c r="AA234" s="307">
        <f t="shared" si="40"/>
        <v>0</v>
      </c>
      <c r="AB234" s="307">
        <f t="shared" si="40"/>
        <v>0</v>
      </c>
    </row>
    <row r="235" spans="3:28" hidden="1" outlineLevel="1" x14ac:dyDescent="0.25">
      <c r="C235" s="397"/>
      <c r="D235" s="332" t="str">
        <f t="shared" si="41"/>
        <v>Наименование объекта / группы объектов 8</v>
      </c>
      <c r="E235" s="337" t="s">
        <v>13</v>
      </c>
      <c r="F235" s="307">
        <f t="shared" si="42"/>
        <v>0</v>
      </c>
      <c r="G235" s="307">
        <f t="shared" si="40"/>
        <v>0</v>
      </c>
      <c r="H235" s="307">
        <f t="shared" si="40"/>
        <v>0</v>
      </c>
      <c r="I235" s="307">
        <f t="shared" si="40"/>
        <v>0</v>
      </c>
      <c r="J235" s="307">
        <f t="shared" si="40"/>
        <v>0</v>
      </c>
      <c r="K235" s="307">
        <f t="shared" si="40"/>
        <v>0</v>
      </c>
      <c r="L235" s="307">
        <f t="shared" si="40"/>
        <v>0</v>
      </c>
      <c r="M235" s="307">
        <f t="shared" si="40"/>
        <v>0</v>
      </c>
      <c r="N235" s="307">
        <f t="shared" si="40"/>
        <v>0</v>
      </c>
      <c r="O235" s="307">
        <f t="shared" si="40"/>
        <v>0</v>
      </c>
      <c r="P235" s="307">
        <f t="shared" si="40"/>
        <v>0</v>
      </c>
      <c r="Q235" s="307">
        <f t="shared" si="40"/>
        <v>0</v>
      </c>
      <c r="R235" s="307">
        <f t="shared" si="40"/>
        <v>0</v>
      </c>
      <c r="S235" s="307">
        <f t="shared" si="40"/>
        <v>0</v>
      </c>
      <c r="T235" s="307">
        <f t="shared" si="40"/>
        <v>0</v>
      </c>
      <c r="U235" s="307">
        <f t="shared" si="40"/>
        <v>0</v>
      </c>
      <c r="V235" s="307">
        <f t="shared" si="40"/>
        <v>0</v>
      </c>
      <c r="W235" s="307">
        <f t="shared" si="40"/>
        <v>0</v>
      </c>
      <c r="X235" s="307">
        <f t="shared" si="40"/>
        <v>0</v>
      </c>
      <c r="Y235" s="307">
        <f t="shared" si="40"/>
        <v>0</v>
      </c>
      <c r="Z235" s="307">
        <f t="shared" si="40"/>
        <v>0</v>
      </c>
      <c r="AA235" s="307">
        <f t="shared" si="40"/>
        <v>0</v>
      </c>
      <c r="AB235" s="307">
        <f t="shared" si="40"/>
        <v>0</v>
      </c>
    </row>
    <row r="236" spans="3:28" hidden="1" outlineLevel="1" x14ac:dyDescent="0.25">
      <c r="C236" s="397"/>
      <c r="D236" s="332" t="str">
        <f t="shared" si="41"/>
        <v>Наименование объекта / группы объектов 9</v>
      </c>
      <c r="E236" s="337" t="s">
        <v>13</v>
      </c>
      <c r="F236" s="307">
        <f t="shared" si="42"/>
        <v>0</v>
      </c>
      <c r="G236" s="307">
        <f t="shared" si="40"/>
        <v>0</v>
      </c>
      <c r="H236" s="307">
        <f t="shared" si="40"/>
        <v>0</v>
      </c>
      <c r="I236" s="307">
        <f t="shared" si="40"/>
        <v>0</v>
      </c>
      <c r="J236" s="307">
        <f t="shared" si="40"/>
        <v>0</v>
      </c>
      <c r="K236" s="307">
        <f t="shared" si="40"/>
        <v>0</v>
      </c>
      <c r="L236" s="307">
        <f t="shared" si="40"/>
        <v>0</v>
      </c>
      <c r="M236" s="307">
        <f t="shared" si="40"/>
        <v>0</v>
      </c>
      <c r="N236" s="307">
        <f t="shared" si="40"/>
        <v>0</v>
      </c>
      <c r="O236" s="307">
        <f t="shared" si="40"/>
        <v>0</v>
      </c>
      <c r="P236" s="307">
        <f t="shared" si="40"/>
        <v>0</v>
      </c>
      <c r="Q236" s="307">
        <f t="shared" si="40"/>
        <v>0</v>
      </c>
      <c r="R236" s="307">
        <f t="shared" si="40"/>
        <v>0</v>
      </c>
      <c r="S236" s="307">
        <f t="shared" si="40"/>
        <v>0</v>
      </c>
      <c r="T236" s="307">
        <f t="shared" si="40"/>
        <v>0</v>
      </c>
      <c r="U236" s="307">
        <f t="shared" si="40"/>
        <v>0</v>
      </c>
      <c r="V236" s="307">
        <f t="shared" si="40"/>
        <v>0</v>
      </c>
      <c r="W236" s="307">
        <f t="shared" si="40"/>
        <v>0</v>
      </c>
      <c r="X236" s="307">
        <f t="shared" si="40"/>
        <v>0</v>
      </c>
      <c r="Y236" s="307">
        <f t="shared" si="40"/>
        <v>0</v>
      </c>
      <c r="Z236" s="307">
        <f t="shared" si="40"/>
        <v>0</v>
      </c>
      <c r="AA236" s="307">
        <f t="shared" si="40"/>
        <v>0</v>
      </c>
      <c r="AB236" s="307">
        <f t="shared" si="40"/>
        <v>0</v>
      </c>
    </row>
    <row r="237" spans="3:28" hidden="1" outlineLevel="1" x14ac:dyDescent="0.25">
      <c r="C237" s="397"/>
      <c r="D237" s="332" t="str">
        <f t="shared" si="41"/>
        <v>Наименование объекта / группы объектов 10</v>
      </c>
      <c r="E237" s="337" t="s">
        <v>13</v>
      </c>
      <c r="F237" s="307">
        <f t="shared" si="42"/>
        <v>0</v>
      </c>
      <c r="G237" s="307">
        <f t="shared" si="40"/>
        <v>0</v>
      </c>
      <c r="H237" s="307">
        <f t="shared" si="40"/>
        <v>0</v>
      </c>
      <c r="I237" s="307">
        <f t="shared" si="40"/>
        <v>0</v>
      </c>
      <c r="J237" s="307">
        <f t="shared" si="40"/>
        <v>0</v>
      </c>
      <c r="K237" s="307">
        <f t="shared" si="40"/>
        <v>0</v>
      </c>
      <c r="L237" s="307">
        <f t="shared" si="40"/>
        <v>0</v>
      </c>
      <c r="M237" s="307">
        <f t="shared" si="40"/>
        <v>0</v>
      </c>
      <c r="N237" s="307">
        <f t="shared" si="40"/>
        <v>0</v>
      </c>
      <c r="O237" s="307">
        <f t="shared" si="40"/>
        <v>0</v>
      </c>
      <c r="P237" s="307">
        <f t="shared" si="40"/>
        <v>0</v>
      </c>
      <c r="Q237" s="307">
        <f t="shared" si="40"/>
        <v>0</v>
      </c>
      <c r="R237" s="307">
        <f t="shared" si="40"/>
        <v>0</v>
      </c>
      <c r="S237" s="307">
        <f t="shared" si="40"/>
        <v>0</v>
      </c>
      <c r="T237" s="307">
        <f t="shared" si="40"/>
        <v>0</v>
      </c>
      <c r="U237" s="307">
        <f t="shared" si="40"/>
        <v>0</v>
      </c>
      <c r="V237" s="307">
        <f t="shared" si="40"/>
        <v>0</v>
      </c>
      <c r="W237" s="307">
        <f t="shared" si="40"/>
        <v>0</v>
      </c>
      <c r="X237" s="307">
        <f t="shared" si="40"/>
        <v>0</v>
      </c>
      <c r="Y237" s="307">
        <f t="shared" si="40"/>
        <v>0</v>
      </c>
      <c r="Z237" s="307">
        <f t="shared" si="40"/>
        <v>0</v>
      </c>
      <c r="AA237" s="307">
        <f t="shared" si="40"/>
        <v>0</v>
      </c>
      <c r="AB237" s="307">
        <f t="shared" si="40"/>
        <v>0</v>
      </c>
    </row>
    <row r="238" spans="3:28" hidden="1" outlineLevel="1" x14ac:dyDescent="0.25">
      <c r="C238" s="397"/>
      <c r="D238" s="332" t="str">
        <f t="shared" si="41"/>
        <v>Наименование объекта / группы объектов 11</v>
      </c>
      <c r="E238" s="337" t="s">
        <v>13</v>
      </c>
      <c r="F238" s="307">
        <f t="shared" si="42"/>
        <v>0</v>
      </c>
      <c r="G238" s="307">
        <f t="shared" si="40"/>
        <v>0</v>
      </c>
      <c r="H238" s="307">
        <f t="shared" si="40"/>
        <v>0</v>
      </c>
      <c r="I238" s="307">
        <f t="shared" si="40"/>
        <v>0</v>
      </c>
      <c r="J238" s="307">
        <f t="shared" si="40"/>
        <v>0</v>
      </c>
      <c r="K238" s="307">
        <f t="shared" si="40"/>
        <v>0</v>
      </c>
      <c r="L238" s="307">
        <f t="shared" si="40"/>
        <v>0</v>
      </c>
      <c r="M238" s="307">
        <f t="shared" si="40"/>
        <v>0</v>
      </c>
      <c r="N238" s="307">
        <f t="shared" si="40"/>
        <v>0</v>
      </c>
      <c r="O238" s="307">
        <f t="shared" si="40"/>
        <v>0</v>
      </c>
      <c r="P238" s="307">
        <f t="shared" si="40"/>
        <v>0</v>
      </c>
      <c r="Q238" s="307">
        <f t="shared" si="40"/>
        <v>0</v>
      </c>
      <c r="R238" s="307">
        <f t="shared" si="40"/>
        <v>0</v>
      </c>
      <c r="S238" s="307">
        <f t="shared" si="40"/>
        <v>0</v>
      </c>
      <c r="T238" s="307">
        <f t="shared" si="40"/>
        <v>0</v>
      </c>
      <c r="U238" s="307">
        <f t="shared" si="40"/>
        <v>0</v>
      </c>
      <c r="V238" s="307">
        <f t="shared" si="40"/>
        <v>0</v>
      </c>
      <c r="W238" s="307">
        <f t="shared" si="40"/>
        <v>0</v>
      </c>
      <c r="X238" s="307">
        <f t="shared" si="40"/>
        <v>0</v>
      </c>
      <c r="Y238" s="307">
        <f t="shared" si="40"/>
        <v>0</v>
      </c>
      <c r="Z238" s="307">
        <f t="shared" si="40"/>
        <v>0</v>
      </c>
      <c r="AA238" s="307">
        <f t="shared" si="40"/>
        <v>0</v>
      </c>
      <c r="AB238" s="307">
        <f t="shared" si="40"/>
        <v>0</v>
      </c>
    </row>
    <row r="239" spans="3:28" hidden="1" outlineLevel="1" x14ac:dyDescent="0.25">
      <c r="C239" s="397"/>
      <c r="D239" s="332" t="str">
        <f t="shared" si="41"/>
        <v>Наименование объекта / группы объектов 12</v>
      </c>
      <c r="E239" s="337" t="s">
        <v>13</v>
      </c>
      <c r="F239" s="307">
        <f t="shared" si="42"/>
        <v>0</v>
      </c>
      <c r="G239" s="307">
        <f t="shared" si="40"/>
        <v>0</v>
      </c>
      <c r="H239" s="307">
        <f t="shared" si="40"/>
        <v>0</v>
      </c>
      <c r="I239" s="307">
        <f t="shared" si="40"/>
        <v>0</v>
      </c>
      <c r="J239" s="307">
        <f t="shared" si="40"/>
        <v>0</v>
      </c>
      <c r="K239" s="307">
        <f t="shared" si="40"/>
        <v>0</v>
      </c>
      <c r="L239" s="307">
        <f t="shared" si="40"/>
        <v>0</v>
      </c>
      <c r="M239" s="307">
        <f t="shared" si="40"/>
        <v>0</v>
      </c>
      <c r="N239" s="307">
        <f t="shared" si="40"/>
        <v>0</v>
      </c>
      <c r="O239" s="307">
        <f t="shared" si="40"/>
        <v>0</v>
      </c>
      <c r="P239" s="307">
        <f t="shared" si="40"/>
        <v>0</v>
      </c>
      <c r="Q239" s="307">
        <f t="shared" si="40"/>
        <v>0</v>
      </c>
      <c r="R239" s="307">
        <f t="shared" si="40"/>
        <v>0</v>
      </c>
      <c r="S239" s="307">
        <f t="shared" si="40"/>
        <v>0</v>
      </c>
      <c r="T239" s="307">
        <f t="shared" si="40"/>
        <v>0</v>
      </c>
      <c r="U239" s="307">
        <f t="shared" si="40"/>
        <v>0</v>
      </c>
      <c r="V239" s="307">
        <f t="shared" si="40"/>
        <v>0</v>
      </c>
      <c r="W239" s="307">
        <f t="shared" si="40"/>
        <v>0</v>
      </c>
      <c r="X239" s="307">
        <f t="shared" si="40"/>
        <v>0</v>
      </c>
      <c r="Y239" s="307">
        <f t="shared" si="40"/>
        <v>0</v>
      </c>
      <c r="Z239" s="307">
        <f t="shared" si="40"/>
        <v>0</v>
      </c>
      <c r="AA239" s="307">
        <f t="shared" si="40"/>
        <v>0</v>
      </c>
      <c r="AB239" s="307">
        <f t="shared" si="40"/>
        <v>0</v>
      </c>
    </row>
    <row r="240" spans="3:28" hidden="1" outlineLevel="1" x14ac:dyDescent="0.25">
      <c r="C240" s="397"/>
      <c r="D240" s="332" t="str">
        <f t="shared" si="41"/>
        <v>Наименование объекта / группы объектов 13</v>
      </c>
      <c r="E240" s="337" t="s">
        <v>13</v>
      </c>
      <c r="F240" s="307">
        <f t="shared" si="42"/>
        <v>0</v>
      </c>
      <c r="G240" s="307">
        <f t="shared" si="40"/>
        <v>0</v>
      </c>
      <c r="H240" s="307">
        <f t="shared" si="40"/>
        <v>0</v>
      </c>
      <c r="I240" s="307">
        <f t="shared" si="40"/>
        <v>0</v>
      </c>
      <c r="J240" s="307">
        <f t="shared" si="40"/>
        <v>0</v>
      </c>
      <c r="K240" s="307">
        <f t="shared" si="40"/>
        <v>0</v>
      </c>
      <c r="L240" s="307">
        <f t="shared" si="40"/>
        <v>0</v>
      </c>
      <c r="M240" s="307">
        <f t="shared" ref="G240:AB251" si="43">M379+M450+M521+M591+M661</f>
        <v>0</v>
      </c>
      <c r="N240" s="307">
        <f t="shared" si="43"/>
        <v>0</v>
      </c>
      <c r="O240" s="307">
        <f t="shared" si="43"/>
        <v>0</v>
      </c>
      <c r="P240" s="307">
        <f t="shared" si="43"/>
        <v>0</v>
      </c>
      <c r="Q240" s="307">
        <f t="shared" si="43"/>
        <v>0</v>
      </c>
      <c r="R240" s="307">
        <f t="shared" si="43"/>
        <v>0</v>
      </c>
      <c r="S240" s="307">
        <f t="shared" si="43"/>
        <v>0</v>
      </c>
      <c r="T240" s="307">
        <f t="shared" si="43"/>
        <v>0</v>
      </c>
      <c r="U240" s="307">
        <f t="shared" si="43"/>
        <v>0</v>
      </c>
      <c r="V240" s="307">
        <f t="shared" si="43"/>
        <v>0</v>
      </c>
      <c r="W240" s="307">
        <f t="shared" si="43"/>
        <v>0</v>
      </c>
      <c r="X240" s="307">
        <f t="shared" si="43"/>
        <v>0</v>
      </c>
      <c r="Y240" s="307">
        <f t="shared" si="43"/>
        <v>0</v>
      </c>
      <c r="Z240" s="307">
        <f t="shared" si="43"/>
        <v>0</v>
      </c>
      <c r="AA240" s="307">
        <f t="shared" si="43"/>
        <v>0</v>
      </c>
      <c r="AB240" s="307">
        <f t="shared" si="43"/>
        <v>0</v>
      </c>
    </row>
    <row r="241" spans="3:28" hidden="1" outlineLevel="1" x14ac:dyDescent="0.25">
      <c r="C241" s="397"/>
      <c r="D241" s="332" t="str">
        <f t="shared" si="41"/>
        <v>Наименование объекта / группы объектов 14</v>
      </c>
      <c r="E241" s="337" t="s">
        <v>13</v>
      </c>
      <c r="F241" s="307">
        <f t="shared" si="42"/>
        <v>0</v>
      </c>
      <c r="G241" s="307">
        <f t="shared" si="43"/>
        <v>0</v>
      </c>
      <c r="H241" s="307">
        <f t="shared" si="43"/>
        <v>0</v>
      </c>
      <c r="I241" s="307">
        <f t="shared" si="43"/>
        <v>0</v>
      </c>
      <c r="J241" s="307">
        <f t="shared" si="43"/>
        <v>0</v>
      </c>
      <c r="K241" s="307">
        <f t="shared" si="43"/>
        <v>0</v>
      </c>
      <c r="L241" s="307">
        <f t="shared" si="43"/>
        <v>0</v>
      </c>
      <c r="M241" s="307">
        <f t="shared" si="43"/>
        <v>0</v>
      </c>
      <c r="N241" s="307">
        <f t="shared" si="43"/>
        <v>0</v>
      </c>
      <c r="O241" s="307">
        <f t="shared" si="43"/>
        <v>0</v>
      </c>
      <c r="P241" s="307">
        <f t="shared" si="43"/>
        <v>0</v>
      </c>
      <c r="Q241" s="307">
        <f t="shared" si="43"/>
        <v>0</v>
      </c>
      <c r="R241" s="307">
        <f t="shared" si="43"/>
        <v>0</v>
      </c>
      <c r="S241" s="307">
        <f t="shared" si="43"/>
        <v>0</v>
      </c>
      <c r="T241" s="307">
        <f t="shared" si="43"/>
        <v>0</v>
      </c>
      <c r="U241" s="307">
        <f t="shared" si="43"/>
        <v>0</v>
      </c>
      <c r="V241" s="307">
        <f t="shared" si="43"/>
        <v>0</v>
      </c>
      <c r="W241" s="307">
        <f t="shared" si="43"/>
        <v>0</v>
      </c>
      <c r="X241" s="307">
        <f t="shared" si="43"/>
        <v>0</v>
      </c>
      <c r="Y241" s="307">
        <f t="shared" si="43"/>
        <v>0</v>
      </c>
      <c r="Z241" s="307">
        <f t="shared" si="43"/>
        <v>0</v>
      </c>
      <c r="AA241" s="307">
        <f t="shared" si="43"/>
        <v>0</v>
      </c>
      <c r="AB241" s="307">
        <f t="shared" si="43"/>
        <v>0</v>
      </c>
    </row>
    <row r="242" spans="3:28" hidden="1" outlineLevel="1" x14ac:dyDescent="0.25">
      <c r="C242" s="397"/>
      <c r="D242" s="332" t="str">
        <f t="shared" si="41"/>
        <v>Наименование объекта / группы объектов 15</v>
      </c>
      <c r="E242" s="337" t="s">
        <v>13</v>
      </c>
      <c r="F242" s="307">
        <f t="shared" si="42"/>
        <v>0</v>
      </c>
      <c r="G242" s="307">
        <f t="shared" si="43"/>
        <v>0</v>
      </c>
      <c r="H242" s="307">
        <f t="shared" si="43"/>
        <v>0</v>
      </c>
      <c r="I242" s="307">
        <f t="shared" si="43"/>
        <v>0</v>
      </c>
      <c r="J242" s="307">
        <f t="shared" si="43"/>
        <v>0</v>
      </c>
      <c r="K242" s="307">
        <f t="shared" si="43"/>
        <v>0</v>
      </c>
      <c r="L242" s="307">
        <f t="shared" si="43"/>
        <v>0</v>
      </c>
      <c r="M242" s="307">
        <f t="shared" si="43"/>
        <v>0</v>
      </c>
      <c r="N242" s="307">
        <f t="shared" si="43"/>
        <v>0</v>
      </c>
      <c r="O242" s="307">
        <f t="shared" si="43"/>
        <v>0</v>
      </c>
      <c r="P242" s="307">
        <f t="shared" si="43"/>
        <v>0</v>
      </c>
      <c r="Q242" s="307">
        <f t="shared" si="43"/>
        <v>0</v>
      </c>
      <c r="R242" s="307">
        <f t="shared" si="43"/>
        <v>0</v>
      </c>
      <c r="S242" s="307">
        <f t="shared" si="43"/>
        <v>0</v>
      </c>
      <c r="T242" s="307">
        <f t="shared" si="43"/>
        <v>0</v>
      </c>
      <c r="U242" s="307">
        <f t="shared" si="43"/>
        <v>0</v>
      </c>
      <c r="V242" s="307">
        <f t="shared" si="43"/>
        <v>0</v>
      </c>
      <c r="W242" s="307">
        <f t="shared" si="43"/>
        <v>0</v>
      </c>
      <c r="X242" s="307">
        <f t="shared" si="43"/>
        <v>0</v>
      </c>
      <c r="Y242" s="307">
        <f t="shared" si="43"/>
        <v>0</v>
      </c>
      <c r="Z242" s="307">
        <f t="shared" si="43"/>
        <v>0</v>
      </c>
      <c r="AA242" s="307">
        <f t="shared" si="43"/>
        <v>0</v>
      </c>
      <c r="AB242" s="307">
        <f t="shared" si="43"/>
        <v>0</v>
      </c>
    </row>
    <row r="243" spans="3:28" hidden="1" outlineLevel="1" x14ac:dyDescent="0.25">
      <c r="C243" s="397"/>
      <c r="D243" s="332" t="str">
        <f t="shared" si="41"/>
        <v>Наименование объекта / группы объектов 16</v>
      </c>
      <c r="E243" s="337" t="s">
        <v>13</v>
      </c>
      <c r="F243" s="307">
        <f t="shared" si="42"/>
        <v>0</v>
      </c>
      <c r="G243" s="307">
        <f t="shared" si="43"/>
        <v>0</v>
      </c>
      <c r="H243" s="307">
        <f t="shared" si="43"/>
        <v>0</v>
      </c>
      <c r="I243" s="307">
        <f t="shared" si="43"/>
        <v>0</v>
      </c>
      <c r="J243" s="307">
        <f t="shared" si="43"/>
        <v>0</v>
      </c>
      <c r="K243" s="307">
        <f t="shared" si="43"/>
        <v>0</v>
      </c>
      <c r="L243" s="307">
        <f t="shared" si="43"/>
        <v>0</v>
      </c>
      <c r="M243" s="307">
        <f t="shared" si="43"/>
        <v>0</v>
      </c>
      <c r="N243" s="307">
        <f t="shared" si="43"/>
        <v>0</v>
      </c>
      <c r="O243" s="307">
        <f t="shared" si="43"/>
        <v>0</v>
      </c>
      <c r="P243" s="307">
        <f t="shared" si="43"/>
        <v>0</v>
      </c>
      <c r="Q243" s="307">
        <f t="shared" si="43"/>
        <v>0</v>
      </c>
      <c r="R243" s="307">
        <f t="shared" si="43"/>
        <v>0</v>
      </c>
      <c r="S243" s="307">
        <f t="shared" si="43"/>
        <v>0</v>
      </c>
      <c r="T243" s="307">
        <f t="shared" si="43"/>
        <v>0</v>
      </c>
      <c r="U243" s="307">
        <f t="shared" si="43"/>
        <v>0</v>
      </c>
      <c r="V243" s="307">
        <f t="shared" si="43"/>
        <v>0</v>
      </c>
      <c r="W243" s="307">
        <f t="shared" si="43"/>
        <v>0</v>
      </c>
      <c r="X243" s="307">
        <f t="shared" si="43"/>
        <v>0</v>
      </c>
      <c r="Y243" s="307">
        <f t="shared" si="43"/>
        <v>0</v>
      </c>
      <c r="Z243" s="307">
        <f t="shared" si="43"/>
        <v>0</v>
      </c>
      <c r="AA243" s="307">
        <f t="shared" si="43"/>
        <v>0</v>
      </c>
      <c r="AB243" s="307">
        <f t="shared" si="43"/>
        <v>0</v>
      </c>
    </row>
    <row r="244" spans="3:28" hidden="1" outlineLevel="1" x14ac:dyDescent="0.25">
      <c r="C244" s="397"/>
      <c r="D244" s="332" t="str">
        <f t="shared" si="41"/>
        <v>Наименование объекта / группы объектов 17</v>
      </c>
      <c r="E244" s="337" t="s">
        <v>13</v>
      </c>
      <c r="F244" s="307">
        <f t="shared" si="42"/>
        <v>0</v>
      </c>
      <c r="G244" s="307">
        <f t="shared" si="43"/>
        <v>0</v>
      </c>
      <c r="H244" s="307">
        <f t="shared" si="43"/>
        <v>0</v>
      </c>
      <c r="I244" s="307">
        <f t="shared" si="43"/>
        <v>0</v>
      </c>
      <c r="J244" s="307">
        <f t="shared" si="43"/>
        <v>0</v>
      </c>
      <c r="K244" s="307">
        <f t="shared" si="43"/>
        <v>0</v>
      </c>
      <c r="L244" s="307">
        <f t="shared" si="43"/>
        <v>0</v>
      </c>
      <c r="M244" s="307">
        <f t="shared" si="43"/>
        <v>0</v>
      </c>
      <c r="N244" s="307">
        <f t="shared" si="43"/>
        <v>0</v>
      </c>
      <c r="O244" s="307">
        <f t="shared" si="43"/>
        <v>0</v>
      </c>
      <c r="P244" s="307">
        <f t="shared" si="43"/>
        <v>0</v>
      </c>
      <c r="Q244" s="307">
        <f t="shared" si="43"/>
        <v>0</v>
      </c>
      <c r="R244" s="307">
        <f t="shared" si="43"/>
        <v>0</v>
      </c>
      <c r="S244" s="307">
        <f t="shared" si="43"/>
        <v>0</v>
      </c>
      <c r="T244" s="307">
        <f t="shared" si="43"/>
        <v>0</v>
      </c>
      <c r="U244" s="307">
        <f t="shared" si="43"/>
        <v>0</v>
      </c>
      <c r="V244" s="307">
        <f t="shared" si="43"/>
        <v>0</v>
      </c>
      <c r="W244" s="307">
        <f t="shared" si="43"/>
        <v>0</v>
      </c>
      <c r="X244" s="307">
        <f t="shared" si="43"/>
        <v>0</v>
      </c>
      <c r="Y244" s="307">
        <f t="shared" si="43"/>
        <v>0</v>
      </c>
      <c r="Z244" s="307">
        <f t="shared" si="43"/>
        <v>0</v>
      </c>
      <c r="AA244" s="307">
        <f t="shared" si="43"/>
        <v>0</v>
      </c>
      <c r="AB244" s="307">
        <f t="shared" si="43"/>
        <v>0</v>
      </c>
    </row>
    <row r="245" spans="3:28" hidden="1" outlineLevel="1" x14ac:dyDescent="0.25">
      <c r="C245" s="397"/>
      <c r="D245" s="332" t="str">
        <f t="shared" si="41"/>
        <v>Наименование объекта / группы объектов 18</v>
      </c>
      <c r="E245" s="337" t="s">
        <v>13</v>
      </c>
      <c r="F245" s="307">
        <f t="shared" si="42"/>
        <v>0</v>
      </c>
      <c r="G245" s="307">
        <f t="shared" si="43"/>
        <v>0</v>
      </c>
      <c r="H245" s="307">
        <f t="shared" si="43"/>
        <v>0</v>
      </c>
      <c r="I245" s="307">
        <f t="shared" si="43"/>
        <v>0</v>
      </c>
      <c r="J245" s="307">
        <f t="shared" si="43"/>
        <v>0</v>
      </c>
      <c r="K245" s="307">
        <f t="shared" si="43"/>
        <v>0</v>
      </c>
      <c r="L245" s="307">
        <f t="shared" si="43"/>
        <v>0</v>
      </c>
      <c r="M245" s="307">
        <f t="shared" si="43"/>
        <v>0</v>
      </c>
      <c r="N245" s="307">
        <f t="shared" si="43"/>
        <v>0</v>
      </c>
      <c r="O245" s="307">
        <f t="shared" si="43"/>
        <v>0</v>
      </c>
      <c r="P245" s="307">
        <f t="shared" si="43"/>
        <v>0</v>
      </c>
      <c r="Q245" s="307">
        <f t="shared" si="43"/>
        <v>0</v>
      </c>
      <c r="R245" s="307">
        <f t="shared" si="43"/>
        <v>0</v>
      </c>
      <c r="S245" s="307">
        <f t="shared" si="43"/>
        <v>0</v>
      </c>
      <c r="T245" s="307">
        <f t="shared" si="43"/>
        <v>0</v>
      </c>
      <c r="U245" s="307">
        <f t="shared" si="43"/>
        <v>0</v>
      </c>
      <c r="V245" s="307">
        <f t="shared" si="43"/>
        <v>0</v>
      </c>
      <c r="W245" s="307">
        <f t="shared" si="43"/>
        <v>0</v>
      </c>
      <c r="X245" s="307">
        <f t="shared" si="43"/>
        <v>0</v>
      </c>
      <c r="Y245" s="307">
        <f t="shared" si="43"/>
        <v>0</v>
      </c>
      <c r="Z245" s="307">
        <f t="shared" si="43"/>
        <v>0</v>
      </c>
      <c r="AA245" s="307">
        <f t="shared" si="43"/>
        <v>0</v>
      </c>
      <c r="AB245" s="307">
        <f t="shared" si="43"/>
        <v>0</v>
      </c>
    </row>
    <row r="246" spans="3:28" hidden="1" outlineLevel="1" x14ac:dyDescent="0.25">
      <c r="C246" s="397"/>
      <c r="D246" s="332" t="str">
        <f t="shared" si="41"/>
        <v>Наименование объекта / группы объектов 19</v>
      </c>
      <c r="E246" s="337" t="s">
        <v>13</v>
      </c>
      <c r="F246" s="307">
        <f t="shared" si="42"/>
        <v>0</v>
      </c>
      <c r="G246" s="307">
        <f t="shared" si="43"/>
        <v>0</v>
      </c>
      <c r="H246" s="307">
        <f t="shared" si="43"/>
        <v>0</v>
      </c>
      <c r="I246" s="307">
        <f t="shared" si="43"/>
        <v>0</v>
      </c>
      <c r="J246" s="307">
        <f t="shared" si="43"/>
        <v>0</v>
      </c>
      <c r="K246" s="307">
        <f t="shared" si="43"/>
        <v>0</v>
      </c>
      <c r="L246" s="307">
        <f t="shared" si="43"/>
        <v>0</v>
      </c>
      <c r="M246" s="307">
        <f t="shared" si="43"/>
        <v>0</v>
      </c>
      <c r="N246" s="307">
        <f t="shared" si="43"/>
        <v>0</v>
      </c>
      <c r="O246" s="307">
        <f t="shared" si="43"/>
        <v>0</v>
      </c>
      <c r="P246" s="307">
        <f t="shared" si="43"/>
        <v>0</v>
      </c>
      <c r="Q246" s="307">
        <f t="shared" si="43"/>
        <v>0</v>
      </c>
      <c r="R246" s="307">
        <f t="shared" si="43"/>
        <v>0</v>
      </c>
      <c r="S246" s="307">
        <f t="shared" si="43"/>
        <v>0</v>
      </c>
      <c r="T246" s="307">
        <f t="shared" si="43"/>
        <v>0</v>
      </c>
      <c r="U246" s="307">
        <f t="shared" si="43"/>
        <v>0</v>
      </c>
      <c r="V246" s="307">
        <f t="shared" si="43"/>
        <v>0</v>
      </c>
      <c r="W246" s="307">
        <f t="shared" si="43"/>
        <v>0</v>
      </c>
      <c r="X246" s="307">
        <f t="shared" si="43"/>
        <v>0</v>
      </c>
      <c r="Y246" s="307">
        <f t="shared" si="43"/>
        <v>0</v>
      </c>
      <c r="Z246" s="307">
        <f t="shared" si="43"/>
        <v>0</v>
      </c>
      <c r="AA246" s="307">
        <f t="shared" si="43"/>
        <v>0</v>
      </c>
      <c r="AB246" s="307">
        <f t="shared" si="43"/>
        <v>0</v>
      </c>
    </row>
    <row r="247" spans="3:28" hidden="1" outlineLevel="1" x14ac:dyDescent="0.25">
      <c r="C247" s="397"/>
      <c r="D247" s="332" t="str">
        <f t="shared" si="41"/>
        <v>Наименование объекта / группы объектов 20</v>
      </c>
      <c r="E247" s="337" t="s">
        <v>13</v>
      </c>
      <c r="F247" s="307">
        <f t="shared" si="42"/>
        <v>0</v>
      </c>
      <c r="G247" s="307">
        <f t="shared" si="43"/>
        <v>0</v>
      </c>
      <c r="H247" s="307">
        <f t="shared" si="43"/>
        <v>0</v>
      </c>
      <c r="I247" s="307">
        <f t="shared" si="43"/>
        <v>0</v>
      </c>
      <c r="J247" s="307">
        <f t="shared" si="43"/>
        <v>0</v>
      </c>
      <c r="K247" s="307">
        <f t="shared" si="43"/>
        <v>0</v>
      </c>
      <c r="L247" s="307">
        <f t="shared" si="43"/>
        <v>0</v>
      </c>
      <c r="M247" s="307">
        <f t="shared" si="43"/>
        <v>0</v>
      </c>
      <c r="N247" s="307">
        <f t="shared" si="43"/>
        <v>0</v>
      </c>
      <c r="O247" s="307">
        <f t="shared" si="43"/>
        <v>0</v>
      </c>
      <c r="P247" s="307">
        <f t="shared" si="43"/>
        <v>0</v>
      </c>
      <c r="Q247" s="307">
        <f t="shared" si="43"/>
        <v>0</v>
      </c>
      <c r="R247" s="307">
        <f t="shared" si="43"/>
        <v>0</v>
      </c>
      <c r="S247" s="307">
        <f t="shared" si="43"/>
        <v>0</v>
      </c>
      <c r="T247" s="307">
        <f t="shared" si="43"/>
        <v>0</v>
      </c>
      <c r="U247" s="307">
        <f t="shared" si="43"/>
        <v>0</v>
      </c>
      <c r="V247" s="307">
        <f t="shared" si="43"/>
        <v>0</v>
      </c>
      <c r="W247" s="307">
        <f t="shared" si="43"/>
        <v>0</v>
      </c>
      <c r="X247" s="307">
        <f t="shared" si="43"/>
        <v>0</v>
      </c>
      <c r="Y247" s="307">
        <f t="shared" si="43"/>
        <v>0</v>
      </c>
      <c r="Z247" s="307">
        <f t="shared" si="43"/>
        <v>0</v>
      </c>
      <c r="AA247" s="307">
        <f t="shared" si="43"/>
        <v>0</v>
      </c>
      <c r="AB247" s="307">
        <f t="shared" si="43"/>
        <v>0</v>
      </c>
    </row>
    <row r="248" spans="3:28" hidden="1" outlineLevel="1" x14ac:dyDescent="0.25">
      <c r="C248" s="397"/>
      <c r="D248" s="332" t="str">
        <f t="shared" si="41"/>
        <v>Наименование объекта / группы объектов 21</v>
      </c>
      <c r="E248" s="337" t="s">
        <v>13</v>
      </c>
      <c r="F248" s="307">
        <f t="shared" si="42"/>
        <v>0</v>
      </c>
      <c r="G248" s="307">
        <f t="shared" si="43"/>
        <v>0</v>
      </c>
      <c r="H248" s="307">
        <f t="shared" si="43"/>
        <v>0</v>
      </c>
      <c r="I248" s="307">
        <f t="shared" si="43"/>
        <v>0</v>
      </c>
      <c r="J248" s="307">
        <f t="shared" si="43"/>
        <v>0</v>
      </c>
      <c r="K248" s="307">
        <f t="shared" si="43"/>
        <v>0</v>
      </c>
      <c r="L248" s="307">
        <f t="shared" si="43"/>
        <v>0</v>
      </c>
      <c r="M248" s="307">
        <f t="shared" si="43"/>
        <v>0</v>
      </c>
      <c r="N248" s="307">
        <f t="shared" si="43"/>
        <v>0</v>
      </c>
      <c r="O248" s="307">
        <f t="shared" si="43"/>
        <v>0</v>
      </c>
      <c r="P248" s="307">
        <f t="shared" si="43"/>
        <v>0</v>
      </c>
      <c r="Q248" s="307">
        <f t="shared" si="43"/>
        <v>0</v>
      </c>
      <c r="R248" s="307">
        <f t="shared" si="43"/>
        <v>0</v>
      </c>
      <c r="S248" s="307">
        <f t="shared" si="43"/>
        <v>0</v>
      </c>
      <c r="T248" s="307">
        <f t="shared" si="43"/>
        <v>0</v>
      </c>
      <c r="U248" s="307">
        <f t="shared" si="43"/>
        <v>0</v>
      </c>
      <c r="V248" s="307">
        <f t="shared" si="43"/>
        <v>0</v>
      </c>
      <c r="W248" s="307">
        <f t="shared" si="43"/>
        <v>0</v>
      </c>
      <c r="X248" s="307">
        <f t="shared" si="43"/>
        <v>0</v>
      </c>
      <c r="Y248" s="307">
        <f t="shared" si="43"/>
        <v>0</v>
      </c>
      <c r="Z248" s="307">
        <f t="shared" si="43"/>
        <v>0</v>
      </c>
      <c r="AA248" s="307">
        <f t="shared" si="43"/>
        <v>0</v>
      </c>
      <c r="AB248" s="307">
        <f t="shared" si="43"/>
        <v>0</v>
      </c>
    </row>
    <row r="249" spans="3:28" hidden="1" outlineLevel="1" x14ac:dyDescent="0.25">
      <c r="C249" s="397"/>
      <c r="D249" s="332" t="str">
        <f t="shared" si="41"/>
        <v>Наименование объекта / группы объектов 22</v>
      </c>
      <c r="E249" s="337" t="s">
        <v>13</v>
      </c>
      <c r="F249" s="307">
        <f t="shared" si="42"/>
        <v>0</v>
      </c>
      <c r="G249" s="307">
        <f t="shared" si="43"/>
        <v>0</v>
      </c>
      <c r="H249" s="307">
        <f t="shared" si="43"/>
        <v>0</v>
      </c>
      <c r="I249" s="307">
        <f t="shared" si="43"/>
        <v>0</v>
      </c>
      <c r="J249" s="307">
        <f t="shared" si="43"/>
        <v>0</v>
      </c>
      <c r="K249" s="307">
        <f t="shared" si="43"/>
        <v>0</v>
      </c>
      <c r="L249" s="307">
        <f t="shared" si="43"/>
        <v>0</v>
      </c>
      <c r="M249" s="307">
        <f t="shared" si="43"/>
        <v>0</v>
      </c>
      <c r="N249" s="307">
        <f t="shared" si="43"/>
        <v>0</v>
      </c>
      <c r="O249" s="307">
        <f t="shared" si="43"/>
        <v>0</v>
      </c>
      <c r="P249" s="307">
        <f t="shared" si="43"/>
        <v>0</v>
      </c>
      <c r="Q249" s="307">
        <f t="shared" si="43"/>
        <v>0</v>
      </c>
      <c r="R249" s="307">
        <f t="shared" si="43"/>
        <v>0</v>
      </c>
      <c r="S249" s="307">
        <f t="shared" si="43"/>
        <v>0</v>
      </c>
      <c r="T249" s="307">
        <f t="shared" si="43"/>
        <v>0</v>
      </c>
      <c r="U249" s="307">
        <f t="shared" si="43"/>
        <v>0</v>
      </c>
      <c r="V249" s="307">
        <f t="shared" si="43"/>
        <v>0</v>
      </c>
      <c r="W249" s="307">
        <f t="shared" si="43"/>
        <v>0</v>
      </c>
      <c r="X249" s="307">
        <f t="shared" si="43"/>
        <v>0</v>
      </c>
      <c r="Y249" s="307">
        <f t="shared" si="43"/>
        <v>0</v>
      </c>
      <c r="Z249" s="307">
        <f t="shared" si="43"/>
        <v>0</v>
      </c>
      <c r="AA249" s="307">
        <f t="shared" si="43"/>
        <v>0</v>
      </c>
      <c r="AB249" s="307">
        <f t="shared" si="43"/>
        <v>0</v>
      </c>
    </row>
    <row r="250" spans="3:28" hidden="1" outlineLevel="1" x14ac:dyDescent="0.25">
      <c r="C250" s="397"/>
      <c r="D250" s="332" t="str">
        <f t="shared" si="41"/>
        <v>Наименование объекта / группы объектов 23</v>
      </c>
      <c r="E250" s="337" t="s">
        <v>13</v>
      </c>
      <c r="F250" s="307">
        <f t="shared" si="42"/>
        <v>0</v>
      </c>
      <c r="G250" s="307">
        <f t="shared" si="43"/>
        <v>0</v>
      </c>
      <c r="H250" s="307">
        <f t="shared" si="43"/>
        <v>0</v>
      </c>
      <c r="I250" s="307">
        <f t="shared" si="43"/>
        <v>0</v>
      </c>
      <c r="J250" s="307">
        <f t="shared" si="43"/>
        <v>0</v>
      </c>
      <c r="K250" s="307">
        <f t="shared" si="43"/>
        <v>0</v>
      </c>
      <c r="L250" s="307">
        <f t="shared" si="43"/>
        <v>0</v>
      </c>
      <c r="M250" s="307">
        <f t="shared" si="43"/>
        <v>0</v>
      </c>
      <c r="N250" s="307">
        <f t="shared" si="43"/>
        <v>0</v>
      </c>
      <c r="O250" s="307">
        <f t="shared" si="43"/>
        <v>0</v>
      </c>
      <c r="P250" s="307">
        <f t="shared" si="43"/>
        <v>0</v>
      </c>
      <c r="Q250" s="307">
        <f t="shared" si="43"/>
        <v>0</v>
      </c>
      <c r="R250" s="307">
        <f t="shared" si="43"/>
        <v>0</v>
      </c>
      <c r="S250" s="307">
        <f t="shared" si="43"/>
        <v>0</v>
      </c>
      <c r="T250" s="307">
        <f t="shared" si="43"/>
        <v>0</v>
      </c>
      <c r="U250" s="307">
        <f t="shared" si="43"/>
        <v>0</v>
      </c>
      <c r="V250" s="307">
        <f t="shared" si="43"/>
        <v>0</v>
      </c>
      <c r="W250" s="307">
        <f t="shared" si="43"/>
        <v>0</v>
      </c>
      <c r="X250" s="307">
        <f t="shared" si="43"/>
        <v>0</v>
      </c>
      <c r="Y250" s="307">
        <f t="shared" si="43"/>
        <v>0</v>
      </c>
      <c r="Z250" s="307">
        <f t="shared" si="43"/>
        <v>0</v>
      </c>
      <c r="AA250" s="307">
        <f t="shared" si="43"/>
        <v>0</v>
      </c>
      <c r="AB250" s="307">
        <f t="shared" si="43"/>
        <v>0</v>
      </c>
    </row>
    <row r="251" spans="3:28" hidden="1" outlineLevel="1" x14ac:dyDescent="0.25">
      <c r="C251" s="397"/>
      <c r="D251" s="332" t="str">
        <f t="shared" si="41"/>
        <v>Наименование объекта / группы объектов 24</v>
      </c>
      <c r="E251" s="337" t="s">
        <v>13</v>
      </c>
      <c r="F251" s="307">
        <f t="shared" si="42"/>
        <v>0</v>
      </c>
      <c r="G251" s="307">
        <f t="shared" si="43"/>
        <v>0</v>
      </c>
      <c r="H251" s="307">
        <f t="shared" si="43"/>
        <v>0</v>
      </c>
      <c r="I251" s="307">
        <f t="shared" si="43"/>
        <v>0</v>
      </c>
      <c r="J251" s="307">
        <f t="shared" si="43"/>
        <v>0</v>
      </c>
      <c r="K251" s="307">
        <f t="shared" si="43"/>
        <v>0</v>
      </c>
      <c r="L251" s="307">
        <f t="shared" si="43"/>
        <v>0</v>
      </c>
      <c r="M251" s="307">
        <f t="shared" si="43"/>
        <v>0</v>
      </c>
      <c r="N251" s="307">
        <f t="shared" si="43"/>
        <v>0</v>
      </c>
      <c r="O251" s="307">
        <f t="shared" si="43"/>
        <v>0</v>
      </c>
      <c r="P251" s="307">
        <f t="shared" si="43"/>
        <v>0</v>
      </c>
      <c r="Q251" s="307">
        <f t="shared" si="43"/>
        <v>0</v>
      </c>
      <c r="R251" s="307">
        <f t="shared" si="43"/>
        <v>0</v>
      </c>
      <c r="S251" s="307">
        <f t="shared" si="43"/>
        <v>0</v>
      </c>
      <c r="T251" s="307">
        <f t="shared" si="43"/>
        <v>0</v>
      </c>
      <c r="U251" s="307">
        <f t="shared" si="43"/>
        <v>0</v>
      </c>
      <c r="V251" s="307">
        <f t="shared" si="43"/>
        <v>0</v>
      </c>
      <c r="W251" s="307">
        <f t="shared" si="43"/>
        <v>0</v>
      </c>
      <c r="X251" s="307">
        <f t="shared" si="43"/>
        <v>0</v>
      </c>
      <c r="Y251" s="307">
        <f t="shared" si="43"/>
        <v>0</v>
      </c>
      <c r="Z251" s="307">
        <f t="shared" ref="G251:AB252" si="44">Z390+Z461+Z532+Z602+Z672</f>
        <v>0</v>
      </c>
      <c r="AA251" s="307">
        <f t="shared" si="44"/>
        <v>0</v>
      </c>
      <c r="AB251" s="307">
        <f t="shared" si="44"/>
        <v>0</v>
      </c>
    </row>
    <row r="252" spans="3:28" hidden="1" outlineLevel="1" x14ac:dyDescent="0.25">
      <c r="C252" s="397"/>
      <c r="D252" s="332" t="str">
        <f t="shared" si="41"/>
        <v>Наименование объекта / группы объектов 25</v>
      </c>
      <c r="E252" s="337" t="s">
        <v>13</v>
      </c>
      <c r="F252" s="307">
        <f t="shared" si="42"/>
        <v>0</v>
      </c>
      <c r="G252" s="307">
        <f t="shared" si="44"/>
        <v>0</v>
      </c>
      <c r="H252" s="307">
        <f t="shared" si="44"/>
        <v>0</v>
      </c>
      <c r="I252" s="307">
        <f t="shared" si="44"/>
        <v>0</v>
      </c>
      <c r="J252" s="307">
        <f t="shared" si="44"/>
        <v>0</v>
      </c>
      <c r="K252" s="307">
        <f t="shared" si="44"/>
        <v>0</v>
      </c>
      <c r="L252" s="307">
        <f t="shared" si="44"/>
        <v>0</v>
      </c>
      <c r="M252" s="307">
        <f t="shared" si="44"/>
        <v>0</v>
      </c>
      <c r="N252" s="307">
        <f t="shared" si="44"/>
        <v>0</v>
      </c>
      <c r="O252" s="307">
        <f t="shared" si="44"/>
        <v>0</v>
      </c>
      <c r="P252" s="307">
        <f t="shared" si="44"/>
        <v>0</v>
      </c>
      <c r="Q252" s="307">
        <f t="shared" si="44"/>
        <v>0</v>
      </c>
      <c r="R252" s="307">
        <f t="shared" si="44"/>
        <v>0</v>
      </c>
      <c r="S252" s="307">
        <f t="shared" si="44"/>
        <v>0</v>
      </c>
      <c r="T252" s="307">
        <f t="shared" si="44"/>
        <v>0</v>
      </c>
      <c r="U252" s="307">
        <f t="shared" si="44"/>
        <v>0</v>
      </c>
      <c r="V252" s="307">
        <f t="shared" si="44"/>
        <v>0</v>
      </c>
      <c r="W252" s="307">
        <f t="shared" si="44"/>
        <v>0</v>
      </c>
      <c r="X252" s="307">
        <f t="shared" si="44"/>
        <v>0</v>
      </c>
      <c r="Y252" s="307">
        <f t="shared" si="44"/>
        <v>0</v>
      </c>
      <c r="Z252" s="307">
        <f t="shared" si="44"/>
        <v>0</v>
      </c>
      <c r="AA252" s="307">
        <f t="shared" si="44"/>
        <v>0</v>
      </c>
      <c r="AB252" s="307">
        <f t="shared" si="44"/>
        <v>0</v>
      </c>
    </row>
    <row r="253" spans="3:28" collapsed="1" x14ac:dyDescent="0.25">
      <c r="C253" s="358"/>
      <c r="D253" s="338" t="s">
        <v>109</v>
      </c>
      <c r="E253" s="35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  <c r="AA253" s="300"/>
      <c r="AB253" s="300"/>
    </row>
    <row r="254" spans="3:28" x14ac:dyDescent="0.25">
      <c r="C254" s="397"/>
      <c r="D254" s="332" t="str">
        <f>D24</f>
        <v>Центр РАН и НИЦ интегральной электроники</v>
      </c>
      <c r="E254" s="337" t="s">
        <v>13</v>
      </c>
      <c r="F254" s="297"/>
      <c r="G254" s="297"/>
      <c r="H254" s="297"/>
      <c r="I254" s="297"/>
      <c r="J254" s="297"/>
      <c r="K254" s="297"/>
      <c r="L254" s="297"/>
      <c r="M254" s="297"/>
      <c r="N254" s="297"/>
      <c r="O254" s="297"/>
      <c r="P254" s="297"/>
      <c r="Q254" s="297"/>
      <c r="R254" s="297"/>
      <c r="S254" s="400">
        <f>'[9]Сводная форма'!CF251</f>
        <v>14382.917120359531</v>
      </c>
      <c r="T254" s="400">
        <f>'[9]Сводная форма'!CG251</f>
        <v>19038.155587527221</v>
      </c>
      <c r="U254" s="400">
        <f>'[9]Сводная форма'!CH251</f>
        <v>19368.249129971369</v>
      </c>
      <c r="V254" s="400">
        <f>'[9]Сводная форма'!CI251</f>
        <v>19713.590676279331</v>
      </c>
      <c r="W254" s="400">
        <f>'[9]Сводная форма'!CJ251</f>
        <v>15867.367096651171</v>
      </c>
      <c r="X254" s="400">
        <f>'[9]Сводная форма'!CK251</f>
        <v>20452.970248167192</v>
      </c>
      <c r="Y254" s="400">
        <f>'[9]Сводная форма'!CL251</f>
        <v>20848.576595960261</v>
      </c>
      <c r="Z254" s="400">
        <f>'[9]Сводная форма'!CM251</f>
        <v>21262.571382555139</v>
      </c>
      <c r="AA254" s="301">
        <f t="shared" ref="AA254:AA258" si="45">IFERROR(AVERAGE(S254:Z254),0)</f>
        <v>18866.799729683902</v>
      </c>
      <c r="AB254" s="296">
        <f>AA254/1000</f>
        <v>18.866799729683901</v>
      </c>
    </row>
    <row r="255" spans="3:28" x14ac:dyDescent="0.25">
      <c r="C255" s="397"/>
      <c r="D255" s="332" t="str">
        <f t="shared" ref="D255:D278" si="46">D25</f>
        <v xml:space="preserve">Университет МИРЭА
</v>
      </c>
      <c r="E255" s="337" t="s">
        <v>13</v>
      </c>
      <c r="F255" s="297"/>
      <c r="G255" s="297"/>
      <c r="H255" s="297"/>
      <c r="I255" s="297"/>
      <c r="J255" s="297"/>
      <c r="K255" s="297"/>
      <c r="L255" s="297"/>
      <c r="M255" s="297"/>
      <c r="N255" s="297"/>
      <c r="O255" s="297"/>
      <c r="P255" s="297"/>
      <c r="Q255" s="297"/>
      <c r="R255" s="297"/>
      <c r="S255" s="400">
        <f>'[9]Сводная форма'!CF252</f>
        <v>14388.244720910207</v>
      </c>
      <c r="T255" s="400">
        <f>'[9]Сводная форма'!CG252</f>
        <v>19823.816348957811</v>
      </c>
      <c r="U255" s="400">
        <f>'[9]Сводная форма'!CH252</f>
        <v>20153.90989140196</v>
      </c>
      <c r="V255" s="400">
        <f>'[9]Сводная форма'!CI252</f>
        <v>20499.251437709921</v>
      </c>
      <c r="W255" s="400">
        <f>'[9]Сводная форма'!CJ252</f>
        <v>16653.027858081761</v>
      </c>
      <c r="X255" s="400">
        <f>'[9]Сводная форма'!CK252</f>
        <v>21238.631009597782</v>
      </c>
      <c r="Y255" s="400">
        <f>'[9]Сводная форма'!CL252</f>
        <v>21634.237357390848</v>
      </c>
      <c r="Z255" s="400">
        <f>'[9]Сводная форма'!CM252</f>
        <v>22048.232143985733</v>
      </c>
      <c r="AA255" s="301">
        <f t="shared" si="45"/>
        <v>19554.918846004504</v>
      </c>
      <c r="AB255" s="298">
        <f t="shared" ref="AB255:AB277" si="47">AA255/1000</f>
        <v>19.554918846004504</v>
      </c>
    </row>
    <row r="256" spans="3:28" x14ac:dyDescent="0.25">
      <c r="C256" s="397"/>
      <c r="D256" s="332" t="str">
        <f t="shared" si="46"/>
        <v>Технологический центр</v>
      </c>
      <c r="E256" s="337" t="s">
        <v>13</v>
      </c>
      <c r="F256" s="297"/>
      <c r="G256" s="297"/>
      <c r="H256" s="297"/>
      <c r="I256" s="297"/>
      <c r="J256" s="297"/>
      <c r="K256" s="297"/>
      <c r="L256" s="297"/>
      <c r="M256" s="297"/>
      <c r="N256" s="297"/>
      <c r="O256" s="297"/>
      <c r="P256" s="297"/>
      <c r="Q256" s="297"/>
      <c r="R256" s="297"/>
      <c r="S256" s="400">
        <f>'[9]Сводная форма'!CF253</f>
        <v>23173.749614919718</v>
      </c>
      <c r="T256" s="400">
        <f>'[9]Сводная форма'!CG253</f>
        <v>29447.204474085695</v>
      </c>
      <c r="U256" s="400">
        <f>'[9]Сводная форма'!CH253</f>
        <v>29777.298016529843</v>
      </c>
      <c r="V256" s="400">
        <f>'[9]Сводная форма'!CI253</f>
        <v>30122.639562837809</v>
      </c>
      <c r="W256" s="400">
        <f>'[9]Сводная форма'!CJ253</f>
        <v>26276.415983209648</v>
      </c>
      <c r="X256" s="400">
        <f>'[9]Сводная форма'!CK253</f>
        <v>30862.019134725666</v>
      </c>
      <c r="Y256" s="400">
        <f>'[9]Сводная форма'!CL253</f>
        <v>31257.625482518739</v>
      </c>
      <c r="Z256" s="400">
        <f>'[9]Сводная форма'!CM253</f>
        <v>31671.62026911362</v>
      </c>
      <c r="AA256" s="301">
        <f t="shared" si="45"/>
        <v>29073.571567242594</v>
      </c>
      <c r="AB256" s="296">
        <f t="shared" si="47"/>
        <v>29.073571567242595</v>
      </c>
    </row>
    <row r="257" spans="3:28" x14ac:dyDescent="0.25">
      <c r="C257" s="397"/>
      <c r="D257" s="332" t="str">
        <f t="shared" si="46"/>
        <v>Спортивный центр</v>
      </c>
      <c r="E257" s="337" t="s">
        <v>13</v>
      </c>
      <c r="F257" s="297"/>
      <c r="G257" s="297"/>
      <c r="H257" s="297"/>
      <c r="I257" s="297"/>
      <c r="J257" s="297"/>
      <c r="K257" s="297"/>
      <c r="L257" s="297"/>
      <c r="M257" s="297"/>
      <c r="N257" s="297"/>
      <c r="O257" s="297"/>
      <c r="P257" s="297"/>
      <c r="Q257" s="297"/>
      <c r="R257" s="297"/>
      <c r="S257" s="400">
        <f>'[9]Сводная форма'!CF254</f>
        <v>14476.169515077192</v>
      </c>
      <c r="T257" s="400">
        <f>'[9]Сводная форма'!CG254</f>
        <v>18874.39915969162</v>
      </c>
      <c r="U257" s="400">
        <f>'[9]Сводная форма'!CH254</f>
        <v>19204.492702135769</v>
      </c>
      <c r="V257" s="400">
        <f>'[9]Сводная форма'!CI254</f>
        <v>19549.834248443738</v>
      </c>
      <c r="W257" s="400">
        <f>'[9]Сводная форма'!CJ254</f>
        <v>15703.610668815572</v>
      </c>
      <c r="X257" s="400">
        <f>'[9]Сводная форма'!CK254</f>
        <v>20289.213820331595</v>
      </c>
      <c r="Y257" s="400">
        <f>'[9]Сводная форма'!CL254</f>
        <v>20684.820168124665</v>
      </c>
      <c r="Z257" s="400">
        <f>'[9]Сводная форма'!CM254</f>
        <v>21098.814954719543</v>
      </c>
      <c r="AA257" s="301">
        <f t="shared" si="45"/>
        <v>18735.16940466746</v>
      </c>
      <c r="AB257" s="296">
        <f t="shared" si="47"/>
        <v>18.73516940466746</v>
      </c>
    </row>
    <row r="258" spans="3:28" x14ac:dyDescent="0.25">
      <c r="C258" s="397"/>
      <c r="D258" s="332" t="str">
        <f t="shared" si="46"/>
        <v>Гостиничный комплекс</v>
      </c>
      <c r="E258" s="337" t="s">
        <v>13</v>
      </c>
      <c r="F258" s="297"/>
      <c r="G258" s="297"/>
      <c r="H258" s="297"/>
      <c r="I258" s="297"/>
      <c r="J258" s="297"/>
      <c r="K258" s="297"/>
      <c r="L258" s="297"/>
      <c r="M258" s="297"/>
      <c r="N258" s="297"/>
      <c r="O258" s="297"/>
      <c r="P258" s="297"/>
      <c r="Q258" s="297"/>
      <c r="R258" s="297"/>
      <c r="S258" s="400">
        <f>'[9]Сводная форма'!CF255</f>
        <v>10794.74038077007</v>
      </c>
      <c r="T258" s="400">
        <f>'[9]Сводная форма'!CG255</f>
        <v>14213.764740219445</v>
      </c>
      <c r="U258" s="400">
        <f>'[9]Сводная форма'!CH255</f>
        <v>14543.858282663588</v>
      </c>
      <c r="V258" s="400">
        <f>'[9]Сводная форма'!CI255</f>
        <v>14889.199828971554</v>
      </c>
      <c r="W258" s="400">
        <f>'[9]Сводная форма'!CJ255</f>
        <v>11042.976249343395</v>
      </c>
      <c r="X258" s="400">
        <f>'[9]Сводная форма'!CK255</f>
        <v>15628.579400859411</v>
      </c>
      <c r="Y258" s="400">
        <f>'[9]Сводная форма'!CL255</f>
        <v>16024.185748652482</v>
      </c>
      <c r="Z258" s="400">
        <f>'[9]Сводная форма'!CM255</f>
        <v>16438.180535247364</v>
      </c>
      <c r="AA258" s="301">
        <f t="shared" si="45"/>
        <v>14196.935645840915</v>
      </c>
      <c r="AB258" s="296">
        <f t="shared" si="47"/>
        <v>14.196935645840915</v>
      </c>
    </row>
    <row r="259" spans="3:28" hidden="1" outlineLevel="1" x14ac:dyDescent="0.25">
      <c r="C259" s="397"/>
      <c r="D259" s="332" t="str">
        <f t="shared" si="46"/>
        <v>Наименование объекта / группы объектов 6</v>
      </c>
      <c r="E259" s="337" t="s">
        <v>13</v>
      </c>
      <c r="F259" s="297"/>
      <c r="G259" s="297"/>
      <c r="H259" s="297"/>
      <c r="I259" s="297"/>
      <c r="J259" s="297"/>
      <c r="K259" s="297"/>
      <c r="L259" s="297"/>
      <c r="M259" s="297"/>
      <c r="N259" s="297"/>
      <c r="O259" s="297"/>
      <c r="P259" s="297"/>
      <c r="Q259" s="297"/>
      <c r="R259" s="297"/>
      <c r="S259" s="297"/>
      <c r="T259" s="297"/>
      <c r="U259" s="297"/>
      <c r="V259" s="297"/>
      <c r="W259" s="297"/>
      <c r="X259" s="297"/>
      <c r="Y259" s="297"/>
      <c r="Z259" s="297"/>
      <c r="AA259" s="301">
        <f t="shared" ref="AA259:AA277" si="48">IFERROR(AVERAGE(J259:Z259),0)</f>
        <v>0</v>
      </c>
      <c r="AB259" s="296">
        <f t="shared" si="47"/>
        <v>0</v>
      </c>
    </row>
    <row r="260" spans="3:28" hidden="1" outlineLevel="1" x14ac:dyDescent="0.25">
      <c r="C260" s="397"/>
      <c r="D260" s="332" t="str">
        <f t="shared" si="46"/>
        <v>Наименование объекта / группы объектов 7</v>
      </c>
      <c r="E260" s="337" t="s">
        <v>13</v>
      </c>
      <c r="F260" s="297"/>
      <c r="G260" s="297"/>
      <c r="H260" s="297"/>
      <c r="I260" s="297"/>
      <c r="J260" s="297"/>
      <c r="K260" s="297"/>
      <c r="L260" s="297"/>
      <c r="M260" s="297"/>
      <c r="N260" s="297"/>
      <c r="O260" s="297"/>
      <c r="P260" s="297"/>
      <c r="Q260" s="297"/>
      <c r="R260" s="297"/>
      <c r="S260" s="297"/>
      <c r="T260" s="297"/>
      <c r="U260" s="297"/>
      <c r="V260" s="297"/>
      <c r="W260" s="297"/>
      <c r="X260" s="297"/>
      <c r="Y260" s="297"/>
      <c r="Z260" s="297"/>
      <c r="AA260" s="301">
        <f t="shared" si="48"/>
        <v>0</v>
      </c>
      <c r="AB260" s="296">
        <f t="shared" si="47"/>
        <v>0</v>
      </c>
    </row>
    <row r="261" spans="3:28" hidden="1" outlineLevel="1" x14ac:dyDescent="0.25">
      <c r="C261" s="397"/>
      <c r="D261" s="332" t="str">
        <f t="shared" si="46"/>
        <v>Наименование объекта / группы объектов 8</v>
      </c>
      <c r="E261" s="337" t="s">
        <v>13</v>
      </c>
      <c r="F261" s="297"/>
      <c r="G261" s="297"/>
      <c r="H261" s="297"/>
      <c r="I261" s="297"/>
      <c r="J261" s="297"/>
      <c r="K261" s="297"/>
      <c r="L261" s="297"/>
      <c r="M261" s="297"/>
      <c r="N261" s="297"/>
      <c r="O261" s="297"/>
      <c r="P261" s="297"/>
      <c r="Q261" s="297"/>
      <c r="R261" s="297"/>
      <c r="S261" s="297"/>
      <c r="T261" s="297"/>
      <c r="U261" s="297"/>
      <c r="V261" s="297"/>
      <c r="W261" s="297"/>
      <c r="X261" s="297"/>
      <c r="Y261" s="297"/>
      <c r="Z261" s="297"/>
      <c r="AA261" s="301">
        <f t="shared" si="48"/>
        <v>0</v>
      </c>
      <c r="AB261" s="296">
        <f t="shared" si="47"/>
        <v>0</v>
      </c>
    </row>
    <row r="262" spans="3:28" hidden="1" outlineLevel="1" x14ac:dyDescent="0.25">
      <c r="C262" s="397"/>
      <c r="D262" s="332" t="str">
        <f t="shared" si="46"/>
        <v>Наименование объекта / группы объектов 9</v>
      </c>
      <c r="E262" s="337" t="s">
        <v>13</v>
      </c>
      <c r="F262" s="297"/>
      <c r="G262" s="297"/>
      <c r="H262" s="297"/>
      <c r="I262" s="297"/>
      <c r="J262" s="297"/>
      <c r="K262" s="297"/>
      <c r="L262" s="297"/>
      <c r="M262" s="297"/>
      <c r="N262" s="297"/>
      <c r="O262" s="297"/>
      <c r="P262" s="297"/>
      <c r="Q262" s="297"/>
      <c r="R262" s="297"/>
      <c r="S262" s="297"/>
      <c r="T262" s="297"/>
      <c r="U262" s="297"/>
      <c r="V262" s="297"/>
      <c r="W262" s="297"/>
      <c r="X262" s="297"/>
      <c r="Y262" s="297"/>
      <c r="Z262" s="297"/>
      <c r="AA262" s="301">
        <f t="shared" si="48"/>
        <v>0</v>
      </c>
      <c r="AB262" s="296">
        <f t="shared" si="47"/>
        <v>0</v>
      </c>
    </row>
    <row r="263" spans="3:28" hidden="1" outlineLevel="1" x14ac:dyDescent="0.25">
      <c r="C263" s="397"/>
      <c r="D263" s="332" t="str">
        <f t="shared" si="46"/>
        <v>Наименование объекта / группы объектов 10</v>
      </c>
      <c r="E263" s="337" t="s">
        <v>13</v>
      </c>
      <c r="F263" s="297"/>
      <c r="G263" s="297"/>
      <c r="H263" s="297"/>
      <c r="I263" s="297"/>
      <c r="J263" s="297"/>
      <c r="K263" s="297"/>
      <c r="L263" s="297"/>
      <c r="M263" s="297"/>
      <c r="N263" s="297"/>
      <c r="O263" s="297"/>
      <c r="P263" s="297"/>
      <c r="Q263" s="297"/>
      <c r="R263" s="297"/>
      <c r="S263" s="297"/>
      <c r="T263" s="297"/>
      <c r="U263" s="297"/>
      <c r="V263" s="297"/>
      <c r="W263" s="297"/>
      <c r="X263" s="297"/>
      <c r="Y263" s="297"/>
      <c r="Z263" s="297"/>
      <c r="AA263" s="301">
        <f t="shared" si="48"/>
        <v>0</v>
      </c>
      <c r="AB263" s="296">
        <f t="shared" si="47"/>
        <v>0</v>
      </c>
    </row>
    <row r="264" spans="3:28" hidden="1" outlineLevel="1" x14ac:dyDescent="0.25">
      <c r="C264" s="397"/>
      <c r="D264" s="332" t="str">
        <f t="shared" si="46"/>
        <v>Наименование объекта / группы объектов 11</v>
      </c>
      <c r="E264" s="337" t="s">
        <v>13</v>
      </c>
      <c r="F264" s="297"/>
      <c r="G264" s="297"/>
      <c r="H264" s="297"/>
      <c r="I264" s="297"/>
      <c r="J264" s="297"/>
      <c r="K264" s="297"/>
      <c r="L264" s="297"/>
      <c r="M264" s="297"/>
      <c r="N264" s="297"/>
      <c r="O264" s="297"/>
      <c r="P264" s="297"/>
      <c r="Q264" s="297"/>
      <c r="R264" s="297"/>
      <c r="S264" s="297"/>
      <c r="T264" s="297"/>
      <c r="U264" s="297"/>
      <c r="V264" s="297"/>
      <c r="W264" s="297"/>
      <c r="X264" s="297"/>
      <c r="Y264" s="297"/>
      <c r="Z264" s="297"/>
      <c r="AA264" s="301">
        <f t="shared" si="48"/>
        <v>0</v>
      </c>
      <c r="AB264" s="296">
        <f t="shared" si="47"/>
        <v>0</v>
      </c>
    </row>
    <row r="265" spans="3:28" hidden="1" outlineLevel="1" x14ac:dyDescent="0.25">
      <c r="C265" s="397"/>
      <c r="D265" s="332" t="str">
        <f t="shared" si="46"/>
        <v>Наименование объекта / группы объектов 12</v>
      </c>
      <c r="E265" s="337" t="s">
        <v>13</v>
      </c>
      <c r="F265" s="297"/>
      <c r="G265" s="297"/>
      <c r="H265" s="297"/>
      <c r="I265" s="297"/>
      <c r="J265" s="297"/>
      <c r="K265" s="297"/>
      <c r="L265" s="297"/>
      <c r="M265" s="297"/>
      <c r="N265" s="297"/>
      <c r="O265" s="297"/>
      <c r="P265" s="297"/>
      <c r="Q265" s="297"/>
      <c r="R265" s="297"/>
      <c r="S265" s="297"/>
      <c r="T265" s="297"/>
      <c r="U265" s="297"/>
      <c r="V265" s="297"/>
      <c r="W265" s="297"/>
      <c r="X265" s="297"/>
      <c r="Y265" s="297"/>
      <c r="Z265" s="297"/>
      <c r="AA265" s="301">
        <f t="shared" si="48"/>
        <v>0</v>
      </c>
      <c r="AB265" s="296">
        <f t="shared" si="47"/>
        <v>0</v>
      </c>
    </row>
    <row r="266" spans="3:28" hidden="1" outlineLevel="1" x14ac:dyDescent="0.25">
      <c r="C266" s="397"/>
      <c r="D266" s="332" t="str">
        <f t="shared" si="46"/>
        <v>Наименование объекта / группы объектов 13</v>
      </c>
      <c r="E266" s="337" t="s">
        <v>13</v>
      </c>
      <c r="F266" s="297"/>
      <c r="G266" s="297"/>
      <c r="H266" s="297"/>
      <c r="I266" s="297"/>
      <c r="J266" s="297"/>
      <c r="K266" s="297"/>
      <c r="L266" s="297"/>
      <c r="M266" s="297"/>
      <c r="N266" s="297"/>
      <c r="O266" s="297"/>
      <c r="P266" s="297"/>
      <c r="Q266" s="297"/>
      <c r="R266" s="297"/>
      <c r="S266" s="297"/>
      <c r="T266" s="297"/>
      <c r="U266" s="297"/>
      <c r="V266" s="297"/>
      <c r="W266" s="297"/>
      <c r="X266" s="297"/>
      <c r="Y266" s="297"/>
      <c r="Z266" s="297"/>
      <c r="AA266" s="301">
        <f t="shared" si="48"/>
        <v>0</v>
      </c>
      <c r="AB266" s="296">
        <f t="shared" si="47"/>
        <v>0</v>
      </c>
    </row>
    <row r="267" spans="3:28" hidden="1" outlineLevel="1" x14ac:dyDescent="0.25">
      <c r="C267" s="397"/>
      <c r="D267" s="332" t="str">
        <f t="shared" si="46"/>
        <v>Наименование объекта / группы объектов 14</v>
      </c>
      <c r="E267" s="337" t="s">
        <v>13</v>
      </c>
      <c r="F267" s="297"/>
      <c r="G267" s="297"/>
      <c r="H267" s="297"/>
      <c r="I267" s="297"/>
      <c r="J267" s="297"/>
      <c r="K267" s="297"/>
      <c r="L267" s="297"/>
      <c r="M267" s="297"/>
      <c r="N267" s="297"/>
      <c r="O267" s="297"/>
      <c r="P267" s="297"/>
      <c r="Q267" s="297"/>
      <c r="R267" s="297"/>
      <c r="S267" s="297"/>
      <c r="T267" s="297"/>
      <c r="U267" s="297"/>
      <c r="V267" s="297"/>
      <c r="W267" s="297"/>
      <c r="X267" s="297"/>
      <c r="Y267" s="297"/>
      <c r="Z267" s="297"/>
      <c r="AA267" s="301">
        <f t="shared" si="48"/>
        <v>0</v>
      </c>
      <c r="AB267" s="296">
        <f t="shared" si="47"/>
        <v>0</v>
      </c>
    </row>
    <row r="268" spans="3:28" hidden="1" outlineLevel="1" x14ac:dyDescent="0.25">
      <c r="C268" s="397"/>
      <c r="D268" s="332" t="str">
        <f t="shared" si="46"/>
        <v>Наименование объекта / группы объектов 15</v>
      </c>
      <c r="E268" s="337" t="s">
        <v>13</v>
      </c>
      <c r="F268" s="297"/>
      <c r="G268" s="297"/>
      <c r="H268" s="297"/>
      <c r="I268" s="297"/>
      <c r="J268" s="297"/>
      <c r="K268" s="297"/>
      <c r="L268" s="297"/>
      <c r="M268" s="297"/>
      <c r="N268" s="297"/>
      <c r="O268" s="297"/>
      <c r="P268" s="297"/>
      <c r="Q268" s="297"/>
      <c r="R268" s="297"/>
      <c r="S268" s="297"/>
      <c r="T268" s="297"/>
      <c r="U268" s="297"/>
      <c r="V268" s="297"/>
      <c r="W268" s="297"/>
      <c r="X268" s="297"/>
      <c r="Y268" s="297"/>
      <c r="Z268" s="297"/>
      <c r="AA268" s="301">
        <f t="shared" si="48"/>
        <v>0</v>
      </c>
      <c r="AB268" s="296">
        <f t="shared" si="47"/>
        <v>0</v>
      </c>
    </row>
    <row r="269" spans="3:28" hidden="1" outlineLevel="1" x14ac:dyDescent="0.25">
      <c r="C269" s="397"/>
      <c r="D269" s="332" t="str">
        <f t="shared" si="46"/>
        <v>Наименование объекта / группы объектов 16</v>
      </c>
      <c r="E269" s="337" t="s">
        <v>13</v>
      </c>
      <c r="F269" s="297"/>
      <c r="G269" s="297"/>
      <c r="H269" s="297"/>
      <c r="I269" s="297"/>
      <c r="J269" s="297"/>
      <c r="K269" s="297"/>
      <c r="L269" s="297"/>
      <c r="M269" s="297"/>
      <c r="N269" s="297"/>
      <c r="O269" s="297"/>
      <c r="P269" s="297"/>
      <c r="Q269" s="297"/>
      <c r="R269" s="297"/>
      <c r="S269" s="297"/>
      <c r="T269" s="297"/>
      <c r="U269" s="297"/>
      <c r="V269" s="297"/>
      <c r="W269" s="297"/>
      <c r="X269" s="297"/>
      <c r="Y269" s="297"/>
      <c r="Z269" s="297"/>
      <c r="AA269" s="301">
        <f t="shared" si="48"/>
        <v>0</v>
      </c>
      <c r="AB269" s="298">
        <f t="shared" si="47"/>
        <v>0</v>
      </c>
    </row>
    <row r="270" spans="3:28" hidden="1" outlineLevel="1" x14ac:dyDescent="0.25">
      <c r="C270" s="397"/>
      <c r="D270" s="332" t="str">
        <f t="shared" si="46"/>
        <v>Наименование объекта / группы объектов 17</v>
      </c>
      <c r="E270" s="337" t="s">
        <v>13</v>
      </c>
      <c r="F270" s="297"/>
      <c r="G270" s="297"/>
      <c r="H270" s="297"/>
      <c r="I270" s="297"/>
      <c r="J270" s="297"/>
      <c r="K270" s="297"/>
      <c r="L270" s="297"/>
      <c r="M270" s="297"/>
      <c r="N270" s="297"/>
      <c r="O270" s="297"/>
      <c r="P270" s="297"/>
      <c r="Q270" s="297"/>
      <c r="R270" s="297"/>
      <c r="S270" s="297"/>
      <c r="T270" s="297"/>
      <c r="U270" s="297"/>
      <c r="V270" s="297"/>
      <c r="W270" s="297"/>
      <c r="X270" s="297"/>
      <c r="Y270" s="297"/>
      <c r="Z270" s="297"/>
      <c r="AA270" s="301">
        <f t="shared" si="48"/>
        <v>0</v>
      </c>
      <c r="AB270" s="298">
        <f t="shared" si="47"/>
        <v>0</v>
      </c>
    </row>
    <row r="271" spans="3:28" hidden="1" outlineLevel="1" x14ac:dyDescent="0.25">
      <c r="C271" s="397"/>
      <c r="D271" s="332" t="str">
        <f t="shared" si="46"/>
        <v>Наименование объекта / группы объектов 18</v>
      </c>
      <c r="E271" s="337" t="s">
        <v>13</v>
      </c>
      <c r="F271" s="297"/>
      <c r="G271" s="297"/>
      <c r="H271" s="297"/>
      <c r="I271" s="297"/>
      <c r="J271" s="297"/>
      <c r="K271" s="297"/>
      <c r="L271" s="297"/>
      <c r="M271" s="297"/>
      <c r="N271" s="297"/>
      <c r="O271" s="297"/>
      <c r="P271" s="297"/>
      <c r="Q271" s="297"/>
      <c r="R271" s="297"/>
      <c r="S271" s="297"/>
      <c r="T271" s="297"/>
      <c r="U271" s="297"/>
      <c r="V271" s="297"/>
      <c r="W271" s="297"/>
      <c r="X271" s="297"/>
      <c r="Y271" s="297"/>
      <c r="Z271" s="297"/>
      <c r="AA271" s="301">
        <f t="shared" si="48"/>
        <v>0</v>
      </c>
      <c r="AB271" s="296">
        <f t="shared" si="47"/>
        <v>0</v>
      </c>
    </row>
    <row r="272" spans="3:28" hidden="1" outlineLevel="1" x14ac:dyDescent="0.25">
      <c r="C272" s="397"/>
      <c r="D272" s="332" t="str">
        <f t="shared" si="46"/>
        <v>Наименование объекта / группы объектов 19</v>
      </c>
      <c r="E272" s="337" t="s">
        <v>13</v>
      </c>
      <c r="F272" s="297"/>
      <c r="G272" s="297"/>
      <c r="H272" s="297"/>
      <c r="I272" s="297"/>
      <c r="J272" s="297"/>
      <c r="K272" s="297"/>
      <c r="L272" s="297"/>
      <c r="M272" s="297"/>
      <c r="N272" s="297"/>
      <c r="O272" s="297"/>
      <c r="P272" s="297"/>
      <c r="Q272" s="297"/>
      <c r="R272" s="297"/>
      <c r="S272" s="297"/>
      <c r="T272" s="297"/>
      <c r="U272" s="297"/>
      <c r="V272" s="297"/>
      <c r="W272" s="297"/>
      <c r="X272" s="297"/>
      <c r="Y272" s="297"/>
      <c r="Z272" s="297"/>
      <c r="AA272" s="301">
        <f t="shared" si="48"/>
        <v>0</v>
      </c>
      <c r="AB272" s="296">
        <f t="shared" si="47"/>
        <v>0</v>
      </c>
    </row>
    <row r="273" spans="3:28" hidden="1" outlineLevel="1" x14ac:dyDescent="0.25">
      <c r="C273" s="397"/>
      <c r="D273" s="332" t="str">
        <f t="shared" si="46"/>
        <v>Наименование объекта / группы объектов 20</v>
      </c>
      <c r="E273" s="337" t="s">
        <v>13</v>
      </c>
      <c r="F273" s="297"/>
      <c r="G273" s="297"/>
      <c r="H273" s="297"/>
      <c r="I273" s="297"/>
      <c r="J273" s="297"/>
      <c r="K273" s="297"/>
      <c r="L273" s="297"/>
      <c r="M273" s="297"/>
      <c r="N273" s="297"/>
      <c r="O273" s="297"/>
      <c r="P273" s="297"/>
      <c r="Q273" s="297"/>
      <c r="R273" s="297"/>
      <c r="S273" s="297"/>
      <c r="T273" s="297"/>
      <c r="U273" s="297"/>
      <c r="V273" s="297"/>
      <c r="W273" s="297"/>
      <c r="X273" s="297"/>
      <c r="Y273" s="297"/>
      <c r="Z273" s="297"/>
      <c r="AA273" s="301">
        <f t="shared" si="48"/>
        <v>0</v>
      </c>
      <c r="AB273" s="296">
        <f t="shared" si="47"/>
        <v>0</v>
      </c>
    </row>
    <row r="274" spans="3:28" hidden="1" outlineLevel="1" x14ac:dyDescent="0.25">
      <c r="C274" s="397"/>
      <c r="D274" s="332" t="str">
        <f t="shared" si="46"/>
        <v>Наименование объекта / группы объектов 21</v>
      </c>
      <c r="E274" s="337" t="s">
        <v>13</v>
      </c>
      <c r="F274" s="297"/>
      <c r="G274" s="297"/>
      <c r="H274" s="297"/>
      <c r="I274" s="297"/>
      <c r="J274" s="297"/>
      <c r="K274" s="297"/>
      <c r="L274" s="297"/>
      <c r="M274" s="297"/>
      <c r="N274" s="297"/>
      <c r="O274" s="297"/>
      <c r="P274" s="297"/>
      <c r="Q274" s="297"/>
      <c r="R274" s="297"/>
      <c r="S274" s="297"/>
      <c r="T274" s="297"/>
      <c r="U274" s="297"/>
      <c r="V274" s="297"/>
      <c r="W274" s="297"/>
      <c r="X274" s="297"/>
      <c r="Y274" s="297"/>
      <c r="Z274" s="297"/>
      <c r="AA274" s="301">
        <f t="shared" si="48"/>
        <v>0</v>
      </c>
      <c r="AB274" s="296">
        <f t="shared" si="47"/>
        <v>0</v>
      </c>
    </row>
    <row r="275" spans="3:28" hidden="1" outlineLevel="1" x14ac:dyDescent="0.25">
      <c r="C275" s="397"/>
      <c r="D275" s="332" t="str">
        <f t="shared" si="46"/>
        <v>Наименование объекта / группы объектов 22</v>
      </c>
      <c r="E275" s="337" t="s">
        <v>13</v>
      </c>
      <c r="F275" s="297"/>
      <c r="G275" s="297"/>
      <c r="H275" s="297"/>
      <c r="I275" s="297"/>
      <c r="J275" s="297"/>
      <c r="K275" s="297"/>
      <c r="L275" s="297"/>
      <c r="M275" s="297"/>
      <c r="N275" s="297"/>
      <c r="O275" s="297"/>
      <c r="P275" s="297"/>
      <c r="Q275" s="297"/>
      <c r="R275" s="297"/>
      <c r="S275" s="297"/>
      <c r="T275" s="297"/>
      <c r="U275" s="297"/>
      <c r="V275" s="297"/>
      <c r="W275" s="297"/>
      <c r="X275" s="297"/>
      <c r="Y275" s="297"/>
      <c r="Z275" s="297"/>
      <c r="AA275" s="301">
        <f t="shared" si="48"/>
        <v>0</v>
      </c>
      <c r="AB275" s="296">
        <f t="shared" si="47"/>
        <v>0</v>
      </c>
    </row>
    <row r="276" spans="3:28" hidden="1" outlineLevel="1" x14ac:dyDescent="0.25">
      <c r="C276" s="397"/>
      <c r="D276" s="332" t="str">
        <f t="shared" si="46"/>
        <v>Наименование объекта / группы объектов 23</v>
      </c>
      <c r="E276" s="337" t="s">
        <v>13</v>
      </c>
      <c r="F276" s="297"/>
      <c r="G276" s="297"/>
      <c r="H276" s="297"/>
      <c r="I276" s="297"/>
      <c r="J276" s="297"/>
      <c r="K276" s="297"/>
      <c r="L276" s="297"/>
      <c r="M276" s="297"/>
      <c r="N276" s="297"/>
      <c r="O276" s="297"/>
      <c r="P276" s="297"/>
      <c r="Q276" s="297"/>
      <c r="R276" s="297"/>
      <c r="S276" s="297"/>
      <c r="T276" s="297"/>
      <c r="U276" s="297"/>
      <c r="V276" s="297"/>
      <c r="W276" s="297"/>
      <c r="X276" s="297"/>
      <c r="Y276" s="297"/>
      <c r="Z276" s="297"/>
      <c r="AA276" s="301">
        <f t="shared" si="48"/>
        <v>0</v>
      </c>
      <c r="AB276" s="296">
        <f t="shared" si="47"/>
        <v>0</v>
      </c>
    </row>
    <row r="277" spans="3:28" hidden="1" outlineLevel="1" x14ac:dyDescent="0.25">
      <c r="C277" s="397"/>
      <c r="D277" s="332" t="str">
        <f t="shared" si="46"/>
        <v>Наименование объекта / группы объектов 24</v>
      </c>
      <c r="E277" s="337" t="s">
        <v>13</v>
      </c>
      <c r="F277" s="297"/>
      <c r="G277" s="297"/>
      <c r="H277" s="297"/>
      <c r="I277" s="297"/>
      <c r="J277" s="297"/>
      <c r="K277" s="297"/>
      <c r="L277" s="297"/>
      <c r="M277" s="297"/>
      <c r="N277" s="297"/>
      <c r="O277" s="297"/>
      <c r="P277" s="297"/>
      <c r="Q277" s="297"/>
      <c r="R277" s="297"/>
      <c r="S277" s="297"/>
      <c r="T277" s="297"/>
      <c r="U277" s="297"/>
      <c r="V277" s="297"/>
      <c r="W277" s="297"/>
      <c r="X277" s="297"/>
      <c r="Y277" s="297"/>
      <c r="Z277" s="297"/>
      <c r="AA277" s="301">
        <f t="shared" si="48"/>
        <v>0</v>
      </c>
      <c r="AB277" s="296">
        <f t="shared" si="47"/>
        <v>0</v>
      </c>
    </row>
    <row r="278" spans="3:28" hidden="1" outlineLevel="1" x14ac:dyDescent="0.25">
      <c r="C278" s="397"/>
      <c r="D278" s="332" t="str">
        <f t="shared" si="46"/>
        <v>Наименование объекта / группы объектов 25</v>
      </c>
      <c r="E278" s="337" t="s">
        <v>13</v>
      </c>
      <c r="F278" s="297"/>
      <c r="G278" s="297"/>
      <c r="H278" s="297"/>
      <c r="I278" s="297"/>
      <c r="J278" s="297"/>
      <c r="K278" s="297"/>
      <c r="L278" s="297"/>
      <c r="M278" s="297"/>
      <c r="N278" s="297"/>
      <c r="O278" s="297"/>
      <c r="P278" s="297"/>
      <c r="Q278" s="297"/>
      <c r="R278" s="297"/>
      <c r="S278" s="297"/>
      <c r="T278" s="297"/>
      <c r="U278" s="297"/>
      <c r="V278" s="297"/>
      <c r="W278" s="297"/>
      <c r="X278" s="297"/>
      <c r="Y278" s="297"/>
      <c r="Z278" s="297"/>
      <c r="AA278" s="301">
        <f>IFERROR(AVERAGE(J278:Z278),0)</f>
        <v>0</v>
      </c>
      <c r="AB278" s="296">
        <f>AA278/1000</f>
        <v>0</v>
      </c>
    </row>
    <row r="279" spans="3:28" collapsed="1" x14ac:dyDescent="0.3">
      <c r="C279" s="341">
        <v>5</v>
      </c>
      <c r="D279" s="342" t="s">
        <v>172</v>
      </c>
      <c r="E279" s="386" t="s">
        <v>10</v>
      </c>
      <c r="F279" s="354">
        <f>F280-F281</f>
        <v>0</v>
      </c>
      <c r="G279" s="354">
        <f t="shared" ref="G279" si="49">G280-G281</f>
        <v>0</v>
      </c>
      <c r="H279" s="354">
        <f t="shared" ref="H279" si="50">H280-H281</f>
        <v>0</v>
      </c>
      <c r="I279" s="354">
        <f t="shared" ref="I279" si="51">I280-I281</f>
        <v>0</v>
      </c>
      <c r="J279" s="354">
        <f t="shared" ref="J279" si="52">J280-J281</f>
        <v>0</v>
      </c>
      <c r="K279" s="354">
        <f t="shared" ref="K279" si="53">K280-K281</f>
        <v>0</v>
      </c>
      <c r="L279" s="354">
        <f t="shared" ref="L279" si="54">L280-L281</f>
        <v>0</v>
      </c>
      <c r="M279" s="354">
        <f t="shared" ref="M279" si="55">M280-M281</f>
        <v>0</v>
      </c>
      <c r="N279" s="354">
        <f t="shared" ref="N279" si="56">N280-N281</f>
        <v>0</v>
      </c>
      <c r="O279" s="354">
        <f t="shared" ref="O279" si="57">O280-O281</f>
        <v>0</v>
      </c>
      <c r="P279" s="354">
        <f t="shared" ref="P279" si="58">P280-P281</f>
        <v>0</v>
      </c>
      <c r="Q279" s="354">
        <f t="shared" ref="Q279" si="59">Q280-Q281</f>
        <v>0</v>
      </c>
      <c r="R279" s="354">
        <f t="shared" ref="R279:Z279" si="60">R280-R281</f>
        <v>0</v>
      </c>
      <c r="S279" s="354">
        <f t="shared" si="60"/>
        <v>23199.939154955442</v>
      </c>
      <c r="T279" s="354">
        <f t="shared" si="60"/>
        <v>51336.287857103394</v>
      </c>
      <c r="U279" s="354">
        <f t="shared" si="60"/>
        <v>52110.357214134885</v>
      </c>
      <c r="V279" s="354">
        <f t="shared" si="60"/>
        <v>52920.183140227105</v>
      </c>
      <c r="W279" s="354">
        <f t="shared" si="60"/>
        <v>43900.788845999166</v>
      </c>
      <c r="X279" s="354">
        <f t="shared" si="60"/>
        <v>54654.028236303944</v>
      </c>
      <c r="Y279" s="354">
        <f t="shared" si="60"/>
        <v>55581.725121878786</v>
      </c>
      <c r="Z279" s="354">
        <f t="shared" si="60"/>
        <v>56552.542896444211</v>
      </c>
      <c r="AA279" s="354">
        <f>AA280-AA281</f>
        <v>390255.85246704705</v>
      </c>
      <c r="AB279" s="354">
        <f>AB280-AB281</f>
        <v>390.25585246704577</v>
      </c>
    </row>
    <row r="280" spans="3:28" x14ac:dyDescent="0.3">
      <c r="C280" s="389"/>
      <c r="D280" s="352" t="s">
        <v>12</v>
      </c>
      <c r="E280" s="353" t="s">
        <v>13</v>
      </c>
      <c r="F280" s="400"/>
      <c r="G280" s="400"/>
      <c r="H280" s="400"/>
      <c r="I280" s="400"/>
      <c r="J280" s="400">
        <f>'[9]Сводная форма'!BW277</f>
        <v>0</v>
      </c>
      <c r="K280" s="400">
        <f>'[9]Сводная форма'!BX277</f>
        <v>0</v>
      </c>
      <c r="L280" s="400">
        <f>'[9]Сводная форма'!BY277</f>
        <v>0</v>
      </c>
      <c r="M280" s="400">
        <f>'[9]Сводная форма'!BZ277</f>
        <v>0</v>
      </c>
      <c r="N280" s="400">
        <f>'[9]Сводная форма'!CA277</f>
        <v>0</v>
      </c>
      <c r="O280" s="400">
        <f>'[9]Сводная форма'!CB277</f>
        <v>0</v>
      </c>
      <c r="P280" s="400">
        <f>'[9]Сводная форма'!CC277</f>
        <v>0</v>
      </c>
      <c r="Q280" s="400">
        <f>'[9]Сводная форма'!CD277</f>
        <v>0</v>
      </c>
      <c r="R280" s="400">
        <f>'[9]Сводная форма'!CE277</f>
        <v>0</v>
      </c>
      <c r="S280" s="400">
        <f>'[9]Сводная форма'!CF277</f>
        <v>686055.34358225111</v>
      </c>
      <c r="T280" s="400">
        <f>'[9]Сводная форма'!CG277</f>
        <v>1518087.3694886349</v>
      </c>
      <c r="U280" s="400">
        <f>'[9]Сводная форма'!CH277</f>
        <v>1540977.7061894243</v>
      </c>
      <c r="V280" s="400">
        <f>'[9]Сводная форма'!CI277</f>
        <v>1564925.4157181501</v>
      </c>
      <c r="W280" s="400">
        <f>'[9]Сводная форма'!CJ277</f>
        <v>1298209.0415888354</v>
      </c>
      <c r="X280" s="400">
        <f>'[9]Сводная форма'!CK277</f>
        <v>1616197.6921307135</v>
      </c>
      <c r="Y280" s="400">
        <f>'[9]Сводная форма'!CL277</f>
        <v>1643631.0143184238</v>
      </c>
      <c r="Z280" s="400">
        <f>'[9]Сводная форма'!CM277</f>
        <v>1672339.4827948462</v>
      </c>
      <c r="AA280" s="308">
        <f>SUM(J280:Z280)</f>
        <v>11540423.065811278</v>
      </c>
      <c r="AB280" s="296">
        <f>AA280/1000</f>
        <v>11540.423065811277</v>
      </c>
    </row>
    <row r="281" spans="3:28" x14ac:dyDescent="0.3">
      <c r="C281" s="389"/>
      <c r="D281" s="352" t="s">
        <v>112</v>
      </c>
      <c r="E281" s="353" t="s">
        <v>13</v>
      </c>
      <c r="F281" s="296">
        <f>F296</f>
        <v>0</v>
      </c>
      <c r="G281" s="296">
        <f t="shared" ref="G281:R281" si="61">G296</f>
        <v>0</v>
      </c>
      <c r="H281" s="296">
        <f t="shared" si="61"/>
        <v>0</v>
      </c>
      <c r="I281" s="296">
        <f t="shared" si="61"/>
        <v>0</v>
      </c>
      <c r="J281" s="296">
        <f t="shared" si="61"/>
        <v>0</v>
      </c>
      <c r="K281" s="296">
        <f t="shared" si="61"/>
        <v>0</v>
      </c>
      <c r="L281" s="296">
        <f t="shared" si="61"/>
        <v>0</v>
      </c>
      <c r="M281" s="296">
        <f t="shared" si="61"/>
        <v>0</v>
      </c>
      <c r="N281" s="296">
        <f t="shared" si="61"/>
        <v>0</v>
      </c>
      <c r="O281" s="296">
        <f t="shared" si="61"/>
        <v>0</v>
      </c>
      <c r="P281" s="296">
        <f t="shared" si="61"/>
        <v>0</v>
      </c>
      <c r="Q281" s="296">
        <f t="shared" si="61"/>
        <v>0</v>
      </c>
      <c r="R281" s="296">
        <f t="shared" si="61"/>
        <v>0</v>
      </c>
      <c r="S281" s="296">
        <f t="shared" ref="S281:Z281" si="62">S296</f>
        <v>662855.40442729567</v>
      </c>
      <c r="T281" s="296">
        <f t="shared" si="62"/>
        <v>1466751.0816315315</v>
      </c>
      <c r="U281" s="296">
        <f t="shared" si="62"/>
        <v>1488867.3489752894</v>
      </c>
      <c r="V281" s="296">
        <f t="shared" si="62"/>
        <v>1512005.232577923</v>
      </c>
      <c r="W281" s="296">
        <f t="shared" si="62"/>
        <v>1254308.2527428363</v>
      </c>
      <c r="X281" s="296">
        <f t="shared" si="62"/>
        <v>1561543.6638944095</v>
      </c>
      <c r="Y281" s="296">
        <f t="shared" si="62"/>
        <v>1588049.289196545</v>
      </c>
      <c r="Z281" s="296">
        <f t="shared" si="62"/>
        <v>1615786.939898402</v>
      </c>
      <c r="AA281" s="308">
        <f t="shared" ref="AA281:AA321" si="63">SUM(J281:Z281)</f>
        <v>11150167.213344231</v>
      </c>
      <c r="AB281" s="296">
        <f t="shared" ref="AB281:AB321" si="64">AA281/1000</f>
        <v>11150.167213344232</v>
      </c>
    </row>
    <row r="282" spans="3:28" x14ac:dyDescent="0.3">
      <c r="C282" s="398"/>
      <c r="D282" s="360" t="s">
        <v>114</v>
      </c>
      <c r="E282" s="361" t="s">
        <v>13</v>
      </c>
      <c r="F282" s="309"/>
      <c r="G282" s="309"/>
      <c r="H282" s="309"/>
      <c r="I282" s="309"/>
      <c r="J282" s="309"/>
      <c r="K282" s="309"/>
      <c r="L282" s="309"/>
      <c r="M282" s="309"/>
      <c r="N282" s="309"/>
      <c r="O282" s="309"/>
      <c r="P282" s="309"/>
      <c r="Q282" s="309"/>
      <c r="R282" s="309"/>
      <c r="S282" s="309"/>
      <c r="T282" s="309"/>
      <c r="U282" s="309"/>
      <c r="V282" s="309"/>
      <c r="W282" s="309"/>
      <c r="X282" s="309"/>
      <c r="Y282" s="309"/>
      <c r="Z282" s="309"/>
      <c r="AA282" s="310">
        <f>SUM(J282:Z282)</f>
        <v>0</v>
      </c>
      <c r="AB282" s="305">
        <f>AA282/1000</f>
        <v>0</v>
      </c>
    </row>
    <row r="283" spans="3:28" x14ac:dyDescent="0.25">
      <c r="C283" s="398"/>
      <c r="D283" s="362" t="s">
        <v>40</v>
      </c>
      <c r="E283" s="361" t="s">
        <v>13</v>
      </c>
      <c r="F283" s="309"/>
      <c r="G283" s="309"/>
      <c r="H283" s="309"/>
      <c r="I283" s="309"/>
      <c r="J283" s="309"/>
      <c r="K283" s="309"/>
      <c r="L283" s="309"/>
      <c r="M283" s="309"/>
      <c r="N283" s="309"/>
      <c r="O283" s="309"/>
      <c r="P283" s="309"/>
      <c r="Q283" s="309"/>
      <c r="R283" s="309"/>
      <c r="S283" s="309"/>
      <c r="T283" s="309"/>
      <c r="U283" s="309"/>
      <c r="V283" s="309"/>
      <c r="W283" s="309"/>
      <c r="X283" s="309"/>
      <c r="Y283" s="309"/>
      <c r="Z283" s="309"/>
      <c r="AA283" s="310">
        <f t="shared" si="63"/>
        <v>0</v>
      </c>
      <c r="AB283" s="305">
        <f t="shared" si="64"/>
        <v>0</v>
      </c>
    </row>
    <row r="284" spans="3:28" x14ac:dyDescent="0.25">
      <c r="C284" s="398"/>
      <c r="D284" s="362" t="s">
        <v>98</v>
      </c>
      <c r="E284" s="361" t="s">
        <v>13</v>
      </c>
      <c r="F284" s="309"/>
      <c r="G284" s="309"/>
      <c r="H284" s="309"/>
      <c r="I284" s="309"/>
      <c r="J284" s="309"/>
      <c r="K284" s="309"/>
      <c r="L284" s="309"/>
      <c r="M284" s="309"/>
      <c r="N284" s="309"/>
      <c r="O284" s="309"/>
      <c r="P284" s="309"/>
      <c r="Q284" s="309"/>
      <c r="R284" s="309"/>
      <c r="S284" s="309"/>
      <c r="T284" s="309"/>
      <c r="U284" s="309"/>
      <c r="V284" s="309"/>
      <c r="W284" s="309"/>
      <c r="X284" s="309"/>
      <c r="Y284" s="309"/>
      <c r="Z284" s="309"/>
      <c r="AA284" s="310">
        <f t="shared" si="63"/>
        <v>0</v>
      </c>
      <c r="AB284" s="305">
        <f t="shared" si="64"/>
        <v>0</v>
      </c>
    </row>
    <row r="285" spans="3:28" x14ac:dyDescent="0.25">
      <c r="C285" s="398"/>
      <c r="D285" s="362" t="s">
        <v>48</v>
      </c>
      <c r="E285" s="361" t="s">
        <v>13</v>
      </c>
      <c r="F285" s="309"/>
      <c r="G285" s="309"/>
      <c r="H285" s="309"/>
      <c r="I285" s="309"/>
      <c r="J285" s="309"/>
      <c r="K285" s="309"/>
      <c r="L285" s="309"/>
      <c r="M285" s="309"/>
      <c r="N285" s="309"/>
      <c r="O285" s="309"/>
      <c r="P285" s="309"/>
      <c r="Q285" s="309"/>
      <c r="R285" s="309"/>
      <c r="S285" s="309"/>
      <c r="T285" s="309"/>
      <c r="U285" s="309"/>
      <c r="V285" s="309"/>
      <c r="W285" s="309"/>
      <c r="X285" s="309"/>
      <c r="Y285" s="309"/>
      <c r="Z285" s="309"/>
      <c r="AA285" s="310">
        <f t="shared" si="63"/>
        <v>0</v>
      </c>
      <c r="AB285" s="305">
        <f t="shared" si="64"/>
        <v>0</v>
      </c>
    </row>
    <row r="286" spans="3:28" x14ac:dyDescent="0.25">
      <c r="C286" s="398"/>
      <c r="D286" s="362" t="s">
        <v>99</v>
      </c>
      <c r="E286" s="361" t="s">
        <v>13</v>
      </c>
      <c r="F286" s="309"/>
      <c r="G286" s="309"/>
      <c r="H286" s="309"/>
      <c r="I286" s="309"/>
      <c r="J286" s="309"/>
      <c r="K286" s="309"/>
      <c r="L286" s="309"/>
      <c r="M286" s="309"/>
      <c r="N286" s="309"/>
      <c r="O286" s="309"/>
      <c r="P286" s="309"/>
      <c r="Q286" s="309"/>
      <c r="R286" s="309"/>
      <c r="S286" s="309"/>
      <c r="T286" s="309"/>
      <c r="U286" s="309"/>
      <c r="V286" s="309"/>
      <c r="W286" s="309"/>
      <c r="X286" s="309"/>
      <c r="Y286" s="309"/>
      <c r="Z286" s="309"/>
      <c r="AA286" s="310">
        <f t="shared" si="63"/>
        <v>0</v>
      </c>
      <c r="AB286" s="305">
        <f t="shared" si="64"/>
        <v>0</v>
      </c>
    </row>
    <row r="287" spans="3:28" x14ac:dyDescent="0.25">
      <c r="C287" s="398"/>
      <c r="D287" s="362" t="s">
        <v>100</v>
      </c>
      <c r="E287" s="361" t="s">
        <v>13</v>
      </c>
      <c r="F287" s="309"/>
      <c r="G287" s="309"/>
      <c r="H287" s="309"/>
      <c r="I287" s="309"/>
      <c r="J287" s="309"/>
      <c r="K287" s="309"/>
      <c r="L287" s="309"/>
      <c r="M287" s="309"/>
      <c r="N287" s="309"/>
      <c r="O287" s="309"/>
      <c r="P287" s="309"/>
      <c r="Q287" s="309"/>
      <c r="R287" s="309"/>
      <c r="S287" s="309"/>
      <c r="T287" s="309"/>
      <c r="U287" s="309"/>
      <c r="V287" s="309"/>
      <c r="W287" s="309"/>
      <c r="X287" s="309"/>
      <c r="Y287" s="309"/>
      <c r="Z287" s="309"/>
      <c r="AA287" s="310">
        <f t="shared" si="63"/>
        <v>0</v>
      </c>
      <c r="AB287" s="305">
        <f t="shared" si="64"/>
        <v>0</v>
      </c>
    </row>
    <row r="288" spans="3:28" x14ac:dyDescent="0.25">
      <c r="C288" s="398"/>
      <c r="D288" s="362" t="s">
        <v>101</v>
      </c>
      <c r="E288" s="361" t="s">
        <v>13</v>
      </c>
      <c r="F288" s="309"/>
      <c r="G288" s="309"/>
      <c r="H288" s="309"/>
      <c r="I288" s="309"/>
      <c r="J288" s="309"/>
      <c r="K288" s="309"/>
      <c r="L288" s="309"/>
      <c r="M288" s="309"/>
      <c r="N288" s="309"/>
      <c r="O288" s="309"/>
      <c r="P288" s="309"/>
      <c r="Q288" s="309"/>
      <c r="R288" s="309"/>
      <c r="S288" s="309"/>
      <c r="T288" s="309"/>
      <c r="U288" s="309"/>
      <c r="V288" s="309"/>
      <c r="W288" s="309"/>
      <c r="X288" s="309"/>
      <c r="Y288" s="309"/>
      <c r="Z288" s="309"/>
      <c r="AA288" s="310">
        <f t="shared" si="63"/>
        <v>0</v>
      </c>
      <c r="AB288" s="305">
        <f t="shared" si="64"/>
        <v>0</v>
      </c>
    </row>
    <row r="289" spans="3:28" x14ac:dyDescent="0.25">
      <c r="C289" s="398"/>
      <c r="D289" s="362" t="s">
        <v>102</v>
      </c>
      <c r="E289" s="361" t="s">
        <v>13</v>
      </c>
      <c r="F289" s="309"/>
      <c r="G289" s="309"/>
      <c r="H289" s="309"/>
      <c r="I289" s="309"/>
      <c r="J289" s="309"/>
      <c r="K289" s="309"/>
      <c r="L289" s="309"/>
      <c r="M289" s="309"/>
      <c r="N289" s="309"/>
      <c r="O289" s="309"/>
      <c r="P289" s="309"/>
      <c r="Q289" s="309"/>
      <c r="R289" s="309"/>
      <c r="S289" s="309"/>
      <c r="T289" s="309"/>
      <c r="U289" s="309"/>
      <c r="V289" s="309"/>
      <c r="W289" s="309"/>
      <c r="X289" s="309"/>
      <c r="Y289" s="309"/>
      <c r="Z289" s="309"/>
      <c r="AA289" s="310">
        <f t="shared" si="63"/>
        <v>0</v>
      </c>
      <c r="AB289" s="305">
        <f t="shared" si="64"/>
        <v>0</v>
      </c>
    </row>
    <row r="290" spans="3:28" x14ac:dyDescent="0.25">
      <c r="C290" s="398"/>
      <c r="D290" s="362" t="s">
        <v>103</v>
      </c>
      <c r="E290" s="361" t="s">
        <v>13</v>
      </c>
      <c r="F290" s="309"/>
      <c r="G290" s="309"/>
      <c r="H290" s="309"/>
      <c r="I290" s="309"/>
      <c r="J290" s="309"/>
      <c r="K290" s="309"/>
      <c r="L290" s="309"/>
      <c r="M290" s="309"/>
      <c r="N290" s="309"/>
      <c r="O290" s="309"/>
      <c r="P290" s="309"/>
      <c r="Q290" s="309"/>
      <c r="R290" s="309"/>
      <c r="S290" s="309"/>
      <c r="T290" s="309"/>
      <c r="U290" s="309"/>
      <c r="V290" s="309"/>
      <c r="W290" s="309"/>
      <c r="X290" s="309"/>
      <c r="Y290" s="309"/>
      <c r="Z290" s="309"/>
      <c r="AA290" s="310">
        <f t="shared" si="63"/>
        <v>0</v>
      </c>
      <c r="AB290" s="305">
        <f t="shared" si="64"/>
        <v>0</v>
      </c>
    </row>
    <row r="291" spans="3:28" x14ac:dyDescent="0.25">
      <c r="C291" s="398"/>
      <c r="D291" s="362" t="s">
        <v>104</v>
      </c>
      <c r="E291" s="361" t="s">
        <v>13</v>
      </c>
      <c r="F291" s="309"/>
      <c r="G291" s="309"/>
      <c r="H291" s="309"/>
      <c r="I291" s="309"/>
      <c r="J291" s="309"/>
      <c r="K291" s="309"/>
      <c r="L291" s="309"/>
      <c r="M291" s="309"/>
      <c r="N291" s="309"/>
      <c r="O291" s="309"/>
      <c r="P291" s="309"/>
      <c r="Q291" s="309"/>
      <c r="R291" s="309"/>
      <c r="S291" s="309"/>
      <c r="T291" s="309"/>
      <c r="U291" s="309"/>
      <c r="V291" s="309"/>
      <c r="W291" s="309"/>
      <c r="X291" s="309"/>
      <c r="Y291" s="309"/>
      <c r="Z291" s="309"/>
      <c r="AA291" s="310">
        <f t="shared" si="63"/>
        <v>0</v>
      </c>
      <c r="AB291" s="305">
        <f t="shared" si="64"/>
        <v>0</v>
      </c>
    </row>
    <row r="292" spans="3:28" x14ac:dyDescent="0.25">
      <c r="C292" s="398"/>
      <c r="D292" s="362" t="s">
        <v>105</v>
      </c>
      <c r="E292" s="361" t="s">
        <v>13</v>
      </c>
      <c r="F292" s="309"/>
      <c r="G292" s="309"/>
      <c r="H292" s="309"/>
      <c r="I292" s="309"/>
      <c r="J292" s="309"/>
      <c r="K292" s="309"/>
      <c r="L292" s="309"/>
      <c r="M292" s="309"/>
      <c r="N292" s="309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  <c r="AA292" s="310">
        <f t="shared" si="63"/>
        <v>0</v>
      </c>
      <c r="AB292" s="305">
        <f t="shared" si="64"/>
        <v>0</v>
      </c>
    </row>
    <row r="293" spans="3:28" x14ac:dyDescent="0.25">
      <c r="C293" s="398"/>
      <c r="D293" s="362" t="s">
        <v>106</v>
      </c>
      <c r="E293" s="361" t="s">
        <v>13</v>
      </c>
      <c r="F293" s="309"/>
      <c r="G293" s="309"/>
      <c r="H293" s="309"/>
      <c r="I293" s="309"/>
      <c r="J293" s="309"/>
      <c r="K293" s="309"/>
      <c r="L293" s="309"/>
      <c r="M293" s="309"/>
      <c r="N293" s="309"/>
      <c r="O293" s="309"/>
      <c r="P293" s="309"/>
      <c r="Q293" s="309"/>
      <c r="R293" s="309"/>
      <c r="S293" s="309"/>
      <c r="T293" s="309"/>
      <c r="U293" s="309"/>
      <c r="V293" s="309"/>
      <c r="W293" s="309"/>
      <c r="X293" s="309"/>
      <c r="Y293" s="309"/>
      <c r="Z293" s="309"/>
      <c r="AA293" s="310">
        <f t="shared" si="63"/>
        <v>0</v>
      </c>
      <c r="AB293" s="305">
        <f t="shared" si="64"/>
        <v>0</v>
      </c>
    </row>
    <row r="294" spans="3:28" x14ac:dyDescent="0.25">
      <c r="C294" s="398"/>
      <c r="D294" s="362" t="s">
        <v>49</v>
      </c>
      <c r="E294" s="361" t="s">
        <v>13</v>
      </c>
      <c r="F294" s="309"/>
      <c r="G294" s="309"/>
      <c r="H294" s="309"/>
      <c r="I294" s="309"/>
      <c r="J294" s="309"/>
      <c r="K294" s="309"/>
      <c r="L294" s="309"/>
      <c r="M294" s="309"/>
      <c r="N294" s="309"/>
      <c r="O294" s="309"/>
      <c r="P294" s="309"/>
      <c r="Q294" s="309"/>
      <c r="R294" s="309"/>
      <c r="S294" s="309"/>
      <c r="T294" s="309"/>
      <c r="U294" s="309"/>
      <c r="V294" s="309"/>
      <c r="W294" s="309"/>
      <c r="X294" s="309"/>
      <c r="Y294" s="309"/>
      <c r="Z294" s="309"/>
      <c r="AA294" s="310">
        <f t="shared" si="63"/>
        <v>0</v>
      </c>
      <c r="AB294" s="305">
        <f t="shared" si="64"/>
        <v>0</v>
      </c>
    </row>
    <row r="295" spans="3:28" x14ac:dyDescent="0.25">
      <c r="C295" s="398"/>
      <c r="D295" s="362" t="s">
        <v>107</v>
      </c>
      <c r="E295" s="361" t="s">
        <v>13</v>
      </c>
      <c r="F295" s="309"/>
      <c r="G295" s="309"/>
      <c r="H295" s="309"/>
      <c r="I295" s="309"/>
      <c r="J295" s="309"/>
      <c r="K295" s="309"/>
      <c r="L295" s="309"/>
      <c r="M295" s="309"/>
      <c r="N295" s="309"/>
      <c r="O295" s="309"/>
      <c r="P295" s="309"/>
      <c r="Q295" s="309"/>
      <c r="R295" s="309"/>
      <c r="S295" s="309"/>
      <c r="T295" s="309"/>
      <c r="U295" s="309"/>
      <c r="V295" s="309"/>
      <c r="W295" s="309"/>
      <c r="X295" s="309"/>
      <c r="Y295" s="309"/>
      <c r="Z295" s="309"/>
      <c r="AA295" s="310">
        <f t="shared" si="63"/>
        <v>0</v>
      </c>
      <c r="AB295" s="305">
        <f t="shared" si="64"/>
        <v>0</v>
      </c>
    </row>
    <row r="296" spans="3:28" x14ac:dyDescent="0.3">
      <c r="C296" s="389"/>
      <c r="D296" s="363" t="s">
        <v>115</v>
      </c>
      <c r="E296" s="353" t="s">
        <v>13</v>
      </c>
      <c r="F296" s="296">
        <f>SUM(F297:F321)</f>
        <v>0</v>
      </c>
      <c r="G296" s="296">
        <f>SUM(G297:G321)</f>
        <v>0</v>
      </c>
      <c r="H296" s="296">
        <f t="shared" ref="H296:Z296" si="65">SUM(H297:H321)</f>
        <v>0</v>
      </c>
      <c r="I296" s="296">
        <f t="shared" si="65"/>
        <v>0</v>
      </c>
      <c r="J296" s="296">
        <f t="shared" si="65"/>
        <v>0</v>
      </c>
      <c r="K296" s="296">
        <f t="shared" si="65"/>
        <v>0</v>
      </c>
      <c r="L296" s="296">
        <f t="shared" si="65"/>
        <v>0</v>
      </c>
      <c r="M296" s="296">
        <f t="shared" si="65"/>
        <v>0</v>
      </c>
      <c r="N296" s="296">
        <f t="shared" si="65"/>
        <v>0</v>
      </c>
      <c r="O296" s="296">
        <f t="shared" si="65"/>
        <v>0</v>
      </c>
      <c r="P296" s="296">
        <f t="shared" si="65"/>
        <v>0</v>
      </c>
      <c r="Q296" s="296">
        <f t="shared" si="65"/>
        <v>0</v>
      </c>
      <c r="R296" s="296">
        <f t="shared" si="65"/>
        <v>0</v>
      </c>
      <c r="S296" s="296">
        <f t="shared" si="65"/>
        <v>662855.40442729567</v>
      </c>
      <c r="T296" s="296">
        <f t="shared" si="65"/>
        <v>1466751.0816315315</v>
      </c>
      <c r="U296" s="296">
        <f t="shared" si="65"/>
        <v>1488867.3489752894</v>
      </c>
      <c r="V296" s="296">
        <f t="shared" si="65"/>
        <v>1512005.232577923</v>
      </c>
      <c r="W296" s="296">
        <f t="shared" si="65"/>
        <v>1254308.2527428363</v>
      </c>
      <c r="X296" s="296">
        <f t="shared" si="65"/>
        <v>1561543.6638944095</v>
      </c>
      <c r="Y296" s="296">
        <f t="shared" si="65"/>
        <v>1588049.289196545</v>
      </c>
      <c r="Z296" s="296">
        <f t="shared" si="65"/>
        <v>1615786.939898402</v>
      </c>
      <c r="AA296" s="308">
        <f t="shared" ref="AA296" si="66">SUM(J296:Z296)</f>
        <v>11150167.213344231</v>
      </c>
      <c r="AB296" s="296">
        <f t="shared" ref="AB296" si="67">AA296/1000</f>
        <v>11150.167213344232</v>
      </c>
    </row>
    <row r="297" spans="3:28" x14ac:dyDescent="0.25">
      <c r="C297" s="390"/>
      <c r="D297" s="332" t="str">
        <f>D24</f>
        <v>Центр РАН и НИЦ интегральной электроники</v>
      </c>
      <c r="E297" s="351" t="s">
        <v>13</v>
      </c>
      <c r="F297" s="297"/>
      <c r="G297" s="297"/>
      <c r="H297" s="297"/>
      <c r="I297" s="297"/>
      <c r="J297" s="297">
        <f>'[9]Сводная форма'!BW293</f>
        <v>0</v>
      </c>
      <c r="K297" s="297">
        <f>'[9]Сводная форма'!BX293</f>
        <v>0</v>
      </c>
      <c r="L297" s="297">
        <f>'[9]Сводная форма'!BY293</f>
        <v>0</v>
      </c>
      <c r="M297" s="297">
        <f>'[9]Сводная форма'!BZ293</f>
        <v>0</v>
      </c>
      <c r="N297" s="297">
        <f>'[9]Сводная форма'!CA293</f>
        <v>0</v>
      </c>
      <c r="O297" s="297">
        <f>'[9]Сводная форма'!CB293</f>
        <v>0</v>
      </c>
      <c r="P297" s="297">
        <f>'[9]Сводная форма'!CC293</f>
        <v>0</v>
      </c>
      <c r="Q297" s="297">
        <f>'[9]Сводная форма'!CD293</f>
        <v>0</v>
      </c>
      <c r="R297" s="297">
        <f>'[9]Сводная форма'!CE293</f>
        <v>0</v>
      </c>
      <c r="S297" s="297">
        <f>'[9]Сводная форма'!CF293</f>
        <v>138076.0043554515</v>
      </c>
      <c r="T297" s="297">
        <f>'[9]Сводная форма'!CG293</f>
        <v>304610.48940043553</v>
      </c>
      <c r="U297" s="297">
        <f>'[9]Сводная форма'!CH293</f>
        <v>309891.98607954191</v>
      </c>
      <c r="V297" s="297">
        <f>'[9]Сводная форма'!CI293</f>
        <v>315417.4508204693</v>
      </c>
      <c r="W297" s="297">
        <f>'[9]Сводная форма'!CJ293</f>
        <v>253877.87354641873</v>
      </c>
      <c r="X297" s="297">
        <f>'[9]Сводная форма'!CK293</f>
        <v>327247.52397067507</v>
      </c>
      <c r="Y297" s="297">
        <f>'[9]Сводная форма'!CL293</f>
        <v>333577.22553536418</v>
      </c>
      <c r="Z297" s="297">
        <f>'[9]Сводная форма'!CM293</f>
        <v>340201.14212088223</v>
      </c>
      <c r="AA297" s="308">
        <f t="shared" si="63"/>
        <v>2322899.6958292383</v>
      </c>
      <c r="AB297" s="296">
        <f t="shared" si="64"/>
        <v>2322.8996958292382</v>
      </c>
    </row>
    <row r="298" spans="3:28" x14ac:dyDescent="0.25">
      <c r="C298" s="390"/>
      <c r="D298" s="332" t="str">
        <f t="shared" ref="D298:D321" si="68">D25</f>
        <v xml:space="preserve">Университет МИРЭА
</v>
      </c>
      <c r="E298" s="351" t="s">
        <v>13</v>
      </c>
      <c r="F298" s="297"/>
      <c r="G298" s="297"/>
      <c r="H298" s="297"/>
      <c r="I298" s="297"/>
      <c r="J298" s="297">
        <f>'[9]Сводная форма'!BW294</f>
        <v>0</v>
      </c>
      <c r="K298" s="297">
        <f>'[9]Сводная форма'!BX294</f>
        <v>0</v>
      </c>
      <c r="L298" s="297">
        <f>'[9]Сводная форма'!BY294</f>
        <v>0</v>
      </c>
      <c r="M298" s="297">
        <f>'[9]Сводная форма'!BZ294</f>
        <v>0</v>
      </c>
      <c r="N298" s="297">
        <f>'[9]Сводная форма'!CA294</f>
        <v>0</v>
      </c>
      <c r="O298" s="297">
        <f>'[9]Сводная форма'!CB294</f>
        <v>0</v>
      </c>
      <c r="P298" s="297">
        <f>'[9]Сводная форма'!CC294</f>
        <v>0</v>
      </c>
      <c r="Q298" s="297">
        <f>'[9]Сводная форма'!CD294</f>
        <v>0</v>
      </c>
      <c r="R298" s="297">
        <f>'[9]Сводная форма'!CE294</f>
        <v>0</v>
      </c>
      <c r="S298" s="297">
        <f>'[9]Сводная форма'!CF294</f>
        <v>276254.29864147597</v>
      </c>
      <c r="T298" s="297">
        <f>'[9]Сводная форма'!CG294</f>
        <v>634362.12316664995</v>
      </c>
      <c r="U298" s="297">
        <f>'[9]Сводная форма'!CH294</f>
        <v>644925.11652486271</v>
      </c>
      <c r="V298" s="297">
        <f>'[9]Сводная форма'!CI294</f>
        <v>655976.04600671749</v>
      </c>
      <c r="W298" s="297">
        <f>'[9]Сводная форма'!CJ294</f>
        <v>532896.89145861636</v>
      </c>
      <c r="X298" s="297">
        <f>'[9]Сводная форма'!CK294</f>
        <v>679636.19230712904</v>
      </c>
      <c r="Y298" s="297">
        <f>'[9]Сводная форма'!CL294</f>
        <v>692295.59543650714</v>
      </c>
      <c r="Z298" s="297">
        <f>'[9]Сводная форма'!CM294</f>
        <v>705543.42860754346</v>
      </c>
      <c r="AA298" s="308">
        <f t="shared" si="63"/>
        <v>4821889.6921495032</v>
      </c>
      <c r="AB298" s="296">
        <f t="shared" si="64"/>
        <v>4821.8896921495034</v>
      </c>
    </row>
    <row r="299" spans="3:28" x14ac:dyDescent="0.25">
      <c r="C299" s="390"/>
      <c r="D299" s="332" t="str">
        <f t="shared" si="68"/>
        <v>Технологический центр</v>
      </c>
      <c r="E299" s="351" t="s">
        <v>13</v>
      </c>
      <c r="F299" s="297"/>
      <c r="G299" s="297"/>
      <c r="H299" s="297"/>
      <c r="I299" s="297"/>
      <c r="J299" s="297">
        <f>'[9]Сводная форма'!BW295</f>
        <v>0</v>
      </c>
      <c r="K299" s="297">
        <f>'[9]Сводная форма'!BX295</f>
        <v>0</v>
      </c>
      <c r="L299" s="297">
        <f>'[9]Сводная форма'!BY295</f>
        <v>0</v>
      </c>
      <c r="M299" s="297">
        <f>'[9]Сводная форма'!BZ295</f>
        <v>0</v>
      </c>
      <c r="N299" s="297">
        <f>'[9]Сводная форма'!CA295</f>
        <v>0</v>
      </c>
      <c r="O299" s="297">
        <f>'[9]Сводная форма'!CB295</f>
        <v>0</v>
      </c>
      <c r="P299" s="297">
        <f>'[9]Сводная форма'!CC295</f>
        <v>0</v>
      </c>
      <c r="Q299" s="297">
        <f>'[9]Сводная форма'!CD295</f>
        <v>0</v>
      </c>
      <c r="R299" s="297">
        <f>'[9]Сводная форма'!CE295</f>
        <v>0</v>
      </c>
      <c r="S299" s="297">
        <f>'[9]Сводная форма'!CF295</f>
        <v>222467.9963032293</v>
      </c>
      <c r="T299" s="297">
        <f>'[9]Сводная форма'!CG295</f>
        <v>471155.27158537111</v>
      </c>
      <c r="U299" s="297">
        <f>'[9]Сводная форма'!CH295</f>
        <v>476436.76826447749</v>
      </c>
      <c r="V299" s="297">
        <f>'[9]Сводная форма'!CI295</f>
        <v>481962.23300540494</v>
      </c>
      <c r="W299" s="297">
        <f>'[9]Сводная форма'!CJ295</f>
        <v>420422.65573135437</v>
      </c>
      <c r="X299" s="297">
        <f>'[9]Сводная форма'!CK295</f>
        <v>493792.30615561065</v>
      </c>
      <c r="Y299" s="297">
        <f>'[9]Сводная форма'!CL295</f>
        <v>500122.00772029982</v>
      </c>
      <c r="Z299" s="297">
        <f>'[9]Сводная форма'!CM295</f>
        <v>506745.92430581793</v>
      </c>
      <c r="AA299" s="308">
        <f t="shared" si="63"/>
        <v>3573105.1630715663</v>
      </c>
      <c r="AB299" s="296">
        <f t="shared" si="64"/>
        <v>3573.105163071566</v>
      </c>
    </row>
    <row r="300" spans="3:28" x14ac:dyDescent="0.25">
      <c r="C300" s="390"/>
      <c r="D300" s="332" t="str">
        <f t="shared" si="68"/>
        <v>Спортивный центр</v>
      </c>
      <c r="E300" s="351" t="s">
        <v>13</v>
      </c>
      <c r="F300" s="297"/>
      <c r="G300" s="297"/>
      <c r="H300" s="297"/>
      <c r="I300" s="297"/>
      <c r="J300" s="297">
        <f>'[9]Сводная форма'!BW296</f>
        <v>0</v>
      </c>
      <c r="K300" s="297">
        <f>'[9]Сводная форма'!BX296</f>
        <v>0</v>
      </c>
      <c r="L300" s="297">
        <f>'[9]Сводная форма'!BY296</f>
        <v>0</v>
      </c>
      <c r="M300" s="297">
        <f>'[9]Сводная форма'!BZ296</f>
        <v>0</v>
      </c>
      <c r="N300" s="297">
        <f>'[9]Сводная форма'!CA296</f>
        <v>0</v>
      </c>
      <c r="O300" s="297">
        <f>'[9]Сводная форма'!CB296</f>
        <v>0</v>
      </c>
      <c r="P300" s="297">
        <f>'[9]Сводная форма'!CC296</f>
        <v>0</v>
      </c>
      <c r="Q300" s="297">
        <f>'[9]Сводная форма'!CD296</f>
        <v>0</v>
      </c>
      <c r="R300" s="297">
        <f>'[9]Сводная форма'!CE296</f>
        <v>0</v>
      </c>
      <c r="S300" s="297">
        <f>'[9]Сводная форма'!CF296</f>
        <v>26057.105127138944</v>
      </c>
      <c r="T300" s="297">
        <f>'[9]Сводная форма'!CG296</f>
        <v>56623.197479074865</v>
      </c>
      <c r="U300" s="297">
        <f>'[9]Сводная форма'!CH296</f>
        <v>57613.47810640731</v>
      </c>
      <c r="V300" s="297">
        <f>'[9]Сводная форма'!CI296</f>
        <v>58649.502745331214</v>
      </c>
      <c r="W300" s="297">
        <f>'[9]Сводная форма'!CJ296</f>
        <v>47110.832006446719</v>
      </c>
      <c r="X300" s="297">
        <f>'[9]Сводная форма'!CK296</f>
        <v>60867.64146099479</v>
      </c>
      <c r="Y300" s="297">
        <f>'[9]Сводная форма'!CL296</f>
        <v>62054.460504373987</v>
      </c>
      <c r="Z300" s="297">
        <f>'[9]Сводная форма'!CM296</f>
        <v>63296.444864158628</v>
      </c>
      <c r="AA300" s="308">
        <f t="shared" si="63"/>
        <v>432272.66229392646</v>
      </c>
      <c r="AB300" s="296">
        <f t="shared" si="64"/>
        <v>432.27266229392649</v>
      </c>
    </row>
    <row r="301" spans="3:28" x14ac:dyDescent="0.25">
      <c r="C301" s="390"/>
      <c r="D301" s="332" t="str">
        <f t="shared" si="68"/>
        <v>Гостиничный комплекс</v>
      </c>
      <c r="E301" s="351" t="s">
        <v>13</v>
      </c>
      <c r="F301" s="297"/>
      <c r="G301" s="297"/>
      <c r="H301" s="297"/>
      <c r="I301" s="297"/>
      <c r="J301" s="297">
        <f>'[9]Сводная форма'!BW297</f>
        <v>0</v>
      </c>
      <c r="K301" s="297">
        <f>'[9]Сводная форма'!BX297</f>
        <v>0</v>
      </c>
      <c r="L301" s="297">
        <f>'[9]Сводная форма'!BY297</f>
        <v>0</v>
      </c>
      <c r="M301" s="297">
        <f>'[9]Сводная форма'!BZ297</f>
        <v>0</v>
      </c>
      <c r="N301" s="297">
        <f>'[9]Сводная форма'!CA297</f>
        <v>0</v>
      </c>
      <c r="O301" s="297">
        <f>'[9]Сводная форма'!CB297</f>
        <v>0</v>
      </c>
      <c r="P301" s="297">
        <f>'[9]Сводная форма'!CC297</f>
        <v>0</v>
      </c>
      <c r="Q301" s="297">
        <f>'[9]Сводная форма'!CD297</f>
        <v>0</v>
      </c>
      <c r="R301" s="297">
        <f>'[9]Сводная форма'!CE297</f>
        <v>0</v>
      </c>
      <c r="S301" s="297">
        <f>'[9]Сводная форма'!CF297</f>
        <v>0</v>
      </c>
      <c r="T301" s="297">
        <f>'[9]Сводная форма'!CG297</f>
        <v>0</v>
      </c>
      <c r="U301" s="297">
        <f>'[9]Сводная форма'!CH297</f>
        <v>0</v>
      </c>
      <c r="V301" s="297">
        <f>'[9]Сводная форма'!CI297</f>
        <v>0</v>
      </c>
      <c r="W301" s="297">
        <f>'[9]Сводная форма'!CJ297</f>
        <v>0</v>
      </c>
      <c r="X301" s="297">
        <f>'[9]Сводная форма'!CK297</f>
        <v>0</v>
      </c>
      <c r="Y301" s="297">
        <f>'[9]Сводная форма'!CL297</f>
        <v>0</v>
      </c>
      <c r="Z301" s="297">
        <f>'[9]Сводная форма'!CM297</f>
        <v>0</v>
      </c>
      <c r="AA301" s="308">
        <f t="shared" si="63"/>
        <v>0</v>
      </c>
      <c r="AB301" s="296">
        <f t="shared" si="64"/>
        <v>0</v>
      </c>
    </row>
    <row r="302" spans="3:28" hidden="1" outlineLevel="1" x14ac:dyDescent="0.25">
      <c r="C302" s="390"/>
      <c r="D302" s="332" t="str">
        <f t="shared" si="68"/>
        <v>Наименование объекта / группы объектов 6</v>
      </c>
      <c r="E302" s="351" t="s">
        <v>13</v>
      </c>
      <c r="F302" s="297"/>
      <c r="G302" s="297"/>
      <c r="H302" s="297"/>
      <c r="I302" s="297"/>
      <c r="J302" s="297"/>
      <c r="K302" s="297"/>
      <c r="L302" s="297"/>
      <c r="M302" s="297"/>
      <c r="N302" s="297"/>
      <c r="O302" s="297"/>
      <c r="P302" s="297"/>
      <c r="Q302" s="297"/>
      <c r="R302" s="297"/>
      <c r="S302" s="297"/>
      <c r="T302" s="297"/>
      <c r="U302" s="297"/>
      <c r="V302" s="297"/>
      <c r="W302" s="297"/>
      <c r="X302" s="297"/>
      <c r="Y302" s="297"/>
      <c r="Z302" s="297"/>
      <c r="AA302" s="308">
        <f t="shared" si="63"/>
        <v>0</v>
      </c>
      <c r="AB302" s="296">
        <f t="shared" si="64"/>
        <v>0</v>
      </c>
    </row>
    <row r="303" spans="3:28" hidden="1" outlineLevel="1" x14ac:dyDescent="0.25">
      <c r="C303" s="390"/>
      <c r="D303" s="332" t="str">
        <f t="shared" si="68"/>
        <v>Наименование объекта / группы объектов 7</v>
      </c>
      <c r="E303" s="351" t="s">
        <v>13</v>
      </c>
      <c r="F303" s="297"/>
      <c r="G303" s="297"/>
      <c r="H303" s="297"/>
      <c r="I303" s="297"/>
      <c r="J303" s="297"/>
      <c r="K303" s="297"/>
      <c r="L303" s="297"/>
      <c r="M303" s="297"/>
      <c r="N303" s="297"/>
      <c r="O303" s="297"/>
      <c r="P303" s="297"/>
      <c r="Q303" s="297"/>
      <c r="R303" s="297"/>
      <c r="S303" s="297"/>
      <c r="T303" s="297"/>
      <c r="U303" s="297"/>
      <c r="V303" s="297"/>
      <c r="W303" s="297"/>
      <c r="X303" s="297"/>
      <c r="Y303" s="297"/>
      <c r="Z303" s="297"/>
      <c r="AA303" s="308">
        <f t="shared" si="63"/>
        <v>0</v>
      </c>
      <c r="AB303" s="296">
        <f t="shared" si="64"/>
        <v>0</v>
      </c>
    </row>
    <row r="304" spans="3:28" hidden="1" outlineLevel="1" x14ac:dyDescent="0.25">
      <c r="C304" s="390"/>
      <c r="D304" s="332" t="str">
        <f t="shared" si="68"/>
        <v>Наименование объекта / группы объектов 8</v>
      </c>
      <c r="E304" s="351" t="s">
        <v>13</v>
      </c>
      <c r="F304" s="297"/>
      <c r="G304" s="297"/>
      <c r="H304" s="297"/>
      <c r="I304" s="297"/>
      <c r="J304" s="297"/>
      <c r="K304" s="297"/>
      <c r="L304" s="297"/>
      <c r="M304" s="297"/>
      <c r="N304" s="297"/>
      <c r="O304" s="297"/>
      <c r="P304" s="297"/>
      <c r="Q304" s="297"/>
      <c r="R304" s="297"/>
      <c r="S304" s="297"/>
      <c r="T304" s="297"/>
      <c r="U304" s="297"/>
      <c r="V304" s="297"/>
      <c r="W304" s="297"/>
      <c r="X304" s="297"/>
      <c r="Y304" s="297"/>
      <c r="Z304" s="297"/>
      <c r="AA304" s="308">
        <f t="shared" si="63"/>
        <v>0</v>
      </c>
      <c r="AB304" s="296">
        <f t="shared" si="64"/>
        <v>0</v>
      </c>
    </row>
    <row r="305" spans="3:28" hidden="1" outlineLevel="1" x14ac:dyDescent="0.25">
      <c r="C305" s="390"/>
      <c r="D305" s="332" t="str">
        <f t="shared" si="68"/>
        <v>Наименование объекта / группы объектов 9</v>
      </c>
      <c r="E305" s="351" t="s">
        <v>13</v>
      </c>
      <c r="F305" s="297"/>
      <c r="G305" s="297"/>
      <c r="H305" s="297"/>
      <c r="I305" s="297"/>
      <c r="J305" s="297"/>
      <c r="K305" s="297"/>
      <c r="L305" s="297"/>
      <c r="M305" s="297"/>
      <c r="N305" s="297"/>
      <c r="O305" s="297"/>
      <c r="P305" s="297"/>
      <c r="Q305" s="297"/>
      <c r="R305" s="297"/>
      <c r="S305" s="297"/>
      <c r="T305" s="297"/>
      <c r="U305" s="297"/>
      <c r="V305" s="297"/>
      <c r="W305" s="297"/>
      <c r="X305" s="297"/>
      <c r="Y305" s="297"/>
      <c r="Z305" s="297"/>
      <c r="AA305" s="308">
        <f t="shared" si="63"/>
        <v>0</v>
      </c>
      <c r="AB305" s="296">
        <f t="shared" si="64"/>
        <v>0</v>
      </c>
    </row>
    <row r="306" spans="3:28" hidden="1" outlineLevel="1" x14ac:dyDescent="0.25">
      <c r="C306" s="390"/>
      <c r="D306" s="332" t="str">
        <f t="shared" si="68"/>
        <v>Наименование объекта / группы объектов 10</v>
      </c>
      <c r="E306" s="351" t="s">
        <v>13</v>
      </c>
      <c r="F306" s="297"/>
      <c r="G306" s="297"/>
      <c r="H306" s="297"/>
      <c r="I306" s="297"/>
      <c r="J306" s="297"/>
      <c r="K306" s="297"/>
      <c r="L306" s="297"/>
      <c r="M306" s="297"/>
      <c r="N306" s="297"/>
      <c r="O306" s="297"/>
      <c r="P306" s="297"/>
      <c r="Q306" s="297"/>
      <c r="R306" s="297"/>
      <c r="S306" s="297"/>
      <c r="T306" s="297"/>
      <c r="U306" s="297"/>
      <c r="V306" s="297"/>
      <c r="W306" s="297"/>
      <c r="X306" s="297"/>
      <c r="Y306" s="297"/>
      <c r="Z306" s="297"/>
      <c r="AA306" s="308">
        <f t="shared" si="63"/>
        <v>0</v>
      </c>
      <c r="AB306" s="296">
        <f t="shared" si="64"/>
        <v>0</v>
      </c>
    </row>
    <row r="307" spans="3:28" hidden="1" outlineLevel="1" x14ac:dyDescent="0.25">
      <c r="C307" s="390"/>
      <c r="D307" s="332" t="str">
        <f t="shared" si="68"/>
        <v>Наименование объекта / группы объектов 11</v>
      </c>
      <c r="E307" s="351" t="s">
        <v>13</v>
      </c>
      <c r="F307" s="297"/>
      <c r="G307" s="297"/>
      <c r="H307" s="297"/>
      <c r="I307" s="297"/>
      <c r="J307" s="297"/>
      <c r="K307" s="297"/>
      <c r="L307" s="297"/>
      <c r="M307" s="297"/>
      <c r="N307" s="297"/>
      <c r="O307" s="297"/>
      <c r="P307" s="297"/>
      <c r="Q307" s="297"/>
      <c r="R307" s="297"/>
      <c r="S307" s="297"/>
      <c r="T307" s="297"/>
      <c r="U307" s="297"/>
      <c r="V307" s="297"/>
      <c r="W307" s="297"/>
      <c r="X307" s="297"/>
      <c r="Y307" s="297"/>
      <c r="Z307" s="297"/>
      <c r="AA307" s="308">
        <f t="shared" si="63"/>
        <v>0</v>
      </c>
      <c r="AB307" s="296">
        <f t="shared" si="64"/>
        <v>0</v>
      </c>
    </row>
    <row r="308" spans="3:28" hidden="1" outlineLevel="1" x14ac:dyDescent="0.25">
      <c r="C308" s="390"/>
      <c r="D308" s="332" t="str">
        <f t="shared" si="68"/>
        <v>Наименование объекта / группы объектов 12</v>
      </c>
      <c r="E308" s="351" t="s">
        <v>13</v>
      </c>
      <c r="F308" s="297"/>
      <c r="G308" s="297"/>
      <c r="H308" s="297"/>
      <c r="I308" s="297"/>
      <c r="J308" s="297"/>
      <c r="K308" s="297"/>
      <c r="L308" s="297"/>
      <c r="M308" s="297"/>
      <c r="N308" s="297"/>
      <c r="O308" s="297"/>
      <c r="P308" s="297"/>
      <c r="Q308" s="297"/>
      <c r="R308" s="297"/>
      <c r="S308" s="297"/>
      <c r="T308" s="297"/>
      <c r="U308" s="297"/>
      <c r="V308" s="297"/>
      <c r="W308" s="297"/>
      <c r="X308" s="297"/>
      <c r="Y308" s="297"/>
      <c r="Z308" s="297"/>
      <c r="AA308" s="308">
        <f t="shared" si="63"/>
        <v>0</v>
      </c>
      <c r="AB308" s="296">
        <f t="shared" si="64"/>
        <v>0</v>
      </c>
    </row>
    <row r="309" spans="3:28" hidden="1" outlineLevel="1" x14ac:dyDescent="0.25">
      <c r="C309" s="390"/>
      <c r="D309" s="332" t="str">
        <f t="shared" si="68"/>
        <v>Наименование объекта / группы объектов 13</v>
      </c>
      <c r="E309" s="351" t="s">
        <v>13</v>
      </c>
      <c r="F309" s="297"/>
      <c r="G309" s="297"/>
      <c r="H309" s="297"/>
      <c r="I309" s="297"/>
      <c r="J309" s="297"/>
      <c r="K309" s="297"/>
      <c r="L309" s="297"/>
      <c r="M309" s="297"/>
      <c r="N309" s="297"/>
      <c r="O309" s="297"/>
      <c r="P309" s="297"/>
      <c r="Q309" s="297"/>
      <c r="R309" s="297"/>
      <c r="S309" s="297"/>
      <c r="T309" s="297"/>
      <c r="U309" s="297"/>
      <c r="V309" s="297"/>
      <c r="W309" s="297"/>
      <c r="X309" s="297"/>
      <c r="Y309" s="297"/>
      <c r="Z309" s="297"/>
      <c r="AA309" s="308">
        <f t="shared" si="63"/>
        <v>0</v>
      </c>
      <c r="AB309" s="296">
        <f t="shared" si="64"/>
        <v>0</v>
      </c>
    </row>
    <row r="310" spans="3:28" hidden="1" outlineLevel="1" x14ac:dyDescent="0.25">
      <c r="C310" s="390"/>
      <c r="D310" s="332" t="str">
        <f t="shared" si="68"/>
        <v>Наименование объекта / группы объектов 14</v>
      </c>
      <c r="E310" s="351" t="s">
        <v>13</v>
      </c>
      <c r="F310" s="297"/>
      <c r="G310" s="297"/>
      <c r="H310" s="297"/>
      <c r="I310" s="297"/>
      <c r="J310" s="297"/>
      <c r="K310" s="297"/>
      <c r="L310" s="297"/>
      <c r="M310" s="297"/>
      <c r="N310" s="297"/>
      <c r="O310" s="297"/>
      <c r="P310" s="297"/>
      <c r="Q310" s="297"/>
      <c r="R310" s="297"/>
      <c r="S310" s="297"/>
      <c r="T310" s="297"/>
      <c r="U310" s="297"/>
      <c r="V310" s="297"/>
      <c r="W310" s="297"/>
      <c r="X310" s="297"/>
      <c r="Y310" s="297"/>
      <c r="Z310" s="297"/>
      <c r="AA310" s="308">
        <f t="shared" si="63"/>
        <v>0</v>
      </c>
      <c r="AB310" s="296">
        <f t="shared" si="64"/>
        <v>0</v>
      </c>
    </row>
    <row r="311" spans="3:28" hidden="1" outlineLevel="1" x14ac:dyDescent="0.25">
      <c r="C311" s="390"/>
      <c r="D311" s="332" t="str">
        <f t="shared" si="68"/>
        <v>Наименование объекта / группы объектов 15</v>
      </c>
      <c r="E311" s="351" t="s">
        <v>13</v>
      </c>
      <c r="F311" s="297"/>
      <c r="G311" s="297"/>
      <c r="H311" s="297"/>
      <c r="I311" s="297"/>
      <c r="J311" s="297"/>
      <c r="K311" s="297"/>
      <c r="L311" s="297"/>
      <c r="M311" s="297"/>
      <c r="N311" s="297"/>
      <c r="O311" s="297"/>
      <c r="P311" s="297"/>
      <c r="Q311" s="297"/>
      <c r="R311" s="297"/>
      <c r="S311" s="297"/>
      <c r="T311" s="297"/>
      <c r="U311" s="297"/>
      <c r="V311" s="297"/>
      <c r="W311" s="297"/>
      <c r="X311" s="297"/>
      <c r="Y311" s="297"/>
      <c r="Z311" s="297"/>
      <c r="AA311" s="308">
        <f t="shared" si="63"/>
        <v>0</v>
      </c>
      <c r="AB311" s="296">
        <f t="shared" si="64"/>
        <v>0</v>
      </c>
    </row>
    <row r="312" spans="3:28" hidden="1" outlineLevel="1" x14ac:dyDescent="0.25">
      <c r="C312" s="390"/>
      <c r="D312" s="332" t="str">
        <f t="shared" si="68"/>
        <v>Наименование объекта / группы объектов 16</v>
      </c>
      <c r="E312" s="351" t="s">
        <v>13</v>
      </c>
      <c r="F312" s="297"/>
      <c r="G312" s="297"/>
      <c r="H312" s="297"/>
      <c r="I312" s="297"/>
      <c r="J312" s="297"/>
      <c r="K312" s="297"/>
      <c r="L312" s="297"/>
      <c r="M312" s="297"/>
      <c r="N312" s="297"/>
      <c r="O312" s="297"/>
      <c r="P312" s="297"/>
      <c r="Q312" s="297"/>
      <c r="R312" s="297"/>
      <c r="S312" s="297"/>
      <c r="T312" s="297"/>
      <c r="U312" s="297"/>
      <c r="V312" s="297"/>
      <c r="W312" s="297"/>
      <c r="X312" s="297"/>
      <c r="Y312" s="297"/>
      <c r="Z312" s="297"/>
      <c r="AA312" s="308">
        <f t="shared" si="63"/>
        <v>0</v>
      </c>
      <c r="AB312" s="296">
        <f t="shared" si="64"/>
        <v>0</v>
      </c>
    </row>
    <row r="313" spans="3:28" hidden="1" outlineLevel="1" x14ac:dyDescent="0.25">
      <c r="C313" s="390"/>
      <c r="D313" s="332" t="str">
        <f t="shared" si="68"/>
        <v>Наименование объекта / группы объектов 17</v>
      </c>
      <c r="E313" s="351" t="s">
        <v>13</v>
      </c>
      <c r="F313" s="297"/>
      <c r="G313" s="297"/>
      <c r="H313" s="297"/>
      <c r="I313" s="297"/>
      <c r="J313" s="297"/>
      <c r="K313" s="297"/>
      <c r="L313" s="297"/>
      <c r="M313" s="297"/>
      <c r="N313" s="297"/>
      <c r="O313" s="297"/>
      <c r="P313" s="297"/>
      <c r="Q313" s="297"/>
      <c r="R313" s="297"/>
      <c r="S313" s="297"/>
      <c r="T313" s="297"/>
      <c r="U313" s="297"/>
      <c r="V313" s="297"/>
      <c r="W313" s="297"/>
      <c r="X313" s="297"/>
      <c r="Y313" s="297"/>
      <c r="Z313" s="297"/>
      <c r="AA313" s="308">
        <f t="shared" si="63"/>
        <v>0</v>
      </c>
      <c r="AB313" s="296">
        <f t="shared" si="64"/>
        <v>0</v>
      </c>
    </row>
    <row r="314" spans="3:28" hidden="1" outlineLevel="1" x14ac:dyDescent="0.25">
      <c r="C314" s="390"/>
      <c r="D314" s="332" t="str">
        <f t="shared" si="68"/>
        <v>Наименование объекта / группы объектов 18</v>
      </c>
      <c r="E314" s="351" t="s">
        <v>13</v>
      </c>
      <c r="F314" s="297"/>
      <c r="G314" s="297"/>
      <c r="H314" s="297"/>
      <c r="I314" s="297"/>
      <c r="J314" s="297"/>
      <c r="K314" s="297"/>
      <c r="L314" s="297"/>
      <c r="M314" s="297"/>
      <c r="N314" s="297"/>
      <c r="O314" s="297"/>
      <c r="P314" s="297"/>
      <c r="Q314" s="297"/>
      <c r="R314" s="297"/>
      <c r="S314" s="297"/>
      <c r="T314" s="297"/>
      <c r="U314" s="297"/>
      <c r="V314" s="297"/>
      <c r="W314" s="297"/>
      <c r="X314" s="297"/>
      <c r="Y314" s="297"/>
      <c r="Z314" s="297"/>
      <c r="AA314" s="308">
        <f t="shared" si="63"/>
        <v>0</v>
      </c>
      <c r="AB314" s="296">
        <f t="shared" si="64"/>
        <v>0</v>
      </c>
    </row>
    <row r="315" spans="3:28" hidden="1" outlineLevel="1" x14ac:dyDescent="0.25">
      <c r="C315" s="390"/>
      <c r="D315" s="332" t="str">
        <f t="shared" si="68"/>
        <v>Наименование объекта / группы объектов 19</v>
      </c>
      <c r="E315" s="351" t="s">
        <v>13</v>
      </c>
      <c r="F315" s="297"/>
      <c r="G315" s="297"/>
      <c r="H315" s="297"/>
      <c r="I315" s="297"/>
      <c r="J315" s="297"/>
      <c r="K315" s="297"/>
      <c r="L315" s="297"/>
      <c r="M315" s="297"/>
      <c r="N315" s="297"/>
      <c r="O315" s="297"/>
      <c r="P315" s="297"/>
      <c r="Q315" s="297"/>
      <c r="R315" s="297"/>
      <c r="S315" s="297"/>
      <c r="T315" s="297"/>
      <c r="U315" s="297"/>
      <c r="V315" s="297"/>
      <c r="W315" s="297"/>
      <c r="X315" s="297"/>
      <c r="Y315" s="297"/>
      <c r="Z315" s="297"/>
      <c r="AA315" s="308">
        <f t="shared" si="63"/>
        <v>0</v>
      </c>
      <c r="AB315" s="296">
        <f t="shared" si="64"/>
        <v>0</v>
      </c>
    </row>
    <row r="316" spans="3:28" hidden="1" outlineLevel="1" x14ac:dyDescent="0.25">
      <c r="C316" s="390"/>
      <c r="D316" s="332" t="str">
        <f t="shared" si="68"/>
        <v>Наименование объекта / группы объектов 20</v>
      </c>
      <c r="E316" s="351" t="s">
        <v>13</v>
      </c>
      <c r="F316" s="297"/>
      <c r="G316" s="297"/>
      <c r="H316" s="297"/>
      <c r="I316" s="297"/>
      <c r="J316" s="297"/>
      <c r="K316" s="297"/>
      <c r="L316" s="297"/>
      <c r="M316" s="297"/>
      <c r="N316" s="297"/>
      <c r="O316" s="297"/>
      <c r="P316" s="297"/>
      <c r="Q316" s="297"/>
      <c r="R316" s="297"/>
      <c r="S316" s="297"/>
      <c r="T316" s="297"/>
      <c r="U316" s="297"/>
      <c r="V316" s="297"/>
      <c r="W316" s="297"/>
      <c r="X316" s="297"/>
      <c r="Y316" s="297"/>
      <c r="Z316" s="297"/>
      <c r="AA316" s="308">
        <f t="shared" si="63"/>
        <v>0</v>
      </c>
      <c r="AB316" s="296">
        <f t="shared" si="64"/>
        <v>0</v>
      </c>
    </row>
    <row r="317" spans="3:28" hidden="1" outlineLevel="1" x14ac:dyDescent="0.25">
      <c r="C317" s="390"/>
      <c r="D317" s="332" t="str">
        <f t="shared" si="68"/>
        <v>Наименование объекта / группы объектов 21</v>
      </c>
      <c r="E317" s="351" t="s">
        <v>13</v>
      </c>
      <c r="F317" s="297"/>
      <c r="G317" s="297"/>
      <c r="H317" s="297"/>
      <c r="I317" s="297"/>
      <c r="J317" s="297"/>
      <c r="K317" s="297"/>
      <c r="L317" s="297"/>
      <c r="M317" s="297"/>
      <c r="N317" s="297"/>
      <c r="O317" s="297"/>
      <c r="P317" s="297"/>
      <c r="Q317" s="297"/>
      <c r="R317" s="297"/>
      <c r="S317" s="297"/>
      <c r="T317" s="297"/>
      <c r="U317" s="297"/>
      <c r="V317" s="297"/>
      <c r="W317" s="297"/>
      <c r="X317" s="297"/>
      <c r="Y317" s="297"/>
      <c r="Z317" s="297"/>
      <c r="AA317" s="308">
        <f t="shared" si="63"/>
        <v>0</v>
      </c>
      <c r="AB317" s="296">
        <f t="shared" si="64"/>
        <v>0</v>
      </c>
    </row>
    <row r="318" spans="3:28" hidden="1" outlineLevel="1" x14ac:dyDescent="0.25">
      <c r="C318" s="390"/>
      <c r="D318" s="332" t="str">
        <f t="shared" si="68"/>
        <v>Наименование объекта / группы объектов 22</v>
      </c>
      <c r="E318" s="351" t="s">
        <v>13</v>
      </c>
      <c r="F318" s="297"/>
      <c r="G318" s="297"/>
      <c r="H318" s="297"/>
      <c r="I318" s="297"/>
      <c r="J318" s="297"/>
      <c r="K318" s="297"/>
      <c r="L318" s="297"/>
      <c r="M318" s="297"/>
      <c r="N318" s="297"/>
      <c r="O318" s="297"/>
      <c r="P318" s="297"/>
      <c r="Q318" s="297"/>
      <c r="R318" s="297"/>
      <c r="S318" s="297"/>
      <c r="T318" s="297"/>
      <c r="U318" s="297"/>
      <c r="V318" s="297"/>
      <c r="W318" s="297"/>
      <c r="X318" s="297"/>
      <c r="Y318" s="297"/>
      <c r="Z318" s="297"/>
      <c r="AA318" s="308">
        <f t="shared" si="63"/>
        <v>0</v>
      </c>
      <c r="AB318" s="296">
        <f t="shared" si="64"/>
        <v>0</v>
      </c>
    </row>
    <row r="319" spans="3:28" hidden="1" outlineLevel="1" x14ac:dyDescent="0.25">
      <c r="C319" s="390"/>
      <c r="D319" s="332" t="str">
        <f t="shared" si="68"/>
        <v>Наименование объекта / группы объектов 23</v>
      </c>
      <c r="E319" s="351" t="s">
        <v>13</v>
      </c>
      <c r="F319" s="297"/>
      <c r="G319" s="297"/>
      <c r="H319" s="297"/>
      <c r="I319" s="297"/>
      <c r="J319" s="297"/>
      <c r="K319" s="297"/>
      <c r="L319" s="297"/>
      <c r="M319" s="297"/>
      <c r="N319" s="297"/>
      <c r="O319" s="297"/>
      <c r="P319" s="297"/>
      <c r="Q319" s="297"/>
      <c r="R319" s="297"/>
      <c r="S319" s="297"/>
      <c r="T319" s="297"/>
      <c r="U319" s="297"/>
      <c r="V319" s="297"/>
      <c r="W319" s="297"/>
      <c r="X319" s="297"/>
      <c r="Y319" s="297"/>
      <c r="Z319" s="297"/>
      <c r="AA319" s="308">
        <f t="shared" si="63"/>
        <v>0</v>
      </c>
      <c r="AB319" s="296">
        <f t="shared" si="64"/>
        <v>0</v>
      </c>
    </row>
    <row r="320" spans="3:28" hidden="1" outlineLevel="1" x14ac:dyDescent="0.25">
      <c r="C320" s="390"/>
      <c r="D320" s="332" t="str">
        <f t="shared" si="68"/>
        <v>Наименование объекта / группы объектов 24</v>
      </c>
      <c r="E320" s="351" t="s">
        <v>13</v>
      </c>
      <c r="F320" s="297"/>
      <c r="G320" s="297"/>
      <c r="H320" s="297"/>
      <c r="I320" s="297"/>
      <c r="J320" s="297"/>
      <c r="K320" s="297"/>
      <c r="L320" s="297"/>
      <c r="M320" s="297"/>
      <c r="N320" s="297"/>
      <c r="O320" s="297"/>
      <c r="P320" s="297"/>
      <c r="Q320" s="297"/>
      <c r="R320" s="297"/>
      <c r="S320" s="297"/>
      <c r="T320" s="297"/>
      <c r="U320" s="297"/>
      <c r="V320" s="297"/>
      <c r="W320" s="297"/>
      <c r="X320" s="297"/>
      <c r="Y320" s="297"/>
      <c r="Z320" s="297"/>
      <c r="AA320" s="308">
        <f t="shared" si="63"/>
        <v>0</v>
      </c>
      <c r="AB320" s="296">
        <f t="shared" si="64"/>
        <v>0</v>
      </c>
    </row>
    <row r="321" spans="3:28" hidden="1" outlineLevel="1" x14ac:dyDescent="0.25">
      <c r="C321" s="390"/>
      <c r="D321" s="332" t="str">
        <f t="shared" si="68"/>
        <v>Наименование объекта / группы объектов 25</v>
      </c>
      <c r="E321" s="351" t="s">
        <v>13</v>
      </c>
      <c r="F321" s="297"/>
      <c r="G321" s="297"/>
      <c r="H321" s="297"/>
      <c r="I321" s="297"/>
      <c r="J321" s="297"/>
      <c r="K321" s="297"/>
      <c r="L321" s="297"/>
      <c r="M321" s="297"/>
      <c r="N321" s="297"/>
      <c r="O321" s="297"/>
      <c r="P321" s="297"/>
      <c r="Q321" s="297"/>
      <c r="R321" s="297"/>
      <c r="S321" s="297"/>
      <c r="T321" s="297"/>
      <c r="U321" s="297"/>
      <c r="V321" s="297"/>
      <c r="W321" s="297"/>
      <c r="X321" s="297"/>
      <c r="Y321" s="297"/>
      <c r="Z321" s="297"/>
      <c r="AA321" s="308">
        <f t="shared" si="63"/>
        <v>0</v>
      </c>
      <c r="AB321" s="296">
        <f t="shared" si="64"/>
        <v>0</v>
      </c>
    </row>
    <row r="322" spans="3:28" collapsed="1" x14ac:dyDescent="0.3">
      <c r="C322" s="389"/>
      <c r="D322" s="363" t="s">
        <v>109</v>
      </c>
      <c r="E322" s="364"/>
      <c r="F322" s="364"/>
      <c r="G322" s="364"/>
      <c r="H322" s="364"/>
      <c r="I322" s="364"/>
      <c r="J322" s="364"/>
      <c r="K322" s="364"/>
      <c r="L322" s="364"/>
      <c r="M322" s="364"/>
      <c r="N322" s="364"/>
      <c r="O322" s="364"/>
      <c r="P322" s="364"/>
      <c r="Q322" s="364"/>
      <c r="R322" s="364"/>
      <c r="S322" s="364"/>
      <c r="T322" s="364"/>
      <c r="U322" s="364"/>
      <c r="V322" s="364"/>
      <c r="W322" s="364"/>
      <c r="X322" s="364"/>
      <c r="Y322" s="364"/>
      <c r="Z322" s="364"/>
      <c r="AA322" s="308"/>
      <c r="AB322" s="311"/>
    </row>
    <row r="323" spans="3:28" x14ac:dyDescent="0.25">
      <c r="C323" s="390"/>
      <c r="D323" s="332" t="str">
        <f>D24</f>
        <v>Центр РАН и НИЦ интегральной электроники</v>
      </c>
      <c r="E323" s="351" t="s">
        <v>53</v>
      </c>
      <c r="F323" s="297"/>
      <c r="G323" s="297"/>
      <c r="H323" s="297"/>
      <c r="I323" s="297"/>
      <c r="J323" s="297">
        <f>'[9]Сводная форма'!BW319</f>
        <v>0</v>
      </c>
      <c r="K323" s="297">
        <f>'[9]Сводная форма'!BX319</f>
        <v>0</v>
      </c>
      <c r="L323" s="297">
        <f>'[9]Сводная форма'!BY319</f>
        <v>0</v>
      </c>
      <c r="M323" s="297">
        <f>'[9]Сводная форма'!BZ319</f>
        <v>0</v>
      </c>
      <c r="N323" s="297">
        <f>'[9]Сводная форма'!CA319</f>
        <v>0</v>
      </c>
      <c r="O323" s="297">
        <f>'[9]Сводная форма'!CB319</f>
        <v>0</v>
      </c>
      <c r="P323" s="297">
        <f>'[9]Сводная форма'!CC319</f>
        <v>0</v>
      </c>
      <c r="Q323" s="297">
        <f>'[9]Сводная форма'!CD319</f>
        <v>0</v>
      </c>
      <c r="R323" s="297">
        <f>'[9]Сводная форма'!CE319</f>
        <v>0</v>
      </c>
      <c r="S323" s="297">
        <f>'[9]Сводная форма'!CF319</f>
        <v>14382.917120359531</v>
      </c>
      <c r="T323" s="297">
        <f>'[9]Сводная форма'!CG319</f>
        <v>19038.155587527221</v>
      </c>
      <c r="U323" s="297">
        <f>'[9]Сводная форма'!CH319</f>
        <v>19368.249129971369</v>
      </c>
      <c r="V323" s="297">
        <f>'[9]Сводная форма'!CI319</f>
        <v>19713.590676279331</v>
      </c>
      <c r="W323" s="297">
        <f>'[9]Сводная форма'!CJ319</f>
        <v>15867.367096651171</v>
      </c>
      <c r="X323" s="297">
        <f>'[9]Сводная форма'!CK319</f>
        <v>20452.970248167192</v>
      </c>
      <c r="Y323" s="297">
        <f>'[9]Сводная форма'!CL319</f>
        <v>20848.576595960261</v>
      </c>
      <c r="Z323" s="297">
        <f>'[9]Сводная форма'!CM319</f>
        <v>21262.571382555139</v>
      </c>
      <c r="AA323" s="301">
        <f>IFERROR(AVERAGE(S323:Z323),0)</f>
        <v>18866.799729683902</v>
      </c>
      <c r="AB323" s="296">
        <f>AA323/1000</f>
        <v>18.866799729683901</v>
      </c>
    </row>
    <row r="324" spans="3:28" x14ac:dyDescent="0.25">
      <c r="C324" s="390"/>
      <c r="D324" s="332" t="str">
        <f t="shared" ref="D324:D347" si="69">D25</f>
        <v xml:space="preserve">Университет МИРЭА
</v>
      </c>
      <c r="E324" s="351" t="s">
        <v>53</v>
      </c>
      <c r="F324" s="297"/>
      <c r="G324" s="297"/>
      <c r="H324" s="297"/>
      <c r="I324" s="297"/>
      <c r="J324" s="297">
        <f>'[9]Сводная форма'!BW320</f>
        <v>0</v>
      </c>
      <c r="K324" s="297">
        <f>'[9]Сводная форма'!BX320</f>
        <v>0</v>
      </c>
      <c r="L324" s="297">
        <f>'[9]Сводная форма'!BY320</f>
        <v>0</v>
      </c>
      <c r="M324" s="297">
        <f>'[9]Сводная форма'!BZ320</f>
        <v>0</v>
      </c>
      <c r="N324" s="297">
        <f>'[9]Сводная форма'!CA320</f>
        <v>0</v>
      </c>
      <c r="O324" s="297">
        <f>'[9]Сводная форма'!CB320</f>
        <v>0</v>
      </c>
      <c r="P324" s="297">
        <f>'[9]Сводная форма'!CC320</f>
        <v>0</v>
      </c>
      <c r="Q324" s="297">
        <f>'[9]Сводная форма'!CD320</f>
        <v>0</v>
      </c>
      <c r="R324" s="297">
        <f>'[9]Сводная форма'!CE320</f>
        <v>0</v>
      </c>
      <c r="S324" s="297">
        <f>'[9]Сводная форма'!CF320</f>
        <v>14388.244720910207</v>
      </c>
      <c r="T324" s="297">
        <f>'[9]Сводная форма'!CG320</f>
        <v>19823.816348957811</v>
      </c>
      <c r="U324" s="297">
        <f>'[9]Сводная форма'!CH320</f>
        <v>20153.90989140196</v>
      </c>
      <c r="V324" s="297">
        <f>'[9]Сводная форма'!CI320</f>
        <v>20499.251437709921</v>
      </c>
      <c r="W324" s="297">
        <f>'[9]Сводная форма'!CJ320</f>
        <v>16653.027858081761</v>
      </c>
      <c r="X324" s="297">
        <f>'[9]Сводная форма'!CK320</f>
        <v>21238.631009597782</v>
      </c>
      <c r="Y324" s="297">
        <f>'[9]Сводная форма'!CL320</f>
        <v>21634.237357390848</v>
      </c>
      <c r="Z324" s="297">
        <f>'[9]Сводная форма'!CM320</f>
        <v>22048.232143985733</v>
      </c>
      <c r="AA324" s="301">
        <f t="shared" ref="AA324:AA327" si="70">IFERROR(AVERAGE(S324:Z324),0)</f>
        <v>19554.918846004504</v>
      </c>
      <c r="AB324" s="298">
        <f t="shared" ref="AB324:AB346" si="71">AA324/1000</f>
        <v>19.554918846004504</v>
      </c>
    </row>
    <row r="325" spans="3:28" x14ac:dyDescent="0.25">
      <c r="C325" s="390"/>
      <c r="D325" s="332" t="str">
        <f t="shared" si="69"/>
        <v>Технологический центр</v>
      </c>
      <c r="E325" s="351" t="s">
        <v>53</v>
      </c>
      <c r="F325" s="297"/>
      <c r="G325" s="297"/>
      <c r="H325" s="297"/>
      <c r="I325" s="297"/>
      <c r="J325" s="297">
        <f>'[9]Сводная форма'!BW321</f>
        <v>0</v>
      </c>
      <c r="K325" s="297">
        <f>'[9]Сводная форма'!BX321</f>
        <v>0</v>
      </c>
      <c r="L325" s="297">
        <f>'[9]Сводная форма'!BY321</f>
        <v>0</v>
      </c>
      <c r="M325" s="297">
        <f>'[9]Сводная форма'!BZ321</f>
        <v>0</v>
      </c>
      <c r="N325" s="297">
        <f>'[9]Сводная форма'!CA321</f>
        <v>0</v>
      </c>
      <c r="O325" s="297">
        <f>'[9]Сводная форма'!CB321</f>
        <v>0</v>
      </c>
      <c r="P325" s="297">
        <f>'[9]Сводная форма'!CC321</f>
        <v>0</v>
      </c>
      <c r="Q325" s="297">
        <f>'[9]Сводная форма'!CD321</f>
        <v>0</v>
      </c>
      <c r="R325" s="297">
        <f>'[9]Сводная форма'!CE321</f>
        <v>0</v>
      </c>
      <c r="S325" s="297">
        <f>'[9]Сводная форма'!CF321</f>
        <v>23173.749614919718</v>
      </c>
      <c r="T325" s="297">
        <f>'[9]Сводная форма'!CG321</f>
        <v>29447.204474085695</v>
      </c>
      <c r="U325" s="297">
        <f>'[9]Сводная форма'!CH321</f>
        <v>29777.298016529843</v>
      </c>
      <c r="V325" s="297">
        <f>'[9]Сводная форма'!CI321</f>
        <v>30122.639562837809</v>
      </c>
      <c r="W325" s="297">
        <f>'[9]Сводная форма'!CJ321</f>
        <v>26276.415983209648</v>
      </c>
      <c r="X325" s="297">
        <f>'[9]Сводная форма'!CK321</f>
        <v>30862.019134725666</v>
      </c>
      <c r="Y325" s="297">
        <f>'[9]Сводная форма'!CL321</f>
        <v>31257.625482518739</v>
      </c>
      <c r="Z325" s="297">
        <f>'[9]Сводная форма'!CM321</f>
        <v>31671.62026911362</v>
      </c>
      <c r="AA325" s="301">
        <f t="shared" si="70"/>
        <v>29073.571567242594</v>
      </c>
      <c r="AB325" s="296">
        <f t="shared" si="71"/>
        <v>29.073571567242595</v>
      </c>
    </row>
    <row r="326" spans="3:28" x14ac:dyDescent="0.25">
      <c r="C326" s="390"/>
      <c r="D326" s="332" t="str">
        <f t="shared" si="69"/>
        <v>Спортивный центр</v>
      </c>
      <c r="E326" s="351" t="s">
        <v>53</v>
      </c>
      <c r="F326" s="297"/>
      <c r="G326" s="297"/>
      <c r="H326" s="297"/>
      <c r="I326" s="297"/>
      <c r="J326" s="297">
        <f>'[9]Сводная форма'!BW322</f>
        <v>0</v>
      </c>
      <c r="K326" s="297">
        <f>'[9]Сводная форма'!BX322</f>
        <v>0</v>
      </c>
      <c r="L326" s="297">
        <f>'[9]Сводная форма'!BY322</f>
        <v>0</v>
      </c>
      <c r="M326" s="297">
        <f>'[9]Сводная форма'!BZ322</f>
        <v>0</v>
      </c>
      <c r="N326" s="297">
        <f>'[9]Сводная форма'!CA322</f>
        <v>0</v>
      </c>
      <c r="O326" s="297">
        <f>'[9]Сводная форма'!CB322</f>
        <v>0</v>
      </c>
      <c r="P326" s="297">
        <f>'[9]Сводная форма'!CC322</f>
        <v>0</v>
      </c>
      <c r="Q326" s="297">
        <f>'[9]Сводная форма'!CD322</f>
        <v>0</v>
      </c>
      <c r="R326" s="297">
        <f>'[9]Сводная форма'!CE322</f>
        <v>0</v>
      </c>
      <c r="S326" s="297">
        <f>'[9]Сводная форма'!CF322</f>
        <v>14476.169515077192</v>
      </c>
      <c r="T326" s="297">
        <f>'[9]Сводная форма'!CG322</f>
        <v>18874.39915969162</v>
      </c>
      <c r="U326" s="297">
        <f>'[9]Сводная форма'!CH322</f>
        <v>19204.492702135769</v>
      </c>
      <c r="V326" s="297">
        <f>'[9]Сводная форма'!CI322</f>
        <v>19549.834248443738</v>
      </c>
      <c r="W326" s="297">
        <f>'[9]Сводная форма'!CJ322</f>
        <v>15703.610668815572</v>
      </c>
      <c r="X326" s="297">
        <f>'[9]Сводная форма'!CK322</f>
        <v>20289.213820331595</v>
      </c>
      <c r="Y326" s="297">
        <f>'[9]Сводная форма'!CL322</f>
        <v>20684.820168124665</v>
      </c>
      <c r="Z326" s="297">
        <f>'[9]Сводная форма'!CM322</f>
        <v>21098.814954719543</v>
      </c>
      <c r="AA326" s="301">
        <f t="shared" si="70"/>
        <v>18735.16940466746</v>
      </c>
      <c r="AB326" s="296">
        <f t="shared" si="71"/>
        <v>18.73516940466746</v>
      </c>
    </row>
    <row r="327" spans="3:28" x14ac:dyDescent="0.25">
      <c r="C327" s="390"/>
      <c r="D327" s="332" t="str">
        <f t="shared" si="69"/>
        <v>Гостиничный комплекс</v>
      </c>
      <c r="E327" s="351" t="s">
        <v>53</v>
      </c>
      <c r="F327" s="297"/>
      <c r="G327" s="297"/>
      <c r="H327" s="297"/>
      <c r="I327" s="297"/>
      <c r="J327" s="297">
        <f>'[9]Сводная форма'!BW323</f>
        <v>0</v>
      </c>
      <c r="K327" s="297">
        <f>'[9]Сводная форма'!BX323</f>
        <v>0</v>
      </c>
      <c r="L327" s="297">
        <f>'[9]Сводная форма'!BY323</f>
        <v>0</v>
      </c>
      <c r="M327" s="297">
        <f>'[9]Сводная форма'!BZ323</f>
        <v>0</v>
      </c>
      <c r="N327" s="297">
        <f>'[9]Сводная форма'!CA323</f>
        <v>0</v>
      </c>
      <c r="O327" s="297">
        <f>'[9]Сводная форма'!CB323</f>
        <v>0</v>
      </c>
      <c r="P327" s="297">
        <f>'[9]Сводная форма'!CC323</f>
        <v>0</v>
      </c>
      <c r="Q327" s="297">
        <f>'[9]Сводная форма'!CD323</f>
        <v>0</v>
      </c>
      <c r="R327" s="297">
        <f>'[9]Сводная форма'!CE323</f>
        <v>0</v>
      </c>
      <c r="S327" s="297">
        <f>'[9]Сводная форма'!CF323</f>
        <v>0</v>
      </c>
      <c r="T327" s="297">
        <f>'[9]Сводная форма'!CG323</f>
        <v>0</v>
      </c>
      <c r="U327" s="297">
        <f>'[9]Сводная форма'!CH323</f>
        <v>0</v>
      </c>
      <c r="V327" s="297">
        <f>'[9]Сводная форма'!CI323</f>
        <v>0</v>
      </c>
      <c r="W327" s="297">
        <f>'[9]Сводная форма'!CJ323</f>
        <v>0</v>
      </c>
      <c r="X327" s="297">
        <f>'[9]Сводная форма'!CK323</f>
        <v>0</v>
      </c>
      <c r="Y327" s="297">
        <f>'[9]Сводная форма'!CL323</f>
        <v>0</v>
      </c>
      <c r="Z327" s="297">
        <f>'[9]Сводная форма'!CM323</f>
        <v>0</v>
      </c>
      <c r="AA327" s="301">
        <f t="shared" si="70"/>
        <v>0</v>
      </c>
      <c r="AB327" s="296">
        <f t="shared" si="71"/>
        <v>0</v>
      </c>
    </row>
    <row r="328" spans="3:28" hidden="1" outlineLevel="1" x14ac:dyDescent="0.25">
      <c r="C328" s="390"/>
      <c r="D328" s="332" t="str">
        <f t="shared" si="69"/>
        <v>Наименование объекта / группы объектов 6</v>
      </c>
      <c r="E328" s="351" t="s">
        <v>53</v>
      </c>
      <c r="F328" s="297"/>
      <c r="G328" s="297"/>
      <c r="H328" s="297"/>
      <c r="I328" s="297"/>
      <c r="J328" s="297"/>
      <c r="K328" s="297"/>
      <c r="L328" s="297"/>
      <c r="M328" s="297"/>
      <c r="N328" s="297"/>
      <c r="O328" s="297"/>
      <c r="P328" s="297"/>
      <c r="Q328" s="297"/>
      <c r="R328" s="297"/>
      <c r="S328" s="297"/>
      <c r="T328" s="297"/>
      <c r="U328" s="297"/>
      <c r="V328" s="297"/>
      <c r="W328" s="297"/>
      <c r="X328" s="297"/>
      <c r="Y328" s="297"/>
      <c r="Z328" s="297"/>
      <c r="AA328" s="301">
        <f t="shared" ref="AA328:AA346" si="72">IFERROR(AVERAGE(J328:Z328),0)</f>
        <v>0</v>
      </c>
      <c r="AB328" s="296">
        <f t="shared" si="71"/>
        <v>0</v>
      </c>
    </row>
    <row r="329" spans="3:28" hidden="1" outlineLevel="1" x14ac:dyDescent="0.25">
      <c r="C329" s="390"/>
      <c r="D329" s="332" t="str">
        <f t="shared" si="69"/>
        <v>Наименование объекта / группы объектов 7</v>
      </c>
      <c r="E329" s="351" t="s">
        <v>53</v>
      </c>
      <c r="F329" s="297"/>
      <c r="G329" s="297"/>
      <c r="H329" s="297"/>
      <c r="I329" s="297"/>
      <c r="J329" s="297"/>
      <c r="K329" s="297"/>
      <c r="L329" s="297"/>
      <c r="M329" s="297"/>
      <c r="N329" s="297"/>
      <c r="O329" s="297"/>
      <c r="P329" s="297"/>
      <c r="Q329" s="297"/>
      <c r="R329" s="297"/>
      <c r="S329" s="297"/>
      <c r="T329" s="297"/>
      <c r="U329" s="297"/>
      <c r="V329" s="297"/>
      <c r="W329" s="297"/>
      <c r="X329" s="297"/>
      <c r="Y329" s="297"/>
      <c r="Z329" s="297"/>
      <c r="AA329" s="301">
        <f t="shared" si="72"/>
        <v>0</v>
      </c>
      <c r="AB329" s="296">
        <f t="shared" si="71"/>
        <v>0</v>
      </c>
    </row>
    <row r="330" spans="3:28" hidden="1" outlineLevel="1" x14ac:dyDescent="0.25">
      <c r="C330" s="390"/>
      <c r="D330" s="332" t="str">
        <f t="shared" si="69"/>
        <v>Наименование объекта / группы объектов 8</v>
      </c>
      <c r="E330" s="351" t="s">
        <v>53</v>
      </c>
      <c r="F330" s="297"/>
      <c r="G330" s="297"/>
      <c r="H330" s="297"/>
      <c r="I330" s="297"/>
      <c r="J330" s="297"/>
      <c r="K330" s="297"/>
      <c r="L330" s="297"/>
      <c r="M330" s="297"/>
      <c r="N330" s="297"/>
      <c r="O330" s="297"/>
      <c r="P330" s="297"/>
      <c r="Q330" s="297"/>
      <c r="R330" s="297"/>
      <c r="S330" s="297"/>
      <c r="T330" s="297"/>
      <c r="U330" s="297"/>
      <c r="V330" s="297"/>
      <c r="W330" s="297"/>
      <c r="X330" s="297"/>
      <c r="Y330" s="297"/>
      <c r="Z330" s="297"/>
      <c r="AA330" s="301">
        <f t="shared" si="72"/>
        <v>0</v>
      </c>
      <c r="AB330" s="296">
        <f t="shared" si="71"/>
        <v>0</v>
      </c>
    </row>
    <row r="331" spans="3:28" hidden="1" outlineLevel="1" x14ac:dyDescent="0.25">
      <c r="C331" s="390"/>
      <c r="D331" s="332" t="str">
        <f t="shared" si="69"/>
        <v>Наименование объекта / группы объектов 9</v>
      </c>
      <c r="E331" s="351" t="s">
        <v>53</v>
      </c>
      <c r="F331" s="297"/>
      <c r="G331" s="297"/>
      <c r="H331" s="297"/>
      <c r="I331" s="297"/>
      <c r="J331" s="297"/>
      <c r="K331" s="297"/>
      <c r="L331" s="297"/>
      <c r="M331" s="297"/>
      <c r="N331" s="297"/>
      <c r="O331" s="297"/>
      <c r="P331" s="297"/>
      <c r="Q331" s="297"/>
      <c r="R331" s="297"/>
      <c r="S331" s="297"/>
      <c r="T331" s="297"/>
      <c r="U331" s="297"/>
      <c r="V331" s="297"/>
      <c r="W331" s="297"/>
      <c r="X331" s="297"/>
      <c r="Y331" s="297"/>
      <c r="Z331" s="297"/>
      <c r="AA331" s="301">
        <f t="shared" si="72"/>
        <v>0</v>
      </c>
      <c r="AB331" s="296">
        <f t="shared" si="71"/>
        <v>0</v>
      </c>
    </row>
    <row r="332" spans="3:28" hidden="1" outlineLevel="1" x14ac:dyDescent="0.25">
      <c r="C332" s="390"/>
      <c r="D332" s="332" t="str">
        <f t="shared" si="69"/>
        <v>Наименование объекта / группы объектов 10</v>
      </c>
      <c r="E332" s="351" t="s">
        <v>53</v>
      </c>
      <c r="F332" s="297"/>
      <c r="G332" s="297"/>
      <c r="H332" s="297"/>
      <c r="I332" s="297"/>
      <c r="J332" s="297"/>
      <c r="K332" s="297"/>
      <c r="L332" s="297"/>
      <c r="M332" s="297"/>
      <c r="N332" s="297"/>
      <c r="O332" s="297"/>
      <c r="P332" s="297"/>
      <c r="Q332" s="297"/>
      <c r="R332" s="297"/>
      <c r="S332" s="297"/>
      <c r="T332" s="297"/>
      <c r="U332" s="297"/>
      <c r="V332" s="297"/>
      <c r="W332" s="297"/>
      <c r="X332" s="297"/>
      <c r="Y332" s="297"/>
      <c r="Z332" s="297"/>
      <c r="AA332" s="301">
        <f t="shared" si="72"/>
        <v>0</v>
      </c>
      <c r="AB332" s="296">
        <f t="shared" si="71"/>
        <v>0</v>
      </c>
    </row>
    <row r="333" spans="3:28" hidden="1" outlineLevel="1" x14ac:dyDescent="0.25">
      <c r="C333" s="390"/>
      <c r="D333" s="332" t="str">
        <f t="shared" si="69"/>
        <v>Наименование объекта / группы объектов 11</v>
      </c>
      <c r="E333" s="351" t="s">
        <v>53</v>
      </c>
      <c r="F333" s="297"/>
      <c r="G333" s="297"/>
      <c r="H333" s="297"/>
      <c r="I333" s="297"/>
      <c r="J333" s="297"/>
      <c r="K333" s="297"/>
      <c r="L333" s="297"/>
      <c r="M333" s="297"/>
      <c r="N333" s="297"/>
      <c r="O333" s="297"/>
      <c r="P333" s="297"/>
      <c r="Q333" s="297"/>
      <c r="R333" s="297"/>
      <c r="S333" s="297"/>
      <c r="T333" s="297"/>
      <c r="U333" s="297"/>
      <c r="V333" s="297"/>
      <c r="W333" s="297"/>
      <c r="X333" s="297"/>
      <c r="Y333" s="297"/>
      <c r="Z333" s="297"/>
      <c r="AA333" s="301">
        <f t="shared" si="72"/>
        <v>0</v>
      </c>
      <c r="AB333" s="296">
        <f t="shared" si="71"/>
        <v>0</v>
      </c>
    </row>
    <row r="334" spans="3:28" hidden="1" outlineLevel="1" x14ac:dyDescent="0.25">
      <c r="C334" s="390"/>
      <c r="D334" s="332" t="str">
        <f t="shared" si="69"/>
        <v>Наименование объекта / группы объектов 12</v>
      </c>
      <c r="E334" s="351" t="s">
        <v>53</v>
      </c>
      <c r="F334" s="297"/>
      <c r="G334" s="297"/>
      <c r="H334" s="297"/>
      <c r="I334" s="297"/>
      <c r="J334" s="297"/>
      <c r="K334" s="297"/>
      <c r="L334" s="297"/>
      <c r="M334" s="297"/>
      <c r="N334" s="297"/>
      <c r="O334" s="297"/>
      <c r="P334" s="297"/>
      <c r="Q334" s="297"/>
      <c r="R334" s="297"/>
      <c r="S334" s="297"/>
      <c r="T334" s="297"/>
      <c r="U334" s="297"/>
      <c r="V334" s="297"/>
      <c r="W334" s="297"/>
      <c r="X334" s="297"/>
      <c r="Y334" s="297"/>
      <c r="Z334" s="297"/>
      <c r="AA334" s="301">
        <f t="shared" si="72"/>
        <v>0</v>
      </c>
      <c r="AB334" s="296">
        <f t="shared" si="71"/>
        <v>0</v>
      </c>
    </row>
    <row r="335" spans="3:28" hidden="1" outlineLevel="1" x14ac:dyDescent="0.25">
      <c r="C335" s="390"/>
      <c r="D335" s="332" t="str">
        <f t="shared" si="69"/>
        <v>Наименование объекта / группы объектов 13</v>
      </c>
      <c r="E335" s="351" t="s">
        <v>53</v>
      </c>
      <c r="F335" s="297"/>
      <c r="G335" s="297"/>
      <c r="H335" s="297"/>
      <c r="I335" s="297"/>
      <c r="J335" s="297"/>
      <c r="K335" s="297"/>
      <c r="L335" s="297"/>
      <c r="M335" s="297"/>
      <c r="N335" s="297"/>
      <c r="O335" s="297"/>
      <c r="P335" s="297"/>
      <c r="Q335" s="297"/>
      <c r="R335" s="297"/>
      <c r="S335" s="297"/>
      <c r="T335" s="297"/>
      <c r="U335" s="297"/>
      <c r="V335" s="297"/>
      <c r="W335" s="297"/>
      <c r="X335" s="297"/>
      <c r="Y335" s="297"/>
      <c r="Z335" s="297"/>
      <c r="AA335" s="301">
        <f t="shared" si="72"/>
        <v>0</v>
      </c>
      <c r="AB335" s="296">
        <f t="shared" si="71"/>
        <v>0</v>
      </c>
    </row>
    <row r="336" spans="3:28" hidden="1" outlineLevel="1" x14ac:dyDescent="0.25">
      <c r="C336" s="390"/>
      <c r="D336" s="332" t="str">
        <f t="shared" si="69"/>
        <v>Наименование объекта / группы объектов 14</v>
      </c>
      <c r="E336" s="351" t="s">
        <v>53</v>
      </c>
      <c r="F336" s="297"/>
      <c r="G336" s="297"/>
      <c r="H336" s="297"/>
      <c r="I336" s="297"/>
      <c r="J336" s="297"/>
      <c r="K336" s="297"/>
      <c r="L336" s="297"/>
      <c r="M336" s="297"/>
      <c r="N336" s="297"/>
      <c r="O336" s="297"/>
      <c r="P336" s="297"/>
      <c r="Q336" s="297"/>
      <c r="R336" s="297"/>
      <c r="S336" s="297"/>
      <c r="T336" s="297"/>
      <c r="U336" s="297"/>
      <c r="V336" s="297"/>
      <c r="W336" s="297"/>
      <c r="X336" s="297"/>
      <c r="Y336" s="297"/>
      <c r="Z336" s="297"/>
      <c r="AA336" s="301">
        <f t="shared" si="72"/>
        <v>0</v>
      </c>
      <c r="AB336" s="296">
        <f t="shared" si="71"/>
        <v>0</v>
      </c>
    </row>
    <row r="337" spans="3:28" hidden="1" outlineLevel="1" x14ac:dyDescent="0.25">
      <c r="C337" s="390"/>
      <c r="D337" s="332" t="str">
        <f t="shared" si="69"/>
        <v>Наименование объекта / группы объектов 15</v>
      </c>
      <c r="E337" s="351" t="s">
        <v>53</v>
      </c>
      <c r="F337" s="297"/>
      <c r="G337" s="297"/>
      <c r="H337" s="297"/>
      <c r="I337" s="297"/>
      <c r="J337" s="297"/>
      <c r="K337" s="297"/>
      <c r="L337" s="297"/>
      <c r="M337" s="297"/>
      <c r="N337" s="297"/>
      <c r="O337" s="297"/>
      <c r="P337" s="297"/>
      <c r="Q337" s="297"/>
      <c r="R337" s="297"/>
      <c r="S337" s="297"/>
      <c r="T337" s="297"/>
      <c r="U337" s="297"/>
      <c r="V337" s="297"/>
      <c r="W337" s="297"/>
      <c r="X337" s="297"/>
      <c r="Y337" s="297"/>
      <c r="Z337" s="297"/>
      <c r="AA337" s="301">
        <f t="shared" si="72"/>
        <v>0</v>
      </c>
      <c r="AB337" s="296">
        <f t="shared" si="71"/>
        <v>0</v>
      </c>
    </row>
    <row r="338" spans="3:28" hidden="1" outlineLevel="1" x14ac:dyDescent="0.25">
      <c r="C338" s="390"/>
      <c r="D338" s="332" t="str">
        <f t="shared" si="69"/>
        <v>Наименование объекта / группы объектов 16</v>
      </c>
      <c r="E338" s="351" t="s">
        <v>53</v>
      </c>
      <c r="F338" s="297"/>
      <c r="G338" s="297"/>
      <c r="H338" s="297"/>
      <c r="I338" s="297"/>
      <c r="J338" s="297"/>
      <c r="K338" s="297"/>
      <c r="L338" s="297"/>
      <c r="M338" s="297"/>
      <c r="N338" s="297"/>
      <c r="O338" s="297"/>
      <c r="P338" s="297"/>
      <c r="Q338" s="297"/>
      <c r="R338" s="297"/>
      <c r="S338" s="297"/>
      <c r="T338" s="297"/>
      <c r="U338" s="297"/>
      <c r="V338" s="297"/>
      <c r="W338" s="297"/>
      <c r="X338" s="297"/>
      <c r="Y338" s="297"/>
      <c r="Z338" s="297"/>
      <c r="AA338" s="301">
        <f t="shared" si="72"/>
        <v>0</v>
      </c>
      <c r="AB338" s="298">
        <f t="shared" si="71"/>
        <v>0</v>
      </c>
    </row>
    <row r="339" spans="3:28" hidden="1" outlineLevel="1" x14ac:dyDescent="0.25">
      <c r="C339" s="390"/>
      <c r="D339" s="332" t="str">
        <f t="shared" si="69"/>
        <v>Наименование объекта / группы объектов 17</v>
      </c>
      <c r="E339" s="351" t="s">
        <v>53</v>
      </c>
      <c r="F339" s="297"/>
      <c r="G339" s="297"/>
      <c r="H339" s="297"/>
      <c r="I339" s="297"/>
      <c r="J339" s="297"/>
      <c r="K339" s="297"/>
      <c r="L339" s="297"/>
      <c r="M339" s="297"/>
      <c r="N339" s="297"/>
      <c r="O339" s="297"/>
      <c r="P339" s="297"/>
      <c r="Q339" s="297"/>
      <c r="R339" s="297"/>
      <c r="S339" s="297"/>
      <c r="T339" s="297"/>
      <c r="U339" s="297"/>
      <c r="V339" s="297"/>
      <c r="W339" s="297"/>
      <c r="X339" s="297"/>
      <c r="Y339" s="297"/>
      <c r="Z339" s="297"/>
      <c r="AA339" s="301">
        <f t="shared" si="72"/>
        <v>0</v>
      </c>
      <c r="AB339" s="298">
        <f t="shared" si="71"/>
        <v>0</v>
      </c>
    </row>
    <row r="340" spans="3:28" hidden="1" outlineLevel="1" x14ac:dyDescent="0.25">
      <c r="C340" s="390"/>
      <c r="D340" s="332" t="str">
        <f t="shared" si="69"/>
        <v>Наименование объекта / группы объектов 18</v>
      </c>
      <c r="E340" s="351" t="s">
        <v>53</v>
      </c>
      <c r="F340" s="297"/>
      <c r="G340" s="297"/>
      <c r="H340" s="297"/>
      <c r="I340" s="297"/>
      <c r="J340" s="297"/>
      <c r="K340" s="297"/>
      <c r="L340" s="297"/>
      <c r="M340" s="297"/>
      <c r="N340" s="297"/>
      <c r="O340" s="297"/>
      <c r="P340" s="297"/>
      <c r="Q340" s="297"/>
      <c r="R340" s="297"/>
      <c r="S340" s="297"/>
      <c r="T340" s="297"/>
      <c r="U340" s="297"/>
      <c r="V340" s="297"/>
      <c r="W340" s="297"/>
      <c r="X340" s="297"/>
      <c r="Y340" s="297"/>
      <c r="Z340" s="297"/>
      <c r="AA340" s="301">
        <f t="shared" si="72"/>
        <v>0</v>
      </c>
      <c r="AB340" s="296">
        <f t="shared" si="71"/>
        <v>0</v>
      </c>
    </row>
    <row r="341" spans="3:28" hidden="1" outlineLevel="1" x14ac:dyDescent="0.25">
      <c r="C341" s="390"/>
      <c r="D341" s="332" t="str">
        <f t="shared" si="69"/>
        <v>Наименование объекта / группы объектов 19</v>
      </c>
      <c r="E341" s="351" t="s">
        <v>53</v>
      </c>
      <c r="F341" s="297"/>
      <c r="G341" s="297"/>
      <c r="H341" s="297"/>
      <c r="I341" s="297"/>
      <c r="J341" s="297"/>
      <c r="K341" s="297"/>
      <c r="L341" s="297"/>
      <c r="M341" s="297"/>
      <c r="N341" s="297"/>
      <c r="O341" s="297"/>
      <c r="P341" s="297"/>
      <c r="Q341" s="297"/>
      <c r="R341" s="297"/>
      <c r="S341" s="297"/>
      <c r="T341" s="297"/>
      <c r="U341" s="297"/>
      <c r="V341" s="297"/>
      <c r="W341" s="297"/>
      <c r="X341" s="297"/>
      <c r="Y341" s="297"/>
      <c r="Z341" s="297"/>
      <c r="AA341" s="301">
        <f t="shared" si="72"/>
        <v>0</v>
      </c>
      <c r="AB341" s="296">
        <f t="shared" si="71"/>
        <v>0</v>
      </c>
    </row>
    <row r="342" spans="3:28" hidden="1" outlineLevel="1" x14ac:dyDescent="0.25">
      <c r="C342" s="390"/>
      <c r="D342" s="332" t="str">
        <f t="shared" si="69"/>
        <v>Наименование объекта / группы объектов 20</v>
      </c>
      <c r="E342" s="351" t="s">
        <v>53</v>
      </c>
      <c r="F342" s="297"/>
      <c r="G342" s="297"/>
      <c r="H342" s="297"/>
      <c r="I342" s="297"/>
      <c r="J342" s="297"/>
      <c r="K342" s="297"/>
      <c r="L342" s="297"/>
      <c r="M342" s="297"/>
      <c r="N342" s="297"/>
      <c r="O342" s="297"/>
      <c r="P342" s="297"/>
      <c r="Q342" s="297"/>
      <c r="R342" s="297"/>
      <c r="S342" s="297"/>
      <c r="T342" s="297"/>
      <c r="U342" s="297"/>
      <c r="V342" s="297"/>
      <c r="W342" s="297"/>
      <c r="X342" s="297"/>
      <c r="Y342" s="297"/>
      <c r="Z342" s="297"/>
      <c r="AA342" s="301">
        <f t="shared" si="72"/>
        <v>0</v>
      </c>
      <c r="AB342" s="296">
        <f t="shared" si="71"/>
        <v>0</v>
      </c>
    </row>
    <row r="343" spans="3:28" hidden="1" outlineLevel="1" x14ac:dyDescent="0.25">
      <c r="C343" s="390"/>
      <c r="D343" s="332" t="str">
        <f t="shared" si="69"/>
        <v>Наименование объекта / группы объектов 21</v>
      </c>
      <c r="E343" s="351" t="s">
        <v>53</v>
      </c>
      <c r="F343" s="297"/>
      <c r="G343" s="297"/>
      <c r="H343" s="297"/>
      <c r="I343" s="297"/>
      <c r="J343" s="297"/>
      <c r="K343" s="297"/>
      <c r="L343" s="297"/>
      <c r="M343" s="297"/>
      <c r="N343" s="297"/>
      <c r="O343" s="297"/>
      <c r="P343" s="297"/>
      <c r="Q343" s="297"/>
      <c r="R343" s="297"/>
      <c r="S343" s="297"/>
      <c r="T343" s="297"/>
      <c r="U343" s="297"/>
      <c r="V343" s="297"/>
      <c r="W343" s="297"/>
      <c r="X343" s="297"/>
      <c r="Y343" s="297"/>
      <c r="Z343" s="297"/>
      <c r="AA343" s="301">
        <f t="shared" si="72"/>
        <v>0</v>
      </c>
      <c r="AB343" s="296">
        <f t="shared" si="71"/>
        <v>0</v>
      </c>
    </row>
    <row r="344" spans="3:28" hidden="1" outlineLevel="1" x14ac:dyDescent="0.25">
      <c r="C344" s="390"/>
      <c r="D344" s="332" t="str">
        <f t="shared" si="69"/>
        <v>Наименование объекта / группы объектов 22</v>
      </c>
      <c r="E344" s="351" t="s">
        <v>53</v>
      </c>
      <c r="F344" s="297"/>
      <c r="G344" s="297"/>
      <c r="H344" s="297"/>
      <c r="I344" s="297"/>
      <c r="J344" s="297"/>
      <c r="K344" s="297"/>
      <c r="L344" s="297"/>
      <c r="M344" s="297"/>
      <c r="N344" s="297"/>
      <c r="O344" s="297"/>
      <c r="P344" s="297"/>
      <c r="Q344" s="297"/>
      <c r="R344" s="297"/>
      <c r="S344" s="297"/>
      <c r="T344" s="297"/>
      <c r="U344" s="297"/>
      <c r="V344" s="297"/>
      <c r="W344" s="297"/>
      <c r="X344" s="297"/>
      <c r="Y344" s="297"/>
      <c r="Z344" s="297"/>
      <c r="AA344" s="301">
        <f t="shared" si="72"/>
        <v>0</v>
      </c>
      <c r="AB344" s="296">
        <f t="shared" si="71"/>
        <v>0</v>
      </c>
    </row>
    <row r="345" spans="3:28" hidden="1" outlineLevel="1" x14ac:dyDescent="0.25">
      <c r="C345" s="390"/>
      <c r="D345" s="332" t="str">
        <f t="shared" si="69"/>
        <v>Наименование объекта / группы объектов 23</v>
      </c>
      <c r="E345" s="351" t="s">
        <v>53</v>
      </c>
      <c r="F345" s="297"/>
      <c r="G345" s="297"/>
      <c r="H345" s="297"/>
      <c r="I345" s="297"/>
      <c r="J345" s="297"/>
      <c r="K345" s="297"/>
      <c r="L345" s="297"/>
      <c r="M345" s="297"/>
      <c r="N345" s="297"/>
      <c r="O345" s="297"/>
      <c r="P345" s="297"/>
      <c r="Q345" s="297"/>
      <c r="R345" s="297"/>
      <c r="S345" s="297"/>
      <c r="T345" s="297"/>
      <c r="U345" s="297"/>
      <c r="V345" s="297"/>
      <c r="W345" s="297"/>
      <c r="X345" s="297"/>
      <c r="Y345" s="297"/>
      <c r="Z345" s="297"/>
      <c r="AA345" s="301">
        <f t="shared" si="72"/>
        <v>0</v>
      </c>
      <c r="AB345" s="296">
        <f t="shared" si="71"/>
        <v>0</v>
      </c>
    </row>
    <row r="346" spans="3:28" hidden="1" outlineLevel="1" x14ac:dyDescent="0.25">
      <c r="C346" s="390"/>
      <c r="D346" s="332" t="str">
        <f t="shared" si="69"/>
        <v>Наименование объекта / группы объектов 24</v>
      </c>
      <c r="E346" s="351" t="s">
        <v>53</v>
      </c>
      <c r="F346" s="297"/>
      <c r="G346" s="297"/>
      <c r="H346" s="297"/>
      <c r="I346" s="297"/>
      <c r="J346" s="297"/>
      <c r="K346" s="297"/>
      <c r="L346" s="297"/>
      <c r="M346" s="297"/>
      <c r="N346" s="297"/>
      <c r="O346" s="297"/>
      <c r="P346" s="297"/>
      <c r="Q346" s="297"/>
      <c r="R346" s="297"/>
      <c r="S346" s="297"/>
      <c r="T346" s="297"/>
      <c r="U346" s="297"/>
      <c r="V346" s="297"/>
      <c r="W346" s="297"/>
      <c r="X346" s="297"/>
      <c r="Y346" s="297"/>
      <c r="Z346" s="297"/>
      <c r="AA346" s="301">
        <f t="shared" si="72"/>
        <v>0</v>
      </c>
      <c r="AB346" s="296">
        <f t="shared" si="71"/>
        <v>0</v>
      </c>
    </row>
    <row r="347" spans="3:28" hidden="1" outlineLevel="1" x14ac:dyDescent="0.25">
      <c r="C347" s="390"/>
      <c r="D347" s="332" t="str">
        <f t="shared" si="69"/>
        <v>Наименование объекта / группы объектов 25</v>
      </c>
      <c r="E347" s="351" t="s">
        <v>53</v>
      </c>
      <c r="F347" s="297"/>
      <c r="G347" s="297"/>
      <c r="H347" s="297"/>
      <c r="I347" s="297"/>
      <c r="J347" s="297"/>
      <c r="K347" s="297"/>
      <c r="L347" s="297"/>
      <c r="M347" s="297"/>
      <c r="N347" s="297"/>
      <c r="O347" s="297"/>
      <c r="P347" s="297"/>
      <c r="Q347" s="297"/>
      <c r="R347" s="297"/>
      <c r="S347" s="297"/>
      <c r="T347" s="297"/>
      <c r="U347" s="297"/>
      <c r="V347" s="297"/>
      <c r="W347" s="297"/>
      <c r="X347" s="297"/>
      <c r="Y347" s="297"/>
      <c r="Z347" s="297"/>
      <c r="AA347" s="301">
        <f>IFERROR(AVERAGE(J347:Z347),0)</f>
        <v>0</v>
      </c>
      <c r="AB347" s="296">
        <f>AA347/1000</f>
        <v>0</v>
      </c>
    </row>
    <row r="348" spans="3:28" collapsed="1" x14ac:dyDescent="0.25">
      <c r="C348" s="326">
        <v>6</v>
      </c>
      <c r="D348" s="327" t="s">
        <v>116</v>
      </c>
      <c r="E348" s="392" t="s">
        <v>10</v>
      </c>
      <c r="F348" s="354">
        <f>F349-F350</f>
        <v>0</v>
      </c>
      <c r="G348" s="354">
        <f>G349-G350</f>
        <v>0</v>
      </c>
      <c r="H348" s="354">
        <f t="shared" ref="H348" si="73">H349-H350</f>
        <v>0</v>
      </c>
      <c r="I348" s="354">
        <f t="shared" ref="I348" si="74">I349-I350</f>
        <v>0</v>
      </c>
      <c r="J348" s="354">
        <f t="shared" ref="J348" si="75">J349-J350</f>
        <v>0</v>
      </c>
      <c r="K348" s="354">
        <f t="shared" ref="K348" si="76">K349-K350</f>
        <v>0</v>
      </c>
      <c r="L348" s="354">
        <f t="shared" ref="L348" si="77">L349-L350</f>
        <v>0</v>
      </c>
      <c r="M348" s="354">
        <f t="shared" ref="M348" si="78">M349-M350</f>
        <v>0</v>
      </c>
      <c r="N348" s="354">
        <f t="shared" ref="N348" si="79">N349-N350</f>
        <v>0</v>
      </c>
      <c r="O348" s="354">
        <f t="shared" ref="O348" si="80">O349-O350</f>
        <v>0</v>
      </c>
      <c r="P348" s="354">
        <f t="shared" ref="P348" si="81">P349-P350</f>
        <v>0</v>
      </c>
      <c r="Q348" s="354">
        <f t="shared" ref="Q348" si="82">Q349-Q350</f>
        <v>0</v>
      </c>
      <c r="R348" s="354">
        <f>R349-R350</f>
        <v>0</v>
      </c>
      <c r="S348" s="354">
        <f t="shared" ref="S348:Z348" si="83">S349-S350</f>
        <v>0</v>
      </c>
      <c r="T348" s="354">
        <f t="shared" si="83"/>
        <v>0</v>
      </c>
      <c r="U348" s="354">
        <f t="shared" si="83"/>
        <v>0</v>
      </c>
      <c r="V348" s="354">
        <f t="shared" si="83"/>
        <v>0</v>
      </c>
      <c r="W348" s="354">
        <f t="shared" si="83"/>
        <v>0</v>
      </c>
      <c r="X348" s="354">
        <f t="shared" si="83"/>
        <v>0</v>
      </c>
      <c r="Y348" s="354">
        <f t="shared" si="83"/>
        <v>0</v>
      </c>
      <c r="Z348" s="354">
        <f t="shared" si="83"/>
        <v>0</v>
      </c>
      <c r="AA348" s="354">
        <f>AA349-AA350</f>
        <v>0</v>
      </c>
      <c r="AB348" s="354">
        <f t="shared" ref="AB348" si="84">AB349-AB350</f>
        <v>0</v>
      </c>
    </row>
    <row r="349" spans="3:28" hidden="1" outlineLevel="1" x14ac:dyDescent="0.25">
      <c r="C349" s="395"/>
      <c r="D349" s="338" t="s">
        <v>12</v>
      </c>
      <c r="E349" s="339" t="s">
        <v>13</v>
      </c>
      <c r="F349" s="312"/>
      <c r="G349" s="312"/>
      <c r="H349" s="312"/>
      <c r="I349" s="312"/>
      <c r="J349" s="312"/>
      <c r="K349" s="312"/>
      <c r="L349" s="312"/>
      <c r="M349" s="312"/>
      <c r="N349" s="312"/>
      <c r="O349" s="312"/>
      <c r="P349" s="312"/>
      <c r="Q349" s="312"/>
      <c r="R349" s="312"/>
      <c r="S349" s="312"/>
      <c r="T349" s="312"/>
      <c r="U349" s="312"/>
      <c r="V349" s="312"/>
      <c r="W349" s="312"/>
      <c r="X349" s="312"/>
      <c r="Y349" s="312"/>
      <c r="Z349" s="312"/>
      <c r="AA349" s="296">
        <f>SUM(I349:R349)</f>
        <v>0</v>
      </c>
      <c r="AB349" s="296">
        <f t="shared" ref="AB349:AB351" si="85">AA349/1000</f>
        <v>0</v>
      </c>
    </row>
    <row r="350" spans="3:28" hidden="1" outlineLevel="1" x14ac:dyDescent="0.25">
      <c r="C350" s="395"/>
      <c r="D350" s="338" t="s">
        <v>112</v>
      </c>
      <c r="E350" s="339" t="s">
        <v>13</v>
      </c>
      <c r="F350" s="296">
        <f>F351+F366</f>
        <v>0</v>
      </c>
      <c r="G350" s="296">
        <f t="shared" ref="G350:R350" si="86">G351+G366</f>
        <v>0</v>
      </c>
      <c r="H350" s="296">
        <f t="shared" si="86"/>
        <v>0</v>
      </c>
      <c r="I350" s="296">
        <f t="shared" si="86"/>
        <v>0</v>
      </c>
      <c r="J350" s="296">
        <f t="shared" si="86"/>
        <v>0</v>
      </c>
      <c r="K350" s="296">
        <f t="shared" si="86"/>
        <v>0</v>
      </c>
      <c r="L350" s="296">
        <f t="shared" si="86"/>
        <v>0</v>
      </c>
      <c r="M350" s="296">
        <f t="shared" si="86"/>
        <v>0</v>
      </c>
      <c r="N350" s="296">
        <f t="shared" si="86"/>
        <v>0</v>
      </c>
      <c r="O350" s="296">
        <f t="shared" si="86"/>
        <v>0</v>
      </c>
      <c r="P350" s="296">
        <f t="shared" si="86"/>
        <v>0</v>
      </c>
      <c r="Q350" s="296">
        <f t="shared" si="86"/>
        <v>0</v>
      </c>
      <c r="R350" s="296">
        <f t="shared" si="86"/>
        <v>0</v>
      </c>
      <c r="S350" s="296">
        <f t="shared" ref="S350:Z350" si="87">S351+S366</f>
        <v>0</v>
      </c>
      <c r="T350" s="296">
        <f t="shared" si="87"/>
        <v>0</v>
      </c>
      <c r="U350" s="296">
        <f t="shared" si="87"/>
        <v>0</v>
      </c>
      <c r="V350" s="296">
        <f t="shared" si="87"/>
        <v>0</v>
      </c>
      <c r="W350" s="296">
        <f t="shared" si="87"/>
        <v>0</v>
      </c>
      <c r="X350" s="296">
        <f t="shared" si="87"/>
        <v>0</v>
      </c>
      <c r="Y350" s="296">
        <f t="shared" si="87"/>
        <v>0</v>
      </c>
      <c r="Z350" s="296">
        <f t="shared" si="87"/>
        <v>0</v>
      </c>
      <c r="AA350" s="296">
        <f>SUM(I350:R350)</f>
        <v>0</v>
      </c>
      <c r="AB350" s="296">
        <f t="shared" si="85"/>
        <v>0</v>
      </c>
    </row>
    <row r="351" spans="3:28" hidden="1" outlineLevel="1" x14ac:dyDescent="0.25">
      <c r="C351" s="395"/>
      <c r="D351" s="338" t="s">
        <v>113</v>
      </c>
      <c r="E351" s="339" t="s">
        <v>13</v>
      </c>
      <c r="F351" s="312"/>
      <c r="G351" s="312"/>
      <c r="H351" s="312"/>
      <c r="I351" s="312"/>
      <c r="J351" s="312"/>
      <c r="K351" s="312"/>
      <c r="L351" s="312"/>
      <c r="M351" s="312"/>
      <c r="N351" s="312"/>
      <c r="O351" s="312"/>
      <c r="P351" s="312"/>
      <c r="Q351" s="312"/>
      <c r="R351" s="312"/>
      <c r="S351" s="312"/>
      <c r="T351" s="312"/>
      <c r="U351" s="312"/>
      <c r="V351" s="312"/>
      <c r="W351" s="312"/>
      <c r="X351" s="312"/>
      <c r="Y351" s="312"/>
      <c r="Z351" s="312"/>
      <c r="AA351" s="296">
        <f>SUM(I351:R351)</f>
        <v>0</v>
      </c>
      <c r="AB351" s="296">
        <f t="shared" si="85"/>
        <v>0</v>
      </c>
    </row>
    <row r="352" spans="3:28" hidden="1" outlineLevel="1" x14ac:dyDescent="0.25">
      <c r="C352" s="396"/>
      <c r="D352" s="355" t="s">
        <v>114</v>
      </c>
      <c r="E352" s="356" t="s">
        <v>13</v>
      </c>
      <c r="F352" s="313"/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  <c r="T352" s="313"/>
      <c r="U352" s="313"/>
      <c r="V352" s="313"/>
      <c r="W352" s="313"/>
      <c r="X352" s="313"/>
      <c r="Y352" s="313"/>
      <c r="Z352" s="313"/>
      <c r="AA352" s="310">
        <f>SUM(J352:Z352)</f>
        <v>0</v>
      </c>
      <c r="AB352" s="305">
        <f>AA352/1000</f>
        <v>0</v>
      </c>
    </row>
    <row r="353" spans="3:28" hidden="1" outlineLevel="1" x14ac:dyDescent="0.25">
      <c r="C353" s="396"/>
      <c r="D353" s="357" t="s">
        <v>40</v>
      </c>
      <c r="E353" s="356" t="s">
        <v>13</v>
      </c>
      <c r="F353" s="313"/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  <c r="T353" s="313"/>
      <c r="U353" s="313"/>
      <c r="V353" s="313"/>
      <c r="W353" s="313"/>
      <c r="X353" s="313"/>
      <c r="Y353" s="313"/>
      <c r="Z353" s="313"/>
      <c r="AA353" s="310">
        <f t="shared" ref="AA353:AA365" si="88">SUM(J353:Z353)</f>
        <v>0</v>
      </c>
      <c r="AB353" s="305">
        <f t="shared" ref="AB353:AB365" si="89">AA353/1000</f>
        <v>0</v>
      </c>
    </row>
    <row r="354" spans="3:28" hidden="1" outlineLevel="1" x14ac:dyDescent="0.25">
      <c r="C354" s="396"/>
      <c r="D354" s="357" t="s">
        <v>98</v>
      </c>
      <c r="E354" s="356" t="s">
        <v>13</v>
      </c>
      <c r="F354" s="313"/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  <c r="T354" s="313"/>
      <c r="U354" s="313"/>
      <c r="V354" s="313"/>
      <c r="W354" s="313"/>
      <c r="X354" s="313"/>
      <c r="Y354" s="313"/>
      <c r="Z354" s="313"/>
      <c r="AA354" s="310">
        <f t="shared" si="88"/>
        <v>0</v>
      </c>
      <c r="AB354" s="305">
        <f t="shared" si="89"/>
        <v>0</v>
      </c>
    </row>
    <row r="355" spans="3:28" hidden="1" outlineLevel="1" x14ac:dyDescent="0.25">
      <c r="C355" s="396"/>
      <c r="D355" s="357" t="s">
        <v>48</v>
      </c>
      <c r="E355" s="356" t="s">
        <v>13</v>
      </c>
      <c r="F355" s="313"/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  <c r="T355" s="313"/>
      <c r="U355" s="313"/>
      <c r="V355" s="313"/>
      <c r="W355" s="313"/>
      <c r="X355" s="313"/>
      <c r="Y355" s="313"/>
      <c r="Z355" s="313"/>
      <c r="AA355" s="310">
        <f t="shared" si="88"/>
        <v>0</v>
      </c>
      <c r="AB355" s="305">
        <f t="shared" si="89"/>
        <v>0</v>
      </c>
    </row>
    <row r="356" spans="3:28" hidden="1" outlineLevel="1" x14ac:dyDescent="0.25">
      <c r="C356" s="396"/>
      <c r="D356" s="357" t="s">
        <v>99</v>
      </c>
      <c r="E356" s="356" t="s">
        <v>13</v>
      </c>
      <c r="F356" s="313"/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  <c r="T356" s="313"/>
      <c r="U356" s="313"/>
      <c r="V356" s="313"/>
      <c r="W356" s="313"/>
      <c r="X356" s="313"/>
      <c r="Y356" s="313"/>
      <c r="Z356" s="313"/>
      <c r="AA356" s="310">
        <f t="shared" si="88"/>
        <v>0</v>
      </c>
      <c r="AB356" s="305">
        <f t="shared" si="89"/>
        <v>0</v>
      </c>
    </row>
    <row r="357" spans="3:28" hidden="1" outlineLevel="1" x14ac:dyDescent="0.25">
      <c r="C357" s="396"/>
      <c r="D357" s="357" t="s">
        <v>100</v>
      </c>
      <c r="E357" s="356" t="s">
        <v>13</v>
      </c>
      <c r="F357" s="313"/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  <c r="T357" s="313"/>
      <c r="U357" s="313"/>
      <c r="V357" s="313"/>
      <c r="W357" s="313"/>
      <c r="X357" s="313"/>
      <c r="Y357" s="313"/>
      <c r="Z357" s="313"/>
      <c r="AA357" s="310">
        <f t="shared" si="88"/>
        <v>0</v>
      </c>
      <c r="AB357" s="305">
        <f t="shared" si="89"/>
        <v>0</v>
      </c>
    </row>
    <row r="358" spans="3:28" hidden="1" outlineLevel="1" x14ac:dyDescent="0.25">
      <c r="C358" s="396"/>
      <c r="D358" s="357" t="s">
        <v>101</v>
      </c>
      <c r="E358" s="356" t="s">
        <v>13</v>
      </c>
      <c r="F358" s="313"/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  <c r="T358" s="313"/>
      <c r="U358" s="313"/>
      <c r="V358" s="313"/>
      <c r="W358" s="313"/>
      <c r="X358" s="313"/>
      <c r="Y358" s="313"/>
      <c r="Z358" s="313"/>
      <c r="AA358" s="310">
        <f t="shared" si="88"/>
        <v>0</v>
      </c>
      <c r="AB358" s="305">
        <f t="shared" si="89"/>
        <v>0</v>
      </c>
    </row>
    <row r="359" spans="3:28" hidden="1" outlineLevel="1" x14ac:dyDescent="0.25">
      <c r="C359" s="396"/>
      <c r="D359" s="357" t="s">
        <v>102</v>
      </c>
      <c r="E359" s="356" t="s">
        <v>13</v>
      </c>
      <c r="F359" s="313"/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  <c r="T359" s="313"/>
      <c r="U359" s="313"/>
      <c r="V359" s="313"/>
      <c r="W359" s="313"/>
      <c r="X359" s="313"/>
      <c r="Y359" s="313"/>
      <c r="Z359" s="313"/>
      <c r="AA359" s="310">
        <f t="shared" si="88"/>
        <v>0</v>
      </c>
      <c r="AB359" s="305">
        <f t="shared" si="89"/>
        <v>0</v>
      </c>
    </row>
    <row r="360" spans="3:28" hidden="1" outlineLevel="1" x14ac:dyDescent="0.25">
      <c r="C360" s="396"/>
      <c r="D360" s="357" t="s">
        <v>103</v>
      </c>
      <c r="E360" s="356" t="s">
        <v>13</v>
      </c>
      <c r="F360" s="313"/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  <c r="T360" s="313"/>
      <c r="U360" s="313"/>
      <c r="V360" s="313"/>
      <c r="W360" s="313"/>
      <c r="X360" s="313"/>
      <c r="Y360" s="313"/>
      <c r="Z360" s="313"/>
      <c r="AA360" s="310">
        <f t="shared" si="88"/>
        <v>0</v>
      </c>
      <c r="AB360" s="305">
        <f t="shared" si="89"/>
        <v>0</v>
      </c>
    </row>
    <row r="361" spans="3:28" hidden="1" outlineLevel="1" x14ac:dyDescent="0.25">
      <c r="C361" s="396"/>
      <c r="D361" s="357" t="s">
        <v>104</v>
      </c>
      <c r="E361" s="356" t="s">
        <v>13</v>
      </c>
      <c r="F361" s="313"/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  <c r="T361" s="313"/>
      <c r="U361" s="313"/>
      <c r="V361" s="313"/>
      <c r="W361" s="313"/>
      <c r="X361" s="313"/>
      <c r="Y361" s="313"/>
      <c r="Z361" s="313"/>
      <c r="AA361" s="310">
        <f t="shared" si="88"/>
        <v>0</v>
      </c>
      <c r="AB361" s="305">
        <f t="shared" si="89"/>
        <v>0</v>
      </c>
    </row>
    <row r="362" spans="3:28" hidden="1" outlineLevel="1" x14ac:dyDescent="0.25">
      <c r="C362" s="396"/>
      <c r="D362" s="357" t="s">
        <v>105</v>
      </c>
      <c r="E362" s="356" t="s">
        <v>13</v>
      </c>
      <c r="F362" s="313"/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  <c r="T362" s="313"/>
      <c r="U362" s="313"/>
      <c r="V362" s="313"/>
      <c r="W362" s="313"/>
      <c r="X362" s="313"/>
      <c r="Y362" s="313"/>
      <c r="Z362" s="313"/>
      <c r="AA362" s="310">
        <f t="shared" si="88"/>
        <v>0</v>
      </c>
      <c r="AB362" s="305">
        <f t="shared" si="89"/>
        <v>0</v>
      </c>
    </row>
    <row r="363" spans="3:28" hidden="1" outlineLevel="1" x14ac:dyDescent="0.25">
      <c r="C363" s="396"/>
      <c r="D363" s="357" t="s">
        <v>106</v>
      </c>
      <c r="E363" s="356" t="s">
        <v>13</v>
      </c>
      <c r="F363" s="313"/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  <c r="T363" s="313"/>
      <c r="U363" s="313"/>
      <c r="V363" s="313"/>
      <c r="W363" s="313"/>
      <c r="X363" s="313"/>
      <c r="Y363" s="313"/>
      <c r="Z363" s="313"/>
      <c r="AA363" s="310">
        <f t="shared" si="88"/>
        <v>0</v>
      </c>
      <c r="AB363" s="305">
        <f t="shared" si="89"/>
        <v>0</v>
      </c>
    </row>
    <row r="364" spans="3:28" hidden="1" outlineLevel="1" x14ac:dyDescent="0.25">
      <c r="C364" s="396"/>
      <c r="D364" s="357" t="s">
        <v>49</v>
      </c>
      <c r="E364" s="356" t="s">
        <v>13</v>
      </c>
      <c r="F364" s="313"/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  <c r="T364" s="313"/>
      <c r="U364" s="313"/>
      <c r="V364" s="313"/>
      <c r="W364" s="313"/>
      <c r="X364" s="313"/>
      <c r="Y364" s="313"/>
      <c r="Z364" s="313"/>
      <c r="AA364" s="310">
        <f t="shared" si="88"/>
        <v>0</v>
      </c>
      <c r="AB364" s="305">
        <f t="shared" si="89"/>
        <v>0</v>
      </c>
    </row>
    <row r="365" spans="3:28" hidden="1" outlineLevel="1" x14ac:dyDescent="0.25">
      <c r="C365" s="396"/>
      <c r="D365" s="357" t="s">
        <v>107</v>
      </c>
      <c r="E365" s="356" t="s">
        <v>13</v>
      </c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  <c r="Z365" s="313"/>
      <c r="AA365" s="310">
        <f t="shared" si="88"/>
        <v>0</v>
      </c>
      <c r="AB365" s="305">
        <f t="shared" si="89"/>
        <v>0</v>
      </c>
    </row>
    <row r="366" spans="3:28" hidden="1" outlineLevel="1" x14ac:dyDescent="0.25">
      <c r="C366" s="296"/>
      <c r="D366" s="296" t="s">
        <v>115</v>
      </c>
      <c r="E366" s="296" t="s">
        <v>13</v>
      </c>
      <c r="F366" s="296">
        <f>SUM(F367:F391)</f>
        <v>0</v>
      </c>
      <c r="G366" s="296">
        <f>SUM(G367:G391)</f>
        <v>0</v>
      </c>
      <c r="H366" s="296">
        <f t="shared" ref="H366" si="90">SUM(H367:H391)</f>
        <v>0</v>
      </c>
      <c r="I366" s="296">
        <f t="shared" ref="I366" si="91">SUM(I367:I391)</f>
        <v>0</v>
      </c>
      <c r="J366" s="296">
        <f t="shared" ref="J366" si="92">SUM(J367:J391)</f>
        <v>0</v>
      </c>
      <c r="K366" s="296">
        <f t="shared" ref="K366" si="93">SUM(K367:K391)</f>
        <v>0</v>
      </c>
      <c r="L366" s="296">
        <f t="shared" ref="L366" si="94">SUM(L367:L391)</f>
        <v>0</v>
      </c>
      <c r="M366" s="296">
        <f t="shared" ref="M366" si="95">SUM(M367:M391)</f>
        <v>0</v>
      </c>
      <c r="N366" s="296">
        <f t="shared" ref="N366" si="96">SUM(N367:N391)</f>
        <v>0</v>
      </c>
      <c r="O366" s="296">
        <f t="shared" ref="O366" si="97">SUM(O367:O391)</f>
        <v>0</v>
      </c>
      <c r="P366" s="296">
        <f t="shared" ref="P366" si="98">SUM(P367:P391)</f>
        <v>0</v>
      </c>
      <c r="Q366" s="296">
        <f t="shared" ref="Q366" si="99">SUM(Q367:Q391)</f>
        <v>0</v>
      </c>
      <c r="R366" s="296">
        <f>SUM(R367:R391)</f>
        <v>0</v>
      </c>
      <c r="S366" s="296">
        <f t="shared" ref="S366" si="100">SUM(S367:S391)</f>
        <v>0</v>
      </c>
      <c r="T366" s="296">
        <f t="shared" ref="T366" si="101">SUM(T367:T391)</f>
        <v>0</v>
      </c>
      <c r="U366" s="296">
        <f t="shared" ref="U366" si="102">SUM(U367:U391)</f>
        <v>0</v>
      </c>
      <c r="V366" s="296">
        <f t="shared" ref="V366" si="103">SUM(V367:V391)</f>
        <v>0</v>
      </c>
      <c r="W366" s="296">
        <f t="shared" ref="W366" si="104">SUM(W367:W391)</f>
        <v>0</v>
      </c>
      <c r="X366" s="296">
        <f t="shared" ref="X366" si="105">SUM(X367:X391)</f>
        <v>0</v>
      </c>
      <c r="Y366" s="296">
        <f t="shared" ref="Y366" si="106">SUM(Y367:Y391)</f>
        <v>0</v>
      </c>
      <c r="Z366" s="296">
        <f t="shared" ref="Z366" si="107">SUM(Z367:Z391)</f>
        <v>0</v>
      </c>
      <c r="AA366" s="308">
        <f>SUM(J366:Z366)</f>
        <v>0</v>
      </c>
      <c r="AB366" s="296">
        <f>AA366/1000</f>
        <v>0</v>
      </c>
    </row>
    <row r="367" spans="3:28" hidden="1" outlineLevel="1" x14ac:dyDescent="0.25">
      <c r="C367" s="397"/>
      <c r="D367" s="332" t="str">
        <f>D24</f>
        <v>Центр РАН и НИЦ интегральной электроники</v>
      </c>
      <c r="E367" s="337" t="s">
        <v>13</v>
      </c>
      <c r="F367" s="297"/>
      <c r="G367" s="297"/>
      <c r="H367" s="297"/>
      <c r="I367" s="297"/>
      <c r="J367" s="297"/>
      <c r="K367" s="297"/>
      <c r="L367" s="297"/>
      <c r="M367" s="297"/>
      <c r="N367" s="297"/>
      <c r="O367" s="297"/>
      <c r="P367" s="297"/>
      <c r="Q367" s="297"/>
      <c r="R367" s="297"/>
      <c r="S367" s="297"/>
      <c r="T367" s="297"/>
      <c r="U367" s="297"/>
      <c r="V367" s="297"/>
      <c r="W367" s="297"/>
      <c r="X367" s="297"/>
      <c r="Y367" s="297"/>
      <c r="Z367" s="297"/>
      <c r="AA367" s="308">
        <f t="shared" ref="AA367:AA391" si="108">SUM(J367:Z367)</f>
        <v>0</v>
      </c>
      <c r="AB367" s="296">
        <f t="shared" ref="AB367:AB391" si="109">AA367/1000</f>
        <v>0</v>
      </c>
    </row>
    <row r="368" spans="3:28" hidden="1" outlineLevel="1" x14ac:dyDescent="0.25">
      <c r="C368" s="397"/>
      <c r="D368" s="332" t="str">
        <f t="shared" ref="D368:D391" si="110">D25</f>
        <v xml:space="preserve">Университет МИРЭА
</v>
      </c>
      <c r="E368" s="337" t="s">
        <v>13</v>
      </c>
      <c r="F368" s="297"/>
      <c r="G368" s="297"/>
      <c r="H368" s="297"/>
      <c r="I368" s="297"/>
      <c r="J368" s="297"/>
      <c r="K368" s="297"/>
      <c r="L368" s="297"/>
      <c r="M368" s="297"/>
      <c r="N368" s="297"/>
      <c r="O368" s="297"/>
      <c r="P368" s="297"/>
      <c r="Q368" s="297"/>
      <c r="R368" s="297"/>
      <c r="S368" s="297"/>
      <c r="T368" s="297"/>
      <c r="U368" s="297"/>
      <c r="V368" s="297"/>
      <c r="W368" s="297"/>
      <c r="X368" s="297"/>
      <c r="Y368" s="297"/>
      <c r="Z368" s="297"/>
      <c r="AA368" s="308">
        <f t="shared" si="108"/>
        <v>0</v>
      </c>
      <c r="AB368" s="296">
        <f t="shared" si="109"/>
        <v>0</v>
      </c>
    </row>
    <row r="369" spans="3:28" hidden="1" outlineLevel="1" x14ac:dyDescent="0.25">
      <c r="C369" s="397"/>
      <c r="D369" s="332" t="str">
        <f t="shared" si="110"/>
        <v>Технологический центр</v>
      </c>
      <c r="E369" s="337" t="s">
        <v>13</v>
      </c>
      <c r="F369" s="297"/>
      <c r="G369" s="297"/>
      <c r="H369" s="297"/>
      <c r="I369" s="297"/>
      <c r="J369" s="297"/>
      <c r="K369" s="297"/>
      <c r="L369" s="297"/>
      <c r="M369" s="297"/>
      <c r="N369" s="297"/>
      <c r="O369" s="297"/>
      <c r="P369" s="297"/>
      <c r="Q369" s="297"/>
      <c r="R369" s="297"/>
      <c r="S369" s="297"/>
      <c r="T369" s="297"/>
      <c r="U369" s="297"/>
      <c r="V369" s="297"/>
      <c r="W369" s="297"/>
      <c r="X369" s="297"/>
      <c r="Y369" s="297"/>
      <c r="Z369" s="297"/>
      <c r="AA369" s="308">
        <f t="shared" si="108"/>
        <v>0</v>
      </c>
      <c r="AB369" s="296">
        <f t="shared" si="109"/>
        <v>0</v>
      </c>
    </row>
    <row r="370" spans="3:28" hidden="1" outlineLevel="1" x14ac:dyDescent="0.25">
      <c r="C370" s="397"/>
      <c r="D370" s="332" t="str">
        <f t="shared" si="110"/>
        <v>Спортивный центр</v>
      </c>
      <c r="E370" s="337" t="s">
        <v>13</v>
      </c>
      <c r="F370" s="297"/>
      <c r="G370" s="297"/>
      <c r="H370" s="297"/>
      <c r="I370" s="297"/>
      <c r="J370" s="297"/>
      <c r="K370" s="297"/>
      <c r="L370" s="297"/>
      <c r="M370" s="297"/>
      <c r="N370" s="297"/>
      <c r="O370" s="297"/>
      <c r="P370" s="297"/>
      <c r="Q370" s="297"/>
      <c r="R370" s="297"/>
      <c r="S370" s="297"/>
      <c r="T370" s="297"/>
      <c r="U370" s="297"/>
      <c r="V370" s="297"/>
      <c r="W370" s="297"/>
      <c r="X370" s="297"/>
      <c r="Y370" s="297"/>
      <c r="Z370" s="297"/>
      <c r="AA370" s="308">
        <f t="shared" si="108"/>
        <v>0</v>
      </c>
      <c r="AB370" s="296">
        <f t="shared" si="109"/>
        <v>0</v>
      </c>
    </row>
    <row r="371" spans="3:28" hidden="1" outlineLevel="1" x14ac:dyDescent="0.25">
      <c r="C371" s="397"/>
      <c r="D371" s="332" t="str">
        <f t="shared" si="110"/>
        <v>Гостиничный комплекс</v>
      </c>
      <c r="E371" s="337" t="s">
        <v>13</v>
      </c>
      <c r="F371" s="297"/>
      <c r="G371" s="297"/>
      <c r="H371" s="297"/>
      <c r="I371" s="297"/>
      <c r="J371" s="297"/>
      <c r="K371" s="297"/>
      <c r="L371" s="297"/>
      <c r="M371" s="297"/>
      <c r="N371" s="297"/>
      <c r="O371" s="297"/>
      <c r="P371" s="297"/>
      <c r="Q371" s="297"/>
      <c r="R371" s="297"/>
      <c r="S371" s="297"/>
      <c r="T371" s="297"/>
      <c r="U371" s="297"/>
      <c r="V371" s="297"/>
      <c r="W371" s="297"/>
      <c r="X371" s="297"/>
      <c r="Y371" s="297"/>
      <c r="Z371" s="297"/>
      <c r="AA371" s="308">
        <f t="shared" si="108"/>
        <v>0</v>
      </c>
      <c r="AB371" s="296">
        <f t="shared" si="109"/>
        <v>0</v>
      </c>
    </row>
    <row r="372" spans="3:28" hidden="1" outlineLevel="2" x14ac:dyDescent="0.25">
      <c r="C372" s="397"/>
      <c r="D372" s="332" t="str">
        <f t="shared" si="110"/>
        <v>Наименование объекта / группы объектов 6</v>
      </c>
      <c r="E372" s="337" t="s">
        <v>13</v>
      </c>
      <c r="F372" s="297"/>
      <c r="G372" s="297"/>
      <c r="H372" s="297"/>
      <c r="I372" s="297"/>
      <c r="J372" s="297"/>
      <c r="K372" s="297"/>
      <c r="L372" s="297"/>
      <c r="M372" s="297"/>
      <c r="N372" s="297"/>
      <c r="O372" s="297"/>
      <c r="P372" s="297"/>
      <c r="Q372" s="297"/>
      <c r="R372" s="297"/>
      <c r="S372" s="297"/>
      <c r="T372" s="297"/>
      <c r="U372" s="297"/>
      <c r="V372" s="297"/>
      <c r="W372" s="297"/>
      <c r="X372" s="297"/>
      <c r="Y372" s="297"/>
      <c r="Z372" s="297"/>
      <c r="AA372" s="308">
        <f t="shared" si="108"/>
        <v>0</v>
      </c>
      <c r="AB372" s="296">
        <f t="shared" si="109"/>
        <v>0</v>
      </c>
    </row>
    <row r="373" spans="3:28" hidden="1" outlineLevel="2" x14ac:dyDescent="0.25">
      <c r="C373" s="397"/>
      <c r="D373" s="332" t="str">
        <f t="shared" si="110"/>
        <v>Наименование объекта / группы объектов 7</v>
      </c>
      <c r="E373" s="337" t="s">
        <v>13</v>
      </c>
      <c r="F373" s="297"/>
      <c r="G373" s="297"/>
      <c r="H373" s="297"/>
      <c r="I373" s="297"/>
      <c r="J373" s="297"/>
      <c r="K373" s="297"/>
      <c r="L373" s="297"/>
      <c r="M373" s="297"/>
      <c r="N373" s="297"/>
      <c r="O373" s="297"/>
      <c r="P373" s="297"/>
      <c r="Q373" s="297"/>
      <c r="R373" s="297"/>
      <c r="S373" s="297"/>
      <c r="T373" s="297"/>
      <c r="U373" s="297"/>
      <c r="V373" s="297"/>
      <c r="W373" s="297"/>
      <c r="X373" s="297"/>
      <c r="Y373" s="297"/>
      <c r="Z373" s="297"/>
      <c r="AA373" s="308">
        <f t="shared" si="108"/>
        <v>0</v>
      </c>
      <c r="AB373" s="296">
        <f t="shared" si="109"/>
        <v>0</v>
      </c>
    </row>
    <row r="374" spans="3:28" hidden="1" outlineLevel="2" x14ac:dyDescent="0.25">
      <c r="C374" s="397"/>
      <c r="D374" s="332" t="str">
        <f t="shared" si="110"/>
        <v>Наименование объекта / группы объектов 8</v>
      </c>
      <c r="E374" s="337" t="s">
        <v>13</v>
      </c>
      <c r="F374" s="297"/>
      <c r="G374" s="297"/>
      <c r="H374" s="297"/>
      <c r="I374" s="297"/>
      <c r="J374" s="297"/>
      <c r="K374" s="297"/>
      <c r="L374" s="297"/>
      <c r="M374" s="297"/>
      <c r="N374" s="297"/>
      <c r="O374" s="297"/>
      <c r="P374" s="297"/>
      <c r="Q374" s="297"/>
      <c r="R374" s="297"/>
      <c r="S374" s="297"/>
      <c r="T374" s="297"/>
      <c r="U374" s="297"/>
      <c r="V374" s="297"/>
      <c r="W374" s="297"/>
      <c r="X374" s="297"/>
      <c r="Y374" s="297"/>
      <c r="Z374" s="297"/>
      <c r="AA374" s="308">
        <f t="shared" si="108"/>
        <v>0</v>
      </c>
      <c r="AB374" s="296">
        <f t="shared" si="109"/>
        <v>0</v>
      </c>
    </row>
    <row r="375" spans="3:28" hidden="1" outlineLevel="2" x14ac:dyDescent="0.25">
      <c r="C375" s="397"/>
      <c r="D375" s="332" t="str">
        <f t="shared" si="110"/>
        <v>Наименование объекта / группы объектов 9</v>
      </c>
      <c r="E375" s="337" t="s">
        <v>13</v>
      </c>
      <c r="F375" s="297"/>
      <c r="G375" s="297"/>
      <c r="H375" s="297"/>
      <c r="I375" s="297"/>
      <c r="J375" s="297"/>
      <c r="K375" s="297"/>
      <c r="L375" s="297"/>
      <c r="M375" s="297"/>
      <c r="N375" s="297"/>
      <c r="O375" s="297"/>
      <c r="P375" s="297"/>
      <c r="Q375" s="297"/>
      <c r="R375" s="297"/>
      <c r="S375" s="297"/>
      <c r="T375" s="297"/>
      <c r="U375" s="297"/>
      <c r="V375" s="297"/>
      <c r="W375" s="297"/>
      <c r="X375" s="297"/>
      <c r="Y375" s="297"/>
      <c r="Z375" s="297"/>
      <c r="AA375" s="308">
        <f t="shared" si="108"/>
        <v>0</v>
      </c>
      <c r="AB375" s="296">
        <f t="shared" si="109"/>
        <v>0</v>
      </c>
    </row>
    <row r="376" spans="3:28" hidden="1" outlineLevel="2" x14ac:dyDescent="0.25">
      <c r="C376" s="397"/>
      <c r="D376" s="332" t="str">
        <f t="shared" si="110"/>
        <v>Наименование объекта / группы объектов 10</v>
      </c>
      <c r="E376" s="337" t="s">
        <v>13</v>
      </c>
      <c r="F376" s="297"/>
      <c r="G376" s="297"/>
      <c r="H376" s="297"/>
      <c r="I376" s="297"/>
      <c r="J376" s="297"/>
      <c r="K376" s="297"/>
      <c r="L376" s="297"/>
      <c r="M376" s="297"/>
      <c r="N376" s="297"/>
      <c r="O376" s="297"/>
      <c r="P376" s="297"/>
      <c r="Q376" s="297"/>
      <c r="R376" s="297"/>
      <c r="S376" s="297"/>
      <c r="T376" s="297"/>
      <c r="U376" s="297"/>
      <c r="V376" s="297"/>
      <c r="W376" s="297"/>
      <c r="X376" s="297"/>
      <c r="Y376" s="297"/>
      <c r="Z376" s="297"/>
      <c r="AA376" s="308">
        <f t="shared" si="108"/>
        <v>0</v>
      </c>
      <c r="AB376" s="296">
        <f t="shared" si="109"/>
        <v>0</v>
      </c>
    </row>
    <row r="377" spans="3:28" hidden="1" outlineLevel="2" x14ac:dyDescent="0.25">
      <c r="C377" s="397"/>
      <c r="D377" s="332" t="str">
        <f t="shared" si="110"/>
        <v>Наименование объекта / группы объектов 11</v>
      </c>
      <c r="E377" s="337" t="s">
        <v>13</v>
      </c>
      <c r="F377" s="297"/>
      <c r="G377" s="297"/>
      <c r="H377" s="297"/>
      <c r="I377" s="297"/>
      <c r="J377" s="297"/>
      <c r="K377" s="297"/>
      <c r="L377" s="297"/>
      <c r="M377" s="297"/>
      <c r="N377" s="297"/>
      <c r="O377" s="297"/>
      <c r="P377" s="297"/>
      <c r="Q377" s="297"/>
      <c r="R377" s="297"/>
      <c r="S377" s="297"/>
      <c r="T377" s="297"/>
      <c r="U377" s="297"/>
      <c r="V377" s="297"/>
      <c r="W377" s="297"/>
      <c r="X377" s="297"/>
      <c r="Y377" s="297"/>
      <c r="Z377" s="297"/>
      <c r="AA377" s="308">
        <f t="shared" si="108"/>
        <v>0</v>
      </c>
      <c r="AB377" s="296">
        <f t="shared" si="109"/>
        <v>0</v>
      </c>
    </row>
    <row r="378" spans="3:28" hidden="1" outlineLevel="2" x14ac:dyDescent="0.25">
      <c r="C378" s="397"/>
      <c r="D378" s="332" t="str">
        <f t="shared" si="110"/>
        <v>Наименование объекта / группы объектов 12</v>
      </c>
      <c r="E378" s="337" t="s">
        <v>13</v>
      </c>
      <c r="F378" s="297"/>
      <c r="G378" s="297"/>
      <c r="H378" s="297"/>
      <c r="I378" s="297"/>
      <c r="J378" s="297"/>
      <c r="K378" s="297"/>
      <c r="L378" s="297"/>
      <c r="M378" s="297"/>
      <c r="N378" s="297"/>
      <c r="O378" s="297"/>
      <c r="P378" s="297"/>
      <c r="Q378" s="297"/>
      <c r="R378" s="297"/>
      <c r="S378" s="297"/>
      <c r="T378" s="297"/>
      <c r="U378" s="297"/>
      <c r="V378" s="297"/>
      <c r="W378" s="297"/>
      <c r="X378" s="297"/>
      <c r="Y378" s="297"/>
      <c r="Z378" s="297"/>
      <c r="AA378" s="308">
        <f t="shared" si="108"/>
        <v>0</v>
      </c>
      <c r="AB378" s="296">
        <f t="shared" si="109"/>
        <v>0</v>
      </c>
    </row>
    <row r="379" spans="3:28" hidden="1" outlineLevel="2" x14ac:dyDescent="0.25">
      <c r="C379" s="397"/>
      <c r="D379" s="332" t="str">
        <f t="shared" si="110"/>
        <v>Наименование объекта / группы объектов 13</v>
      </c>
      <c r="E379" s="337" t="s">
        <v>13</v>
      </c>
      <c r="F379" s="297"/>
      <c r="G379" s="297"/>
      <c r="H379" s="297"/>
      <c r="I379" s="297"/>
      <c r="J379" s="297"/>
      <c r="K379" s="297"/>
      <c r="L379" s="297"/>
      <c r="M379" s="297"/>
      <c r="N379" s="297"/>
      <c r="O379" s="297"/>
      <c r="P379" s="297"/>
      <c r="Q379" s="297"/>
      <c r="R379" s="297"/>
      <c r="S379" s="297"/>
      <c r="T379" s="297"/>
      <c r="U379" s="297"/>
      <c r="V379" s="297"/>
      <c r="W379" s="297"/>
      <c r="X379" s="297"/>
      <c r="Y379" s="297"/>
      <c r="Z379" s="297"/>
      <c r="AA379" s="308">
        <f t="shared" si="108"/>
        <v>0</v>
      </c>
      <c r="AB379" s="296">
        <f t="shared" si="109"/>
        <v>0</v>
      </c>
    </row>
    <row r="380" spans="3:28" hidden="1" outlineLevel="2" x14ac:dyDescent="0.25">
      <c r="C380" s="397"/>
      <c r="D380" s="332" t="str">
        <f t="shared" si="110"/>
        <v>Наименование объекта / группы объектов 14</v>
      </c>
      <c r="E380" s="337" t="s">
        <v>13</v>
      </c>
      <c r="F380" s="297"/>
      <c r="G380" s="297"/>
      <c r="H380" s="297"/>
      <c r="I380" s="297"/>
      <c r="J380" s="297"/>
      <c r="K380" s="297"/>
      <c r="L380" s="297"/>
      <c r="M380" s="297"/>
      <c r="N380" s="297"/>
      <c r="O380" s="297"/>
      <c r="P380" s="297"/>
      <c r="Q380" s="297"/>
      <c r="R380" s="297"/>
      <c r="S380" s="297"/>
      <c r="T380" s="297"/>
      <c r="U380" s="297"/>
      <c r="V380" s="297"/>
      <c r="W380" s="297"/>
      <c r="X380" s="297"/>
      <c r="Y380" s="297"/>
      <c r="Z380" s="297"/>
      <c r="AA380" s="308">
        <f t="shared" si="108"/>
        <v>0</v>
      </c>
      <c r="AB380" s="296">
        <f t="shared" si="109"/>
        <v>0</v>
      </c>
    </row>
    <row r="381" spans="3:28" hidden="1" outlineLevel="2" x14ac:dyDescent="0.25">
      <c r="C381" s="397"/>
      <c r="D381" s="332" t="str">
        <f t="shared" si="110"/>
        <v>Наименование объекта / группы объектов 15</v>
      </c>
      <c r="E381" s="337" t="s">
        <v>13</v>
      </c>
      <c r="F381" s="297"/>
      <c r="G381" s="297"/>
      <c r="H381" s="297"/>
      <c r="I381" s="297"/>
      <c r="J381" s="297"/>
      <c r="K381" s="297"/>
      <c r="L381" s="297"/>
      <c r="M381" s="297"/>
      <c r="N381" s="297"/>
      <c r="O381" s="297"/>
      <c r="P381" s="297"/>
      <c r="Q381" s="297"/>
      <c r="R381" s="297"/>
      <c r="S381" s="297"/>
      <c r="T381" s="297"/>
      <c r="U381" s="297"/>
      <c r="V381" s="297"/>
      <c r="W381" s="297"/>
      <c r="X381" s="297"/>
      <c r="Y381" s="297"/>
      <c r="Z381" s="297"/>
      <c r="AA381" s="308">
        <f t="shared" si="108"/>
        <v>0</v>
      </c>
      <c r="AB381" s="296">
        <f t="shared" si="109"/>
        <v>0</v>
      </c>
    </row>
    <row r="382" spans="3:28" hidden="1" outlineLevel="2" x14ac:dyDescent="0.25">
      <c r="C382" s="397"/>
      <c r="D382" s="332" t="str">
        <f t="shared" si="110"/>
        <v>Наименование объекта / группы объектов 16</v>
      </c>
      <c r="E382" s="337" t="s">
        <v>13</v>
      </c>
      <c r="F382" s="297"/>
      <c r="G382" s="297"/>
      <c r="H382" s="297"/>
      <c r="I382" s="297"/>
      <c r="J382" s="297"/>
      <c r="K382" s="297"/>
      <c r="L382" s="297"/>
      <c r="M382" s="297"/>
      <c r="N382" s="297"/>
      <c r="O382" s="297"/>
      <c r="P382" s="297"/>
      <c r="Q382" s="297"/>
      <c r="R382" s="297"/>
      <c r="S382" s="297"/>
      <c r="T382" s="297"/>
      <c r="U382" s="297"/>
      <c r="V382" s="297"/>
      <c r="W382" s="297"/>
      <c r="X382" s="297"/>
      <c r="Y382" s="297"/>
      <c r="Z382" s="297"/>
      <c r="AA382" s="308">
        <f t="shared" si="108"/>
        <v>0</v>
      </c>
      <c r="AB382" s="296">
        <f t="shared" si="109"/>
        <v>0</v>
      </c>
    </row>
    <row r="383" spans="3:28" hidden="1" outlineLevel="2" x14ac:dyDescent="0.25">
      <c r="C383" s="397"/>
      <c r="D383" s="332" t="str">
        <f t="shared" si="110"/>
        <v>Наименование объекта / группы объектов 17</v>
      </c>
      <c r="E383" s="337" t="s">
        <v>13</v>
      </c>
      <c r="F383" s="297"/>
      <c r="G383" s="297"/>
      <c r="H383" s="297"/>
      <c r="I383" s="297"/>
      <c r="J383" s="297"/>
      <c r="K383" s="297"/>
      <c r="L383" s="297"/>
      <c r="M383" s="297"/>
      <c r="N383" s="297"/>
      <c r="O383" s="297"/>
      <c r="P383" s="297"/>
      <c r="Q383" s="297"/>
      <c r="R383" s="297"/>
      <c r="S383" s="297"/>
      <c r="T383" s="297"/>
      <c r="U383" s="297"/>
      <c r="V383" s="297"/>
      <c r="W383" s="297"/>
      <c r="X383" s="297"/>
      <c r="Y383" s="297"/>
      <c r="Z383" s="297"/>
      <c r="AA383" s="308">
        <f t="shared" si="108"/>
        <v>0</v>
      </c>
      <c r="AB383" s="296">
        <f t="shared" si="109"/>
        <v>0</v>
      </c>
    </row>
    <row r="384" spans="3:28" hidden="1" outlineLevel="2" x14ac:dyDescent="0.25">
      <c r="C384" s="397"/>
      <c r="D384" s="332" t="str">
        <f t="shared" si="110"/>
        <v>Наименование объекта / группы объектов 18</v>
      </c>
      <c r="E384" s="337" t="s">
        <v>13</v>
      </c>
      <c r="F384" s="297"/>
      <c r="G384" s="297"/>
      <c r="H384" s="297"/>
      <c r="I384" s="297"/>
      <c r="J384" s="297"/>
      <c r="K384" s="297"/>
      <c r="L384" s="297"/>
      <c r="M384" s="297"/>
      <c r="N384" s="297"/>
      <c r="O384" s="297"/>
      <c r="P384" s="297"/>
      <c r="Q384" s="297"/>
      <c r="R384" s="297"/>
      <c r="S384" s="297"/>
      <c r="T384" s="297"/>
      <c r="U384" s="297"/>
      <c r="V384" s="297"/>
      <c r="W384" s="297"/>
      <c r="X384" s="297"/>
      <c r="Y384" s="297"/>
      <c r="Z384" s="297"/>
      <c r="AA384" s="308">
        <f t="shared" si="108"/>
        <v>0</v>
      </c>
      <c r="AB384" s="296">
        <f t="shared" si="109"/>
        <v>0</v>
      </c>
    </row>
    <row r="385" spans="3:28" hidden="1" outlineLevel="2" x14ac:dyDescent="0.25">
      <c r="C385" s="397"/>
      <c r="D385" s="332" t="str">
        <f t="shared" si="110"/>
        <v>Наименование объекта / группы объектов 19</v>
      </c>
      <c r="E385" s="337" t="s">
        <v>13</v>
      </c>
      <c r="F385" s="297"/>
      <c r="G385" s="297"/>
      <c r="H385" s="297"/>
      <c r="I385" s="297"/>
      <c r="J385" s="297"/>
      <c r="K385" s="297"/>
      <c r="L385" s="297"/>
      <c r="M385" s="297"/>
      <c r="N385" s="297"/>
      <c r="O385" s="297"/>
      <c r="P385" s="297"/>
      <c r="Q385" s="297"/>
      <c r="R385" s="297"/>
      <c r="S385" s="297"/>
      <c r="T385" s="297"/>
      <c r="U385" s="297"/>
      <c r="V385" s="297"/>
      <c r="W385" s="297"/>
      <c r="X385" s="297"/>
      <c r="Y385" s="297"/>
      <c r="Z385" s="297"/>
      <c r="AA385" s="308">
        <f t="shared" si="108"/>
        <v>0</v>
      </c>
      <c r="AB385" s="296">
        <f t="shared" si="109"/>
        <v>0</v>
      </c>
    </row>
    <row r="386" spans="3:28" hidden="1" outlineLevel="2" x14ac:dyDescent="0.25">
      <c r="C386" s="397"/>
      <c r="D386" s="332" t="str">
        <f t="shared" si="110"/>
        <v>Наименование объекта / группы объектов 20</v>
      </c>
      <c r="E386" s="337" t="s">
        <v>13</v>
      </c>
      <c r="F386" s="297"/>
      <c r="G386" s="297"/>
      <c r="H386" s="297"/>
      <c r="I386" s="297"/>
      <c r="J386" s="297"/>
      <c r="K386" s="297"/>
      <c r="L386" s="297"/>
      <c r="M386" s="297"/>
      <c r="N386" s="297"/>
      <c r="O386" s="297"/>
      <c r="P386" s="297"/>
      <c r="Q386" s="297"/>
      <c r="R386" s="297"/>
      <c r="S386" s="297"/>
      <c r="T386" s="297"/>
      <c r="U386" s="297"/>
      <c r="V386" s="297"/>
      <c r="W386" s="297"/>
      <c r="X386" s="297"/>
      <c r="Y386" s="297"/>
      <c r="Z386" s="297"/>
      <c r="AA386" s="308">
        <f t="shared" si="108"/>
        <v>0</v>
      </c>
      <c r="AB386" s="296">
        <f t="shared" si="109"/>
        <v>0</v>
      </c>
    </row>
    <row r="387" spans="3:28" hidden="1" outlineLevel="2" x14ac:dyDescent="0.25">
      <c r="C387" s="397"/>
      <c r="D387" s="332" t="str">
        <f t="shared" si="110"/>
        <v>Наименование объекта / группы объектов 21</v>
      </c>
      <c r="E387" s="337" t="s">
        <v>13</v>
      </c>
      <c r="F387" s="297"/>
      <c r="G387" s="297"/>
      <c r="H387" s="297"/>
      <c r="I387" s="297"/>
      <c r="J387" s="297"/>
      <c r="K387" s="297"/>
      <c r="L387" s="297"/>
      <c r="M387" s="297"/>
      <c r="N387" s="297"/>
      <c r="O387" s="297"/>
      <c r="P387" s="297"/>
      <c r="Q387" s="297"/>
      <c r="R387" s="297"/>
      <c r="S387" s="297"/>
      <c r="T387" s="297"/>
      <c r="U387" s="297"/>
      <c r="V387" s="297"/>
      <c r="W387" s="297"/>
      <c r="X387" s="297"/>
      <c r="Y387" s="297"/>
      <c r="Z387" s="297"/>
      <c r="AA387" s="308">
        <f t="shared" si="108"/>
        <v>0</v>
      </c>
      <c r="AB387" s="296">
        <f t="shared" si="109"/>
        <v>0</v>
      </c>
    </row>
    <row r="388" spans="3:28" hidden="1" outlineLevel="2" x14ac:dyDescent="0.25">
      <c r="C388" s="397"/>
      <c r="D388" s="332" t="str">
        <f t="shared" si="110"/>
        <v>Наименование объекта / группы объектов 22</v>
      </c>
      <c r="E388" s="337" t="s">
        <v>13</v>
      </c>
      <c r="F388" s="297"/>
      <c r="G388" s="297"/>
      <c r="H388" s="297"/>
      <c r="I388" s="297"/>
      <c r="J388" s="297"/>
      <c r="K388" s="297"/>
      <c r="L388" s="297"/>
      <c r="M388" s="297"/>
      <c r="N388" s="297"/>
      <c r="O388" s="297"/>
      <c r="P388" s="297"/>
      <c r="Q388" s="297"/>
      <c r="R388" s="297"/>
      <c r="S388" s="297"/>
      <c r="T388" s="297"/>
      <c r="U388" s="297"/>
      <c r="V388" s="297"/>
      <c r="W388" s="297"/>
      <c r="X388" s="297"/>
      <c r="Y388" s="297"/>
      <c r="Z388" s="297"/>
      <c r="AA388" s="308">
        <f t="shared" si="108"/>
        <v>0</v>
      </c>
      <c r="AB388" s="296">
        <f t="shared" si="109"/>
        <v>0</v>
      </c>
    </row>
    <row r="389" spans="3:28" hidden="1" outlineLevel="2" x14ac:dyDescent="0.25">
      <c r="C389" s="397"/>
      <c r="D389" s="332" t="str">
        <f t="shared" si="110"/>
        <v>Наименование объекта / группы объектов 23</v>
      </c>
      <c r="E389" s="337" t="s">
        <v>13</v>
      </c>
      <c r="F389" s="297"/>
      <c r="G389" s="297"/>
      <c r="H389" s="297"/>
      <c r="I389" s="297"/>
      <c r="J389" s="297"/>
      <c r="K389" s="297"/>
      <c r="L389" s="297"/>
      <c r="M389" s="297"/>
      <c r="N389" s="297"/>
      <c r="O389" s="297"/>
      <c r="P389" s="297"/>
      <c r="Q389" s="297"/>
      <c r="R389" s="297"/>
      <c r="S389" s="297"/>
      <c r="T389" s="297"/>
      <c r="U389" s="297"/>
      <c r="V389" s="297"/>
      <c r="W389" s="297"/>
      <c r="X389" s="297"/>
      <c r="Y389" s="297"/>
      <c r="Z389" s="297"/>
      <c r="AA389" s="308">
        <f t="shared" si="108"/>
        <v>0</v>
      </c>
      <c r="AB389" s="296">
        <f t="shared" si="109"/>
        <v>0</v>
      </c>
    </row>
    <row r="390" spans="3:28" hidden="1" outlineLevel="2" x14ac:dyDescent="0.25">
      <c r="C390" s="397"/>
      <c r="D390" s="332" t="str">
        <f t="shared" si="110"/>
        <v>Наименование объекта / группы объектов 24</v>
      </c>
      <c r="E390" s="337" t="s">
        <v>13</v>
      </c>
      <c r="F390" s="297"/>
      <c r="G390" s="297"/>
      <c r="H390" s="297"/>
      <c r="I390" s="297"/>
      <c r="J390" s="297"/>
      <c r="K390" s="297"/>
      <c r="L390" s="297"/>
      <c r="M390" s="297"/>
      <c r="N390" s="297"/>
      <c r="O390" s="297"/>
      <c r="P390" s="297"/>
      <c r="Q390" s="297"/>
      <c r="R390" s="297"/>
      <c r="S390" s="297"/>
      <c r="T390" s="297"/>
      <c r="U390" s="297"/>
      <c r="V390" s="297"/>
      <c r="W390" s="297"/>
      <c r="X390" s="297"/>
      <c r="Y390" s="297"/>
      <c r="Z390" s="297"/>
      <c r="AA390" s="308">
        <f t="shared" si="108"/>
        <v>0</v>
      </c>
      <c r="AB390" s="296">
        <f t="shared" si="109"/>
        <v>0</v>
      </c>
    </row>
    <row r="391" spans="3:28" hidden="1" outlineLevel="2" x14ac:dyDescent="0.25">
      <c r="C391" s="397"/>
      <c r="D391" s="332" t="str">
        <f t="shared" si="110"/>
        <v>Наименование объекта / группы объектов 25</v>
      </c>
      <c r="E391" s="337" t="s">
        <v>13</v>
      </c>
      <c r="F391" s="297"/>
      <c r="G391" s="297"/>
      <c r="H391" s="297"/>
      <c r="I391" s="297"/>
      <c r="J391" s="297"/>
      <c r="K391" s="297"/>
      <c r="L391" s="297"/>
      <c r="M391" s="297"/>
      <c r="N391" s="297"/>
      <c r="O391" s="297"/>
      <c r="P391" s="297"/>
      <c r="Q391" s="297"/>
      <c r="R391" s="297"/>
      <c r="S391" s="297"/>
      <c r="T391" s="297"/>
      <c r="U391" s="297"/>
      <c r="V391" s="297"/>
      <c r="W391" s="297"/>
      <c r="X391" s="297"/>
      <c r="Y391" s="297"/>
      <c r="Z391" s="297"/>
      <c r="AA391" s="308">
        <f t="shared" si="108"/>
        <v>0</v>
      </c>
      <c r="AB391" s="296">
        <f t="shared" si="109"/>
        <v>0</v>
      </c>
    </row>
    <row r="392" spans="3:28" hidden="1" outlineLevel="1" collapsed="1" x14ac:dyDescent="0.25">
      <c r="C392" s="395"/>
      <c r="D392" s="338" t="s">
        <v>109</v>
      </c>
      <c r="E392" s="365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  <c r="AA392" s="300"/>
      <c r="AB392" s="300"/>
    </row>
    <row r="393" spans="3:28" hidden="1" outlineLevel="1" x14ac:dyDescent="0.25">
      <c r="C393" s="397"/>
      <c r="D393" s="332" t="str">
        <f>D24</f>
        <v>Центр РАН и НИЦ интегральной электроники</v>
      </c>
      <c r="E393" s="337" t="s">
        <v>53</v>
      </c>
      <c r="F393" s="297"/>
      <c r="G393" s="297"/>
      <c r="H393" s="297"/>
      <c r="I393" s="297"/>
      <c r="J393" s="297"/>
      <c r="K393" s="297"/>
      <c r="L393" s="297"/>
      <c r="M393" s="297"/>
      <c r="N393" s="297"/>
      <c r="O393" s="297"/>
      <c r="P393" s="297"/>
      <c r="Q393" s="297"/>
      <c r="R393" s="297"/>
      <c r="S393" s="297"/>
      <c r="T393" s="297"/>
      <c r="U393" s="297"/>
      <c r="V393" s="297"/>
      <c r="W393" s="297"/>
      <c r="X393" s="297"/>
      <c r="Y393" s="297"/>
      <c r="Z393" s="297"/>
      <c r="AA393" s="301">
        <f>IFERROR(AVERAGE(J393:Z393),0)</f>
        <v>0</v>
      </c>
      <c r="AB393" s="296">
        <f>AA393/1000</f>
        <v>0</v>
      </c>
    </row>
    <row r="394" spans="3:28" hidden="1" outlineLevel="1" x14ac:dyDescent="0.25">
      <c r="C394" s="397"/>
      <c r="D394" s="332" t="str">
        <f t="shared" ref="D394:D417" si="111">D25</f>
        <v xml:space="preserve">Университет МИРЭА
</v>
      </c>
      <c r="E394" s="337" t="s">
        <v>53</v>
      </c>
      <c r="F394" s="297"/>
      <c r="G394" s="297"/>
      <c r="H394" s="297"/>
      <c r="I394" s="297"/>
      <c r="J394" s="297"/>
      <c r="K394" s="297"/>
      <c r="L394" s="297"/>
      <c r="M394" s="297"/>
      <c r="N394" s="297"/>
      <c r="O394" s="297"/>
      <c r="P394" s="297"/>
      <c r="Q394" s="297"/>
      <c r="R394" s="297"/>
      <c r="S394" s="297"/>
      <c r="T394" s="297"/>
      <c r="U394" s="297"/>
      <c r="V394" s="297"/>
      <c r="W394" s="297"/>
      <c r="X394" s="297"/>
      <c r="Y394" s="297"/>
      <c r="Z394" s="297"/>
      <c r="AA394" s="301">
        <f t="shared" ref="AA394:AA416" si="112">IFERROR(AVERAGE(J394:Z394),0)</f>
        <v>0</v>
      </c>
      <c r="AB394" s="298">
        <f t="shared" ref="AB394:AB416" si="113">AA394/1000</f>
        <v>0</v>
      </c>
    </row>
    <row r="395" spans="3:28" hidden="1" outlineLevel="1" x14ac:dyDescent="0.25">
      <c r="C395" s="397"/>
      <c r="D395" s="332" t="str">
        <f t="shared" si="111"/>
        <v>Технологический центр</v>
      </c>
      <c r="E395" s="337" t="s">
        <v>53</v>
      </c>
      <c r="F395" s="297"/>
      <c r="G395" s="297"/>
      <c r="H395" s="297"/>
      <c r="I395" s="297"/>
      <c r="J395" s="297"/>
      <c r="K395" s="297"/>
      <c r="L395" s="297"/>
      <c r="M395" s="297"/>
      <c r="N395" s="297"/>
      <c r="O395" s="297"/>
      <c r="P395" s="297"/>
      <c r="Q395" s="297"/>
      <c r="R395" s="297"/>
      <c r="S395" s="297"/>
      <c r="T395" s="297"/>
      <c r="U395" s="297"/>
      <c r="V395" s="297"/>
      <c r="W395" s="297"/>
      <c r="X395" s="297"/>
      <c r="Y395" s="297"/>
      <c r="Z395" s="297"/>
      <c r="AA395" s="301">
        <f t="shared" si="112"/>
        <v>0</v>
      </c>
      <c r="AB395" s="296">
        <f t="shared" si="113"/>
        <v>0</v>
      </c>
    </row>
    <row r="396" spans="3:28" hidden="1" outlineLevel="1" x14ac:dyDescent="0.25">
      <c r="C396" s="397"/>
      <c r="D396" s="332" t="str">
        <f t="shared" si="111"/>
        <v>Спортивный центр</v>
      </c>
      <c r="E396" s="337" t="s">
        <v>53</v>
      </c>
      <c r="F396" s="297"/>
      <c r="G396" s="297"/>
      <c r="H396" s="297"/>
      <c r="I396" s="297"/>
      <c r="J396" s="297"/>
      <c r="K396" s="297"/>
      <c r="L396" s="297"/>
      <c r="M396" s="297"/>
      <c r="N396" s="297"/>
      <c r="O396" s="297"/>
      <c r="P396" s="297"/>
      <c r="Q396" s="297"/>
      <c r="R396" s="297"/>
      <c r="S396" s="297"/>
      <c r="T396" s="297"/>
      <c r="U396" s="297"/>
      <c r="V396" s="297"/>
      <c r="W396" s="297"/>
      <c r="X396" s="297"/>
      <c r="Y396" s="297"/>
      <c r="Z396" s="297"/>
      <c r="AA396" s="301">
        <f t="shared" si="112"/>
        <v>0</v>
      </c>
      <c r="AB396" s="296">
        <f t="shared" si="113"/>
        <v>0</v>
      </c>
    </row>
    <row r="397" spans="3:28" hidden="1" outlineLevel="1" x14ac:dyDescent="0.25">
      <c r="C397" s="397"/>
      <c r="D397" s="332" t="str">
        <f t="shared" si="111"/>
        <v>Гостиничный комплекс</v>
      </c>
      <c r="E397" s="337" t="s">
        <v>53</v>
      </c>
      <c r="F397" s="297"/>
      <c r="G397" s="297"/>
      <c r="H397" s="297"/>
      <c r="I397" s="297"/>
      <c r="J397" s="297"/>
      <c r="K397" s="297"/>
      <c r="L397" s="297"/>
      <c r="M397" s="297"/>
      <c r="N397" s="297"/>
      <c r="O397" s="297"/>
      <c r="P397" s="297"/>
      <c r="Q397" s="297"/>
      <c r="R397" s="297"/>
      <c r="S397" s="297"/>
      <c r="T397" s="297"/>
      <c r="U397" s="297"/>
      <c r="V397" s="297"/>
      <c r="W397" s="297"/>
      <c r="X397" s="297"/>
      <c r="Y397" s="297"/>
      <c r="Z397" s="297"/>
      <c r="AA397" s="301">
        <f t="shared" si="112"/>
        <v>0</v>
      </c>
      <c r="AB397" s="296">
        <f t="shared" si="113"/>
        <v>0</v>
      </c>
    </row>
    <row r="398" spans="3:28" hidden="1" outlineLevel="2" x14ac:dyDescent="0.25">
      <c r="C398" s="397"/>
      <c r="D398" s="332" t="str">
        <f t="shared" si="111"/>
        <v>Наименование объекта / группы объектов 6</v>
      </c>
      <c r="E398" s="337" t="s">
        <v>53</v>
      </c>
      <c r="F398" s="297"/>
      <c r="G398" s="297"/>
      <c r="H398" s="297"/>
      <c r="I398" s="297"/>
      <c r="J398" s="297"/>
      <c r="K398" s="297"/>
      <c r="L398" s="297"/>
      <c r="M398" s="297"/>
      <c r="N398" s="297"/>
      <c r="O398" s="297"/>
      <c r="P398" s="297"/>
      <c r="Q398" s="297"/>
      <c r="R398" s="297"/>
      <c r="S398" s="297"/>
      <c r="T398" s="297"/>
      <c r="U398" s="297"/>
      <c r="V398" s="297"/>
      <c r="W398" s="297"/>
      <c r="X398" s="297"/>
      <c r="Y398" s="297"/>
      <c r="Z398" s="297"/>
      <c r="AA398" s="301">
        <f t="shared" si="112"/>
        <v>0</v>
      </c>
      <c r="AB398" s="296">
        <f t="shared" si="113"/>
        <v>0</v>
      </c>
    </row>
    <row r="399" spans="3:28" hidden="1" outlineLevel="2" x14ac:dyDescent="0.25">
      <c r="C399" s="397"/>
      <c r="D399" s="332" t="str">
        <f t="shared" si="111"/>
        <v>Наименование объекта / группы объектов 7</v>
      </c>
      <c r="E399" s="337" t="s">
        <v>53</v>
      </c>
      <c r="F399" s="297"/>
      <c r="G399" s="297"/>
      <c r="H399" s="297"/>
      <c r="I399" s="297"/>
      <c r="J399" s="297"/>
      <c r="K399" s="297"/>
      <c r="L399" s="297"/>
      <c r="M399" s="297"/>
      <c r="N399" s="297"/>
      <c r="O399" s="297"/>
      <c r="P399" s="297"/>
      <c r="Q399" s="297"/>
      <c r="R399" s="297"/>
      <c r="S399" s="297"/>
      <c r="T399" s="297"/>
      <c r="U399" s="297"/>
      <c r="V399" s="297"/>
      <c r="W399" s="297"/>
      <c r="X399" s="297"/>
      <c r="Y399" s="297"/>
      <c r="Z399" s="297"/>
      <c r="AA399" s="301">
        <f t="shared" si="112"/>
        <v>0</v>
      </c>
      <c r="AB399" s="296">
        <f t="shared" si="113"/>
        <v>0</v>
      </c>
    </row>
    <row r="400" spans="3:28" hidden="1" outlineLevel="2" x14ac:dyDescent="0.25">
      <c r="C400" s="397"/>
      <c r="D400" s="332" t="str">
        <f t="shared" si="111"/>
        <v>Наименование объекта / группы объектов 8</v>
      </c>
      <c r="E400" s="337" t="s">
        <v>53</v>
      </c>
      <c r="F400" s="297"/>
      <c r="G400" s="297"/>
      <c r="H400" s="297"/>
      <c r="I400" s="297"/>
      <c r="J400" s="297"/>
      <c r="K400" s="297"/>
      <c r="L400" s="297"/>
      <c r="M400" s="297"/>
      <c r="N400" s="297"/>
      <c r="O400" s="297"/>
      <c r="P400" s="297"/>
      <c r="Q400" s="297"/>
      <c r="R400" s="297"/>
      <c r="S400" s="297"/>
      <c r="T400" s="297"/>
      <c r="U400" s="297"/>
      <c r="V400" s="297"/>
      <c r="W400" s="297"/>
      <c r="X400" s="297"/>
      <c r="Y400" s="297"/>
      <c r="Z400" s="297"/>
      <c r="AA400" s="301">
        <f t="shared" si="112"/>
        <v>0</v>
      </c>
      <c r="AB400" s="296">
        <f t="shared" si="113"/>
        <v>0</v>
      </c>
    </row>
    <row r="401" spans="3:28" hidden="1" outlineLevel="2" x14ac:dyDescent="0.25">
      <c r="C401" s="397"/>
      <c r="D401" s="332" t="str">
        <f t="shared" si="111"/>
        <v>Наименование объекта / группы объектов 9</v>
      </c>
      <c r="E401" s="337" t="s">
        <v>53</v>
      </c>
      <c r="F401" s="297"/>
      <c r="G401" s="297"/>
      <c r="H401" s="297"/>
      <c r="I401" s="297"/>
      <c r="J401" s="297"/>
      <c r="K401" s="297"/>
      <c r="L401" s="297"/>
      <c r="M401" s="297"/>
      <c r="N401" s="297"/>
      <c r="O401" s="297"/>
      <c r="P401" s="297"/>
      <c r="Q401" s="297"/>
      <c r="R401" s="297"/>
      <c r="S401" s="297"/>
      <c r="T401" s="297"/>
      <c r="U401" s="297"/>
      <c r="V401" s="297"/>
      <c r="W401" s="297"/>
      <c r="X401" s="297"/>
      <c r="Y401" s="297"/>
      <c r="Z401" s="297"/>
      <c r="AA401" s="301">
        <f t="shared" si="112"/>
        <v>0</v>
      </c>
      <c r="AB401" s="296">
        <f t="shared" si="113"/>
        <v>0</v>
      </c>
    </row>
    <row r="402" spans="3:28" hidden="1" outlineLevel="2" x14ac:dyDescent="0.25">
      <c r="C402" s="397"/>
      <c r="D402" s="332" t="str">
        <f t="shared" si="111"/>
        <v>Наименование объекта / группы объектов 10</v>
      </c>
      <c r="E402" s="337" t="s">
        <v>53</v>
      </c>
      <c r="F402" s="297"/>
      <c r="G402" s="297"/>
      <c r="H402" s="297"/>
      <c r="I402" s="297"/>
      <c r="J402" s="297"/>
      <c r="K402" s="297"/>
      <c r="L402" s="297"/>
      <c r="M402" s="297"/>
      <c r="N402" s="297"/>
      <c r="O402" s="297"/>
      <c r="P402" s="297"/>
      <c r="Q402" s="297"/>
      <c r="R402" s="297"/>
      <c r="S402" s="297"/>
      <c r="T402" s="297"/>
      <c r="U402" s="297"/>
      <c r="V402" s="297"/>
      <c r="W402" s="297"/>
      <c r="X402" s="297"/>
      <c r="Y402" s="297"/>
      <c r="Z402" s="297"/>
      <c r="AA402" s="301">
        <f t="shared" si="112"/>
        <v>0</v>
      </c>
      <c r="AB402" s="296">
        <f t="shared" si="113"/>
        <v>0</v>
      </c>
    </row>
    <row r="403" spans="3:28" hidden="1" outlineLevel="2" x14ac:dyDescent="0.25">
      <c r="C403" s="397"/>
      <c r="D403" s="332" t="str">
        <f t="shared" si="111"/>
        <v>Наименование объекта / группы объектов 11</v>
      </c>
      <c r="E403" s="337" t="s">
        <v>53</v>
      </c>
      <c r="F403" s="297"/>
      <c r="G403" s="297"/>
      <c r="H403" s="297"/>
      <c r="I403" s="297"/>
      <c r="J403" s="297"/>
      <c r="K403" s="297"/>
      <c r="L403" s="297"/>
      <c r="M403" s="297"/>
      <c r="N403" s="297"/>
      <c r="O403" s="297"/>
      <c r="P403" s="297"/>
      <c r="Q403" s="297"/>
      <c r="R403" s="297"/>
      <c r="S403" s="297"/>
      <c r="T403" s="297"/>
      <c r="U403" s="297"/>
      <c r="V403" s="297"/>
      <c r="W403" s="297"/>
      <c r="X403" s="297"/>
      <c r="Y403" s="297"/>
      <c r="Z403" s="297"/>
      <c r="AA403" s="301">
        <f t="shared" si="112"/>
        <v>0</v>
      </c>
      <c r="AB403" s="296">
        <f t="shared" si="113"/>
        <v>0</v>
      </c>
    </row>
    <row r="404" spans="3:28" hidden="1" outlineLevel="2" x14ac:dyDescent="0.25">
      <c r="C404" s="397"/>
      <c r="D404" s="332" t="str">
        <f t="shared" si="111"/>
        <v>Наименование объекта / группы объектов 12</v>
      </c>
      <c r="E404" s="337" t="s">
        <v>53</v>
      </c>
      <c r="F404" s="297"/>
      <c r="G404" s="297"/>
      <c r="H404" s="297"/>
      <c r="I404" s="297"/>
      <c r="J404" s="297"/>
      <c r="K404" s="297"/>
      <c r="L404" s="297"/>
      <c r="M404" s="297"/>
      <c r="N404" s="297"/>
      <c r="O404" s="297"/>
      <c r="P404" s="297"/>
      <c r="Q404" s="297"/>
      <c r="R404" s="297"/>
      <c r="S404" s="297"/>
      <c r="T404" s="297"/>
      <c r="U404" s="297"/>
      <c r="V404" s="297"/>
      <c r="W404" s="297"/>
      <c r="X404" s="297"/>
      <c r="Y404" s="297"/>
      <c r="Z404" s="297"/>
      <c r="AA404" s="301">
        <f t="shared" si="112"/>
        <v>0</v>
      </c>
      <c r="AB404" s="296">
        <f t="shared" si="113"/>
        <v>0</v>
      </c>
    </row>
    <row r="405" spans="3:28" hidden="1" outlineLevel="2" x14ac:dyDescent="0.25">
      <c r="C405" s="397"/>
      <c r="D405" s="332" t="str">
        <f t="shared" si="111"/>
        <v>Наименование объекта / группы объектов 13</v>
      </c>
      <c r="E405" s="337" t="s">
        <v>53</v>
      </c>
      <c r="F405" s="297"/>
      <c r="G405" s="297"/>
      <c r="H405" s="297"/>
      <c r="I405" s="297"/>
      <c r="J405" s="297"/>
      <c r="K405" s="297"/>
      <c r="L405" s="297"/>
      <c r="M405" s="297"/>
      <c r="N405" s="297"/>
      <c r="O405" s="297"/>
      <c r="P405" s="297"/>
      <c r="Q405" s="297"/>
      <c r="R405" s="297"/>
      <c r="S405" s="297"/>
      <c r="T405" s="297"/>
      <c r="U405" s="297"/>
      <c r="V405" s="297"/>
      <c r="W405" s="297"/>
      <c r="X405" s="297"/>
      <c r="Y405" s="297"/>
      <c r="Z405" s="297"/>
      <c r="AA405" s="301">
        <f t="shared" si="112"/>
        <v>0</v>
      </c>
      <c r="AB405" s="296">
        <f t="shared" si="113"/>
        <v>0</v>
      </c>
    </row>
    <row r="406" spans="3:28" hidden="1" outlineLevel="2" x14ac:dyDescent="0.25">
      <c r="C406" s="397"/>
      <c r="D406" s="332" t="str">
        <f t="shared" si="111"/>
        <v>Наименование объекта / группы объектов 14</v>
      </c>
      <c r="E406" s="337" t="s">
        <v>53</v>
      </c>
      <c r="F406" s="297"/>
      <c r="G406" s="297"/>
      <c r="H406" s="297"/>
      <c r="I406" s="297"/>
      <c r="J406" s="297"/>
      <c r="K406" s="297"/>
      <c r="L406" s="297"/>
      <c r="M406" s="297"/>
      <c r="N406" s="297"/>
      <c r="O406" s="297"/>
      <c r="P406" s="297"/>
      <c r="Q406" s="297"/>
      <c r="R406" s="297"/>
      <c r="S406" s="297"/>
      <c r="T406" s="297"/>
      <c r="U406" s="297"/>
      <c r="V406" s="297"/>
      <c r="W406" s="297"/>
      <c r="X406" s="297"/>
      <c r="Y406" s="297"/>
      <c r="Z406" s="297"/>
      <c r="AA406" s="301">
        <f t="shared" si="112"/>
        <v>0</v>
      </c>
      <c r="AB406" s="296">
        <f t="shared" si="113"/>
        <v>0</v>
      </c>
    </row>
    <row r="407" spans="3:28" hidden="1" outlineLevel="2" x14ac:dyDescent="0.25">
      <c r="C407" s="397"/>
      <c r="D407" s="332" t="str">
        <f t="shared" si="111"/>
        <v>Наименование объекта / группы объектов 15</v>
      </c>
      <c r="E407" s="337" t="s">
        <v>53</v>
      </c>
      <c r="F407" s="297"/>
      <c r="G407" s="297"/>
      <c r="H407" s="297"/>
      <c r="I407" s="297"/>
      <c r="J407" s="297"/>
      <c r="K407" s="297"/>
      <c r="L407" s="297"/>
      <c r="M407" s="297"/>
      <c r="N407" s="297"/>
      <c r="O407" s="297"/>
      <c r="P407" s="297"/>
      <c r="Q407" s="297"/>
      <c r="R407" s="297"/>
      <c r="S407" s="297"/>
      <c r="T407" s="297"/>
      <c r="U407" s="297"/>
      <c r="V407" s="297"/>
      <c r="W407" s="297"/>
      <c r="X407" s="297"/>
      <c r="Y407" s="297"/>
      <c r="Z407" s="297"/>
      <c r="AA407" s="301">
        <f t="shared" si="112"/>
        <v>0</v>
      </c>
      <c r="AB407" s="296">
        <f t="shared" si="113"/>
        <v>0</v>
      </c>
    </row>
    <row r="408" spans="3:28" hidden="1" outlineLevel="2" x14ac:dyDescent="0.25">
      <c r="C408" s="397"/>
      <c r="D408" s="332" t="str">
        <f t="shared" si="111"/>
        <v>Наименование объекта / группы объектов 16</v>
      </c>
      <c r="E408" s="337" t="s">
        <v>53</v>
      </c>
      <c r="F408" s="297"/>
      <c r="G408" s="297"/>
      <c r="H408" s="297"/>
      <c r="I408" s="297"/>
      <c r="J408" s="297"/>
      <c r="K408" s="297"/>
      <c r="L408" s="297"/>
      <c r="M408" s="297"/>
      <c r="N408" s="297"/>
      <c r="O408" s="297"/>
      <c r="P408" s="297"/>
      <c r="Q408" s="297"/>
      <c r="R408" s="297"/>
      <c r="S408" s="297"/>
      <c r="T408" s="297"/>
      <c r="U408" s="297"/>
      <c r="V408" s="297"/>
      <c r="W408" s="297"/>
      <c r="X408" s="297"/>
      <c r="Y408" s="297"/>
      <c r="Z408" s="297"/>
      <c r="AA408" s="301">
        <f t="shared" si="112"/>
        <v>0</v>
      </c>
      <c r="AB408" s="298">
        <f t="shared" si="113"/>
        <v>0</v>
      </c>
    </row>
    <row r="409" spans="3:28" hidden="1" outlineLevel="2" x14ac:dyDescent="0.25">
      <c r="C409" s="397"/>
      <c r="D409" s="332" t="str">
        <f t="shared" si="111"/>
        <v>Наименование объекта / группы объектов 17</v>
      </c>
      <c r="E409" s="337" t="s">
        <v>53</v>
      </c>
      <c r="F409" s="297"/>
      <c r="G409" s="297"/>
      <c r="H409" s="297"/>
      <c r="I409" s="297"/>
      <c r="J409" s="297"/>
      <c r="K409" s="297"/>
      <c r="L409" s="297"/>
      <c r="M409" s="297"/>
      <c r="N409" s="297"/>
      <c r="O409" s="297"/>
      <c r="P409" s="297"/>
      <c r="Q409" s="297"/>
      <c r="R409" s="297"/>
      <c r="S409" s="297"/>
      <c r="T409" s="297"/>
      <c r="U409" s="297"/>
      <c r="V409" s="297"/>
      <c r="W409" s="297"/>
      <c r="X409" s="297"/>
      <c r="Y409" s="297"/>
      <c r="Z409" s="297"/>
      <c r="AA409" s="301">
        <f t="shared" si="112"/>
        <v>0</v>
      </c>
      <c r="AB409" s="298">
        <f t="shared" si="113"/>
        <v>0</v>
      </c>
    </row>
    <row r="410" spans="3:28" hidden="1" outlineLevel="2" x14ac:dyDescent="0.25">
      <c r="C410" s="397"/>
      <c r="D410" s="332" t="str">
        <f t="shared" si="111"/>
        <v>Наименование объекта / группы объектов 18</v>
      </c>
      <c r="E410" s="337" t="s">
        <v>53</v>
      </c>
      <c r="F410" s="297"/>
      <c r="G410" s="297"/>
      <c r="H410" s="297"/>
      <c r="I410" s="297"/>
      <c r="J410" s="297"/>
      <c r="K410" s="297"/>
      <c r="L410" s="297"/>
      <c r="M410" s="297"/>
      <c r="N410" s="297"/>
      <c r="O410" s="297"/>
      <c r="P410" s="297"/>
      <c r="Q410" s="297"/>
      <c r="R410" s="297"/>
      <c r="S410" s="297"/>
      <c r="T410" s="297"/>
      <c r="U410" s="297"/>
      <c r="V410" s="297"/>
      <c r="W410" s="297"/>
      <c r="X410" s="297"/>
      <c r="Y410" s="297"/>
      <c r="Z410" s="297"/>
      <c r="AA410" s="301">
        <f t="shared" si="112"/>
        <v>0</v>
      </c>
      <c r="AB410" s="296">
        <f t="shared" si="113"/>
        <v>0</v>
      </c>
    </row>
    <row r="411" spans="3:28" hidden="1" outlineLevel="2" x14ac:dyDescent="0.25">
      <c r="C411" s="397"/>
      <c r="D411" s="332" t="str">
        <f t="shared" si="111"/>
        <v>Наименование объекта / группы объектов 19</v>
      </c>
      <c r="E411" s="337" t="s">
        <v>53</v>
      </c>
      <c r="F411" s="297"/>
      <c r="G411" s="297"/>
      <c r="H411" s="297"/>
      <c r="I411" s="297"/>
      <c r="J411" s="297"/>
      <c r="K411" s="297"/>
      <c r="L411" s="297"/>
      <c r="M411" s="297"/>
      <c r="N411" s="297"/>
      <c r="O411" s="297"/>
      <c r="P411" s="297"/>
      <c r="Q411" s="297"/>
      <c r="R411" s="297"/>
      <c r="S411" s="297"/>
      <c r="T411" s="297"/>
      <c r="U411" s="297"/>
      <c r="V411" s="297"/>
      <c r="W411" s="297"/>
      <c r="X411" s="297"/>
      <c r="Y411" s="297"/>
      <c r="Z411" s="297"/>
      <c r="AA411" s="301">
        <f t="shared" si="112"/>
        <v>0</v>
      </c>
      <c r="AB411" s="296">
        <f t="shared" si="113"/>
        <v>0</v>
      </c>
    </row>
    <row r="412" spans="3:28" hidden="1" outlineLevel="2" x14ac:dyDescent="0.25">
      <c r="C412" s="397"/>
      <c r="D412" s="332" t="str">
        <f t="shared" si="111"/>
        <v>Наименование объекта / группы объектов 20</v>
      </c>
      <c r="E412" s="337" t="s">
        <v>53</v>
      </c>
      <c r="F412" s="297"/>
      <c r="G412" s="297"/>
      <c r="H412" s="297"/>
      <c r="I412" s="297"/>
      <c r="J412" s="297"/>
      <c r="K412" s="297"/>
      <c r="L412" s="297"/>
      <c r="M412" s="297"/>
      <c r="N412" s="297"/>
      <c r="O412" s="297"/>
      <c r="P412" s="297"/>
      <c r="Q412" s="297"/>
      <c r="R412" s="297"/>
      <c r="S412" s="297"/>
      <c r="T412" s="297"/>
      <c r="U412" s="297"/>
      <c r="V412" s="297"/>
      <c r="W412" s="297"/>
      <c r="X412" s="297"/>
      <c r="Y412" s="297"/>
      <c r="Z412" s="297"/>
      <c r="AA412" s="301">
        <f t="shared" si="112"/>
        <v>0</v>
      </c>
      <c r="AB412" s="296">
        <f t="shared" si="113"/>
        <v>0</v>
      </c>
    </row>
    <row r="413" spans="3:28" hidden="1" outlineLevel="2" x14ac:dyDescent="0.25">
      <c r="C413" s="397"/>
      <c r="D413" s="332" t="str">
        <f t="shared" si="111"/>
        <v>Наименование объекта / группы объектов 21</v>
      </c>
      <c r="E413" s="337" t="s">
        <v>53</v>
      </c>
      <c r="F413" s="297"/>
      <c r="G413" s="297"/>
      <c r="H413" s="297"/>
      <c r="I413" s="297"/>
      <c r="J413" s="297"/>
      <c r="K413" s="297"/>
      <c r="L413" s="297"/>
      <c r="M413" s="297"/>
      <c r="N413" s="297"/>
      <c r="O413" s="297"/>
      <c r="P413" s="297"/>
      <c r="Q413" s="297"/>
      <c r="R413" s="297"/>
      <c r="S413" s="297"/>
      <c r="T413" s="297"/>
      <c r="U413" s="297"/>
      <c r="V413" s="297"/>
      <c r="W413" s="297"/>
      <c r="X413" s="297"/>
      <c r="Y413" s="297"/>
      <c r="Z413" s="297"/>
      <c r="AA413" s="301">
        <f t="shared" si="112"/>
        <v>0</v>
      </c>
      <c r="AB413" s="296">
        <f t="shared" si="113"/>
        <v>0</v>
      </c>
    </row>
    <row r="414" spans="3:28" hidden="1" outlineLevel="2" x14ac:dyDescent="0.25">
      <c r="C414" s="397"/>
      <c r="D414" s="332" t="str">
        <f t="shared" si="111"/>
        <v>Наименование объекта / группы объектов 22</v>
      </c>
      <c r="E414" s="337" t="s">
        <v>53</v>
      </c>
      <c r="F414" s="297"/>
      <c r="G414" s="297"/>
      <c r="H414" s="297"/>
      <c r="I414" s="297"/>
      <c r="J414" s="297"/>
      <c r="K414" s="297"/>
      <c r="L414" s="297"/>
      <c r="M414" s="297"/>
      <c r="N414" s="297"/>
      <c r="O414" s="297"/>
      <c r="P414" s="297"/>
      <c r="Q414" s="297"/>
      <c r="R414" s="297"/>
      <c r="S414" s="297"/>
      <c r="T414" s="297"/>
      <c r="U414" s="297"/>
      <c r="V414" s="297"/>
      <c r="W414" s="297"/>
      <c r="X414" s="297"/>
      <c r="Y414" s="297"/>
      <c r="Z414" s="297"/>
      <c r="AA414" s="301">
        <f t="shared" si="112"/>
        <v>0</v>
      </c>
      <c r="AB414" s="296">
        <f t="shared" si="113"/>
        <v>0</v>
      </c>
    </row>
    <row r="415" spans="3:28" hidden="1" outlineLevel="2" x14ac:dyDescent="0.25">
      <c r="C415" s="397"/>
      <c r="D415" s="332" t="str">
        <f t="shared" si="111"/>
        <v>Наименование объекта / группы объектов 23</v>
      </c>
      <c r="E415" s="337" t="s">
        <v>53</v>
      </c>
      <c r="F415" s="297"/>
      <c r="G415" s="297"/>
      <c r="H415" s="297"/>
      <c r="I415" s="297"/>
      <c r="J415" s="297"/>
      <c r="K415" s="297"/>
      <c r="L415" s="297"/>
      <c r="M415" s="297"/>
      <c r="N415" s="297"/>
      <c r="O415" s="297"/>
      <c r="P415" s="297"/>
      <c r="Q415" s="297"/>
      <c r="R415" s="297"/>
      <c r="S415" s="297"/>
      <c r="T415" s="297"/>
      <c r="U415" s="297"/>
      <c r="V415" s="297"/>
      <c r="W415" s="297"/>
      <c r="X415" s="297"/>
      <c r="Y415" s="297"/>
      <c r="Z415" s="297"/>
      <c r="AA415" s="301">
        <f t="shared" si="112"/>
        <v>0</v>
      </c>
      <c r="AB415" s="296">
        <f t="shared" si="113"/>
        <v>0</v>
      </c>
    </row>
    <row r="416" spans="3:28" hidden="1" outlineLevel="2" x14ac:dyDescent="0.25">
      <c r="C416" s="397"/>
      <c r="D416" s="332" t="str">
        <f t="shared" si="111"/>
        <v>Наименование объекта / группы объектов 24</v>
      </c>
      <c r="E416" s="337" t="s">
        <v>53</v>
      </c>
      <c r="F416" s="297"/>
      <c r="G416" s="297"/>
      <c r="H416" s="297"/>
      <c r="I416" s="297"/>
      <c r="J416" s="297"/>
      <c r="K416" s="297"/>
      <c r="L416" s="297"/>
      <c r="M416" s="297"/>
      <c r="N416" s="297"/>
      <c r="O416" s="297"/>
      <c r="P416" s="297"/>
      <c r="Q416" s="297"/>
      <c r="R416" s="297"/>
      <c r="S416" s="297"/>
      <c r="T416" s="297"/>
      <c r="U416" s="297"/>
      <c r="V416" s="297"/>
      <c r="W416" s="297"/>
      <c r="X416" s="297"/>
      <c r="Y416" s="297"/>
      <c r="Z416" s="297"/>
      <c r="AA416" s="301">
        <f t="shared" si="112"/>
        <v>0</v>
      </c>
      <c r="AB416" s="296">
        <f t="shared" si="113"/>
        <v>0</v>
      </c>
    </row>
    <row r="417" spans="3:28" hidden="1" outlineLevel="2" x14ac:dyDescent="0.25">
      <c r="C417" s="397"/>
      <c r="D417" s="332" t="str">
        <f t="shared" si="111"/>
        <v>Наименование объекта / группы объектов 25</v>
      </c>
      <c r="E417" s="337" t="s">
        <v>53</v>
      </c>
      <c r="F417" s="297"/>
      <c r="G417" s="297"/>
      <c r="H417" s="297"/>
      <c r="I417" s="297"/>
      <c r="J417" s="297"/>
      <c r="K417" s="297"/>
      <c r="L417" s="297"/>
      <c r="M417" s="297"/>
      <c r="N417" s="297"/>
      <c r="O417" s="297"/>
      <c r="P417" s="297"/>
      <c r="Q417" s="297"/>
      <c r="R417" s="297"/>
      <c r="S417" s="297"/>
      <c r="T417" s="297"/>
      <c r="U417" s="297"/>
      <c r="V417" s="297"/>
      <c r="W417" s="297"/>
      <c r="X417" s="297"/>
      <c r="Y417" s="297"/>
      <c r="Z417" s="297"/>
      <c r="AA417" s="301">
        <f>IFERROR(AVERAGE(J417:Z417),0)</f>
        <v>0</v>
      </c>
      <c r="AB417" s="296">
        <f>AA417/1000</f>
        <v>0</v>
      </c>
    </row>
    <row r="418" spans="3:28" hidden="1" outlineLevel="1" collapsed="1" x14ac:dyDescent="0.25">
      <c r="C418" s="397"/>
      <c r="D418" s="366" t="s">
        <v>94</v>
      </c>
      <c r="E418" s="337"/>
      <c r="F418" s="314"/>
      <c r="G418" s="314"/>
      <c r="H418" s="314"/>
      <c r="I418" s="314"/>
      <c r="J418" s="314"/>
      <c r="K418" s="314"/>
      <c r="L418" s="314"/>
      <c r="M418" s="314"/>
      <c r="N418" s="314"/>
      <c r="O418" s="314"/>
      <c r="P418" s="314"/>
      <c r="Q418" s="314"/>
      <c r="R418" s="314"/>
      <c r="S418" s="314"/>
      <c r="T418" s="314"/>
      <c r="U418" s="314"/>
      <c r="V418" s="314"/>
      <c r="W418" s="314"/>
      <c r="X418" s="314"/>
      <c r="Y418" s="314"/>
      <c r="Z418" s="314"/>
      <c r="AA418" s="301">
        <f>IFERROR(AVERAGE(J418:Z418),0)</f>
        <v>0</v>
      </c>
      <c r="AB418" s="296">
        <f>AA418/1000</f>
        <v>0</v>
      </c>
    </row>
    <row r="419" spans="3:28" collapsed="1" x14ac:dyDescent="0.25">
      <c r="C419" s="326">
        <v>7</v>
      </c>
      <c r="D419" s="327" t="s">
        <v>117</v>
      </c>
      <c r="E419" s="392" t="s">
        <v>10</v>
      </c>
      <c r="F419" s="354">
        <f>F420-F421</f>
        <v>0</v>
      </c>
      <c r="G419" s="354">
        <f t="shared" ref="G419" si="114">G420-G421</f>
        <v>0</v>
      </c>
      <c r="H419" s="354">
        <f t="shared" ref="H419" si="115">H420-H421</f>
        <v>0</v>
      </c>
      <c r="I419" s="354">
        <f t="shared" ref="I419" si="116">I420-I421</f>
        <v>0</v>
      </c>
      <c r="J419" s="354">
        <f t="shared" ref="J419" si="117">J420-J421</f>
        <v>0</v>
      </c>
      <c r="K419" s="354">
        <f t="shared" ref="K419" si="118">K420-K421</f>
        <v>0</v>
      </c>
      <c r="L419" s="354">
        <f t="shared" ref="L419" si="119">L420-L421</f>
        <v>0</v>
      </c>
      <c r="M419" s="354">
        <f t="shared" ref="M419" si="120">M420-M421</f>
        <v>0</v>
      </c>
      <c r="N419" s="354">
        <f t="shared" ref="N419" si="121">N420-N421</f>
        <v>0</v>
      </c>
      <c r="O419" s="354">
        <f t="shared" ref="O419" si="122">O420-O421</f>
        <v>0</v>
      </c>
      <c r="P419" s="354">
        <f t="shared" ref="P419" si="123">P420-P421</f>
        <v>0</v>
      </c>
      <c r="Q419" s="354">
        <f t="shared" ref="Q419" si="124">Q420-Q421</f>
        <v>0</v>
      </c>
      <c r="R419" s="354">
        <f t="shared" ref="R419:Z419" si="125">R420-R421</f>
        <v>0</v>
      </c>
      <c r="S419" s="354">
        <f t="shared" si="125"/>
        <v>-82052.478877690679</v>
      </c>
      <c r="T419" s="354">
        <f t="shared" si="125"/>
        <v>-189249.32214179012</v>
      </c>
      <c r="U419" s="354">
        <f t="shared" si="125"/>
        <v>-190891.08780761855</v>
      </c>
      <c r="V419" s="354">
        <f t="shared" si="125"/>
        <v>-192650.95276881065</v>
      </c>
      <c r="W419" s="354">
        <f t="shared" si="125"/>
        <v>-89348.117368478619</v>
      </c>
      <c r="X419" s="354">
        <f t="shared" si="125"/>
        <v>-196556.48985954787</v>
      </c>
      <c r="Y419" s="354">
        <f t="shared" si="125"/>
        <v>-198719.16034692939</v>
      </c>
      <c r="Z419" s="354">
        <f t="shared" si="125"/>
        <v>-201033.98777370004</v>
      </c>
      <c r="AA419" s="354">
        <f>AA420-AA421</f>
        <v>-1340501.5969445659</v>
      </c>
      <c r="AB419" s="354">
        <f>AB420-AB421</f>
        <v>-1340.501596944566</v>
      </c>
    </row>
    <row r="420" spans="3:28" outlineLevel="1" x14ac:dyDescent="0.25">
      <c r="C420" s="395"/>
      <c r="D420" s="338" t="s">
        <v>12</v>
      </c>
      <c r="E420" s="339" t="s">
        <v>13</v>
      </c>
      <c r="F420" s="312"/>
      <c r="G420" s="312"/>
      <c r="H420" s="312"/>
      <c r="I420" s="312"/>
      <c r="J420" s="312">
        <f>'[9]Сводная форма'!BW$414</f>
        <v>0</v>
      </c>
      <c r="K420" s="312">
        <f>'[9]Сводная форма'!BX$414</f>
        <v>0</v>
      </c>
      <c r="L420" s="312">
        <f>'[9]Сводная форма'!BY$414</f>
        <v>0</v>
      </c>
      <c r="M420" s="312">
        <f>'[9]Сводная форма'!BZ$414</f>
        <v>0</v>
      </c>
      <c r="N420" s="312">
        <f>'[9]Сводная форма'!CA$414</f>
        <v>0</v>
      </c>
      <c r="O420" s="312">
        <f>'[9]Сводная форма'!CB$414</f>
        <v>0</v>
      </c>
      <c r="P420" s="312">
        <f>'[9]Сводная форма'!CC$414</f>
        <v>0</v>
      </c>
      <c r="Q420" s="312">
        <f>'[9]Сводная форма'!CD$414</f>
        <v>0</v>
      </c>
      <c r="R420" s="312">
        <f>'[9]Сводная форма'!CE$414</f>
        <v>0</v>
      </c>
      <c r="S420" s="312">
        <f>'[9]Сводная форма'!CF$414</f>
        <v>112691.35019024136</v>
      </c>
      <c r="T420" s="312">
        <f>'[9]Сводная форма'!CG$414</f>
        <v>234352.93185562594</v>
      </c>
      <c r="U420" s="312">
        <f>'[9]Сводная форма'!CH$414</f>
        <v>243680.17854347988</v>
      </c>
      <c r="V420" s="312">
        <f>'[9]Сводная форма'!CI$414</f>
        <v>253378.64964951036</v>
      </c>
      <c r="W420" s="312">
        <f>'[9]Сводная форма'!CJ$414</f>
        <v>263463.11990556086</v>
      </c>
      <c r="X420" s="312">
        <f>'[9]Сводная форма'!CK$414</f>
        <v>273948.95207780215</v>
      </c>
      <c r="Y420" s="312">
        <f>'[9]Сводная форма'!CL$414</f>
        <v>284852.1203704988</v>
      </c>
      <c r="Z420" s="312">
        <f>'[9]Сводная форма'!CM$414</f>
        <v>296189.23476124468</v>
      </c>
      <c r="AA420" s="308">
        <f>SUM(J420:Z420)</f>
        <v>1962556.5373539641</v>
      </c>
      <c r="AB420" s="296">
        <f t="shared" ref="AB420:AB462" si="126">AA420/1000</f>
        <v>1962.5565373539641</v>
      </c>
    </row>
    <row r="421" spans="3:28" outlineLevel="1" x14ac:dyDescent="0.25">
      <c r="C421" s="395"/>
      <c r="D421" s="338" t="s">
        <v>112</v>
      </c>
      <c r="E421" s="339" t="s">
        <v>13</v>
      </c>
      <c r="F421" s="296">
        <f>F422+F437</f>
        <v>0</v>
      </c>
      <c r="G421" s="296">
        <f t="shared" ref="G421:R421" si="127">G422+G437</f>
        <v>0</v>
      </c>
      <c r="H421" s="296">
        <f t="shared" si="127"/>
        <v>0</v>
      </c>
      <c r="I421" s="296">
        <f t="shared" si="127"/>
        <v>0</v>
      </c>
      <c r="J421" s="296">
        <f t="shared" si="127"/>
        <v>0</v>
      </c>
      <c r="K421" s="296">
        <f t="shared" si="127"/>
        <v>0</v>
      </c>
      <c r="L421" s="296">
        <f t="shared" si="127"/>
        <v>0</v>
      </c>
      <c r="M421" s="296">
        <f t="shared" si="127"/>
        <v>0</v>
      </c>
      <c r="N421" s="296">
        <f t="shared" si="127"/>
        <v>0</v>
      </c>
      <c r="O421" s="296">
        <f t="shared" si="127"/>
        <v>0</v>
      </c>
      <c r="P421" s="296">
        <f t="shared" si="127"/>
        <v>0</v>
      </c>
      <c r="Q421" s="296">
        <f t="shared" si="127"/>
        <v>0</v>
      </c>
      <c r="R421" s="296">
        <f t="shared" si="127"/>
        <v>0</v>
      </c>
      <c r="S421" s="296">
        <f t="shared" ref="S421:Z421" si="128">S422+S437</f>
        <v>194743.82906793203</v>
      </c>
      <c r="T421" s="296">
        <f t="shared" si="128"/>
        <v>423602.25399741606</v>
      </c>
      <c r="U421" s="296">
        <f t="shared" si="128"/>
        <v>434571.26635109843</v>
      </c>
      <c r="V421" s="296">
        <f t="shared" si="128"/>
        <v>446029.60241832101</v>
      </c>
      <c r="W421" s="296">
        <f t="shared" si="128"/>
        <v>352811.23727403948</v>
      </c>
      <c r="X421" s="296">
        <f t="shared" si="128"/>
        <v>470505.44193735003</v>
      </c>
      <c r="Y421" s="296">
        <f t="shared" si="128"/>
        <v>483571.28071742819</v>
      </c>
      <c r="Z421" s="296">
        <f t="shared" si="128"/>
        <v>497223.22253494471</v>
      </c>
      <c r="AA421" s="308">
        <f t="shared" ref="AA421:AA461" si="129">SUM(J421:Z421)</f>
        <v>3303058.1342985299</v>
      </c>
      <c r="AB421" s="296">
        <f t="shared" si="126"/>
        <v>3303.0581342985301</v>
      </c>
    </row>
    <row r="422" spans="3:28" outlineLevel="1" x14ac:dyDescent="0.25">
      <c r="C422" s="395"/>
      <c r="D422" s="338" t="s">
        <v>113</v>
      </c>
      <c r="E422" s="339" t="s">
        <v>13</v>
      </c>
      <c r="F422" s="312"/>
      <c r="G422" s="312"/>
      <c r="H422" s="312"/>
      <c r="I422" s="312"/>
      <c r="J422" s="312"/>
      <c r="K422" s="312">
        <f>'[9]Сводная форма'!BX$416</f>
        <v>0</v>
      </c>
      <c r="L422" s="312">
        <f>'[9]Сводная форма'!BY$416</f>
        <v>0</v>
      </c>
      <c r="M422" s="312">
        <f>'[9]Сводная форма'!BZ$416</f>
        <v>0</v>
      </c>
      <c r="N422" s="312">
        <f>'[9]Сводная форма'!CA$416</f>
        <v>0</v>
      </c>
      <c r="O422" s="312">
        <f>'[9]Сводная форма'!CB$416</f>
        <v>0</v>
      </c>
      <c r="P422" s="312">
        <f>'[9]Сводная форма'!CC$416</f>
        <v>0</v>
      </c>
      <c r="Q422" s="312">
        <f>'[9]Сводная форма'!CD$416</f>
        <v>0</v>
      </c>
      <c r="R422" s="312">
        <f>'[9]Сводная форма'!CE$416</f>
        <v>0</v>
      </c>
      <c r="S422" s="312">
        <f>'[9]Сводная форма'!CF$416</f>
        <v>32822.723356380979</v>
      </c>
      <c r="T422" s="312">
        <f>'[9]Сводная форма'!CG$416</f>
        <v>68258.135491929876</v>
      </c>
      <c r="U422" s="312">
        <f>'[9]Сводная форма'!CH$416</f>
        <v>70974.809284508694</v>
      </c>
      <c r="V422" s="312">
        <f>'[9]Сводная форма'!CI$416</f>
        <v>73799.606694032147</v>
      </c>
      <c r="W422" s="312">
        <f>'[9]Сводная форма'!CJ$416</f>
        <v>76736.831040454636</v>
      </c>
      <c r="X422" s="312">
        <f>'[9]Сводная форма'!CK$416</f>
        <v>79790.956915864721</v>
      </c>
      <c r="Y422" s="312">
        <f>'[9]Сводная форма'!CL$416</f>
        <v>82966.637001116134</v>
      </c>
      <c r="Z422" s="312">
        <f>'[9]Сводная форма'!CM$416</f>
        <v>86268.709153760574</v>
      </c>
      <c r="AA422" s="308">
        <f>SUM(J422:Z422)</f>
        <v>571618.40893804771</v>
      </c>
      <c r="AB422" s="296">
        <f>AA422/1000</f>
        <v>571.61840893804776</v>
      </c>
    </row>
    <row r="423" spans="3:28" outlineLevel="1" x14ac:dyDescent="0.25">
      <c r="C423" s="396"/>
      <c r="D423" s="355" t="s">
        <v>114</v>
      </c>
      <c r="E423" s="356" t="s">
        <v>13</v>
      </c>
      <c r="F423" s="313"/>
      <c r="G423" s="313"/>
      <c r="H423" s="313"/>
      <c r="I423" s="313"/>
      <c r="J423" s="313"/>
      <c r="K423" s="313"/>
      <c r="L423" s="313"/>
      <c r="M423" s="313"/>
      <c r="N423" s="313"/>
      <c r="O423" s="313"/>
      <c r="P423" s="313"/>
      <c r="Q423" s="313"/>
      <c r="R423" s="313"/>
      <c r="S423" s="313"/>
      <c r="T423" s="313"/>
      <c r="U423" s="313"/>
      <c r="V423" s="313"/>
      <c r="W423" s="313"/>
      <c r="X423" s="313"/>
      <c r="Y423" s="313"/>
      <c r="Z423" s="313"/>
      <c r="AA423" s="310">
        <f t="shared" si="129"/>
        <v>0</v>
      </c>
      <c r="AB423" s="310">
        <f t="shared" si="126"/>
        <v>0</v>
      </c>
    </row>
    <row r="424" spans="3:28" outlineLevel="1" x14ac:dyDescent="0.25">
      <c r="C424" s="396"/>
      <c r="D424" s="357" t="s">
        <v>40</v>
      </c>
      <c r="E424" s="356" t="s">
        <v>13</v>
      </c>
      <c r="F424" s="313"/>
      <c r="G424" s="313"/>
      <c r="H424" s="313"/>
      <c r="I424" s="313"/>
      <c r="J424" s="313"/>
      <c r="K424" s="313"/>
      <c r="L424" s="313"/>
      <c r="M424" s="313"/>
      <c r="N424" s="313"/>
      <c r="O424" s="313"/>
      <c r="P424" s="313"/>
      <c r="Q424" s="313"/>
      <c r="R424" s="313"/>
      <c r="S424" s="313"/>
      <c r="T424" s="313"/>
      <c r="U424" s="313"/>
      <c r="V424" s="313"/>
      <c r="W424" s="313"/>
      <c r="X424" s="313"/>
      <c r="Y424" s="313"/>
      <c r="Z424" s="313"/>
      <c r="AA424" s="310">
        <f t="shared" si="129"/>
        <v>0</v>
      </c>
      <c r="AB424" s="310">
        <f t="shared" si="126"/>
        <v>0</v>
      </c>
    </row>
    <row r="425" spans="3:28" outlineLevel="1" x14ac:dyDescent="0.25">
      <c r="C425" s="396"/>
      <c r="D425" s="357" t="s">
        <v>98</v>
      </c>
      <c r="E425" s="356" t="s">
        <v>13</v>
      </c>
      <c r="F425" s="313"/>
      <c r="G425" s="313"/>
      <c r="H425" s="313"/>
      <c r="I425" s="313"/>
      <c r="J425" s="313"/>
      <c r="K425" s="313"/>
      <c r="L425" s="313"/>
      <c r="M425" s="313"/>
      <c r="N425" s="313"/>
      <c r="O425" s="313"/>
      <c r="P425" s="313"/>
      <c r="Q425" s="313"/>
      <c r="R425" s="313"/>
      <c r="S425" s="313"/>
      <c r="T425" s="313"/>
      <c r="U425" s="313"/>
      <c r="V425" s="313"/>
      <c r="W425" s="313"/>
      <c r="X425" s="313"/>
      <c r="Y425" s="313"/>
      <c r="Z425" s="313"/>
      <c r="AA425" s="310">
        <f t="shared" si="129"/>
        <v>0</v>
      </c>
      <c r="AB425" s="310">
        <f t="shared" si="126"/>
        <v>0</v>
      </c>
    </row>
    <row r="426" spans="3:28" outlineLevel="1" x14ac:dyDescent="0.25">
      <c r="C426" s="396"/>
      <c r="D426" s="357" t="s">
        <v>48</v>
      </c>
      <c r="E426" s="356" t="s">
        <v>13</v>
      </c>
      <c r="F426" s="313"/>
      <c r="G426" s="313"/>
      <c r="H426" s="313"/>
      <c r="I426" s="313"/>
      <c r="J426" s="313"/>
      <c r="K426" s="313"/>
      <c r="L426" s="313"/>
      <c r="M426" s="313"/>
      <c r="N426" s="313"/>
      <c r="O426" s="313"/>
      <c r="P426" s="313"/>
      <c r="Q426" s="313"/>
      <c r="R426" s="313"/>
      <c r="S426" s="313"/>
      <c r="T426" s="313"/>
      <c r="U426" s="313"/>
      <c r="V426" s="313"/>
      <c r="W426" s="313"/>
      <c r="X426" s="313"/>
      <c r="Y426" s="313"/>
      <c r="Z426" s="313"/>
      <c r="AA426" s="310">
        <f t="shared" si="129"/>
        <v>0</v>
      </c>
      <c r="AB426" s="310">
        <f t="shared" si="126"/>
        <v>0</v>
      </c>
    </row>
    <row r="427" spans="3:28" outlineLevel="1" x14ac:dyDescent="0.25">
      <c r="C427" s="396"/>
      <c r="D427" s="357" t="s">
        <v>99</v>
      </c>
      <c r="E427" s="356" t="s">
        <v>13</v>
      </c>
      <c r="F427" s="313"/>
      <c r="G427" s="313"/>
      <c r="H427" s="313"/>
      <c r="I427" s="313"/>
      <c r="J427" s="313"/>
      <c r="K427" s="313"/>
      <c r="L427" s="313"/>
      <c r="M427" s="313"/>
      <c r="N427" s="313"/>
      <c r="O427" s="313"/>
      <c r="P427" s="313"/>
      <c r="Q427" s="313"/>
      <c r="R427" s="313"/>
      <c r="S427" s="313"/>
      <c r="T427" s="313"/>
      <c r="U427" s="313"/>
      <c r="V427" s="313"/>
      <c r="W427" s="313"/>
      <c r="X427" s="313"/>
      <c r="Y427" s="313"/>
      <c r="Z427" s="313"/>
      <c r="AA427" s="310">
        <f t="shared" si="129"/>
        <v>0</v>
      </c>
      <c r="AB427" s="310">
        <f t="shared" si="126"/>
        <v>0</v>
      </c>
    </row>
    <row r="428" spans="3:28" outlineLevel="1" x14ac:dyDescent="0.25">
      <c r="C428" s="396"/>
      <c r="D428" s="357" t="s">
        <v>100</v>
      </c>
      <c r="E428" s="356" t="s">
        <v>13</v>
      </c>
      <c r="F428" s="313"/>
      <c r="G428" s="313"/>
      <c r="H428" s="313"/>
      <c r="I428" s="313"/>
      <c r="J428" s="313"/>
      <c r="K428" s="313"/>
      <c r="L428" s="313"/>
      <c r="M428" s="313"/>
      <c r="N428" s="313"/>
      <c r="O428" s="313"/>
      <c r="P428" s="313"/>
      <c r="Q428" s="313"/>
      <c r="R428" s="313"/>
      <c r="S428" s="313"/>
      <c r="T428" s="313"/>
      <c r="U428" s="313"/>
      <c r="V428" s="313"/>
      <c r="W428" s="313"/>
      <c r="X428" s="313"/>
      <c r="Y428" s="313"/>
      <c r="Z428" s="313"/>
      <c r="AA428" s="310">
        <f t="shared" si="129"/>
        <v>0</v>
      </c>
      <c r="AB428" s="310">
        <f t="shared" si="126"/>
        <v>0</v>
      </c>
    </row>
    <row r="429" spans="3:28" outlineLevel="1" x14ac:dyDescent="0.25">
      <c r="C429" s="396"/>
      <c r="D429" s="357" t="s">
        <v>101</v>
      </c>
      <c r="E429" s="356" t="s">
        <v>13</v>
      </c>
      <c r="F429" s="313"/>
      <c r="G429" s="313"/>
      <c r="H429" s="313"/>
      <c r="I429" s="313"/>
      <c r="J429" s="313"/>
      <c r="K429" s="313"/>
      <c r="L429" s="313"/>
      <c r="M429" s="313"/>
      <c r="N429" s="313"/>
      <c r="O429" s="313"/>
      <c r="P429" s="313"/>
      <c r="Q429" s="313"/>
      <c r="R429" s="313"/>
      <c r="S429" s="313"/>
      <c r="T429" s="313"/>
      <c r="U429" s="313"/>
      <c r="V429" s="313"/>
      <c r="W429" s="313"/>
      <c r="X429" s="313"/>
      <c r="Y429" s="313"/>
      <c r="Z429" s="313"/>
      <c r="AA429" s="310">
        <f t="shared" si="129"/>
        <v>0</v>
      </c>
      <c r="AB429" s="310">
        <f t="shared" si="126"/>
        <v>0</v>
      </c>
    </row>
    <row r="430" spans="3:28" outlineLevel="1" x14ac:dyDescent="0.25">
      <c r="C430" s="396"/>
      <c r="D430" s="357" t="s">
        <v>102</v>
      </c>
      <c r="E430" s="356" t="s">
        <v>13</v>
      </c>
      <c r="F430" s="313"/>
      <c r="G430" s="313"/>
      <c r="H430" s="313"/>
      <c r="I430" s="313"/>
      <c r="J430" s="313"/>
      <c r="K430" s="313"/>
      <c r="L430" s="313"/>
      <c r="M430" s="313"/>
      <c r="N430" s="313"/>
      <c r="O430" s="313"/>
      <c r="P430" s="313"/>
      <c r="Q430" s="313"/>
      <c r="R430" s="313"/>
      <c r="S430" s="313"/>
      <c r="T430" s="313"/>
      <c r="U430" s="313"/>
      <c r="V430" s="313"/>
      <c r="W430" s="313"/>
      <c r="X430" s="313"/>
      <c r="Y430" s="313"/>
      <c r="Z430" s="313"/>
      <c r="AA430" s="310">
        <f t="shared" si="129"/>
        <v>0</v>
      </c>
      <c r="AB430" s="310">
        <f t="shared" si="126"/>
        <v>0</v>
      </c>
    </row>
    <row r="431" spans="3:28" outlineLevel="1" x14ac:dyDescent="0.25">
      <c r="C431" s="396"/>
      <c r="D431" s="357" t="s">
        <v>103</v>
      </c>
      <c r="E431" s="356" t="s">
        <v>13</v>
      </c>
      <c r="F431" s="313"/>
      <c r="G431" s="313"/>
      <c r="H431" s="313"/>
      <c r="I431" s="313"/>
      <c r="J431" s="313"/>
      <c r="K431" s="313"/>
      <c r="L431" s="313"/>
      <c r="M431" s="313"/>
      <c r="N431" s="313"/>
      <c r="O431" s="313"/>
      <c r="P431" s="313"/>
      <c r="Q431" s="313"/>
      <c r="R431" s="313"/>
      <c r="S431" s="313"/>
      <c r="T431" s="313"/>
      <c r="U431" s="313"/>
      <c r="V431" s="313"/>
      <c r="W431" s="313"/>
      <c r="X431" s="313"/>
      <c r="Y431" s="313"/>
      <c r="Z431" s="313"/>
      <c r="AA431" s="310">
        <f t="shared" si="129"/>
        <v>0</v>
      </c>
      <c r="AB431" s="310">
        <f t="shared" si="126"/>
        <v>0</v>
      </c>
    </row>
    <row r="432" spans="3:28" outlineLevel="1" x14ac:dyDescent="0.25">
      <c r="C432" s="396"/>
      <c r="D432" s="357" t="s">
        <v>104</v>
      </c>
      <c r="E432" s="356" t="s">
        <v>13</v>
      </c>
      <c r="F432" s="313"/>
      <c r="G432" s="313"/>
      <c r="H432" s="313"/>
      <c r="I432" s="313"/>
      <c r="J432" s="313"/>
      <c r="K432" s="313"/>
      <c r="L432" s="313"/>
      <c r="M432" s="313"/>
      <c r="N432" s="313"/>
      <c r="O432" s="313"/>
      <c r="P432" s="313"/>
      <c r="Q432" s="313"/>
      <c r="R432" s="313"/>
      <c r="S432" s="313"/>
      <c r="T432" s="313"/>
      <c r="U432" s="313"/>
      <c r="V432" s="313"/>
      <c r="W432" s="313"/>
      <c r="X432" s="313"/>
      <c r="Y432" s="313"/>
      <c r="Z432" s="313"/>
      <c r="AA432" s="310">
        <f t="shared" si="129"/>
        <v>0</v>
      </c>
      <c r="AB432" s="310">
        <f t="shared" si="126"/>
        <v>0</v>
      </c>
    </row>
    <row r="433" spans="3:28" outlineLevel="1" x14ac:dyDescent="0.25">
      <c r="C433" s="396"/>
      <c r="D433" s="357" t="s">
        <v>105</v>
      </c>
      <c r="E433" s="356" t="s">
        <v>13</v>
      </c>
      <c r="F433" s="313"/>
      <c r="G433" s="313"/>
      <c r="H433" s="313"/>
      <c r="I433" s="313"/>
      <c r="J433" s="313"/>
      <c r="K433" s="313"/>
      <c r="L433" s="313"/>
      <c r="M433" s="313"/>
      <c r="N433" s="313"/>
      <c r="O433" s="313"/>
      <c r="P433" s="313"/>
      <c r="Q433" s="313"/>
      <c r="R433" s="313"/>
      <c r="S433" s="313"/>
      <c r="T433" s="313"/>
      <c r="U433" s="313"/>
      <c r="V433" s="313"/>
      <c r="W433" s="313"/>
      <c r="X433" s="313"/>
      <c r="Y433" s="313"/>
      <c r="Z433" s="313"/>
      <c r="AA433" s="310">
        <f t="shared" si="129"/>
        <v>0</v>
      </c>
      <c r="AB433" s="310">
        <f t="shared" si="126"/>
        <v>0</v>
      </c>
    </row>
    <row r="434" spans="3:28" outlineLevel="1" x14ac:dyDescent="0.25">
      <c r="C434" s="396"/>
      <c r="D434" s="357" t="s">
        <v>106</v>
      </c>
      <c r="E434" s="356" t="s">
        <v>13</v>
      </c>
      <c r="F434" s="313"/>
      <c r="G434" s="313"/>
      <c r="H434" s="313"/>
      <c r="I434" s="313"/>
      <c r="J434" s="313"/>
      <c r="K434" s="313"/>
      <c r="L434" s="313"/>
      <c r="M434" s="313"/>
      <c r="N434" s="313"/>
      <c r="O434" s="313"/>
      <c r="P434" s="313"/>
      <c r="Q434" s="313"/>
      <c r="R434" s="313"/>
      <c r="S434" s="313"/>
      <c r="T434" s="313"/>
      <c r="U434" s="313"/>
      <c r="V434" s="313"/>
      <c r="W434" s="313"/>
      <c r="X434" s="313"/>
      <c r="Y434" s="313"/>
      <c r="Z434" s="313"/>
      <c r="AA434" s="310">
        <f t="shared" si="129"/>
        <v>0</v>
      </c>
      <c r="AB434" s="310">
        <f t="shared" si="126"/>
        <v>0</v>
      </c>
    </row>
    <row r="435" spans="3:28" outlineLevel="1" x14ac:dyDescent="0.25">
      <c r="C435" s="396"/>
      <c r="D435" s="357" t="s">
        <v>49</v>
      </c>
      <c r="E435" s="356" t="s">
        <v>13</v>
      </c>
      <c r="F435" s="313"/>
      <c r="G435" s="313"/>
      <c r="H435" s="313"/>
      <c r="I435" s="313"/>
      <c r="J435" s="313"/>
      <c r="K435" s="313"/>
      <c r="L435" s="313"/>
      <c r="M435" s="313"/>
      <c r="N435" s="313"/>
      <c r="O435" s="313"/>
      <c r="P435" s="313"/>
      <c r="Q435" s="313"/>
      <c r="R435" s="313"/>
      <c r="S435" s="313"/>
      <c r="T435" s="313"/>
      <c r="U435" s="313"/>
      <c r="V435" s="313"/>
      <c r="W435" s="313"/>
      <c r="X435" s="313"/>
      <c r="Y435" s="313"/>
      <c r="Z435" s="313"/>
      <c r="AA435" s="310">
        <f t="shared" si="129"/>
        <v>0</v>
      </c>
      <c r="AB435" s="310">
        <f t="shared" si="126"/>
        <v>0</v>
      </c>
    </row>
    <row r="436" spans="3:28" outlineLevel="1" x14ac:dyDescent="0.25">
      <c r="C436" s="396"/>
      <c r="D436" s="357" t="s">
        <v>107</v>
      </c>
      <c r="E436" s="356" t="s">
        <v>13</v>
      </c>
      <c r="F436" s="313"/>
      <c r="G436" s="313"/>
      <c r="H436" s="313"/>
      <c r="I436" s="313"/>
      <c r="J436" s="313"/>
      <c r="K436" s="313"/>
      <c r="L436" s="313"/>
      <c r="M436" s="313"/>
      <c r="N436" s="313"/>
      <c r="O436" s="313"/>
      <c r="P436" s="313"/>
      <c r="Q436" s="313"/>
      <c r="R436" s="313"/>
      <c r="S436" s="313"/>
      <c r="T436" s="313"/>
      <c r="U436" s="313"/>
      <c r="V436" s="313"/>
      <c r="W436" s="313"/>
      <c r="X436" s="313"/>
      <c r="Y436" s="313"/>
      <c r="Z436" s="313"/>
      <c r="AA436" s="310">
        <f t="shared" si="129"/>
        <v>0</v>
      </c>
      <c r="AB436" s="310">
        <f t="shared" si="126"/>
        <v>0</v>
      </c>
    </row>
    <row r="437" spans="3:28" outlineLevel="1" x14ac:dyDescent="0.25">
      <c r="C437" s="395"/>
      <c r="D437" s="338" t="s">
        <v>115</v>
      </c>
      <c r="E437" s="339" t="s">
        <v>13</v>
      </c>
      <c r="F437" s="296">
        <f>SUM(F438:F462)</f>
        <v>0</v>
      </c>
      <c r="G437" s="296">
        <f t="shared" ref="G437:Z437" si="130">SUM(G438:G462)</f>
        <v>0</v>
      </c>
      <c r="H437" s="296">
        <f t="shared" si="130"/>
        <v>0</v>
      </c>
      <c r="I437" s="296">
        <f t="shared" si="130"/>
        <v>0</v>
      </c>
      <c r="J437" s="296">
        <f t="shared" si="130"/>
        <v>0</v>
      </c>
      <c r="K437" s="296">
        <f t="shared" si="130"/>
        <v>0</v>
      </c>
      <c r="L437" s="296">
        <f t="shared" si="130"/>
        <v>0</v>
      </c>
      <c r="M437" s="296">
        <f t="shared" si="130"/>
        <v>0</v>
      </c>
      <c r="N437" s="296">
        <f t="shared" si="130"/>
        <v>0</v>
      </c>
      <c r="O437" s="296">
        <f t="shared" si="130"/>
        <v>0</v>
      </c>
      <c r="P437" s="296">
        <f t="shared" si="130"/>
        <v>0</v>
      </c>
      <c r="Q437" s="296">
        <f t="shared" si="130"/>
        <v>0</v>
      </c>
      <c r="R437" s="296">
        <f t="shared" si="130"/>
        <v>0</v>
      </c>
      <c r="S437" s="296">
        <f t="shared" si="130"/>
        <v>161921.10571155106</v>
      </c>
      <c r="T437" s="296">
        <f t="shared" si="130"/>
        <v>355344.11850548617</v>
      </c>
      <c r="U437" s="296">
        <f t="shared" si="130"/>
        <v>363596.45706658973</v>
      </c>
      <c r="V437" s="296">
        <f t="shared" si="130"/>
        <v>372229.99572428886</v>
      </c>
      <c r="W437" s="296">
        <f t="shared" si="130"/>
        <v>276074.40623358486</v>
      </c>
      <c r="X437" s="296">
        <f t="shared" si="130"/>
        <v>390714.48502148531</v>
      </c>
      <c r="Y437" s="296">
        <f t="shared" si="130"/>
        <v>400604.64371631207</v>
      </c>
      <c r="Z437" s="296">
        <f t="shared" si="130"/>
        <v>410954.51338118414</v>
      </c>
      <c r="AA437" s="308">
        <f>SUM(J437:Z437)</f>
        <v>2731439.7253604825</v>
      </c>
      <c r="AB437" s="302">
        <f>AA437/1000</f>
        <v>2731.4397253604825</v>
      </c>
    </row>
    <row r="438" spans="3:28" outlineLevel="1" x14ac:dyDescent="0.25">
      <c r="C438" s="397"/>
      <c r="D438" s="332" t="str">
        <f>D24</f>
        <v>Центр РАН и НИЦ интегральной электроники</v>
      </c>
      <c r="E438" s="337" t="s">
        <v>13</v>
      </c>
      <c r="F438" s="297"/>
      <c r="G438" s="297"/>
      <c r="H438" s="297"/>
      <c r="I438" s="297"/>
      <c r="J438" s="297">
        <f>'[9]Сводная форма'!BW431</f>
        <v>0</v>
      </c>
      <c r="K438" s="297">
        <f>'[9]Сводная форма'!BX431</f>
        <v>0</v>
      </c>
      <c r="L438" s="297">
        <f>'[9]Сводная форма'!BY431</f>
        <v>0</v>
      </c>
      <c r="M438" s="297">
        <f>'[9]Сводная форма'!BZ431</f>
        <v>0</v>
      </c>
      <c r="N438" s="297">
        <f>'[9]Сводная форма'!CA431</f>
        <v>0</v>
      </c>
      <c r="O438" s="297">
        <f>'[9]Сводная форма'!CB431</f>
        <v>0</v>
      </c>
      <c r="P438" s="297">
        <f>'[9]Сводная форма'!CC431</f>
        <v>0</v>
      </c>
      <c r="Q438" s="297">
        <f>'[9]Сводная форма'!CD431</f>
        <v>0</v>
      </c>
      <c r="R438" s="297">
        <f>'[9]Сводная форма'!CE431</f>
        <v>0</v>
      </c>
      <c r="S438" s="297">
        <f>'[9]Сводная форма'!CF431</f>
        <v>0</v>
      </c>
      <c r="T438" s="297">
        <f>'[9]Сводная форма'!CG431</f>
        <v>0</v>
      </c>
      <c r="U438" s="297">
        <f>'[9]Сводная форма'!CH431</f>
        <v>0</v>
      </c>
      <c r="V438" s="297">
        <f>'[9]Сводная форма'!CI431</f>
        <v>0</v>
      </c>
      <c r="W438" s="297">
        <f>'[9]Сводная форма'!CJ431</f>
        <v>0</v>
      </c>
      <c r="X438" s="297">
        <f>'[9]Сводная форма'!CK431</f>
        <v>0</v>
      </c>
      <c r="Y438" s="297">
        <f>'[9]Сводная форма'!CL431</f>
        <v>0</v>
      </c>
      <c r="Z438" s="297">
        <f>'[9]Сводная форма'!CM431</f>
        <v>0</v>
      </c>
      <c r="AA438" s="308">
        <f>SUM(J438:Z438)</f>
        <v>0</v>
      </c>
      <c r="AB438" s="302">
        <f>AA438/1000</f>
        <v>0</v>
      </c>
    </row>
    <row r="439" spans="3:28" outlineLevel="1" x14ac:dyDescent="0.25">
      <c r="C439" s="397"/>
      <c r="D439" s="332" t="str">
        <f t="shared" ref="D439:D462" si="131">D25</f>
        <v xml:space="preserve">Университет МИРЭА
</v>
      </c>
      <c r="E439" s="337" t="s">
        <v>13</v>
      </c>
      <c r="F439" s="297"/>
      <c r="G439" s="297"/>
      <c r="H439" s="297"/>
      <c r="I439" s="297"/>
      <c r="J439" s="297">
        <f>'[9]Сводная форма'!BW432</f>
        <v>0</v>
      </c>
      <c r="K439" s="297">
        <f>'[9]Сводная форма'!BX432</f>
        <v>0</v>
      </c>
      <c r="L439" s="297">
        <f>'[9]Сводная форма'!BY432</f>
        <v>0</v>
      </c>
      <c r="M439" s="297">
        <f>'[9]Сводная форма'!BZ432</f>
        <v>0</v>
      </c>
      <c r="N439" s="297">
        <f>'[9]Сводная форма'!CA432</f>
        <v>0</v>
      </c>
      <c r="O439" s="297">
        <f>'[9]Сводная форма'!CB432</f>
        <v>0</v>
      </c>
      <c r="P439" s="297">
        <f>'[9]Сводная форма'!CC432</f>
        <v>0</v>
      </c>
      <c r="Q439" s="297">
        <f>'[9]Сводная форма'!CD432</f>
        <v>0</v>
      </c>
      <c r="R439" s="297">
        <f>'[9]Сводная форма'!CE432</f>
        <v>0</v>
      </c>
      <c r="S439" s="297">
        <f>'[9]Сводная форма'!CF432</f>
        <v>0</v>
      </c>
      <c r="T439" s="297">
        <f>'[9]Сводная форма'!CG432</f>
        <v>0</v>
      </c>
      <c r="U439" s="297">
        <f>'[9]Сводная форма'!CH432</f>
        <v>0</v>
      </c>
      <c r="V439" s="297">
        <f>'[9]Сводная форма'!CI432</f>
        <v>0</v>
      </c>
      <c r="W439" s="297">
        <f>'[9]Сводная форма'!CJ432</f>
        <v>0</v>
      </c>
      <c r="X439" s="297">
        <f>'[9]Сводная форма'!CK432</f>
        <v>0</v>
      </c>
      <c r="Y439" s="297">
        <f>'[9]Сводная форма'!CL432</f>
        <v>0</v>
      </c>
      <c r="Z439" s="297">
        <f>'[9]Сводная форма'!CM432</f>
        <v>0</v>
      </c>
      <c r="AA439" s="308">
        <f t="shared" si="129"/>
        <v>0</v>
      </c>
      <c r="AB439" s="302">
        <f t="shared" si="126"/>
        <v>0</v>
      </c>
    </row>
    <row r="440" spans="3:28" outlineLevel="1" x14ac:dyDescent="0.25">
      <c r="C440" s="397"/>
      <c r="D440" s="332" t="str">
        <f t="shared" si="131"/>
        <v>Технологический центр</v>
      </c>
      <c r="E440" s="337" t="s">
        <v>13</v>
      </c>
      <c r="F440" s="297"/>
      <c r="G440" s="297"/>
      <c r="H440" s="297"/>
      <c r="I440" s="297"/>
      <c r="J440" s="297">
        <f>'[9]Сводная форма'!BW433</f>
        <v>0</v>
      </c>
      <c r="K440" s="297">
        <f>'[9]Сводная форма'!BX433</f>
        <v>0</v>
      </c>
      <c r="L440" s="297">
        <f>'[9]Сводная форма'!BY433</f>
        <v>0</v>
      </c>
      <c r="M440" s="297">
        <f>'[9]Сводная форма'!BZ433</f>
        <v>0</v>
      </c>
      <c r="N440" s="297">
        <f>'[9]Сводная форма'!CA433</f>
        <v>0</v>
      </c>
      <c r="O440" s="297">
        <f>'[9]Сводная форма'!CB433</f>
        <v>0</v>
      </c>
      <c r="P440" s="297">
        <f>'[9]Сводная форма'!CC433</f>
        <v>0</v>
      </c>
      <c r="Q440" s="297">
        <f>'[9]Сводная форма'!CD433</f>
        <v>0</v>
      </c>
      <c r="R440" s="297">
        <f>'[9]Сводная форма'!CE433</f>
        <v>0</v>
      </c>
      <c r="S440" s="297">
        <f>'[9]Сводная форма'!CF433</f>
        <v>0</v>
      </c>
      <c r="T440" s="297">
        <f>'[9]Сводная форма'!CG433</f>
        <v>0</v>
      </c>
      <c r="U440" s="297">
        <f>'[9]Сводная форма'!CH433</f>
        <v>0</v>
      </c>
      <c r="V440" s="297">
        <f>'[9]Сводная форма'!CI433</f>
        <v>0</v>
      </c>
      <c r="W440" s="297">
        <f>'[9]Сводная форма'!CJ433</f>
        <v>0</v>
      </c>
      <c r="X440" s="297">
        <f>'[9]Сводная форма'!CK433</f>
        <v>0</v>
      </c>
      <c r="Y440" s="297">
        <f>'[9]Сводная форма'!CL433</f>
        <v>0</v>
      </c>
      <c r="Z440" s="297">
        <f>'[9]Сводная форма'!CM433</f>
        <v>0</v>
      </c>
      <c r="AA440" s="308">
        <f t="shared" si="129"/>
        <v>0</v>
      </c>
      <c r="AB440" s="302">
        <f t="shared" si="126"/>
        <v>0</v>
      </c>
    </row>
    <row r="441" spans="3:28" outlineLevel="1" x14ac:dyDescent="0.25">
      <c r="C441" s="397"/>
      <c r="D441" s="332" t="str">
        <f t="shared" si="131"/>
        <v>Спортивный центр</v>
      </c>
      <c r="E441" s="337" t="s">
        <v>13</v>
      </c>
      <c r="F441" s="297"/>
      <c r="G441" s="297"/>
      <c r="H441" s="297"/>
      <c r="I441" s="297"/>
      <c r="J441" s="297">
        <f>'[9]Сводная форма'!BW434</f>
        <v>0</v>
      </c>
      <c r="K441" s="297">
        <f>'[9]Сводная форма'!BX434</f>
        <v>0</v>
      </c>
      <c r="L441" s="297">
        <f>'[9]Сводная форма'!BY434</f>
        <v>0</v>
      </c>
      <c r="M441" s="297">
        <f>'[9]Сводная форма'!BZ434</f>
        <v>0</v>
      </c>
      <c r="N441" s="297">
        <f>'[9]Сводная форма'!CA434</f>
        <v>0</v>
      </c>
      <c r="O441" s="297">
        <f>'[9]Сводная форма'!CB434</f>
        <v>0</v>
      </c>
      <c r="P441" s="297">
        <f>'[9]Сводная форма'!CC434</f>
        <v>0</v>
      </c>
      <c r="Q441" s="297">
        <f>'[9]Сводная форма'!CD434</f>
        <v>0</v>
      </c>
      <c r="R441" s="297">
        <f>'[9]Сводная форма'!CE434</f>
        <v>0</v>
      </c>
      <c r="S441" s="297">
        <f>'[9]Сводная форма'!CF434</f>
        <v>0</v>
      </c>
      <c r="T441" s="297">
        <f>'[9]Сводная форма'!CG434</f>
        <v>0</v>
      </c>
      <c r="U441" s="297">
        <f>'[9]Сводная форма'!CH434</f>
        <v>0</v>
      </c>
      <c r="V441" s="297">
        <f>'[9]Сводная форма'!CI434</f>
        <v>0</v>
      </c>
      <c r="W441" s="297">
        <f>'[9]Сводная форма'!CJ434</f>
        <v>0</v>
      </c>
      <c r="X441" s="297">
        <f>'[9]Сводная форма'!CK434</f>
        <v>0</v>
      </c>
      <c r="Y441" s="297">
        <f>'[9]Сводная форма'!CL434</f>
        <v>0</v>
      </c>
      <c r="Z441" s="297">
        <f>'[9]Сводная форма'!CM434</f>
        <v>0</v>
      </c>
      <c r="AA441" s="308">
        <f t="shared" si="129"/>
        <v>0</v>
      </c>
      <c r="AB441" s="302">
        <f t="shared" si="126"/>
        <v>0</v>
      </c>
    </row>
    <row r="442" spans="3:28" outlineLevel="1" x14ac:dyDescent="0.25">
      <c r="C442" s="397"/>
      <c r="D442" s="332" t="str">
        <f t="shared" si="131"/>
        <v>Гостиничный комплекс</v>
      </c>
      <c r="E442" s="337" t="s">
        <v>13</v>
      </c>
      <c r="F442" s="297"/>
      <c r="G442" s="297"/>
      <c r="H442" s="297"/>
      <c r="I442" s="297"/>
      <c r="J442" s="297">
        <f>'[9]Сводная форма'!BW435</f>
        <v>0</v>
      </c>
      <c r="K442" s="297">
        <f>'[9]Сводная форма'!BX435</f>
        <v>0</v>
      </c>
      <c r="L442" s="297">
        <f>'[9]Сводная форма'!BY435</f>
        <v>0</v>
      </c>
      <c r="M442" s="297">
        <f>'[9]Сводная форма'!BZ435</f>
        <v>0</v>
      </c>
      <c r="N442" s="297">
        <f>'[9]Сводная форма'!CA435</f>
        <v>0</v>
      </c>
      <c r="O442" s="297">
        <f>'[9]Сводная форма'!CB435</f>
        <v>0</v>
      </c>
      <c r="P442" s="297">
        <f>'[9]Сводная форма'!CC435</f>
        <v>0</v>
      </c>
      <c r="Q442" s="297">
        <f>'[9]Сводная форма'!CD435</f>
        <v>0</v>
      </c>
      <c r="R442" s="297">
        <f>'[9]Сводная форма'!CE435</f>
        <v>0</v>
      </c>
      <c r="S442" s="297">
        <f>'[9]Сводная форма'!CF435</f>
        <v>161921.10571155106</v>
      </c>
      <c r="T442" s="297">
        <f>'[9]Сводная форма'!CG435</f>
        <v>355344.11850548617</v>
      </c>
      <c r="U442" s="297">
        <f>'[9]Сводная форма'!CH435</f>
        <v>363596.45706658973</v>
      </c>
      <c r="V442" s="297">
        <f>'[9]Сводная форма'!CI435</f>
        <v>372229.99572428886</v>
      </c>
      <c r="W442" s="297">
        <f>'[9]Сводная форма'!CJ435</f>
        <v>276074.40623358486</v>
      </c>
      <c r="X442" s="297">
        <f>'[9]Сводная форма'!CK435</f>
        <v>390714.48502148531</v>
      </c>
      <c r="Y442" s="297">
        <f>'[9]Сводная форма'!CL435</f>
        <v>400604.64371631207</v>
      </c>
      <c r="Z442" s="297">
        <f>'[9]Сводная форма'!CM435</f>
        <v>410954.51338118414</v>
      </c>
      <c r="AA442" s="308">
        <f t="shared" si="129"/>
        <v>2731439.7253604825</v>
      </c>
      <c r="AB442" s="302">
        <f t="shared" si="126"/>
        <v>2731.4397253604825</v>
      </c>
    </row>
    <row r="443" spans="3:28" hidden="1" outlineLevel="2" x14ac:dyDescent="0.25">
      <c r="C443" s="397"/>
      <c r="D443" s="332" t="str">
        <f t="shared" si="131"/>
        <v>Наименование объекта / группы объектов 6</v>
      </c>
      <c r="E443" s="337" t="s">
        <v>13</v>
      </c>
      <c r="F443" s="297"/>
      <c r="G443" s="297"/>
      <c r="H443" s="297"/>
      <c r="I443" s="297"/>
      <c r="J443" s="297"/>
      <c r="K443" s="297"/>
      <c r="L443" s="297"/>
      <c r="M443" s="297"/>
      <c r="N443" s="297"/>
      <c r="O443" s="297"/>
      <c r="P443" s="297"/>
      <c r="Q443" s="297"/>
      <c r="R443" s="297"/>
      <c r="S443" s="297"/>
      <c r="T443" s="297"/>
      <c r="U443" s="297"/>
      <c r="V443" s="297"/>
      <c r="W443" s="297"/>
      <c r="X443" s="297"/>
      <c r="Y443" s="297"/>
      <c r="Z443" s="297"/>
      <c r="AA443" s="308">
        <f t="shared" si="129"/>
        <v>0</v>
      </c>
      <c r="AB443" s="302">
        <f t="shared" si="126"/>
        <v>0</v>
      </c>
    </row>
    <row r="444" spans="3:28" hidden="1" outlineLevel="2" x14ac:dyDescent="0.25">
      <c r="C444" s="397"/>
      <c r="D444" s="332" t="str">
        <f t="shared" si="131"/>
        <v>Наименование объекта / группы объектов 7</v>
      </c>
      <c r="E444" s="337" t="s">
        <v>13</v>
      </c>
      <c r="F444" s="297"/>
      <c r="G444" s="297"/>
      <c r="H444" s="297"/>
      <c r="I444" s="297"/>
      <c r="J444" s="297"/>
      <c r="K444" s="297"/>
      <c r="L444" s="297"/>
      <c r="M444" s="297"/>
      <c r="N444" s="297"/>
      <c r="O444" s="297"/>
      <c r="P444" s="297"/>
      <c r="Q444" s="297"/>
      <c r="R444" s="297"/>
      <c r="S444" s="297"/>
      <c r="T444" s="297"/>
      <c r="U444" s="297"/>
      <c r="V444" s="297"/>
      <c r="W444" s="297"/>
      <c r="X444" s="297"/>
      <c r="Y444" s="297"/>
      <c r="Z444" s="297"/>
      <c r="AA444" s="308">
        <f t="shared" si="129"/>
        <v>0</v>
      </c>
      <c r="AB444" s="302">
        <f t="shared" si="126"/>
        <v>0</v>
      </c>
    </row>
    <row r="445" spans="3:28" hidden="1" outlineLevel="2" x14ac:dyDescent="0.25">
      <c r="C445" s="397"/>
      <c r="D445" s="332" t="str">
        <f t="shared" si="131"/>
        <v>Наименование объекта / группы объектов 8</v>
      </c>
      <c r="E445" s="337" t="s">
        <v>13</v>
      </c>
      <c r="F445" s="297"/>
      <c r="G445" s="297"/>
      <c r="H445" s="297"/>
      <c r="I445" s="297"/>
      <c r="J445" s="297"/>
      <c r="K445" s="297"/>
      <c r="L445" s="297"/>
      <c r="M445" s="297"/>
      <c r="N445" s="297"/>
      <c r="O445" s="297"/>
      <c r="P445" s="297"/>
      <c r="Q445" s="297"/>
      <c r="R445" s="297"/>
      <c r="S445" s="297"/>
      <c r="T445" s="297"/>
      <c r="U445" s="297"/>
      <c r="V445" s="297"/>
      <c r="W445" s="297"/>
      <c r="X445" s="297"/>
      <c r="Y445" s="297"/>
      <c r="Z445" s="297"/>
      <c r="AA445" s="308">
        <f t="shared" si="129"/>
        <v>0</v>
      </c>
      <c r="AB445" s="302">
        <f t="shared" si="126"/>
        <v>0</v>
      </c>
    </row>
    <row r="446" spans="3:28" hidden="1" outlineLevel="2" x14ac:dyDescent="0.25">
      <c r="C446" s="397"/>
      <c r="D446" s="332" t="str">
        <f t="shared" si="131"/>
        <v>Наименование объекта / группы объектов 9</v>
      </c>
      <c r="E446" s="337" t="s">
        <v>13</v>
      </c>
      <c r="F446" s="297"/>
      <c r="G446" s="297"/>
      <c r="H446" s="297"/>
      <c r="I446" s="297"/>
      <c r="J446" s="297"/>
      <c r="K446" s="297"/>
      <c r="L446" s="297"/>
      <c r="M446" s="297"/>
      <c r="N446" s="297"/>
      <c r="O446" s="297"/>
      <c r="P446" s="297"/>
      <c r="Q446" s="297"/>
      <c r="R446" s="297"/>
      <c r="S446" s="297"/>
      <c r="T446" s="297"/>
      <c r="U446" s="297"/>
      <c r="V446" s="297"/>
      <c r="W446" s="297"/>
      <c r="X446" s="297"/>
      <c r="Y446" s="297"/>
      <c r="Z446" s="297"/>
      <c r="AA446" s="308">
        <f t="shared" si="129"/>
        <v>0</v>
      </c>
      <c r="AB446" s="302">
        <f t="shared" si="126"/>
        <v>0</v>
      </c>
    </row>
    <row r="447" spans="3:28" hidden="1" outlineLevel="2" x14ac:dyDescent="0.25">
      <c r="C447" s="397"/>
      <c r="D447" s="332" t="str">
        <f t="shared" si="131"/>
        <v>Наименование объекта / группы объектов 10</v>
      </c>
      <c r="E447" s="337" t="s">
        <v>13</v>
      </c>
      <c r="F447" s="297"/>
      <c r="G447" s="297"/>
      <c r="H447" s="297"/>
      <c r="I447" s="297"/>
      <c r="J447" s="297"/>
      <c r="K447" s="297"/>
      <c r="L447" s="297"/>
      <c r="M447" s="297"/>
      <c r="N447" s="297"/>
      <c r="O447" s="297"/>
      <c r="P447" s="297"/>
      <c r="Q447" s="297"/>
      <c r="R447" s="297"/>
      <c r="S447" s="297"/>
      <c r="T447" s="297"/>
      <c r="U447" s="297"/>
      <c r="V447" s="297"/>
      <c r="W447" s="297"/>
      <c r="X447" s="297"/>
      <c r="Y447" s="297"/>
      <c r="Z447" s="297"/>
      <c r="AA447" s="308">
        <f t="shared" si="129"/>
        <v>0</v>
      </c>
      <c r="AB447" s="302">
        <f t="shared" si="126"/>
        <v>0</v>
      </c>
    </row>
    <row r="448" spans="3:28" hidden="1" outlineLevel="2" x14ac:dyDescent="0.25">
      <c r="C448" s="397"/>
      <c r="D448" s="332" t="str">
        <f t="shared" si="131"/>
        <v>Наименование объекта / группы объектов 11</v>
      </c>
      <c r="E448" s="337" t="s">
        <v>13</v>
      </c>
      <c r="F448" s="297"/>
      <c r="G448" s="297"/>
      <c r="H448" s="297"/>
      <c r="I448" s="297"/>
      <c r="J448" s="297"/>
      <c r="K448" s="297"/>
      <c r="L448" s="297"/>
      <c r="M448" s="297"/>
      <c r="N448" s="297"/>
      <c r="O448" s="297"/>
      <c r="P448" s="297"/>
      <c r="Q448" s="297"/>
      <c r="R448" s="297"/>
      <c r="S448" s="297"/>
      <c r="T448" s="297"/>
      <c r="U448" s="297"/>
      <c r="V448" s="297"/>
      <c r="W448" s="297"/>
      <c r="X448" s="297"/>
      <c r="Y448" s="297"/>
      <c r="Z448" s="297"/>
      <c r="AA448" s="308">
        <f t="shared" si="129"/>
        <v>0</v>
      </c>
      <c r="AB448" s="302">
        <f t="shared" si="126"/>
        <v>0</v>
      </c>
    </row>
    <row r="449" spans="3:28" hidden="1" outlineLevel="2" x14ac:dyDescent="0.25">
      <c r="C449" s="397"/>
      <c r="D449" s="332" t="str">
        <f t="shared" si="131"/>
        <v>Наименование объекта / группы объектов 12</v>
      </c>
      <c r="E449" s="337" t="s">
        <v>13</v>
      </c>
      <c r="F449" s="297"/>
      <c r="G449" s="297"/>
      <c r="H449" s="297"/>
      <c r="I449" s="297"/>
      <c r="J449" s="297"/>
      <c r="K449" s="297"/>
      <c r="L449" s="297"/>
      <c r="M449" s="297"/>
      <c r="N449" s="297"/>
      <c r="O449" s="297"/>
      <c r="P449" s="297"/>
      <c r="Q449" s="297"/>
      <c r="R449" s="297"/>
      <c r="S449" s="297"/>
      <c r="T449" s="297"/>
      <c r="U449" s="297"/>
      <c r="V449" s="297"/>
      <c r="W449" s="297"/>
      <c r="X449" s="297"/>
      <c r="Y449" s="297"/>
      <c r="Z449" s="297"/>
      <c r="AA449" s="308">
        <f t="shared" si="129"/>
        <v>0</v>
      </c>
      <c r="AB449" s="302">
        <f t="shared" si="126"/>
        <v>0</v>
      </c>
    </row>
    <row r="450" spans="3:28" hidden="1" outlineLevel="2" x14ac:dyDescent="0.25">
      <c r="C450" s="397"/>
      <c r="D450" s="332" t="str">
        <f t="shared" si="131"/>
        <v>Наименование объекта / группы объектов 13</v>
      </c>
      <c r="E450" s="337" t="s">
        <v>13</v>
      </c>
      <c r="F450" s="297"/>
      <c r="G450" s="297"/>
      <c r="H450" s="297"/>
      <c r="I450" s="297"/>
      <c r="J450" s="297"/>
      <c r="K450" s="297"/>
      <c r="L450" s="297"/>
      <c r="M450" s="297"/>
      <c r="N450" s="297"/>
      <c r="O450" s="297"/>
      <c r="P450" s="297"/>
      <c r="Q450" s="297"/>
      <c r="R450" s="297"/>
      <c r="S450" s="297"/>
      <c r="T450" s="297"/>
      <c r="U450" s="297"/>
      <c r="V450" s="297"/>
      <c r="W450" s="297"/>
      <c r="X450" s="297"/>
      <c r="Y450" s="297"/>
      <c r="Z450" s="297"/>
      <c r="AA450" s="308">
        <f t="shared" si="129"/>
        <v>0</v>
      </c>
      <c r="AB450" s="302">
        <f t="shared" si="126"/>
        <v>0</v>
      </c>
    </row>
    <row r="451" spans="3:28" hidden="1" outlineLevel="2" x14ac:dyDescent="0.25">
      <c r="C451" s="397"/>
      <c r="D451" s="332" t="str">
        <f t="shared" si="131"/>
        <v>Наименование объекта / группы объектов 14</v>
      </c>
      <c r="E451" s="337" t="s">
        <v>13</v>
      </c>
      <c r="F451" s="297"/>
      <c r="G451" s="297"/>
      <c r="H451" s="297"/>
      <c r="I451" s="297"/>
      <c r="J451" s="297"/>
      <c r="K451" s="297"/>
      <c r="L451" s="297"/>
      <c r="M451" s="297"/>
      <c r="N451" s="297"/>
      <c r="O451" s="297"/>
      <c r="P451" s="297"/>
      <c r="Q451" s="297"/>
      <c r="R451" s="297"/>
      <c r="S451" s="297"/>
      <c r="T451" s="297"/>
      <c r="U451" s="297"/>
      <c r="V451" s="297"/>
      <c r="W451" s="297"/>
      <c r="X451" s="297"/>
      <c r="Y451" s="297"/>
      <c r="Z451" s="297"/>
      <c r="AA451" s="308">
        <f t="shared" si="129"/>
        <v>0</v>
      </c>
      <c r="AB451" s="302">
        <f t="shared" si="126"/>
        <v>0</v>
      </c>
    </row>
    <row r="452" spans="3:28" hidden="1" outlineLevel="2" x14ac:dyDescent="0.25">
      <c r="C452" s="397"/>
      <c r="D452" s="332" t="str">
        <f t="shared" si="131"/>
        <v>Наименование объекта / группы объектов 15</v>
      </c>
      <c r="E452" s="337" t="s">
        <v>13</v>
      </c>
      <c r="F452" s="297"/>
      <c r="G452" s="297"/>
      <c r="H452" s="297"/>
      <c r="I452" s="297"/>
      <c r="J452" s="297"/>
      <c r="K452" s="297"/>
      <c r="L452" s="297"/>
      <c r="M452" s="297"/>
      <c r="N452" s="297"/>
      <c r="O452" s="297"/>
      <c r="P452" s="297"/>
      <c r="Q452" s="297"/>
      <c r="R452" s="297"/>
      <c r="S452" s="297"/>
      <c r="T452" s="297"/>
      <c r="U452" s="297"/>
      <c r="V452" s="297"/>
      <c r="W452" s="297"/>
      <c r="X452" s="297"/>
      <c r="Y452" s="297"/>
      <c r="Z452" s="297"/>
      <c r="AA452" s="308">
        <f t="shared" si="129"/>
        <v>0</v>
      </c>
      <c r="AB452" s="302">
        <f t="shared" si="126"/>
        <v>0</v>
      </c>
    </row>
    <row r="453" spans="3:28" hidden="1" outlineLevel="2" x14ac:dyDescent="0.25">
      <c r="C453" s="397"/>
      <c r="D453" s="332" t="str">
        <f t="shared" si="131"/>
        <v>Наименование объекта / группы объектов 16</v>
      </c>
      <c r="E453" s="337" t="s">
        <v>13</v>
      </c>
      <c r="F453" s="297"/>
      <c r="G453" s="297"/>
      <c r="H453" s="297"/>
      <c r="I453" s="297"/>
      <c r="J453" s="297"/>
      <c r="K453" s="297"/>
      <c r="L453" s="297"/>
      <c r="M453" s="297"/>
      <c r="N453" s="297"/>
      <c r="O453" s="297"/>
      <c r="P453" s="297"/>
      <c r="Q453" s="297"/>
      <c r="R453" s="297"/>
      <c r="S453" s="297"/>
      <c r="T453" s="297"/>
      <c r="U453" s="297"/>
      <c r="V453" s="297"/>
      <c r="W453" s="297"/>
      <c r="X453" s="297"/>
      <c r="Y453" s="297"/>
      <c r="Z453" s="297"/>
      <c r="AA453" s="308">
        <f t="shared" si="129"/>
        <v>0</v>
      </c>
      <c r="AB453" s="302">
        <f t="shared" si="126"/>
        <v>0</v>
      </c>
    </row>
    <row r="454" spans="3:28" hidden="1" outlineLevel="2" x14ac:dyDescent="0.25">
      <c r="C454" s="397"/>
      <c r="D454" s="332" t="str">
        <f t="shared" si="131"/>
        <v>Наименование объекта / группы объектов 17</v>
      </c>
      <c r="E454" s="337" t="s">
        <v>13</v>
      </c>
      <c r="F454" s="297"/>
      <c r="G454" s="297"/>
      <c r="H454" s="297"/>
      <c r="I454" s="297"/>
      <c r="J454" s="297"/>
      <c r="K454" s="297"/>
      <c r="L454" s="297"/>
      <c r="M454" s="297"/>
      <c r="N454" s="297"/>
      <c r="O454" s="297"/>
      <c r="P454" s="297"/>
      <c r="Q454" s="297"/>
      <c r="R454" s="297"/>
      <c r="S454" s="297"/>
      <c r="T454" s="297"/>
      <c r="U454" s="297"/>
      <c r="V454" s="297"/>
      <c r="W454" s="297"/>
      <c r="X454" s="297"/>
      <c r="Y454" s="297"/>
      <c r="Z454" s="297"/>
      <c r="AA454" s="308">
        <f t="shared" si="129"/>
        <v>0</v>
      </c>
      <c r="AB454" s="302">
        <f t="shared" si="126"/>
        <v>0</v>
      </c>
    </row>
    <row r="455" spans="3:28" hidden="1" outlineLevel="2" x14ac:dyDescent="0.25">
      <c r="C455" s="397"/>
      <c r="D455" s="332" t="str">
        <f t="shared" si="131"/>
        <v>Наименование объекта / группы объектов 18</v>
      </c>
      <c r="E455" s="337" t="s">
        <v>13</v>
      </c>
      <c r="F455" s="297"/>
      <c r="G455" s="297"/>
      <c r="H455" s="297"/>
      <c r="I455" s="297"/>
      <c r="J455" s="297"/>
      <c r="K455" s="297"/>
      <c r="L455" s="297"/>
      <c r="M455" s="297"/>
      <c r="N455" s="297"/>
      <c r="O455" s="297"/>
      <c r="P455" s="297"/>
      <c r="Q455" s="297"/>
      <c r="R455" s="297"/>
      <c r="S455" s="297"/>
      <c r="T455" s="297"/>
      <c r="U455" s="297"/>
      <c r="V455" s="297"/>
      <c r="W455" s="297"/>
      <c r="X455" s="297"/>
      <c r="Y455" s="297"/>
      <c r="Z455" s="297"/>
      <c r="AA455" s="308">
        <f t="shared" si="129"/>
        <v>0</v>
      </c>
      <c r="AB455" s="302">
        <f t="shared" si="126"/>
        <v>0</v>
      </c>
    </row>
    <row r="456" spans="3:28" hidden="1" outlineLevel="2" x14ac:dyDescent="0.25">
      <c r="C456" s="397"/>
      <c r="D456" s="332" t="str">
        <f t="shared" si="131"/>
        <v>Наименование объекта / группы объектов 19</v>
      </c>
      <c r="E456" s="337" t="s">
        <v>13</v>
      </c>
      <c r="F456" s="297"/>
      <c r="G456" s="297"/>
      <c r="H456" s="297"/>
      <c r="I456" s="297"/>
      <c r="J456" s="297"/>
      <c r="K456" s="297"/>
      <c r="L456" s="297"/>
      <c r="M456" s="297"/>
      <c r="N456" s="297"/>
      <c r="O456" s="297"/>
      <c r="P456" s="297"/>
      <c r="Q456" s="297"/>
      <c r="R456" s="297"/>
      <c r="S456" s="297"/>
      <c r="T456" s="297"/>
      <c r="U456" s="297"/>
      <c r="V456" s="297"/>
      <c r="W456" s="297"/>
      <c r="X456" s="297"/>
      <c r="Y456" s="297"/>
      <c r="Z456" s="297"/>
      <c r="AA456" s="308">
        <f t="shared" si="129"/>
        <v>0</v>
      </c>
      <c r="AB456" s="302">
        <f t="shared" si="126"/>
        <v>0</v>
      </c>
    </row>
    <row r="457" spans="3:28" hidden="1" outlineLevel="2" x14ac:dyDescent="0.25">
      <c r="C457" s="397"/>
      <c r="D457" s="332" t="str">
        <f t="shared" si="131"/>
        <v>Наименование объекта / группы объектов 20</v>
      </c>
      <c r="E457" s="337" t="s">
        <v>13</v>
      </c>
      <c r="F457" s="297"/>
      <c r="G457" s="297"/>
      <c r="H457" s="297"/>
      <c r="I457" s="297"/>
      <c r="J457" s="297"/>
      <c r="K457" s="297"/>
      <c r="L457" s="297"/>
      <c r="M457" s="297"/>
      <c r="N457" s="297"/>
      <c r="O457" s="297"/>
      <c r="P457" s="297"/>
      <c r="Q457" s="297"/>
      <c r="R457" s="297"/>
      <c r="S457" s="297"/>
      <c r="T457" s="297"/>
      <c r="U457" s="297"/>
      <c r="V457" s="297"/>
      <c r="W457" s="297"/>
      <c r="X457" s="297"/>
      <c r="Y457" s="297"/>
      <c r="Z457" s="297"/>
      <c r="AA457" s="308">
        <f t="shared" si="129"/>
        <v>0</v>
      </c>
      <c r="AB457" s="302">
        <f t="shared" si="126"/>
        <v>0</v>
      </c>
    </row>
    <row r="458" spans="3:28" hidden="1" outlineLevel="2" x14ac:dyDescent="0.25">
      <c r="C458" s="397"/>
      <c r="D458" s="332" t="str">
        <f t="shared" si="131"/>
        <v>Наименование объекта / группы объектов 21</v>
      </c>
      <c r="E458" s="337" t="s">
        <v>13</v>
      </c>
      <c r="F458" s="297"/>
      <c r="G458" s="297"/>
      <c r="H458" s="297"/>
      <c r="I458" s="297"/>
      <c r="J458" s="297"/>
      <c r="K458" s="297"/>
      <c r="L458" s="297"/>
      <c r="M458" s="297"/>
      <c r="N458" s="297"/>
      <c r="O458" s="297"/>
      <c r="P458" s="297"/>
      <c r="Q458" s="297"/>
      <c r="R458" s="297"/>
      <c r="S458" s="297"/>
      <c r="T458" s="297"/>
      <c r="U458" s="297"/>
      <c r="V458" s="297"/>
      <c r="W458" s="297"/>
      <c r="X458" s="297"/>
      <c r="Y458" s="297"/>
      <c r="Z458" s="297"/>
      <c r="AA458" s="308">
        <f t="shared" si="129"/>
        <v>0</v>
      </c>
      <c r="AB458" s="302">
        <f t="shared" si="126"/>
        <v>0</v>
      </c>
    </row>
    <row r="459" spans="3:28" hidden="1" outlineLevel="2" x14ac:dyDescent="0.25">
      <c r="C459" s="397"/>
      <c r="D459" s="332" t="str">
        <f t="shared" si="131"/>
        <v>Наименование объекта / группы объектов 22</v>
      </c>
      <c r="E459" s="337" t="s">
        <v>13</v>
      </c>
      <c r="F459" s="297"/>
      <c r="G459" s="297"/>
      <c r="H459" s="297"/>
      <c r="I459" s="297"/>
      <c r="J459" s="297"/>
      <c r="K459" s="297"/>
      <c r="L459" s="297"/>
      <c r="M459" s="297"/>
      <c r="N459" s="297"/>
      <c r="O459" s="297"/>
      <c r="P459" s="297"/>
      <c r="Q459" s="297"/>
      <c r="R459" s="297"/>
      <c r="S459" s="297"/>
      <c r="T459" s="297"/>
      <c r="U459" s="297"/>
      <c r="V459" s="297"/>
      <c r="W459" s="297"/>
      <c r="X459" s="297"/>
      <c r="Y459" s="297"/>
      <c r="Z459" s="297"/>
      <c r="AA459" s="308">
        <f t="shared" si="129"/>
        <v>0</v>
      </c>
      <c r="AB459" s="302">
        <f t="shared" si="126"/>
        <v>0</v>
      </c>
    </row>
    <row r="460" spans="3:28" hidden="1" outlineLevel="2" x14ac:dyDescent="0.25">
      <c r="C460" s="397"/>
      <c r="D460" s="332" t="str">
        <f t="shared" si="131"/>
        <v>Наименование объекта / группы объектов 23</v>
      </c>
      <c r="E460" s="337" t="s">
        <v>13</v>
      </c>
      <c r="F460" s="297"/>
      <c r="G460" s="297"/>
      <c r="H460" s="297"/>
      <c r="I460" s="297"/>
      <c r="J460" s="297"/>
      <c r="K460" s="297"/>
      <c r="L460" s="297"/>
      <c r="M460" s="297"/>
      <c r="N460" s="297"/>
      <c r="O460" s="297"/>
      <c r="P460" s="297"/>
      <c r="Q460" s="297"/>
      <c r="R460" s="297"/>
      <c r="S460" s="297"/>
      <c r="T460" s="297"/>
      <c r="U460" s="297"/>
      <c r="V460" s="297"/>
      <c r="W460" s="297"/>
      <c r="X460" s="297"/>
      <c r="Y460" s="297"/>
      <c r="Z460" s="297"/>
      <c r="AA460" s="308">
        <f t="shared" si="129"/>
        <v>0</v>
      </c>
      <c r="AB460" s="302">
        <f t="shared" si="126"/>
        <v>0</v>
      </c>
    </row>
    <row r="461" spans="3:28" hidden="1" outlineLevel="2" x14ac:dyDescent="0.25">
      <c r="C461" s="397"/>
      <c r="D461" s="332" t="str">
        <f t="shared" si="131"/>
        <v>Наименование объекта / группы объектов 24</v>
      </c>
      <c r="E461" s="337" t="s">
        <v>13</v>
      </c>
      <c r="F461" s="297"/>
      <c r="G461" s="297"/>
      <c r="H461" s="297"/>
      <c r="I461" s="297"/>
      <c r="J461" s="297"/>
      <c r="K461" s="297"/>
      <c r="L461" s="297"/>
      <c r="M461" s="297"/>
      <c r="N461" s="297"/>
      <c r="O461" s="297"/>
      <c r="P461" s="297"/>
      <c r="Q461" s="297"/>
      <c r="R461" s="297"/>
      <c r="S461" s="297"/>
      <c r="T461" s="297"/>
      <c r="U461" s="297"/>
      <c r="V461" s="297"/>
      <c r="W461" s="297"/>
      <c r="X461" s="297"/>
      <c r="Y461" s="297"/>
      <c r="Z461" s="297"/>
      <c r="AA461" s="308">
        <f t="shared" si="129"/>
        <v>0</v>
      </c>
      <c r="AB461" s="302">
        <f t="shared" si="126"/>
        <v>0</v>
      </c>
    </row>
    <row r="462" spans="3:28" hidden="1" outlineLevel="2" x14ac:dyDescent="0.25">
      <c r="C462" s="397"/>
      <c r="D462" s="332" t="str">
        <f t="shared" si="131"/>
        <v>Наименование объекта / группы объектов 25</v>
      </c>
      <c r="E462" s="337" t="s">
        <v>13</v>
      </c>
      <c r="F462" s="297"/>
      <c r="G462" s="297"/>
      <c r="H462" s="297"/>
      <c r="I462" s="297"/>
      <c r="J462" s="297"/>
      <c r="K462" s="297"/>
      <c r="L462" s="297"/>
      <c r="M462" s="297"/>
      <c r="N462" s="297"/>
      <c r="O462" s="297"/>
      <c r="P462" s="297"/>
      <c r="Q462" s="297"/>
      <c r="R462" s="297"/>
      <c r="S462" s="297"/>
      <c r="T462" s="297"/>
      <c r="U462" s="297"/>
      <c r="V462" s="297"/>
      <c r="W462" s="297"/>
      <c r="X462" s="297"/>
      <c r="Y462" s="297"/>
      <c r="Z462" s="297"/>
      <c r="AA462" s="308">
        <f>SUM(J462:Z462)</f>
        <v>0</v>
      </c>
      <c r="AB462" s="302">
        <f t="shared" si="126"/>
        <v>0</v>
      </c>
    </row>
    <row r="463" spans="3:28" outlineLevel="1" collapsed="1" x14ac:dyDescent="0.25">
      <c r="C463" s="395"/>
      <c r="D463" s="338" t="s">
        <v>109</v>
      </c>
      <c r="E463" s="365" t="s">
        <v>13</v>
      </c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  <c r="AA463" s="300"/>
      <c r="AB463" s="300"/>
    </row>
    <row r="464" spans="3:28" outlineLevel="1" x14ac:dyDescent="0.25">
      <c r="C464" s="397"/>
      <c r="D464" s="332" t="str">
        <f>D24</f>
        <v>Центр РАН и НИЦ интегральной электроники</v>
      </c>
      <c r="E464" s="337" t="s">
        <v>13</v>
      </c>
      <c r="F464" s="297"/>
      <c r="G464" s="297"/>
      <c r="H464" s="297"/>
      <c r="I464" s="297"/>
      <c r="J464" s="297"/>
      <c r="K464" s="297"/>
      <c r="L464" s="297"/>
      <c r="M464" s="297"/>
      <c r="N464" s="297"/>
      <c r="O464" s="297"/>
      <c r="P464" s="297"/>
      <c r="Q464" s="297"/>
      <c r="R464" s="297"/>
      <c r="S464" s="297">
        <f>'[9]Сводная форма'!CF457</f>
        <v>0</v>
      </c>
      <c r="T464" s="297">
        <f>'[9]Сводная форма'!CG457</f>
        <v>0</v>
      </c>
      <c r="U464" s="297">
        <f>'[9]Сводная форма'!CH457</f>
        <v>0</v>
      </c>
      <c r="V464" s="297">
        <f>'[9]Сводная форма'!CI457</f>
        <v>0</v>
      </c>
      <c r="W464" s="297">
        <f>'[9]Сводная форма'!CJ457</f>
        <v>0</v>
      </c>
      <c r="X464" s="297">
        <f>'[9]Сводная форма'!CK457</f>
        <v>0</v>
      </c>
      <c r="Y464" s="297">
        <f>'[9]Сводная форма'!CL457</f>
        <v>0</v>
      </c>
      <c r="Z464" s="297">
        <f>'[9]Сводная форма'!CM457</f>
        <v>0</v>
      </c>
      <c r="AA464" s="301">
        <f>IFERROR(AVERAGE(J464:Z464),0)</f>
        <v>0</v>
      </c>
      <c r="AB464" s="296">
        <f>AA464/1000</f>
        <v>0</v>
      </c>
    </row>
    <row r="465" spans="3:28" outlineLevel="1" x14ac:dyDescent="0.25">
      <c r="C465" s="397"/>
      <c r="D465" s="332" t="str">
        <f t="shared" ref="D465:D488" si="132">D25</f>
        <v xml:space="preserve">Университет МИРЭА
</v>
      </c>
      <c r="E465" s="337" t="s">
        <v>13</v>
      </c>
      <c r="F465" s="297"/>
      <c r="G465" s="297"/>
      <c r="H465" s="297"/>
      <c r="I465" s="297"/>
      <c r="J465" s="297"/>
      <c r="K465" s="297"/>
      <c r="L465" s="297"/>
      <c r="M465" s="297"/>
      <c r="N465" s="297"/>
      <c r="O465" s="297"/>
      <c r="P465" s="297"/>
      <c r="Q465" s="297"/>
      <c r="R465" s="297"/>
      <c r="S465" s="297">
        <f>'[9]Сводная форма'!CF458</f>
        <v>0</v>
      </c>
      <c r="T465" s="297">
        <f>'[9]Сводная форма'!CG458</f>
        <v>0</v>
      </c>
      <c r="U465" s="297">
        <f>'[9]Сводная форма'!CH458</f>
        <v>0</v>
      </c>
      <c r="V465" s="297">
        <f>'[9]Сводная форма'!CI458</f>
        <v>0</v>
      </c>
      <c r="W465" s="297">
        <f>'[9]Сводная форма'!CJ458</f>
        <v>0</v>
      </c>
      <c r="X465" s="297">
        <f>'[9]Сводная форма'!CK458</f>
        <v>0</v>
      </c>
      <c r="Y465" s="297">
        <f>'[9]Сводная форма'!CL458</f>
        <v>0</v>
      </c>
      <c r="Z465" s="297">
        <f>'[9]Сводная форма'!CM458</f>
        <v>0</v>
      </c>
      <c r="AA465" s="301">
        <f t="shared" ref="AA465:AA487" si="133">IFERROR(AVERAGE(J465:Z465),0)</f>
        <v>0</v>
      </c>
      <c r="AB465" s="298">
        <f t="shared" ref="AB465:AB487" si="134">AA465/1000</f>
        <v>0</v>
      </c>
    </row>
    <row r="466" spans="3:28" outlineLevel="1" x14ac:dyDescent="0.25">
      <c r="C466" s="397"/>
      <c r="D466" s="332" t="str">
        <f t="shared" si="132"/>
        <v>Технологический центр</v>
      </c>
      <c r="E466" s="337" t="s">
        <v>13</v>
      </c>
      <c r="F466" s="297"/>
      <c r="G466" s="297"/>
      <c r="H466" s="297"/>
      <c r="I466" s="297"/>
      <c r="J466" s="297"/>
      <c r="K466" s="297"/>
      <c r="L466" s="297"/>
      <c r="M466" s="297"/>
      <c r="N466" s="297"/>
      <c r="O466" s="297"/>
      <c r="P466" s="297"/>
      <c r="Q466" s="297"/>
      <c r="R466" s="297"/>
      <c r="S466" s="297">
        <f>'[9]Сводная форма'!CF459</f>
        <v>0</v>
      </c>
      <c r="T466" s="297">
        <f>'[9]Сводная форма'!CG459</f>
        <v>0</v>
      </c>
      <c r="U466" s="297">
        <f>'[9]Сводная форма'!CH459</f>
        <v>0</v>
      </c>
      <c r="V466" s="297">
        <f>'[9]Сводная форма'!CI459</f>
        <v>0</v>
      </c>
      <c r="W466" s="297">
        <f>'[9]Сводная форма'!CJ459</f>
        <v>0</v>
      </c>
      <c r="X466" s="297">
        <f>'[9]Сводная форма'!CK459</f>
        <v>0</v>
      </c>
      <c r="Y466" s="297">
        <f>'[9]Сводная форма'!CL459</f>
        <v>0</v>
      </c>
      <c r="Z466" s="297">
        <f>'[9]Сводная форма'!CM459</f>
        <v>0</v>
      </c>
      <c r="AA466" s="301">
        <f t="shared" si="133"/>
        <v>0</v>
      </c>
      <c r="AB466" s="296">
        <f t="shared" si="134"/>
        <v>0</v>
      </c>
    </row>
    <row r="467" spans="3:28" outlineLevel="1" x14ac:dyDescent="0.25">
      <c r="C467" s="397"/>
      <c r="D467" s="332" t="str">
        <f t="shared" si="132"/>
        <v>Спортивный центр</v>
      </c>
      <c r="E467" s="337" t="s">
        <v>13</v>
      </c>
      <c r="F467" s="297"/>
      <c r="G467" s="297"/>
      <c r="H467" s="297"/>
      <c r="I467" s="297"/>
      <c r="J467" s="297"/>
      <c r="K467" s="297"/>
      <c r="L467" s="297"/>
      <c r="M467" s="297"/>
      <c r="N467" s="297"/>
      <c r="O467" s="297"/>
      <c r="P467" s="297"/>
      <c r="Q467" s="297"/>
      <c r="R467" s="297"/>
      <c r="S467" s="297">
        <f>'[9]Сводная форма'!CF460</f>
        <v>0</v>
      </c>
      <c r="T467" s="297">
        <f>'[9]Сводная форма'!CG460</f>
        <v>0</v>
      </c>
      <c r="U467" s="297">
        <f>'[9]Сводная форма'!CH460</f>
        <v>0</v>
      </c>
      <c r="V467" s="297">
        <f>'[9]Сводная форма'!CI460</f>
        <v>0</v>
      </c>
      <c r="W467" s="297">
        <f>'[9]Сводная форма'!CJ460</f>
        <v>0</v>
      </c>
      <c r="X467" s="297">
        <f>'[9]Сводная форма'!CK460</f>
        <v>0</v>
      </c>
      <c r="Y467" s="297">
        <f>'[9]Сводная форма'!CL460</f>
        <v>0</v>
      </c>
      <c r="Z467" s="297">
        <f>'[9]Сводная форма'!CM460</f>
        <v>0</v>
      </c>
      <c r="AA467" s="301">
        <f t="shared" si="133"/>
        <v>0</v>
      </c>
      <c r="AB467" s="296">
        <f t="shared" si="134"/>
        <v>0</v>
      </c>
    </row>
    <row r="468" spans="3:28" outlineLevel="1" x14ac:dyDescent="0.25">
      <c r="C468" s="397"/>
      <c r="D468" s="332" t="str">
        <f t="shared" si="132"/>
        <v>Гостиничный комплекс</v>
      </c>
      <c r="E468" s="337" t="s">
        <v>13</v>
      </c>
      <c r="F468" s="297"/>
      <c r="G468" s="297"/>
      <c r="H468" s="297"/>
      <c r="I468" s="297"/>
      <c r="J468" s="297"/>
      <c r="K468" s="297"/>
      <c r="L468" s="297"/>
      <c r="M468" s="297"/>
      <c r="N468" s="297"/>
      <c r="O468" s="297"/>
      <c r="P468" s="297"/>
      <c r="Q468" s="297"/>
      <c r="R468" s="297"/>
      <c r="S468" s="297">
        <f>'[9]Сводная форма'!CF461</f>
        <v>10794.74038077007</v>
      </c>
      <c r="T468" s="297">
        <f>'[9]Сводная форма'!CG461</f>
        <v>14213.764740219445</v>
      </c>
      <c r="U468" s="297">
        <f>'[9]Сводная форма'!CH461</f>
        <v>14543.858282663588</v>
      </c>
      <c r="V468" s="297">
        <f>'[9]Сводная форма'!CI461</f>
        <v>14889.199828971554</v>
      </c>
      <c r="W468" s="297">
        <f>'[9]Сводная форма'!CJ461</f>
        <v>11042.976249343395</v>
      </c>
      <c r="X468" s="297">
        <f>'[9]Сводная форма'!CK461</f>
        <v>15628.579400859411</v>
      </c>
      <c r="Y468" s="297">
        <f>'[9]Сводная форма'!CL461</f>
        <v>16024.185748652482</v>
      </c>
      <c r="Z468" s="297">
        <f>'[9]Сводная форма'!CM461</f>
        <v>16438.180535247364</v>
      </c>
      <c r="AA468" s="301">
        <f t="shared" si="133"/>
        <v>14196.935645840915</v>
      </c>
      <c r="AB468" s="296">
        <f t="shared" si="134"/>
        <v>14.196935645840915</v>
      </c>
    </row>
    <row r="469" spans="3:28" hidden="1" outlineLevel="2" x14ac:dyDescent="0.25">
      <c r="C469" s="397"/>
      <c r="D469" s="332" t="str">
        <f t="shared" si="132"/>
        <v>Наименование объекта / группы объектов 6</v>
      </c>
      <c r="E469" s="337" t="s">
        <v>13</v>
      </c>
      <c r="F469" s="297"/>
      <c r="G469" s="297"/>
      <c r="H469" s="297"/>
      <c r="I469" s="297"/>
      <c r="J469" s="297"/>
      <c r="K469" s="297"/>
      <c r="L469" s="297"/>
      <c r="M469" s="297"/>
      <c r="N469" s="297"/>
      <c r="O469" s="297"/>
      <c r="P469" s="297"/>
      <c r="Q469" s="297"/>
      <c r="R469" s="297"/>
      <c r="S469" s="297">
        <f>'[9]Сводная форма'!CF462</f>
        <v>0</v>
      </c>
      <c r="T469" s="297">
        <f>'[9]Сводная форма'!CG462</f>
        <v>0</v>
      </c>
      <c r="U469" s="297">
        <f>'[9]Сводная форма'!CH462</f>
        <v>0</v>
      </c>
      <c r="V469" s="297">
        <f>'[9]Сводная форма'!CI462</f>
        <v>0</v>
      </c>
      <c r="W469" s="297">
        <f>'[9]Сводная форма'!CJ462</f>
        <v>0</v>
      </c>
      <c r="X469" s="297">
        <f>'[9]Сводная форма'!CK462</f>
        <v>0</v>
      </c>
      <c r="Y469" s="297">
        <f>'[9]Сводная форма'!CL462</f>
        <v>0</v>
      </c>
      <c r="Z469" s="297">
        <f>'[9]Сводная форма'!CM462</f>
        <v>0</v>
      </c>
      <c r="AA469" s="301">
        <f t="shared" si="133"/>
        <v>0</v>
      </c>
      <c r="AB469" s="296">
        <f t="shared" si="134"/>
        <v>0</v>
      </c>
    </row>
    <row r="470" spans="3:28" hidden="1" outlineLevel="2" x14ac:dyDescent="0.25">
      <c r="C470" s="397"/>
      <c r="D470" s="332" t="str">
        <f t="shared" si="132"/>
        <v>Наименование объекта / группы объектов 7</v>
      </c>
      <c r="E470" s="337" t="s">
        <v>13</v>
      </c>
      <c r="F470" s="297"/>
      <c r="G470" s="297"/>
      <c r="H470" s="297"/>
      <c r="I470" s="297"/>
      <c r="J470" s="297"/>
      <c r="K470" s="297"/>
      <c r="L470" s="297"/>
      <c r="M470" s="297"/>
      <c r="N470" s="297"/>
      <c r="O470" s="297"/>
      <c r="P470" s="297"/>
      <c r="Q470" s="297"/>
      <c r="R470" s="297"/>
      <c r="S470" s="297">
        <f>'[9]Сводная форма'!CF463</f>
        <v>0</v>
      </c>
      <c r="T470" s="297">
        <f>'[9]Сводная форма'!CG463</f>
        <v>0</v>
      </c>
      <c r="U470" s="297">
        <f>'[9]Сводная форма'!CH463</f>
        <v>0</v>
      </c>
      <c r="V470" s="297">
        <f>'[9]Сводная форма'!CI463</f>
        <v>0</v>
      </c>
      <c r="W470" s="297">
        <f>'[9]Сводная форма'!CJ463</f>
        <v>0</v>
      </c>
      <c r="X470" s="297">
        <f>'[9]Сводная форма'!CK463</f>
        <v>0</v>
      </c>
      <c r="Y470" s="297">
        <f>'[9]Сводная форма'!CL463</f>
        <v>0</v>
      </c>
      <c r="Z470" s="297">
        <f>'[9]Сводная форма'!CM463</f>
        <v>0</v>
      </c>
      <c r="AA470" s="301">
        <f t="shared" si="133"/>
        <v>0</v>
      </c>
      <c r="AB470" s="296">
        <f t="shared" si="134"/>
        <v>0</v>
      </c>
    </row>
    <row r="471" spans="3:28" hidden="1" outlineLevel="2" x14ac:dyDescent="0.25">
      <c r="C471" s="397"/>
      <c r="D471" s="332" t="str">
        <f t="shared" si="132"/>
        <v>Наименование объекта / группы объектов 8</v>
      </c>
      <c r="E471" s="337" t="s">
        <v>13</v>
      </c>
      <c r="F471" s="297"/>
      <c r="G471" s="297"/>
      <c r="H471" s="297"/>
      <c r="I471" s="297"/>
      <c r="J471" s="297"/>
      <c r="K471" s="297"/>
      <c r="L471" s="297"/>
      <c r="M471" s="297"/>
      <c r="N471" s="297"/>
      <c r="O471" s="297"/>
      <c r="P471" s="297"/>
      <c r="Q471" s="297"/>
      <c r="R471" s="297"/>
      <c r="S471" s="297">
        <f>'[9]Сводная форма'!CF464</f>
        <v>0</v>
      </c>
      <c r="T471" s="297">
        <f>'[9]Сводная форма'!CG464</f>
        <v>0</v>
      </c>
      <c r="U471" s="297">
        <f>'[9]Сводная форма'!CH464</f>
        <v>0</v>
      </c>
      <c r="V471" s="297">
        <f>'[9]Сводная форма'!CI464</f>
        <v>0</v>
      </c>
      <c r="W471" s="297">
        <f>'[9]Сводная форма'!CJ464</f>
        <v>0</v>
      </c>
      <c r="X471" s="297">
        <f>'[9]Сводная форма'!CK464</f>
        <v>0</v>
      </c>
      <c r="Y471" s="297">
        <f>'[9]Сводная форма'!CL464</f>
        <v>0</v>
      </c>
      <c r="Z471" s="297">
        <f>'[9]Сводная форма'!CM464</f>
        <v>0</v>
      </c>
      <c r="AA471" s="301">
        <f t="shared" si="133"/>
        <v>0</v>
      </c>
      <c r="AB471" s="296">
        <f t="shared" si="134"/>
        <v>0</v>
      </c>
    </row>
    <row r="472" spans="3:28" hidden="1" outlineLevel="2" x14ac:dyDescent="0.25">
      <c r="C472" s="397"/>
      <c r="D472" s="332" t="str">
        <f t="shared" si="132"/>
        <v>Наименование объекта / группы объектов 9</v>
      </c>
      <c r="E472" s="337" t="s">
        <v>13</v>
      </c>
      <c r="F472" s="297"/>
      <c r="G472" s="297"/>
      <c r="H472" s="297"/>
      <c r="I472" s="297"/>
      <c r="J472" s="297"/>
      <c r="K472" s="297"/>
      <c r="L472" s="297"/>
      <c r="M472" s="297"/>
      <c r="N472" s="297"/>
      <c r="O472" s="297"/>
      <c r="P472" s="297"/>
      <c r="Q472" s="297"/>
      <c r="R472" s="297"/>
      <c r="S472" s="297">
        <f>'[9]Сводная форма'!CF465</f>
        <v>0</v>
      </c>
      <c r="T472" s="297">
        <f>'[9]Сводная форма'!CG465</f>
        <v>0</v>
      </c>
      <c r="U472" s="297">
        <f>'[9]Сводная форма'!CH465</f>
        <v>0</v>
      </c>
      <c r="V472" s="297">
        <f>'[9]Сводная форма'!CI465</f>
        <v>0</v>
      </c>
      <c r="W472" s="297">
        <f>'[9]Сводная форма'!CJ465</f>
        <v>0</v>
      </c>
      <c r="X472" s="297">
        <f>'[9]Сводная форма'!CK465</f>
        <v>0</v>
      </c>
      <c r="Y472" s="297">
        <f>'[9]Сводная форма'!CL465</f>
        <v>0</v>
      </c>
      <c r="Z472" s="297">
        <f>'[9]Сводная форма'!CM465</f>
        <v>0</v>
      </c>
      <c r="AA472" s="301">
        <f t="shared" si="133"/>
        <v>0</v>
      </c>
      <c r="AB472" s="296">
        <f t="shared" si="134"/>
        <v>0</v>
      </c>
    </row>
    <row r="473" spans="3:28" hidden="1" outlineLevel="2" x14ac:dyDescent="0.25">
      <c r="C473" s="397"/>
      <c r="D473" s="332" t="str">
        <f t="shared" si="132"/>
        <v>Наименование объекта / группы объектов 10</v>
      </c>
      <c r="E473" s="337" t="s">
        <v>13</v>
      </c>
      <c r="F473" s="297"/>
      <c r="G473" s="297"/>
      <c r="H473" s="297"/>
      <c r="I473" s="297"/>
      <c r="J473" s="297"/>
      <c r="K473" s="297"/>
      <c r="L473" s="297"/>
      <c r="M473" s="297"/>
      <c r="N473" s="297"/>
      <c r="O473" s="297"/>
      <c r="P473" s="297"/>
      <c r="Q473" s="297"/>
      <c r="R473" s="297"/>
      <c r="S473" s="297">
        <f>'[9]Сводная форма'!CF466</f>
        <v>0</v>
      </c>
      <c r="T473" s="297">
        <f>'[9]Сводная форма'!CG466</f>
        <v>0</v>
      </c>
      <c r="U473" s="297">
        <f>'[9]Сводная форма'!CH466</f>
        <v>0</v>
      </c>
      <c r="V473" s="297">
        <f>'[9]Сводная форма'!CI466</f>
        <v>0</v>
      </c>
      <c r="W473" s="297">
        <f>'[9]Сводная форма'!CJ466</f>
        <v>0</v>
      </c>
      <c r="X473" s="297">
        <f>'[9]Сводная форма'!CK466</f>
        <v>0</v>
      </c>
      <c r="Y473" s="297">
        <f>'[9]Сводная форма'!CL466</f>
        <v>0</v>
      </c>
      <c r="Z473" s="297">
        <f>'[9]Сводная форма'!CM466</f>
        <v>0</v>
      </c>
      <c r="AA473" s="301">
        <f t="shared" si="133"/>
        <v>0</v>
      </c>
      <c r="AB473" s="296">
        <f t="shared" si="134"/>
        <v>0</v>
      </c>
    </row>
    <row r="474" spans="3:28" hidden="1" outlineLevel="2" x14ac:dyDescent="0.25">
      <c r="C474" s="397"/>
      <c r="D474" s="332" t="str">
        <f t="shared" si="132"/>
        <v>Наименование объекта / группы объектов 11</v>
      </c>
      <c r="E474" s="337" t="s">
        <v>13</v>
      </c>
      <c r="F474" s="297"/>
      <c r="G474" s="297"/>
      <c r="H474" s="297"/>
      <c r="I474" s="297"/>
      <c r="J474" s="297"/>
      <c r="K474" s="297"/>
      <c r="L474" s="297"/>
      <c r="M474" s="297"/>
      <c r="N474" s="297"/>
      <c r="O474" s="297"/>
      <c r="P474" s="297"/>
      <c r="Q474" s="297"/>
      <c r="R474" s="297"/>
      <c r="S474" s="297">
        <f>'[9]Сводная форма'!CF467</f>
        <v>0</v>
      </c>
      <c r="T474" s="297">
        <f>'[9]Сводная форма'!CG467</f>
        <v>0</v>
      </c>
      <c r="U474" s="297">
        <f>'[9]Сводная форма'!CH467</f>
        <v>0</v>
      </c>
      <c r="V474" s="297">
        <f>'[9]Сводная форма'!CI467</f>
        <v>0</v>
      </c>
      <c r="W474" s="297">
        <f>'[9]Сводная форма'!CJ467</f>
        <v>0</v>
      </c>
      <c r="X474" s="297">
        <f>'[9]Сводная форма'!CK467</f>
        <v>0</v>
      </c>
      <c r="Y474" s="297">
        <f>'[9]Сводная форма'!CL467</f>
        <v>0</v>
      </c>
      <c r="Z474" s="297">
        <f>'[9]Сводная форма'!CM467</f>
        <v>0</v>
      </c>
      <c r="AA474" s="301">
        <f t="shared" si="133"/>
        <v>0</v>
      </c>
      <c r="AB474" s="296">
        <f t="shared" si="134"/>
        <v>0</v>
      </c>
    </row>
    <row r="475" spans="3:28" hidden="1" outlineLevel="2" x14ac:dyDescent="0.25">
      <c r="C475" s="397"/>
      <c r="D475" s="332" t="str">
        <f t="shared" si="132"/>
        <v>Наименование объекта / группы объектов 12</v>
      </c>
      <c r="E475" s="337" t="s">
        <v>13</v>
      </c>
      <c r="F475" s="297"/>
      <c r="G475" s="297"/>
      <c r="H475" s="297"/>
      <c r="I475" s="297"/>
      <c r="J475" s="297"/>
      <c r="K475" s="297"/>
      <c r="L475" s="297"/>
      <c r="M475" s="297"/>
      <c r="N475" s="297"/>
      <c r="O475" s="297"/>
      <c r="P475" s="297"/>
      <c r="Q475" s="297"/>
      <c r="R475" s="297"/>
      <c r="S475" s="297">
        <f>'[9]Сводная форма'!CF468</f>
        <v>0</v>
      </c>
      <c r="T475" s="297">
        <f>'[9]Сводная форма'!CG468</f>
        <v>0</v>
      </c>
      <c r="U475" s="297">
        <f>'[9]Сводная форма'!CH468</f>
        <v>0</v>
      </c>
      <c r="V475" s="297">
        <f>'[9]Сводная форма'!CI468</f>
        <v>0</v>
      </c>
      <c r="W475" s="297">
        <f>'[9]Сводная форма'!CJ468</f>
        <v>0</v>
      </c>
      <c r="X475" s="297">
        <f>'[9]Сводная форма'!CK468</f>
        <v>0</v>
      </c>
      <c r="Y475" s="297">
        <f>'[9]Сводная форма'!CL468</f>
        <v>0</v>
      </c>
      <c r="Z475" s="297">
        <f>'[9]Сводная форма'!CM468</f>
        <v>0</v>
      </c>
      <c r="AA475" s="301">
        <f t="shared" si="133"/>
        <v>0</v>
      </c>
      <c r="AB475" s="296">
        <f t="shared" si="134"/>
        <v>0</v>
      </c>
    </row>
    <row r="476" spans="3:28" hidden="1" outlineLevel="2" x14ac:dyDescent="0.25">
      <c r="C476" s="397"/>
      <c r="D476" s="332" t="str">
        <f t="shared" si="132"/>
        <v>Наименование объекта / группы объектов 13</v>
      </c>
      <c r="E476" s="337" t="s">
        <v>13</v>
      </c>
      <c r="F476" s="297"/>
      <c r="G476" s="297"/>
      <c r="H476" s="297"/>
      <c r="I476" s="297"/>
      <c r="J476" s="297"/>
      <c r="K476" s="297"/>
      <c r="L476" s="297"/>
      <c r="M476" s="297"/>
      <c r="N476" s="297"/>
      <c r="O476" s="297"/>
      <c r="P476" s="297"/>
      <c r="Q476" s="297"/>
      <c r="R476" s="297"/>
      <c r="S476" s="297">
        <f>'[9]Сводная форма'!CF469</f>
        <v>0</v>
      </c>
      <c r="T476" s="297">
        <f>'[9]Сводная форма'!CG469</f>
        <v>0</v>
      </c>
      <c r="U476" s="297">
        <f>'[9]Сводная форма'!CH469</f>
        <v>0</v>
      </c>
      <c r="V476" s="297">
        <f>'[9]Сводная форма'!CI469</f>
        <v>0</v>
      </c>
      <c r="W476" s="297">
        <f>'[9]Сводная форма'!CJ469</f>
        <v>0</v>
      </c>
      <c r="X476" s="297">
        <f>'[9]Сводная форма'!CK469</f>
        <v>0</v>
      </c>
      <c r="Y476" s="297">
        <f>'[9]Сводная форма'!CL469</f>
        <v>0</v>
      </c>
      <c r="Z476" s="297">
        <f>'[9]Сводная форма'!CM469</f>
        <v>0</v>
      </c>
      <c r="AA476" s="301">
        <f t="shared" si="133"/>
        <v>0</v>
      </c>
      <c r="AB476" s="296">
        <f t="shared" si="134"/>
        <v>0</v>
      </c>
    </row>
    <row r="477" spans="3:28" hidden="1" outlineLevel="2" x14ac:dyDescent="0.25">
      <c r="C477" s="397"/>
      <c r="D477" s="332" t="str">
        <f t="shared" si="132"/>
        <v>Наименование объекта / группы объектов 14</v>
      </c>
      <c r="E477" s="337" t="s">
        <v>13</v>
      </c>
      <c r="F477" s="297"/>
      <c r="G477" s="297"/>
      <c r="H477" s="297"/>
      <c r="I477" s="297"/>
      <c r="J477" s="297"/>
      <c r="K477" s="297"/>
      <c r="L477" s="297"/>
      <c r="M477" s="297"/>
      <c r="N477" s="297"/>
      <c r="O477" s="297"/>
      <c r="P477" s="297"/>
      <c r="Q477" s="297"/>
      <c r="R477" s="297"/>
      <c r="S477" s="297">
        <f>'[9]Сводная форма'!CF470</f>
        <v>0</v>
      </c>
      <c r="T477" s="297">
        <f>'[9]Сводная форма'!CG470</f>
        <v>0</v>
      </c>
      <c r="U477" s="297">
        <f>'[9]Сводная форма'!CH470</f>
        <v>0</v>
      </c>
      <c r="V477" s="297">
        <f>'[9]Сводная форма'!CI470</f>
        <v>0</v>
      </c>
      <c r="W477" s="297">
        <f>'[9]Сводная форма'!CJ470</f>
        <v>0</v>
      </c>
      <c r="X477" s="297">
        <f>'[9]Сводная форма'!CK470</f>
        <v>0</v>
      </c>
      <c r="Y477" s="297">
        <f>'[9]Сводная форма'!CL470</f>
        <v>0</v>
      </c>
      <c r="Z477" s="297">
        <f>'[9]Сводная форма'!CM470</f>
        <v>0</v>
      </c>
      <c r="AA477" s="301">
        <f t="shared" si="133"/>
        <v>0</v>
      </c>
      <c r="AB477" s="296">
        <f t="shared" si="134"/>
        <v>0</v>
      </c>
    </row>
    <row r="478" spans="3:28" hidden="1" outlineLevel="2" x14ac:dyDescent="0.25">
      <c r="C478" s="397"/>
      <c r="D478" s="332" t="str">
        <f t="shared" si="132"/>
        <v>Наименование объекта / группы объектов 15</v>
      </c>
      <c r="E478" s="337" t="s">
        <v>13</v>
      </c>
      <c r="F478" s="297"/>
      <c r="G478" s="297"/>
      <c r="H478" s="297"/>
      <c r="I478" s="297"/>
      <c r="J478" s="297"/>
      <c r="K478" s="297"/>
      <c r="L478" s="297"/>
      <c r="M478" s="297"/>
      <c r="N478" s="297"/>
      <c r="O478" s="297"/>
      <c r="P478" s="297"/>
      <c r="Q478" s="297"/>
      <c r="R478" s="297"/>
      <c r="S478" s="297">
        <f>'[9]Сводная форма'!CF471</f>
        <v>0</v>
      </c>
      <c r="T478" s="297">
        <f>'[9]Сводная форма'!CG471</f>
        <v>0</v>
      </c>
      <c r="U478" s="297">
        <f>'[9]Сводная форма'!CH471</f>
        <v>0</v>
      </c>
      <c r="V478" s="297">
        <f>'[9]Сводная форма'!CI471</f>
        <v>0</v>
      </c>
      <c r="W478" s="297">
        <f>'[9]Сводная форма'!CJ471</f>
        <v>0</v>
      </c>
      <c r="X478" s="297">
        <f>'[9]Сводная форма'!CK471</f>
        <v>0</v>
      </c>
      <c r="Y478" s="297">
        <f>'[9]Сводная форма'!CL471</f>
        <v>0</v>
      </c>
      <c r="Z478" s="297">
        <f>'[9]Сводная форма'!CM471</f>
        <v>0</v>
      </c>
      <c r="AA478" s="301">
        <f t="shared" si="133"/>
        <v>0</v>
      </c>
      <c r="AB478" s="296">
        <f t="shared" si="134"/>
        <v>0</v>
      </c>
    </row>
    <row r="479" spans="3:28" hidden="1" outlineLevel="2" x14ac:dyDescent="0.25">
      <c r="C479" s="397"/>
      <c r="D479" s="332" t="str">
        <f t="shared" si="132"/>
        <v>Наименование объекта / группы объектов 16</v>
      </c>
      <c r="E479" s="337" t="s">
        <v>13</v>
      </c>
      <c r="F479" s="297"/>
      <c r="G479" s="297"/>
      <c r="H479" s="297"/>
      <c r="I479" s="297"/>
      <c r="J479" s="297"/>
      <c r="K479" s="297"/>
      <c r="L479" s="297"/>
      <c r="M479" s="297"/>
      <c r="N479" s="297"/>
      <c r="O479" s="297"/>
      <c r="P479" s="297"/>
      <c r="Q479" s="297"/>
      <c r="R479" s="297"/>
      <c r="S479" s="297">
        <f>'[9]Сводная форма'!CF472</f>
        <v>0</v>
      </c>
      <c r="T479" s="297">
        <f>'[9]Сводная форма'!CG472</f>
        <v>0</v>
      </c>
      <c r="U479" s="297">
        <f>'[9]Сводная форма'!CH472</f>
        <v>0</v>
      </c>
      <c r="V479" s="297">
        <f>'[9]Сводная форма'!CI472</f>
        <v>0</v>
      </c>
      <c r="W479" s="297">
        <f>'[9]Сводная форма'!CJ472</f>
        <v>0</v>
      </c>
      <c r="X479" s="297">
        <f>'[9]Сводная форма'!CK472</f>
        <v>0</v>
      </c>
      <c r="Y479" s="297">
        <f>'[9]Сводная форма'!CL472</f>
        <v>0</v>
      </c>
      <c r="Z479" s="297">
        <f>'[9]Сводная форма'!CM472</f>
        <v>0</v>
      </c>
      <c r="AA479" s="301">
        <f t="shared" si="133"/>
        <v>0</v>
      </c>
      <c r="AB479" s="298">
        <f t="shared" si="134"/>
        <v>0</v>
      </c>
    </row>
    <row r="480" spans="3:28" hidden="1" outlineLevel="2" x14ac:dyDescent="0.25">
      <c r="C480" s="397"/>
      <c r="D480" s="332" t="str">
        <f t="shared" si="132"/>
        <v>Наименование объекта / группы объектов 17</v>
      </c>
      <c r="E480" s="337" t="s">
        <v>13</v>
      </c>
      <c r="F480" s="297"/>
      <c r="G480" s="297"/>
      <c r="H480" s="297"/>
      <c r="I480" s="297"/>
      <c r="J480" s="297"/>
      <c r="K480" s="297"/>
      <c r="L480" s="297"/>
      <c r="M480" s="297"/>
      <c r="N480" s="297"/>
      <c r="O480" s="297"/>
      <c r="P480" s="297"/>
      <c r="Q480" s="297"/>
      <c r="R480" s="297"/>
      <c r="S480" s="297">
        <f>'[9]Сводная форма'!CF473</f>
        <v>0</v>
      </c>
      <c r="T480" s="297">
        <f>'[9]Сводная форма'!CG473</f>
        <v>0</v>
      </c>
      <c r="U480" s="297">
        <f>'[9]Сводная форма'!CH473</f>
        <v>0</v>
      </c>
      <c r="V480" s="297">
        <f>'[9]Сводная форма'!CI473</f>
        <v>0</v>
      </c>
      <c r="W480" s="297">
        <f>'[9]Сводная форма'!CJ473</f>
        <v>0</v>
      </c>
      <c r="X480" s="297">
        <f>'[9]Сводная форма'!CK473</f>
        <v>0</v>
      </c>
      <c r="Y480" s="297">
        <f>'[9]Сводная форма'!CL473</f>
        <v>0</v>
      </c>
      <c r="Z480" s="297">
        <f>'[9]Сводная форма'!CM473</f>
        <v>0</v>
      </c>
      <c r="AA480" s="301">
        <f t="shared" si="133"/>
        <v>0</v>
      </c>
      <c r="AB480" s="298">
        <f t="shared" si="134"/>
        <v>0</v>
      </c>
    </row>
    <row r="481" spans="3:28" hidden="1" outlineLevel="2" x14ac:dyDescent="0.25">
      <c r="C481" s="397"/>
      <c r="D481" s="332" t="str">
        <f t="shared" si="132"/>
        <v>Наименование объекта / группы объектов 18</v>
      </c>
      <c r="E481" s="337" t="s">
        <v>13</v>
      </c>
      <c r="F481" s="297"/>
      <c r="G481" s="297"/>
      <c r="H481" s="297"/>
      <c r="I481" s="297"/>
      <c r="J481" s="297"/>
      <c r="K481" s="297"/>
      <c r="L481" s="297"/>
      <c r="M481" s="297"/>
      <c r="N481" s="297"/>
      <c r="O481" s="297"/>
      <c r="P481" s="297"/>
      <c r="Q481" s="297"/>
      <c r="R481" s="297"/>
      <c r="S481" s="297">
        <f>'[9]Сводная форма'!CF474</f>
        <v>0</v>
      </c>
      <c r="T481" s="297">
        <f>'[9]Сводная форма'!CG474</f>
        <v>0</v>
      </c>
      <c r="U481" s="297">
        <f>'[9]Сводная форма'!CH474</f>
        <v>0</v>
      </c>
      <c r="V481" s="297">
        <f>'[9]Сводная форма'!CI474</f>
        <v>0</v>
      </c>
      <c r="W481" s="297">
        <f>'[9]Сводная форма'!CJ474</f>
        <v>0</v>
      </c>
      <c r="X481" s="297">
        <f>'[9]Сводная форма'!CK474</f>
        <v>0</v>
      </c>
      <c r="Y481" s="297">
        <f>'[9]Сводная форма'!CL474</f>
        <v>0</v>
      </c>
      <c r="Z481" s="297">
        <f>'[9]Сводная форма'!CM474</f>
        <v>0</v>
      </c>
      <c r="AA481" s="301">
        <f t="shared" si="133"/>
        <v>0</v>
      </c>
      <c r="AB481" s="296">
        <f t="shared" si="134"/>
        <v>0</v>
      </c>
    </row>
    <row r="482" spans="3:28" hidden="1" outlineLevel="2" x14ac:dyDescent="0.25">
      <c r="C482" s="397"/>
      <c r="D482" s="332" t="str">
        <f t="shared" si="132"/>
        <v>Наименование объекта / группы объектов 19</v>
      </c>
      <c r="E482" s="337" t="s">
        <v>13</v>
      </c>
      <c r="F482" s="297"/>
      <c r="G482" s="297"/>
      <c r="H482" s="297"/>
      <c r="I482" s="297"/>
      <c r="J482" s="297"/>
      <c r="K482" s="297"/>
      <c r="L482" s="297"/>
      <c r="M482" s="297"/>
      <c r="N482" s="297"/>
      <c r="O482" s="297"/>
      <c r="P482" s="297"/>
      <c r="Q482" s="297"/>
      <c r="R482" s="297"/>
      <c r="S482" s="297">
        <f>'[9]Сводная форма'!CF475</f>
        <v>0</v>
      </c>
      <c r="T482" s="297">
        <f>'[9]Сводная форма'!CG475</f>
        <v>0</v>
      </c>
      <c r="U482" s="297">
        <f>'[9]Сводная форма'!CH475</f>
        <v>0</v>
      </c>
      <c r="V482" s="297">
        <f>'[9]Сводная форма'!CI475</f>
        <v>0</v>
      </c>
      <c r="W482" s="297">
        <f>'[9]Сводная форма'!CJ475</f>
        <v>0</v>
      </c>
      <c r="X482" s="297">
        <f>'[9]Сводная форма'!CK475</f>
        <v>0</v>
      </c>
      <c r="Y482" s="297">
        <f>'[9]Сводная форма'!CL475</f>
        <v>0</v>
      </c>
      <c r="Z482" s="297">
        <f>'[9]Сводная форма'!CM475</f>
        <v>0</v>
      </c>
      <c r="AA482" s="301">
        <f t="shared" si="133"/>
        <v>0</v>
      </c>
      <c r="AB482" s="296">
        <f t="shared" si="134"/>
        <v>0</v>
      </c>
    </row>
    <row r="483" spans="3:28" hidden="1" outlineLevel="2" x14ac:dyDescent="0.25">
      <c r="C483" s="397"/>
      <c r="D483" s="332" t="str">
        <f t="shared" si="132"/>
        <v>Наименование объекта / группы объектов 20</v>
      </c>
      <c r="E483" s="337" t="s">
        <v>13</v>
      </c>
      <c r="F483" s="297"/>
      <c r="G483" s="297"/>
      <c r="H483" s="297"/>
      <c r="I483" s="297"/>
      <c r="J483" s="297"/>
      <c r="K483" s="297"/>
      <c r="L483" s="297"/>
      <c r="M483" s="297"/>
      <c r="N483" s="297"/>
      <c r="O483" s="297"/>
      <c r="P483" s="297"/>
      <c r="Q483" s="297"/>
      <c r="R483" s="297"/>
      <c r="S483" s="297">
        <f>'[9]Сводная форма'!CF476</f>
        <v>0</v>
      </c>
      <c r="T483" s="297">
        <f>'[9]Сводная форма'!CG476</f>
        <v>0</v>
      </c>
      <c r="U483" s="297">
        <f>'[9]Сводная форма'!CH476</f>
        <v>0</v>
      </c>
      <c r="V483" s="297">
        <f>'[9]Сводная форма'!CI476</f>
        <v>0</v>
      </c>
      <c r="W483" s="297">
        <f>'[9]Сводная форма'!CJ476</f>
        <v>0</v>
      </c>
      <c r="X483" s="297">
        <f>'[9]Сводная форма'!CK476</f>
        <v>0</v>
      </c>
      <c r="Y483" s="297">
        <f>'[9]Сводная форма'!CL476</f>
        <v>0</v>
      </c>
      <c r="Z483" s="297">
        <f>'[9]Сводная форма'!CM476</f>
        <v>0</v>
      </c>
      <c r="AA483" s="301">
        <f t="shared" si="133"/>
        <v>0</v>
      </c>
      <c r="AB483" s="296">
        <f t="shared" si="134"/>
        <v>0</v>
      </c>
    </row>
    <row r="484" spans="3:28" hidden="1" outlineLevel="2" x14ac:dyDescent="0.25">
      <c r="C484" s="397"/>
      <c r="D484" s="332" t="str">
        <f t="shared" si="132"/>
        <v>Наименование объекта / группы объектов 21</v>
      </c>
      <c r="E484" s="337" t="s">
        <v>13</v>
      </c>
      <c r="F484" s="297"/>
      <c r="G484" s="297"/>
      <c r="H484" s="297"/>
      <c r="I484" s="297"/>
      <c r="J484" s="297"/>
      <c r="K484" s="297"/>
      <c r="L484" s="297"/>
      <c r="M484" s="297"/>
      <c r="N484" s="297"/>
      <c r="O484" s="297"/>
      <c r="P484" s="297"/>
      <c r="Q484" s="297"/>
      <c r="R484" s="297"/>
      <c r="S484" s="297">
        <f>'[9]Сводная форма'!CF477</f>
        <v>0</v>
      </c>
      <c r="T484" s="297">
        <f>'[9]Сводная форма'!CG477</f>
        <v>0</v>
      </c>
      <c r="U484" s="297">
        <f>'[9]Сводная форма'!CH477</f>
        <v>0</v>
      </c>
      <c r="V484" s="297">
        <f>'[9]Сводная форма'!CI477</f>
        <v>0</v>
      </c>
      <c r="W484" s="297">
        <f>'[9]Сводная форма'!CJ477</f>
        <v>0</v>
      </c>
      <c r="X484" s="297">
        <f>'[9]Сводная форма'!CK477</f>
        <v>0</v>
      </c>
      <c r="Y484" s="297">
        <f>'[9]Сводная форма'!CL477</f>
        <v>0</v>
      </c>
      <c r="Z484" s="297">
        <f>'[9]Сводная форма'!CM477</f>
        <v>0</v>
      </c>
      <c r="AA484" s="301">
        <f t="shared" si="133"/>
        <v>0</v>
      </c>
      <c r="AB484" s="296">
        <f t="shared" si="134"/>
        <v>0</v>
      </c>
    </row>
    <row r="485" spans="3:28" hidden="1" outlineLevel="2" x14ac:dyDescent="0.25">
      <c r="C485" s="397"/>
      <c r="D485" s="332" t="str">
        <f t="shared" si="132"/>
        <v>Наименование объекта / группы объектов 22</v>
      </c>
      <c r="E485" s="337" t="s">
        <v>13</v>
      </c>
      <c r="F485" s="297"/>
      <c r="G485" s="297"/>
      <c r="H485" s="297"/>
      <c r="I485" s="297"/>
      <c r="J485" s="297"/>
      <c r="K485" s="297"/>
      <c r="L485" s="297"/>
      <c r="M485" s="297"/>
      <c r="N485" s="297"/>
      <c r="O485" s="297"/>
      <c r="P485" s="297"/>
      <c r="Q485" s="297"/>
      <c r="R485" s="297"/>
      <c r="S485" s="297">
        <f>'[9]Сводная форма'!CF478</f>
        <v>0</v>
      </c>
      <c r="T485" s="297">
        <f>'[9]Сводная форма'!CG478</f>
        <v>0</v>
      </c>
      <c r="U485" s="297">
        <f>'[9]Сводная форма'!CH478</f>
        <v>0</v>
      </c>
      <c r="V485" s="297">
        <f>'[9]Сводная форма'!CI478</f>
        <v>0</v>
      </c>
      <c r="W485" s="297">
        <f>'[9]Сводная форма'!CJ478</f>
        <v>0</v>
      </c>
      <c r="X485" s="297">
        <f>'[9]Сводная форма'!CK478</f>
        <v>0</v>
      </c>
      <c r="Y485" s="297">
        <f>'[9]Сводная форма'!CL478</f>
        <v>0</v>
      </c>
      <c r="Z485" s="297">
        <f>'[9]Сводная форма'!CM478</f>
        <v>0</v>
      </c>
      <c r="AA485" s="301">
        <f t="shared" si="133"/>
        <v>0</v>
      </c>
      <c r="AB485" s="296">
        <f t="shared" si="134"/>
        <v>0</v>
      </c>
    </row>
    <row r="486" spans="3:28" hidden="1" outlineLevel="2" x14ac:dyDescent="0.25">
      <c r="C486" s="397"/>
      <c r="D486" s="332" t="str">
        <f t="shared" si="132"/>
        <v>Наименование объекта / группы объектов 23</v>
      </c>
      <c r="E486" s="337" t="s">
        <v>13</v>
      </c>
      <c r="F486" s="297"/>
      <c r="G486" s="297"/>
      <c r="H486" s="297"/>
      <c r="I486" s="297"/>
      <c r="J486" s="297"/>
      <c r="K486" s="297"/>
      <c r="L486" s="297"/>
      <c r="M486" s="297"/>
      <c r="N486" s="297"/>
      <c r="O486" s="297"/>
      <c r="P486" s="297"/>
      <c r="Q486" s="297"/>
      <c r="R486" s="297"/>
      <c r="S486" s="297">
        <f>'[9]Сводная форма'!CF479</f>
        <v>0</v>
      </c>
      <c r="T486" s="297">
        <f>'[9]Сводная форма'!CG479</f>
        <v>0</v>
      </c>
      <c r="U486" s="297">
        <f>'[9]Сводная форма'!CH479</f>
        <v>0</v>
      </c>
      <c r="V486" s="297">
        <f>'[9]Сводная форма'!CI479</f>
        <v>0</v>
      </c>
      <c r="W486" s="297">
        <f>'[9]Сводная форма'!CJ479</f>
        <v>0</v>
      </c>
      <c r="X486" s="297">
        <f>'[9]Сводная форма'!CK479</f>
        <v>0</v>
      </c>
      <c r="Y486" s="297">
        <f>'[9]Сводная форма'!CL479</f>
        <v>0</v>
      </c>
      <c r="Z486" s="297">
        <f>'[9]Сводная форма'!CM479</f>
        <v>0</v>
      </c>
      <c r="AA486" s="301">
        <f t="shared" si="133"/>
        <v>0</v>
      </c>
      <c r="AB486" s="296">
        <f t="shared" si="134"/>
        <v>0</v>
      </c>
    </row>
    <row r="487" spans="3:28" hidden="1" outlineLevel="2" x14ac:dyDescent="0.25">
      <c r="C487" s="397"/>
      <c r="D487" s="332" t="str">
        <f t="shared" si="132"/>
        <v>Наименование объекта / группы объектов 24</v>
      </c>
      <c r="E487" s="337" t="s">
        <v>13</v>
      </c>
      <c r="F487" s="297"/>
      <c r="G487" s="297"/>
      <c r="H487" s="297"/>
      <c r="I487" s="297"/>
      <c r="J487" s="297"/>
      <c r="K487" s="297"/>
      <c r="L487" s="297"/>
      <c r="M487" s="297"/>
      <c r="N487" s="297"/>
      <c r="O487" s="297"/>
      <c r="P487" s="297"/>
      <c r="Q487" s="297"/>
      <c r="R487" s="297"/>
      <c r="S487" s="297">
        <f>'[9]Сводная форма'!CF480</f>
        <v>0</v>
      </c>
      <c r="T487" s="297">
        <f>'[9]Сводная форма'!CG480</f>
        <v>0</v>
      </c>
      <c r="U487" s="297">
        <f>'[9]Сводная форма'!CH480</f>
        <v>0</v>
      </c>
      <c r="V487" s="297">
        <f>'[9]Сводная форма'!CI480</f>
        <v>0</v>
      </c>
      <c r="W487" s="297">
        <f>'[9]Сводная форма'!CJ480</f>
        <v>0</v>
      </c>
      <c r="X487" s="297">
        <f>'[9]Сводная форма'!CK480</f>
        <v>0</v>
      </c>
      <c r="Y487" s="297">
        <f>'[9]Сводная форма'!CL480</f>
        <v>0</v>
      </c>
      <c r="Z487" s="297">
        <f>'[9]Сводная форма'!CM480</f>
        <v>0</v>
      </c>
      <c r="AA487" s="301">
        <f t="shared" si="133"/>
        <v>0</v>
      </c>
      <c r="AB487" s="296">
        <f t="shared" si="134"/>
        <v>0</v>
      </c>
    </row>
    <row r="488" spans="3:28" hidden="1" outlineLevel="2" x14ac:dyDescent="0.25">
      <c r="C488" s="397"/>
      <c r="D488" s="332" t="str">
        <f t="shared" si="132"/>
        <v>Наименование объекта / группы объектов 25</v>
      </c>
      <c r="E488" s="337" t="s">
        <v>13</v>
      </c>
      <c r="F488" s="297"/>
      <c r="G488" s="297"/>
      <c r="H488" s="297"/>
      <c r="I488" s="297"/>
      <c r="J488" s="297"/>
      <c r="K488" s="297"/>
      <c r="L488" s="297"/>
      <c r="M488" s="297"/>
      <c r="N488" s="297"/>
      <c r="O488" s="297"/>
      <c r="P488" s="297"/>
      <c r="Q488" s="297"/>
      <c r="R488" s="297"/>
      <c r="S488" s="297">
        <f>'[9]Сводная форма'!CF481</f>
        <v>0</v>
      </c>
      <c r="T488" s="297">
        <f>'[9]Сводная форма'!CG481</f>
        <v>0</v>
      </c>
      <c r="U488" s="297">
        <f>'[9]Сводная форма'!CH481</f>
        <v>0</v>
      </c>
      <c r="V488" s="297">
        <f>'[9]Сводная форма'!CI481</f>
        <v>0</v>
      </c>
      <c r="W488" s="297">
        <f>'[9]Сводная форма'!CJ481</f>
        <v>0</v>
      </c>
      <c r="X488" s="297">
        <f>'[9]Сводная форма'!CK481</f>
        <v>0</v>
      </c>
      <c r="Y488" s="297">
        <f>'[9]Сводная форма'!CL481</f>
        <v>0</v>
      </c>
      <c r="Z488" s="297">
        <f>'[9]Сводная форма'!CM481</f>
        <v>0</v>
      </c>
      <c r="AA488" s="301">
        <f>IFERROR(AVERAGE(J488:Z488),0)</f>
        <v>0</v>
      </c>
      <c r="AB488" s="296">
        <f>AA488/1000</f>
        <v>0</v>
      </c>
    </row>
    <row r="489" spans="3:28" outlineLevel="1" collapsed="1" x14ac:dyDescent="0.25">
      <c r="C489" s="397"/>
      <c r="D489" s="366" t="s">
        <v>94</v>
      </c>
      <c r="E489" s="337"/>
      <c r="F489" s="314"/>
      <c r="G489" s="314"/>
      <c r="H489" s="314"/>
      <c r="I489" s="314"/>
      <c r="J489" s="314"/>
      <c r="K489" s="314"/>
      <c r="L489" s="314"/>
      <c r="M489" s="314"/>
      <c r="N489" s="314"/>
      <c r="O489" s="314"/>
      <c r="P489" s="314"/>
      <c r="Q489" s="314"/>
      <c r="R489" s="314"/>
      <c r="S489" s="297"/>
      <c r="T489" s="297"/>
      <c r="U489" s="297"/>
      <c r="V489" s="297"/>
      <c r="W489" s="297"/>
      <c r="X489" s="297"/>
      <c r="Y489" s="297"/>
      <c r="Z489" s="297"/>
      <c r="AA489" s="301">
        <f>IFERROR(AVERAGE(J489:Z489),0)</f>
        <v>0</v>
      </c>
      <c r="AB489" s="296">
        <f>AA489/1000</f>
        <v>0</v>
      </c>
    </row>
    <row r="490" spans="3:28" x14ac:dyDescent="0.25">
      <c r="C490" s="326">
        <v>8</v>
      </c>
      <c r="D490" s="327" t="s">
        <v>118</v>
      </c>
      <c r="E490" s="392" t="s">
        <v>10</v>
      </c>
      <c r="F490" s="354">
        <f>F491-F492</f>
        <v>0</v>
      </c>
      <c r="G490" s="354">
        <f t="shared" ref="G490" si="135">G491-G492</f>
        <v>0</v>
      </c>
      <c r="H490" s="354">
        <f t="shared" ref="H490" si="136">H491-H492</f>
        <v>0</v>
      </c>
      <c r="I490" s="354">
        <f t="shared" ref="I490" si="137">I491-I492</f>
        <v>0</v>
      </c>
      <c r="J490" s="354">
        <f t="shared" ref="J490" si="138">J491-J492</f>
        <v>0</v>
      </c>
      <c r="K490" s="354">
        <f t="shared" ref="K490" si="139">K491-K492</f>
        <v>0</v>
      </c>
      <c r="L490" s="354">
        <f t="shared" ref="L490" si="140">L491-L492</f>
        <v>0</v>
      </c>
      <c r="M490" s="354">
        <f t="shared" ref="M490" si="141">M491-M492</f>
        <v>0</v>
      </c>
      <c r="N490" s="354">
        <f t="shared" ref="N490" si="142">N491-N492</f>
        <v>0</v>
      </c>
      <c r="O490" s="354">
        <f t="shared" ref="O490" si="143">O491-O492</f>
        <v>0</v>
      </c>
      <c r="P490" s="354">
        <f t="shared" ref="P490" si="144">P491-P492</f>
        <v>0</v>
      </c>
      <c r="Q490" s="354">
        <f t="shared" ref="Q490" si="145">Q491-Q492</f>
        <v>0</v>
      </c>
      <c r="R490" s="354">
        <f t="shared" ref="R490:Z490" si="146">R491-R492</f>
        <v>0</v>
      </c>
      <c r="S490" s="354">
        <f t="shared" si="146"/>
        <v>0</v>
      </c>
      <c r="T490" s="354">
        <f t="shared" si="146"/>
        <v>0</v>
      </c>
      <c r="U490" s="354">
        <f t="shared" si="146"/>
        <v>0</v>
      </c>
      <c r="V490" s="354">
        <f t="shared" si="146"/>
        <v>0</v>
      </c>
      <c r="W490" s="354">
        <f t="shared" si="146"/>
        <v>0</v>
      </c>
      <c r="X490" s="354">
        <f t="shared" si="146"/>
        <v>0</v>
      </c>
      <c r="Y490" s="354">
        <f t="shared" si="146"/>
        <v>0</v>
      </c>
      <c r="Z490" s="354">
        <f t="shared" si="146"/>
        <v>0</v>
      </c>
      <c r="AA490" s="354">
        <f>AA491-AA492</f>
        <v>0</v>
      </c>
      <c r="AB490" s="354">
        <f>AB491-AB492</f>
        <v>0</v>
      </c>
    </row>
    <row r="491" spans="3:28" hidden="1" outlineLevel="1" x14ac:dyDescent="0.25">
      <c r="C491" s="395"/>
      <c r="D491" s="338" t="s">
        <v>12</v>
      </c>
      <c r="E491" s="365" t="s">
        <v>13</v>
      </c>
      <c r="F491" s="312"/>
      <c r="G491" s="312"/>
      <c r="H491" s="312"/>
      <c r="I491" s="312"/>
      <c r="J491" s="312"/>
      <c r="K491" s="312"/>
      <c r="L491" s="312"/>
      <c r="M491" s="312"/>
      <c r="N491" s="312"/>
      <c r="O491" s="312"/>
      <c r="P491" s="312"/>
      <c r="Q491" s="312"/>
      <c r="R491" s="312"/>
      <c r="S491" s="312"/>
      <c r="T491" s="312"/>
      <c r="U491" s="312"/>
      <c r="V491" s="312"/>
      <c r="W491" s="312"/>
      <c r="X491" s="312"/>
      <c r="Y491" s="312"/>
      <c r="Z491" s="312"/>
      <c r="AA491" s="308">
        <f>SUM(J491:Z491)</f>
        <v>0</v>
      </c>
      <c r="AB491" s="296">
        <f>AA491/1000</f>
        <v>0</v>
      </c>
    </row>
    <row r="492" spans="3:28" hidden="1" outlineLevel="1" x14ac:dyDescent="0.25">
      <c r="C492" s="395"/>
      <c r="D492" s="338" t="s">
        <v>112</v>
      </c>
      <c r="E492" s="365" t="s">
        <v>13</v>
      </c>
      <c r="F492" s="296">
        <f>F493+F508</f>
        <v>0</v>
      </c>
      <c r="G492" s="296">
        <f t="shared" ref="G492:R492" si="147">G493+G508</f>
        <v>0</v>
      </c>
      <c r="H492" s="296">
        <f t="shared" si="147"/>
        <v>0</v>
      </c>
      <c r="I492" s="296">
        <f t="shared" si="147"/>
        <v>0</v>
      </c>
      <c r="J492" s="296">
        <f t="shared" si="147"/>
        <v>0</v>
      </c>
      <c r="K492" s="296">
        <f t="shared" si="147"/>
        <v>0</v>
      </c>
      <c r="L492" s="296">
        <f t="shared" si="147"/>
        <v>0</v>
      </c>
      <c r="M492" s="296">
        <f t="shared" si="147"/>
        <v>0</v>
      </c>
      <c r="N492" s="296">
        <f t="shared" si="147"/>
        <v>0</v>
      </c>
      <c r="O492" s="296">
        <f t="shared" si="147"/>
        <v>0</v>
      </c>
      <c r="P492" s="296">
        <f t="shared" si="147"/>
        <v>0</v>
      </c>
      <c r="Q492" s="296">
        <f t="shared" si="147"/>
        <v>0</v>
      </c>
      <c r="R492" s="296">
        <f t="shared" si="147"/>
        <v>0</v>
      </c>
      <c r="S492" s="296">
        <f t="shared" ref="S492:Z492" si="148">S493+S508</f>
        <v>0</v>
      </c>
      <c r="T492" s="296">
        <f t="shared" si="148"/>
        <v>0</v>
      </c>
      <c r="U492" s="296">
        <f t="shared" si="148"/>
        <v>0</v>
      </c>
      <c r="V492" s="296">
        <f t="shared" si="148"/>
        <v>0</v>
      </c>
      <c r="W492" s="296">
        <f t="shared" si="148"/>
        <v>0</v>
      </c>
      <c r="X492" s="296">
        <f t="shared" si="148"/>
        <v>0</v>
      </c>
      <c r="Y492" s="296">
        <f t="shared" si="148"/>
        <v>0</v>
      </c>
      <c r="Z492" s="296">
        <f t="shared" si="148"/>
        <v>0</v>
      </c>
      <c r="AA492" s="308">
        <f t="shared" ref="AA492:AA507" si="149">SUM(J492:Z492)</f>
        <v>0</v>
      </c>
      <c r="AB492" s="296">
        <f t="shared" ref="AB492:AB533" si="150">AA492/1000</f>
        <v>0</v>
      </c>
    </row>
    <row r="493" spans="3:28" hidden="1" outlineLevel="1" x14ac:dyDescent="0.25">
      <c r="C493" s="395"/>
      <c r="D493" s="338" t="s">
        <v>113</v>
      </c>
      <c r="E493" s="365" t="s">
        <v>13</v>
      </c>
      <c r="F493" s="312"/>
      <c r="G493" s="312"/>
      <c r="H493" s="312"/>
      <c r="I493" s="312"/>
      <c r="J493" s="312"/>
      <c r="K493" s="312"/>
      <c r="L493" s="312"/>
      <c r="M493" s="312"/>
      <c r="N493" s="312"/>
      <c r="O493" s="312"/>
      <c r="P493" s="312"/>
      <c r="Q493" s="312"/>
      <c r="R493" s="312"/>
      <c r="S493" s="312"/>
      <c r="T493" s="312"/>
      <c r="U493" s="312"/>
      <c r="V493" s="312"/>
      <c r="W493" s="312"/>
      <c r="X493" s="312"/>
      <c r="Y493" s="312"/>
      <c r="Z493" s="312"/>
      <c r="AA493" s="308">
        <f t="shared" si="149"/>
        <v>0</v>
      </c>
      <c r="AB493" s="296">
        <f t="shared" si="150"/>
        <v>0</v>
      </c>
    </row>
    <row r="494" spans="3:28" hidden="1" outlineLevel="1" x14ac:dyDescent="0.25">
      <c r="C494" s="396"/>
      <c r="D494" s="355" t="s">
        <v>114</v>
      </c>
      <c r="E494" s="367" t="s">
        <v>13</v>
      </c>
      <c r="F494" s="313"/>
      <c r="G494" s="313"/>
      <c r="H494" s="313"/>
      <c r="I494" s="313"/>
      <c r="J494" s="313"/>
      <c r="K494" s="313"/>
      <c r="L494" s="313"/>
      <c r="M494" s="313"/>
      <c r="N494" s="313"/>
      <c r="O494" s="313"/>
      <c r="P494" s="313"/>
      <c r="Q494" s="313"/>
      <c r="R494" s="313"/>
      <c r="S494" s="313"/>
      <c r="T494" s="313"/>
      <c r="U494" s="313"/>
      <c r="V494" s="313"/>
      <c r="W494" s="313"/>
      <c r="X494" s="313"/>
      <c r="Y494" s="313"/>
      <c r="Z494" s="313"/>
      <c r="AA494" s="310">
        <f t="shared" si="149"/>
        <v>0</v>
      </c>
      <c r="AB494" s="310">
        <f t="shared" si="150"/>
        <v>0</v>
      </c>
    </row>
    <row r="495" spans="3:28" hidden="1" outlineLevel="1" x14ac:dyDescent="0.25">
      <c r="C495" s="396"/>
      <c r="D495" s="357" t="s">
        <v>40</v>
      </c>
      <c r="E495" s="367" t="s">
        <v>13</v>
      </c>
      <c r="F495" s="313"/>
      <c r="G495" s="313"/>
      <c r="H495" s="313"/>
      <c r="I495" s="313"/>
      <c r="J495" s="313"/>
      <c r="K495" s="313"/>
      <c r="L495" s="313"/>
      <c r="M495" s="313"/>
      <c r="N495" s="313"/>
      <c r="O495" s="313"/>
      <c r="P495" s="313"/>
      <c r="Q495" s="313"/>
      <c r="R495" s="313"/>
      <c r="S495" s="313"/>
      <c r="T495" s="313"/>
      <c r="U495" s="313"/>
      <c r="V495" s="313"/>
      <c r="W495" s="313"/>
      <c r="X495" s="313"/>
      <c r="Y495" s="313"/>
      <c r="Z495" s="313"/>
      <c r="AA495" s="310">
        <f t="shared" si="149"/>
        <v>0</v>
      </c>
      <c r="AB495" s="310">
        <f t="shared" si="150"/>
        <v>0</v>
      </c>
    </row>
    <row r="496" spans="3:28" hidden="1" outlineLevel="1" x14ac:dyDescent="0.25">
      <c r="C496" s="396"/>
      <c r="D496" s="357" t="s">
        <v>98</v>
      </c>
      <c r="E496" s="367" t="s">
        <v>13</v>
      </c>
      <c r="F496" s="313"/>
      <c r="G496" s="313"/>
      <c r="H496" s="313"/>
      <c r="I496" s="313"/>
      <c r="J496" s="313"/>
      <c r="K496" s="313"/>
      <c r="L496" s="313"/>
      <c r="M496" s="313"/>
      <c r="N496" s="313"/>
      <c r="O496" s="313"/>
      <c r="P496" s="313"/>
      <c r="Q496" s="313"/>
      <c r="R496" s="313"/>
      <c r="S496" s="313"/>
      <c r="T496" s="313"/>
      <c r="U496" s="313"/>
      <c r="V496" s="313"/>
      <c r="W496" s="313"/>
      <c r="X496" s="313"/>
      <c r="Y496" s="313"/>
      <c r="Z496" s="313"/>
      <c r="AA496" s="310">
        <f t="shared" si="149"/>
        <v>0</v>
      </c>
      <c r="AB496" s="310">
        <f>AA496/1000</f>
        <v>0</v>
      </c>
    </row>
    <row r="497" spans="3:28" hidden="1" outlineLevel="1" x14ac:dyDescent="0.25">
      <c r="C497" s="396"/>
      <c r="D497" s="357" t="s">
        <v>48</v>
      </c>
      <c r="E497" s="367" t="s">
        <v>13</v>
      </c>
      <c r="F497" s="313"/>
      <c r="G497" s="313"/>
      <c r="H497" s="313"/>
      <c r="I497" s="313"/>
      <c r="J497" s="313"/>
      <c r="K497" s="313"/>
      <c r="L497" s="313"/>
      <c r="M497" s="313"/>
      <c r="N497" s="313"/>
      <c r="O497" s="313"/>
      <c r="P497" s="313"/>
      <c r="Q497" s="313"/>
      <c r="R497" s="313"/>
      <c r="S497" s="313"/>
      <c r="T497" s="313"/>
      <c r="U497" s="313"/>
      <c r="V497" s="313"/>
      <c r="W497" s="313"/>
      <c r="X497" s="313"/>
      <c r="Y497" s="313"/>
      <c r="Z497" s="313"/>
      <c r="AA497" s="310">
        <f t="shared" si="149"/>
        <v>0</v>
      </c>
      <c r="AB497" s="310">
        <f t="shared" si="150"/>
        <v>0</v>
      </c>
    </row>
    <row r="498" spans="3:28" hidden="1" outlineLevel="1" x14ac:dyDescent="0.25">
      <c r="C498" s="396"/>
      <c r="D498" s="357" t="s">
        <v>99</v>
      </c>
      <c r="E498" s="367" t="s">
        <v>13</v>
      </c>
      <c r="F498" s="313"/>
      <c r="G498" s="313"/>
      <c r="H498" s="313"/>
      <c r="I498" s="313"/>
      <c r="J498" s="313"/>
      <c r="K498" s="313"/>
      <c r="L498" s="313"/>
      <c r="M498" s="313"/>
      <c r="N498" s="313"/>
      <c r="O498" s="313"/>
      <c r="P498" s="313"/>
      <c r="Q498" s="313"/>
      <c r="R498" s="313"/>
      <c r="S498" s="313"/>
      <c r="T498" s="313"/>
      <c r="U498" s="313"/>
      <c r="V498" s="313"/>
      <c r="W498" s="313"/>
      <c r="X498" s="313"/>
      <c r="Y498" s="313"/>
      <c r="Z498" s="313"/>
      <c r="AA498" s="310">
        <f t="shared" si="149"/>
        <v>0</v>
      </c>
      <c r="AB498" s="310">
        <f t="shared" si="150"/>
        <v>0</v>
      </c>
    </row>
    <row r="499" spans="3:28" hidden="1" outlineLevel="1" x14ac:dyDescent="0.25">
      <c r="C499" s="396"/>
      <c r="D499" s="357" t="s">
        <v>100</v>
      </c>
      <c r="E499" s="367" t="s">
        <v>13</v>
      </c>
      <c r="F499" s="313"/>
      <c r="G499" s="313"/>
      <c r="H499" s="313"/>
      <c r="I499" s="313"/>
      <c r="J499" s="313"/>
      <c r="K499" s="313"/>
      <c r="L499" s="313"/>
      <c r="M499" s="313"/>
      <c r="N499" s="313"/>
      <c r="O499" s="313"/>
      <c r="P499" s="313"/>
      <c r="Q499" s="313"/>
      <c r="R499" s="313"/>
      <c r="S499" s="313"/>
      <c r="T499" s="313"/>
      <c r="U499" s="313"/>
      <c r="V499" s="313"/>
      <c r="W499" s="313"/>
      <c r="X499" s="313"/>
      <c r="Y499" s="313"/>
      <c r="Z499" s="313"/>
      <c r="AA499" s="310">
        <f t="shared" si="149"/>
        <v>0</v>
      </c>
      <c r="AB499" s="310">
        <f t="shared" si="150"/>
        <v>0</v>
      </c>
    </row>
    <row r="500" spans="3:28" hidden="1" outlineLevel="1" x14ac:dyDescent="0.25">
      <c r="C500" s="396"/>
      <c r="D500" s="357" t="s">
        <v>101</v>
      </c>
      <c r="E500" s="367" t="s">
        <v>13</v>
      </c>
      <c r="F500" s="313"/>
      <c r="G500" s="313"/>
      <c r="H500" s="313"/>
      <c r="I500" s="313"/>
      <c r="J500" s="313"/>
      <c r="K500" s="313"/>
      <c r="L500" s="313"/>
      <c r="M500" s="313"/>
      <c r="N500" s="313"/>
      <c r="O500" s="313"/>
      <c r="P500" s="313"/>
      <c r="Q500" s="313"/>
      <c r="R500" s="313"/>
      <c r="S500" s="313"/>
      <c r="T500" s="313"/>
      <c r="U500" s="313"/>
      <c r="V500" s="313"/>
      <c r="W500" s="313"/>
      <c r="X500" s="313"/>
      <c r="Y500" s="313"/>
      <c r="Z500" s="313"/>
      <c r="AA500" s="310">
        <f t="shared" si="149"/>
        <v>0</v>
      </c>
      <c r="AB500" s="310">
        <f t="shared" si="150"/>
        <v>0</v>
      </c>
    </row>
    <row r="501" spans="3:28" hidden="1" outlineLevel="1" x14ac:dyDescent="0.25">
      <c r="C501" s="396"/>
      <c r="D501" s="357" t="s">
        <v>102</v>
      </c>
      <c r="E501" s="367" t="s">
        <v>13</v>
      </c>
      <c r="F501" s="313"/>
      <c r="G501" s="313"/>
      <c r="H501" s="313"/>
      <c r="I501" s="313"/>
      <c r="J501" s="313"/>
      <c r="K501" s="313"/>
      <c r="L501" s="313"/>
      <c r="M501" s="313"/>
      <c r="N501" s="313"/>
      <c r="O501" s="313"/>
      <c r="P501" s="313"/>
      <c r="Q501" s="313"/>
      <c r="R501" s="313"/>
      <c r="S501" s="313"/>
      <c r="T501" s="313"/>
      <c r="U501" s="313"/>
      <c r="V501" s="313"/>
      <c r="W501" s="313"/>
      <c r="X501" s="313"/>
      <c r="Y501" s="313"/>
      <c r="Z501" s="313"/>
      <c r="AA501" s="310">
        <f t="shared" si="149"/>
        <v>0</v>
      </c>
      <c r="AB501" s="310">
        <f t="shared" si="150"/>
        <v>0</v>
      </c>
    </row>
    <row r="502" spans="3:28" hidden="1" outlineLevel="1" x14ac:dyDescent="0.25">
      <c r="C502" s="396"/>
      <c r="D502" s="357" t="s">
        <v>103</v>
      </c>
      <c r="E502" s="367" t="s">
        <v>13</v>
      </c>
      <c r="F502" s="313"/>
      <c r="G502" s="313"/>
      <c r="H502" s="313"/>
      <c r="I502" s="313"/>
      <c r="J502" s="313"/>
      <c r="K502" s="313"/>
      <c r="L502" s="313"/>
      <c r="M502" s="313"/>
      <c r="N502" s="313"/>
      <c r="O502" s="313"/>
      <c r="P502" s="313"/>
      <c r="Q502" s="313"/>
      <c r="R502" s="313"/>
      <c r="S502" s="313"/>
      <c r="T502" s="313"/>
      <c r="U502" s="313"/>
      <c r="V502" s="313"/>
      <c r="W502" s="313"/>
      <c r="X502" s="313"/>
      <c r="Y502" s="313"/>
      <c r="Z502" s="313"/>
      <c r="AA502" s="310">
        <f t="shared" si="149"/>
        <v>0</v>
      </c>
      <c r="AB502" s="310">
        <f t="shared" si="150"/>
        <v>0</v>
      </c>
    </row>
    <row r="503" spans="3:28" hidden="1" outlineLevel="1" x14ac:dyDescent="0.25">
      <c r="C503" s="396"/>
      <c r="D503" s="357" t="s">
        <v>104</v>
      </c>
      <c r="E503" s="367" t="s">
        <v>13</v>
      </c>
      <c r="F503" s="313"/>
      <c r="G503" s="313"/>
      <c r="H503" s="313"/>
      <c r="I503" s="313"/>
      <c r="J503" s="313"/>
      <c r="K503" s="313"/>
      <c r="L503" s="313"/>
      <c r="M503" s="313"/>
      <c r="N503" s="313"/>
      <c r="O503" s="313"/>
      <c r="P503" s="313"/>
      <c r="Q503" s="313"/>
      <c r="R503" s="313"/>
      <c r="S503" s="313"/>
      <c r="T503" s="313"/>
      <c r="U503" s="313"/>
      <c r="V503" s="313"/>
      <c r="W503" s="313"/>
      <c r="X503" s="313"/>
      <c r="Y503" s="313"/>
      <c r="Z503" s="313"/>
      <c r="AA503" s="310">
        <f t="shared" si="149"/>
        <v>0</v>
      </c>
      <c r="AB503" s="310">
        <f t="shared" si="150"/>
        <v>0</v>
      </c>
    </row>
    <row r="504" spans="3:28" hidden="1" outlineLevel="1" x14ac:dyDescent="0.25">
      <c r="C504" s="396"/>
      <c r="D504" s="357" t="s">
        <v>105</v>
      </c>
      <c r="E504" s="367" t="s">
        <v>13</v>
      </c>
      <c r="F504" s="313"/>
      <c r="G504" s="313"/>
      <c r="H504" s="313"/>
      <c r="I504" s="313"/>
      <c r="J504" s="313"/>
      <c r="K504" s="313"/>
      <c r="L504" s="313"/>
      <c r="M504" s="313"/>
      <c r="N504" s="313"/>
      <c r="O504" s="313"/>
      <c r="P504" s="313"/>
      <c r="Q504" s="313"/>
      <c r="R504" s="313"/>
      <c r="S504" s="313"/>
      <c r="T504" s="313"/>
      <c r="U504" s="313"/>
      <c r="V504" s="313"/>
      <c r="W504" s="313"/>
      <c r="X504" s="313"/>
      <c r="Y504" s="313"/>
      <c r="Z504" s="313"/>
      <c r="AA504" s="310">
        <f>SUM(J504:Z504)</f>
        <v>0</v>
      </c>
      <c r="AB504" s="310">
        <f t="shared" si="150"/>
        <v>0</v>
      </c>
    </row>
    <row r="505" spans="3:28" hidden="1" outlineLevel="1" x14ac:dyDescent="0.25">
      <c r="C505" s="396"/>
      <c r="D505" s="357" t="s">
        <v>106</v>
      </c>
      <c r="E505" s="367" t="s">
        <v>13</v>
      </c>
      <c r="F505" s="313"/>
      <c r="G505" s="313"/>
      <c r="H505" s="313"/>
      <c r="I505" s="313"/>
      <c r="J505" s="313"/>
      <c r="K505" s="313"/>
      <c r="L505" s="313"/>
      <c r="M505" s="313"/>
      <c r="N505" s="313"/>
      <c r="O505" s="313"/>
      <c r="P505" s="313"/>
      <c r="Q505" s="313"/>
      <c r="R505" s="313"/>
      <c r="S505" s="313"/>
      <c r="T505" s="313"/>
      <c r="U505" s="313"/>
      <c r="V505" s="313"/>
      <c r="W505" s="313"/>
      <c r="X505" s="313"/>
      <c r="Y505" s="313"/>
      <c r="Z505" s="313"/>
      <c r="AA505" s="310">
        <f t="shared" si="149"/>
        <v>0</v>
      </c>
      <c r="AB505" s="310">
        <f t="shared" si="150"/>
        <v>0</v>
      </c>
    </row>
    <row r="506" spans="3:28" hidden="1" outlineLevel="1" x14ac:dyDescent="0.25">
      <c r="C506" s="396"/>
      <c r="D506" s="357" t="s">
        <v>49</v>
      </c>
      <c r="E506" s="367" t="s">
        <v>13</v>
      </c>
      <c r="F506" s="313"/>
      <c r="G506" s="313"/>
      <c r="H506" s="313"/>
      <c r="I506" s="313"/>
      <c r="J506" s="313"/>
      <c r="K506" s="313"/>
      <c r="L506" s="313"/>
      <c r="M506" s="313"/>
      <c r="N506" s="313"/>
      <c r="O506" s="313"/>
      <c r="P506" s="313"/>
      <c r="Q506" s="313"/>
      <c r="R506" s="313"/>
      <c r="S506" s="313"/>
      <c r="T506" s="313"/>
      <c r="U506" s="313"/>
      <c r="V506" s="313"/>
      <c r="W506" s="313"/>
      <c r="X506" s="313"/>
      <c r="Y506" s="313"/>
      <c r="Z506" s="313"/>
      <c r="AA506" s="310">
        <f t="shared" si="149"/>
        <v>0</v>
      </c>
      <c r="AB506" s="310">
        <f t="shared" si="150"/>
        <v>0</v>
      </c>
    </row>
    <row r="507" spans="3:28" hidden="1" outlineLevel="1" x14ac:dyDescent="0.25">
      <c r="C507" s="396"/>
      <c r="D507" s="357" t="s">
        <v>107</v>
      </c>
      <c r="E507" s="367" t="s">
        <v>13</v>
      </c>
      <c r="F507" s="313"/>
      <c r="G507" s="313"/>
      <c r="H507" s="313"/>
      <c r="I507" s="313"/>
      <c r="J507" s="313"/>
      <c r="K507" s="313"/>
      <c r="L507" s="313"/>
      <c r="M507" s="313"/>
      <c r="N507" s="313"/>
      <c r="O507" s="313"/>
      <c r="P507" s="313"/>
      <c r="Q507" s="313"/>
      <c r="R507" s="313"/>
      <c r="S507" s="313"/>
      <c r="T507" s="313"/>
      <c r="U507" s="313"/>
      <c r="V507" s="313"/>
      <c r="W507" s="313"/>
      <c r="X507" s="313"/>
      <c r="Y507" s="313"/>
      <c r="Z507" s="313"/>
      <c r="AA507" s="310">
        <f t="shared" si="149"/>
        <v>0</v>
      </c>
      <c r="AB507" s="310">
        <f t="shared" si="150"/>
        <v>0</v>
      </c>
    </row>
    <row r="508" spans="3:28" hidden="1" outlineLevel="1" x14ac:dyDescent="0.25">
      <c r="C508" s="395"/>
      <c r="D508" s="338" t="s">
        <v>115</v>
      </c>
      <c r="E508" s="365" t="s">
        <v>13</v>
      </c>
      <c r="F508" s="296">
        <f>SUM(F509:F533)</f>
        <v>0</v>
      </c>
      <c r="G508" s="296">
        <f t="shared" ref="G508:Z508" si="151">SUM(G509:G533)</f>
        <v>0</v>
      </c>
      <c r="H508" s="296">
        <f t="shared" si="151"/>
        <v>0</v>
      </c>
      <c r="I508" s="296">
        <f t="shared" si="151"/>
        <v>0</v>
      </c>
      <c r="J508" s="296">
        <f t="shared" si="151"/>
        <v>0</v>
      </c>
      <c r="K508" s="296">
        <f t="shared" si="151"/>
        <v>0</v>
      </c>
      <c r="L508" s="296">
        <f t="shared" si="151"/>
        <v>0</v>
      </c>
      <c r="M508" s="296">
        <f t="shared" si="151"/>
        <v>0</v>
      </c>
      <c r="N508" s="296">
        <f t="shared" si="151"/>
        <v>0</v>
      </c>
      <c r="O508" s="296">
        <f t="shared" si="151"/>
        <v>0</v>
      </c>
      <c r="P508" s="296">
        <f t="shared" si="151"/>
        <v>0</v>
      </c>
      <c r="Q508" s="296">
        <f t="shared" si="151"/>
        <v>0</v>
      </c>
      <c r="R508" s="296">
        <f t="shared" si="151"/>
        <v>0</v>
      </c>
      <c r="S508" s="296">
        <f t="shared" si="151"/>
        <v>0</v>
      </c>
      <c r="T508" s="296">
        <f>SUM(T509:T533)</f>
        <v>0</v>
      </c>
      <c r="U508" s="296">
        <f t="shared" si="151"/>
        <v>0</v>
      </c>
      <c r="V508" s="296">
        <f t="shared" si="151"/>
        <v>0</v>
      </c>
      <c r="W508" s="296">
        <f t="shared" si="151"/>
        <v>0</v>
      </c>
      <c r="X508" s="296">
        <f t="shared" si="151"/>
        <v>0</v>
      </c>
      <c r="Y508" s="296">
        <f t="shared" si="151"/>
        <v>0</v>
      </c>
      <c r="Z508" s="296">
        <f t="shared" si="151"/>
        <v>0</v>
      </c>
      <c r="AA508" s="308">
        <f>SUM(J508:Z508)</f>
        <v>0</v>
      </c>
      <c r="AB508" s="296">
        <f>AA508/1000</f>
        <v>0</v>
      </c>
    </row>
    <row r="509" spans="3:28" hidden="1" outlineLevel="1" x14ac:dyDescent="0.25">
      <c r="C509" s="397"/>
      <c r="D509" s="332" t="str">
        <f>D24</f>
        <v>Центр РАН и НИЦ интегральной электроники</v>
      </c>
      <c r="E509" s="337" t="s">
        <v>13</v>
      </c>
      <c r="F509" s="297"/>
      <c r="G509" s="297"/>
      <c r="H509" s="297"/>
      <c r="I509" s="297"/>
      <c r="J509" s="297"/>
      <c r="K509" s="297"/>
      <c r="L509" s="297"/>
      <c r="M509" s="297"/>
      <c r="N509" s="297"/>
      <c r="O509" s="297"/>
      <c r="P509" s="297"/>
      <c r="Q509" s="297"/>
      <c r="R509" s="297"/>
      <c r="S509" s="297"/>
      <c r="T509" s="297"/>
      <c r="U509" s="297"/>
      <c r="V509" s="297"/>
      <c r="W509" s="297"/>
      <c r="X509" s="297"/>
      <c r="Y509" s="297"/>
      <c r="Z509" s="297"/>
      <c r="AA509" s="308">
        <f>SUM(J509:Z509)</f>
        <v>0</v>
      </c>
      <c r="AB509" s="302">
        <f t="shared" si="150"/>
        <v>0</v>
      </c>
    </row>
    <row r="510" spans="3:28" hidden="1" outlineLevel="1" x14ac:dyDescent="0.25">
      <c r="C510" s="397"/>
      <c r="D510" s="332" t="str">
        <f t="shared" ref="D510:D559" si="152">D25</f>
        <v xml:space="preserve">Университет МИРЭА
</v>
      </c>
      <c r="E510" s="337" t="s">
        <v>13</v>
      </c>
      <c r="F510" s="297"/>
      <c r="G510" s="297"/>
      <c r="H510" s="297"/>
      <c r="I510" s="297"/>
      <c r="J510" s="297"/>
      <c r="K510" s="297"/>
      <c r="L510" s="297"/>
      <c r="M510" s="297"/>
      <c r="N510" s="297"/>
      <c r="O510" s="297"/>
      <c r="P510" s="297"/>
      <c r="Q510" s="297"/>
      <c r="R510" s="297"/>
      <c r="S510" s="297"/>
      <c r="T510" s="297"/>
      <c r="U510" s="297"/>
      <c r="V510" s="297"/>
      <c r="W510" s="297"/>
      <c r="X510" s="297"/>
      <c r="Y510" s="297"/>
      <c r="Z510" s="297"/>
      <c r="AA510" s="308">
        <f t="shared" ref="AA510:AA533" si="153">SUM(J510:Z510)</f>
        <v>0</v>
      </c>
      <c r="AB510" s="302">
        <f t="shared" si="150"/>
        <v>0</v>
      </c>
    </row>
    <row r="511" spans="3:28" hidden="1" outlineLevel="1" x14ac:dyDescent="0.25">
      <c r="C511" s="397"/>
      <c r="D511" s="332" t="str">
        <f t="shared" si="152"/>
        <v>Технологический центр</v>
      </c>
      <c r="E511" s="337" t="s">
        <v>13</v>
      </c>
      <c r="F511" s="297"/>
      <c r="G511" s="297"/>
      <c r="H511" s="297"/>
      <c r="I511" s="297"/>
      <c r="J511" s="297"/>
      <c r="K511" s="297"/>
      <c r="L511" s="297"/>
      <c r="M511" s="297"/>
      <c r="N511" s="297"/>
      <c r="O511" s="297"/>
      <c r="P511" s="297"/>
      <c r="Q511" s="297"/>
      <c r="R511" s="297"/>
      <c r="S511" s="297"/>
      <c r="T511" s="297"/>
      <c r="U511" s="297"/>
      <c r="V511" s="297"/>
      <c r="W511" s="297"/>
      <c r="X511" s="297"/>
      <c r="Y511" s="297"/>
      <c r="Z511" s="297"/>
      <c r="AA511" s="308">
        <f t="shared" si="153"/>
        <v>0</v>
      </c>
      <c r="AB511" s="302">
        <f t="shared" si="150"/>
        <v>0</v>
      </c>
    </row>
    <row r="512" spans="3:28" hidden="1" outlineLevel="1" x14ac:dyDescent="0.25">
      <c r="C512" s="397"/>
      <c r="D512" s="332" t="str">
        <f t="shared" si="152"/>
        <v>Спортивный центр</v>
      </c>
      <c r="E512" s="337" t="s">
        <v>13</v>
      </c>
      <c r="F512" s="297"/>
      <c r="G512" s="297"/>
      <c r="H512" s="297"/>
      <c r="I512" s="297"/>
      <c r="J512" s="297"/>
      <c r="K512" s="297"/>
      <c r="L512" s="297"/>
      <c r="M512" s="297"/>
      <c r="N512" s="297"/>
      <c r="O512" s="297"/>
      <c r="P512" s="297"/>
      <c r="Q512" s="297"/>
      <c r="R512" s="297"/>
      <c r="S512" s="297"/>
      <c r="T512" s="297"/>
      <c r="U512" s="297"/>
      <c r="V512" s="297"/>
      <c r="W512" s="297"/>
      <c r="X512" s="297"/>
      <c r="Y512" s="297"/>
      <c r="Z512" s="297"/>
      <c r="AA512" s="308">
        <f t="shared" si="153"/>
        <v>0</v>
      </c>
      <c r="AB512" s="302">
        <f t="shared" si="150"/>
        <v>0</v>
      </c>
    </row>
    <row r="513" spans="3:28" hidden="1" outlineLevel="1" x14ac:dyDescent="0.25">
      <c r="C513" s="397"/>
      <c r="D513" s="332" t="str">
        <f t="shared" si="152"/>
        <v>Гостиничный комплекс</v>
      </c>
      <c r="E513" s="337" t="s">
        <v>13</v>
      </c>
      <c r="F513" s="297"/>
      <c r="G513" s="297"/>
      <c r="H513" s="297"/>
      <c r="I513" s="297"/>
      <c r="J513" s="297"/>
      <c r="K513" s="297"/>
      <c r="L513" s="297"/>
      <c r="M513" s="297"/>
      <c r="N513" s="297"/>
      <c r="O513" s="297"/>
      <c r="P513" s="297"/>
      <c r="Q513" s="297"/>
      <c r="R513" s="297"/>
      <c r="S513" s="297"/>
      <c r="T513" s="297"/>
      <c r="U513" s="297"/>
      <c r="V513" s="297"/>
      <c r="W513" s="297"/>
      <c r="X513" s="297"/>
      <c r="Y513" s="297"/>
      <c r="Z513" s="297"/>
      <c r="AA513" s="308">
        <f t="shared" si="153"/>
        <v>0</v>
      </c>
      <c r="AB513" s="302">
        <f t="shared" si="150"/>
        <v>0</v>
      </c>
    </row>
    <row r="514" spans="3:28" hidden="1" outlineLevel="2" x14ac:dyDescent="0.25">
      <c r="C514" s="397"/>
      <c r="D514" s="332" t="str">
        <f t="shared" si="152"/>
        <v>Наименование объекта / группы объектов 6</v>
      </c>
      <c r="E514" s="337" t="s">
        <v>13</v>
      </c>
      <c r="F514" s="297"/>
      <c r="G514" s="297"/>
      <c r="H514" s="297"/>
      <c r="I514" s="297"/>
      <c r="J514" s="297"/>
      <c r="K514" s="297"/>
      <c r="L514" s="297"/>
      <c r="M514" s="297"/>
      <c r="N514" s="297"/>
      <c r="O514" s="297"/>
      <c r="P514" s="297"/>
      <c r="Q514" s="297"/>
      <c r="R514" s="297"/>
      <c r="S514" s="297"/>
      <c r="T514" s="297"/>
      <c r="U514" s="297"/>
      <c r="V514" s="297"/>
      <c r="W514" s="297"/>
      <c r="X514" s="297"/>
      <c r="Y514" s="297"/>
      <c r="Z514" s="297"/>
      <c r="AA514" s="308">
        <f t="shared" si="153"/>
        <v>0</v>
      </c>
      <c r="AB514" s="302">
        <f t="shared" si="150"/>
        <v>0</v>
      </c>
    </row>
    <row r="515" spans="3:28" hidden="1" outlineLevel="2" x14ac:dyDescent="0.25">
      <c r="C515" s="397"/>
      <c r="D515" s="332" t="str">
        <f t="shared" si="152"/>
        <v>Наименование объекта / группы объектов 7</v>
      </c>
      <c r="E515" s="337" t="s">
        <v>13</v>
      </c>
      <c r="F515" s="297"/>
      <c r="G515" s="297"/>
      <c r="H515" s="297"/>
      <c r="I515" s="297"/>
      <c r="J515" s="297"/>
      <c r="K515" s="297"/>
      <c r="L515" s="297"/>
      <c r="M515" s="297"/>
      <c r="N515" s="297"/>
      <c r="O515" s="297"/>
      <c r="P515" s="297"/>
      <c r="Q515" s="297"/>
      <c r="R515" s="297"/>
      <c r="S515" s="297"/>
      <c r="T515" s="297"/>
      <c r="U515" s="297"/>
      <c r="V515" s="297"/>
      <c r="W515" s="297"/>
      <c r="X515" s="297"/>
      <c r="Y515" s="297"/>
      <c r="Z515" s="297"/>
      <c r="AA515" s="308">
        <f>SUM(J515:Z515)</f>
        <v>0</v>
      </c>
      <c r="AB515" s="302">
        <f t="shared" si="150"/>
        <v>0</v>
      </c>
    </row>
    <row r="516" spans="3:28" hidden="1" outlineLevel="2" x14ac:dyDescent="0.25">
      <c r="C516" s="397"/>
      <c r="D516" s="332" t="str">
        <f t="shared" si="152"/>
        <v>Наименование объекта / группы объектов 8</v>
      </c>
      <c r="E516" s="337" t="s">
        <v>13</v>
      </c>
      <c r="F516" s="297"/>
      <c r="G516" s="297"/>
      <c r="H516" s="297"/>
      <c r="I516" s="297"/>
      <c r="J516" s="297"/>
      <c r="K516" s="297"/>
      <c r="L516" s="297"/>
      <c r="M516" s="297"/>
      <c r="N516" s="297"/>
      <c r="O516" s="297"/>
      <c r="P516" s="297"/>
      <c r="Q516" s="297"/>
      <c r="R516" s="297"/>
      <c r="S516" s="297"/>
      <c r="T516" s="297"/>
      <c r="U516" s="297"/>
      <c r="V516" s="297"/>
      <c r="W516" s="297"/>
      <c r="X516" s="297"/>
      <c r="Y516" s="297"/>
      <c r="Z516" s="297"/>
      <c r="AA516" s="308">
        <f t="shared" si="153"/>
        <v>0</v>
      </c>
      <c r="AB516" s="302">
        <f t="shared" si="150"/>
        <v>0</v>
      </c>
    </row>
    <row r="517" spans="3:28" hidden="1" outlineLevel="2" x14ac:dyDescent="0.25">
      <c r="C517" s="397"/>
      <c r="D517" s="332" t="str">
        <f t="shared" si="152"/>
        <v>Наименование объекта / группы объектов 9</v>
      </c>
      <c r="E517" s="337" t="s">
        <v>13</v>
      </c>
      <c r="F517" s="297"/>
      <c r="G517" s="297"/>
      <c r="H517" s="297"/>
      <c r="I517" s="297"/>
      <c r="J517" s="297"/>
      <c r="K517" s="297"/>
      <c r="L517" s="297"/>
      <c r="M517" s="297"/>
      <c r="N517" s="297"/>
      <c r="O517" s="297"/>
      <c r="P517" s="297"/>
      <c r="Q517" s="297"/>
      <c r="R517" s="297"/>
      <c r="S517" s="297"/>
      <c r="T517" s="297"/>
      <c r="U517" s="297"/>
      <c r="V517" s="297"/>
      <c r="W517" s="297"/>
      <c r="X517" s="297"/>
      <c r="Y517" s="297"/>
      <c r="Z517" s="297"/>
      <c r="AA517" s="308">
        <f t="shared" si="153"/>
        <v>0</v>
      </c>
      <c r="AB517" s="302">
        <f t="shared" si="150"/>
        <v>0</v>
      </c>
    </row>
    <row r="518" spans="3:28" hidden="1" outlineLevel="2" x14ac:dyDescent="0.25">
      <c r="C518" s="397"/>
      <c r="D518" s="332" t="str">
        <f t="shared" si="152"/>
        <v>Наименование объекта / группы объектов 10</v>
      </c>
      <c r="E518" s="337" t="s">
        <v>13</v>
      </c>
      <c r="F518" s="297"/>
      <c r="G518" s="297"/>
      <c r="H518" s="297"/>
      <c r="I518" s="297"/>
      <c r="J518" s="297"/>
      <c r="K518" s="297"/>
      <c r="L518" s="297"/>
      <c r="M518" s="297"/>
      <c r="N518" s="297"/>
      <c r="O518" s="297"/>
      <c r="P518" s="297"/>
      <c r="Q518" s="297"/>
      <c r="R518" s="297"/>
      <c r="S518" s="297"/>
      <c r="T518" s="297"/>
      <c r="U518" s="297"/>
      <c r="V518" s="297"/>
      <c r="W518" s="297"/>
      <c r="X518" s="297"/>
      <c r="Y518" s="297"/>
      <c r="Z518" s="297"/>
      <c r="AA518" s="308">
        <f t="shared" si="153"/>
        <v>0</v>
      </c>
      <c r="AB518" s="302">
        <f t="shared" si="150"/>
        <v>0</v>
      </c>
    </row>
    <row r="519" spans="3:28" hidden="1" outlineLevel="2" x14ac:dyDescent="0.25">
      <c r="C519" s="397"/>
      <c r="D519" s="332" t="str">
        <f t="shared" si="152"/>
        <v>Наименование объекта / группы объектов 11</v>
      </c>
      <c r="E519" s="337" t="s">
        <v>13</v>
      </c>
      <c r="F519" s="297"/>
      <c r="G519" s="297"/>
      <c r="H519" s="297"/>
      <c r="I519" s="297"/>
      <c r="J519" s="297"/>
      <c r="K519" s="297"/>
      <c r="L519" s="297"/>
      <c r="M519" s="297"/>
      <c r="N519" s="297"/>
      <c r="O519" s="297"/>
      <c r="P519" s="297"/>
      <c r="Q519" s="297"/>
      <c r="R519" s="297"/>
      <c r="S519" s="297"/>
      <c r="T519" s="297"/>
      <c r="U519" s="297"/>
      <c r="V519" s="297"/>
      <c r="W519" s="297"/>
      <c r="X519" s="297"/>
      <c r="Y519" s="297"/>
      <c r="Z519" s="297"/>
      <c r="AA519" s="308">
        <f t="shared" si="153"/>
        <v>0</v>
      </c>
      <c r="AB519" s="302">
        <f t="shared" si="150"/>
        <v>0</v>
      </c>
    </row>
    <row r="520" spans="3:28" hidden="1" outlineLevel="2" x14ac:dyDescent="0.25">
      <c r="C520" s="397"/>
      <c r="D520" s="332" t="str">
        <f t="shared" si="152"/>
        <v>Наименование объекта / группы объектов 12</v>
      </c>
      <c r="E520" s="337" t="s">
        <v>13</v>
      </c>
      <c r="F520" s="297"/>
      <c r="G520" s="297"/>
      <c r="H520" s="297"/>
      <c r="I520" s="297"/>
      <c r="J520" s="297"/>
      <c r="K520" s="297"/>
      <c r="L520" s="297"/>
      <c r="M520" s="297"/>
      <c r="N520" s="297"/>
      <c r="O520" s="297"/>
      <c r="P520" s="297"/>
      <c r="Q520" s="297"/>
      <c r="R520" s="297"/>
      <c r="S520" s="297"/>
      <c r="T520" s="297"/>
      <c r="U520" s="297"/>
      <c r="V520" s="297"/>
      <c r="W520" s="297"/>
      <c r="X520" s="297"/>
      <c r="Y520" s="297"/>
      <c r="Z520" s="297"/>
      <c r="AA520" s="308">
        <f t="shared" si="153"/>
        <v>0</v>
      </c>
      <c r="AB520" s="302">
        <f t="shared" si="150"/>
        <v>0</v>
      </c>
    </row>
    <row r="521" spans="3:28" hidden="1" outlineLevel="2" x14ac:dyDescent="0.25">
      <c r="C521" s="397"/>
      <c r="D521" s="332" t="str">
        <f t="shared" si="152"/>
        <v>Наименование объекта / группы объектов 13</v>
      </c>
      <c r="E521" s="337" t="s">
        <v>13</v>
      </c>
      <c r="F521" s="297"/>
      <c r="G521" s="297"/>
      <c r="H521" s="297"/>
      <c r="I521" s="297"/>
      <c r="J521" s="297"/>
      <c r="K521" s="297"/>
      <c r="L521" s="297"/>
      <c r="M521" s="297"/>
      <c r="N521" s="297"/>
      <c r="O521" s="297"/>
      <c r="P521" s="297"/>
      <c r="Q521" s="297"/>
      <c r="R521" s="297"/>
      <c r="S521" s="297"/>
      <c r="T521" s="297"/>
      <c r="U521" s="297"/>
      <c r="V521" s="297"/>
      <c r="W521" s="297"/>
      <c r="X521" s="297"/>
      <c r="Y521" s="297"/>
      <c r="Z521" s="297"/>
      <c r="AA521" s="308">
        <f t="shared" si="153"/>
        <v>0</v>
      </c>
      <c r="AB521" s="302">
        <f t="shared" si="150"/>
        <v>0</v>
      </c>
    </row>
    <row r="522" spans="3:28" hidden="1" outlineLevel="2" x14ac:dyDescent="0.25">
      <c r="C522" s="397"/>
      <c r="D522" s="332" t="str">
        <f t="shared" si="152"/>
        <v>Наименование объекта / группы объектов 14</v>
      </c>
      <c r="E522" s="337" t="s">
        <v>13</v>
      </c>
      <c r="F522" s="297"/>
      <c r="G522" s="297"/>
      <c r="H522" s="297"/>
      <c r="I522" s="297"/>
      <c r="J522" s="297"/>
      <c r="K522" s="297"/>
      <c r="L522" s="297"/>
      <c r="M522" s="297"/>
      <c r="N522" s="297"/>
      <c r="O522" s="297"/>
      <c r="P522" s="297"/>
      <c r="Q522" s="297"/>
      <c r="R522" s="297"/>
      <c r="S522" s="297"/>
      <c r="T522" s="297"/>
      <c r="U522" s="297"/>
      <c r="V522" s="297"/>
      <c r="W522" s="297"/>
      <c r="X522" s="297"/>
      <c r="Y522" s="297"/>
      <c r="Z522" s="297"/>
      <c r="AA522" s="308">
        <f t="shared" si="153"/>
        <v>0</v>
      </c>
      <c r="AB522" s="302">
        <f t="shared" si="150"/>
        <v>0</v>
      </c>
    </row>
    <row r="523" spans="3:28" hidden="1" outlineLevel="2" x14ac:dyDescent="0.25">
      <c r="C523" s="397"/>
      <c r="D523" s="332" t="str">
        <f t="shared" si="152"/>
        <v>Наименование объекта / группы объектов 15</v>
      </c>
      <c r="E523" s="337" t="s">
        <v>13</v>
      </c>
      <c r="F523" s="297"/>
      <c r="G523" s="297"/>
      <c r="H523" s="297"/>
      <c r="I523" s="297"/>
      <c r="J523" s="297"/>
      <c r="K523" s="297"/>
      <c r="L523" s="297"/>
      <c r="M523" s="297"/>
      <c r="N523" s="297"/>
      <c r="O523" s="297"/>
      <c r="P523" s="297"/>
      <c r="Q523" s="297"/>
      <c r="R523" s="297"/>
      <c r="S523" s="297"/>
      <c r="T523" s="297"/>
      <c r="U523" s="297"/>
      <c r="V523" s="297"/>
      <c r="W523" s="297"/>
      <c r="X523" s="297"/>
      <c r="Y523" s="297"/>
      <c r="Z523" s="297"/>
      <c r="AA523" s="308">
        <f t="shared" si="153"/>
        <v>0</v>
      </c>
      <c r="AB523" s="302">
        <f t="shared" si="150"/>
        <v>0</v>
      </c>
    </row>
    <row r="524" spans="3:28" hidden="1" outlineLevel="2" x14ac:dyDescent="0.25">
      <c r="C524" s="397"/>
      <c r="D524" s="332" t="str">
        <f t="shared" si="152"/>
        <v>Наименование объекта / группы объектов 16</v>
      </c>
      <c r="E524" s="337" t="s">
        <v>13</v>
      </c>
      <c r="F524" s="297"/>
      <c r="G524" s="297"/>
      <c r="H524" s="297"/>
      <c r="I524" s="297"/>
      <c r="J524" s="297"/>
      <c r="K524" s="297"/>
      <c r="L524" s="297"/>
      <c r="M524" s="297"/>
      <c r="N524" s="297"/>
      <c r="O524" s="297"/>
      <c r="P524" s="297"/>
      <c r="Q524" s="297"/>
      <c r="R524" s="297"/>
      <c r="S524" s="297"/>
      <c r="T524" s="297"/>
      <c r="U524" s="297"/>
      <c r="V524" s="297"/>
      <c r="W524" s="297"/>
      <c r="X524" s="297"/>
      <c r="Y524" s="297"/>
      <c r="Z524" s="297"/>
      <c r="AA524" s="308">
        <f t="shared" si="153"/>
        <v>0</v>
      </c>
      <c r="AB524" s="302">
        <f t="shared" si="150"/>
        <v>0</v>
      </c>
    </row>
    <row r="525" spans="3:28" hidden="1" outlineLevel="2" x14ac:dyDescent="0.25">
      <c r="C525" s="397"/>
      <c r="D525" s="332" t="str">
        <f t="shared" si="152"/>
        <v>Наименование объекта / группы объектов 17</v>
      </c>
      <c r="E525" s="337" t="s">
        <v>13</v>
      </c>
      <c r="F525" s="297"/>
      <c r="G525" s="297"/>
      <c r="H525" s="297"/>
      <c r="I525" s="297"/>
      <c r="J525" s="297"/>
      <c r="K525" s="297"/>
      <c r="L525" s="297"/>
      <c r="M525" s="297"/>
      <c r="N525" s="297"/>
      <c r="O525" s="297"/>
      <c r="P525" s="297"/>
      <c r="Q525" s="297"/>
      <c r="R525" s="297"/>
      <c r="S525" s="297"/>
      <c r="T525" s="297"/>
      <c r="U525" s="297"/>
      <c r="V525" s="297"/>
      <c r="W525" s="297"/>
      <c r="X525" s="297"/>
      <c r="Y525" s="297"/>
      <c r="Z525" s="297"/>
      <c r="AA525" s="308">
        <f t="shared" si="153"/>
        <v>0</v>
      </c>
      <c r="AB525" s="302">
        <f t="shared" si="150"/>
        <v>0</v>
      </c>
    </row>
    <row r="526" spans="3:28" hidden="1" outlineLevel="2" x14ac:dyDescent="0.25">
      <c r="C526" s="397"/>
      <c r="D526" s="332" t="str">
        <f t="shared" si="152"/>
        <v>Наименование объекта / группы объектов 18</v>
      </c>
      <c r="E526" s="337" t="s">
        <v>13</v>
      </c>
      <c r="F526" s="297"/>
      <c r="G526" s="297"/>
      <c r="H526" s="297"/>
      <c r="I526" s="297"/>
      <c r="J526" s="297"/>
      <c r="K526" s="297"/>
      <c r="L526" s="297"/>
      <c r="M526" s="297"/>
      <c r="N526" s="297"/>
      <c r="O526" s="297"/>
      <c r="P526" s="297"/>
      <c r="Q526" s="297"/>
      <c r="R526" s="297"/>
      <c r="S526" s="297"/>
      <c r="T526" s="297"/>
      <c r="U526" s="297"/>
      <c r="V526" s="297"/>
      <c r="W526" s="297"/>
      <c r="X526" s="297"/>
      <c r="Y526" s="297"/>
      <c r="Z526" s="297"/>
      <c r="AA526" s="308">
        <f t="shared" si="153"/>
        <v>0</v>
      </c>
      <c r="AB526" s="302">
        <f t="shared" si="150"/>
        <v>0</v>
      </c>
    </row>
    <row r="527" spans="3:28" hidden="1" outlineLevel="2" x14ac:dyDescent="0.25">
      <c r="C527" s="397"/>
      <c r="D527" s="332" t="str">
        <f t="shared" si="152"/>
        <v>Наименование объекта / группы объектов 19</v>
      </c>
      <c r="E527" s="337" t="s">
        <v>13</v>
      </c>
      <c r="F527" s="297"/>
      <c r="G527" s="297"/>
      <c r="H527" s="297"/>
      <c r="I527" s="297"/>
      <c r="J527" s="297"/>
      <c r="K527" s="297"/>
      <c r="L527" s="297"/>
      <c r="M527" s="297"/>
      <c r="N527" s="297"/>
      <c r="O527" s="297"/>
      <c r="P527" s="297"/>
      <c r="Q527" s="297"/>
      <c r="R527" s="297"/>
      <c r="S527" s="297"/>
      <c r="T527" s="297"/>
      <c r="U527" s="297"/>
      <c r="V527" s="297"/>
      <c r="W527" s="297"/>
      <c r="X527" s="297"/>
      <c r="Y527" s="297"/>
      <c r="Z527" s="297"/>
      <c r="AA527" s="308">
        <f t="shared" si="153"/>
        <v>0</v>
      </c>
      <c r="AB527" s="302">
        <f t="shared" si="150"/>
        <v>0</v>
      </c>
    </row>
    <row r="528" spans="3:28" hidden="1" outlineLevel="2" x14ac:dyDescent="0.25">
      <c r="C528" s="397"/>
      <c r="D528" s="332" t="str">
        <f t="shared" si="152"/>
        <v>Наименование объекта / группы объектов 20</v>
      </c>
      <c r="E528" s="337" t="s">
        <v>13</v>
      </c>
      <c r="F528" s="297"/>
      <c r="G528" s="297"/>
      <c r="H528" s="297"/>
      <c r="I528" s="297"/>
      <c r="J528" s="297"/>
      <c r="K528" s="297"/>
      <c r="L528" s="297"/>
      <c r="M528" s="297"/>
      <c r="N528" s="297"/>
      <c r="O528" s="297"/>
      <c r="P528" s="297"/>
      <c r="Q528" s="297"/>
      <c r="R528" s="297"/>
      <c r="S528" s="297"/>
      <c r="T528" s="297"/>
      <c r="U528" s="297"/>
      <c r="V528" s="297"/>
      <c r="W528" s="297"/>
      <c r="X528" s="297"/>
      <c r="Y528" s="297"/>
      <c r="Z528" s="297"/>
      <c r="AA528" s="308">
        <f t="shared" si="153"/>
        <v>0</v>
      </c>
      <c r="AB528" s="302">
        <f t="shared" si="150"/>
        <v>0</v>
      </c>
    </row>
    <row r="529" spans="3:28" hidden="1" outlineLevel="2" x14ac:dyDescent="0.25">
      <c r="C529" s="397"/>
      <c r="D529" s="332" t="str">
        <f t="shared" si="152"/>
        <v>Наименование объекта / группы объектов 21</v>
      </c>
      <c r="E529" s="337" t="s">
        <v>13</v>
      </c>
      <c r="F529" s="297"/>
      <c r="G529" s="297"/>
      <c r="H529" s="297"/>
      <c r="I529" s="297"/>
      <c r="J529" s="297"/>
      <c r="K529" s="297"/>
      <c r="L529" s="297"/>
      <c r="M529" s="297"/>
      <c r="N529" s="297"/>
      <c r="O529" s="297"/>
      <c r="P529" s="297"/>
      <c r="Q529" s="297"/>
      <c r="R529" s="297"/>
      <c r="S529" s="297"/>
      <c r="T529" s="297"/>
      <c r="U529" s="297"/>
      <c r="V529" s="297"/>
      <c r="W529" s="297"/>
      <c r="X529" s="297"/>
      <c r="Y529" s="297"/>
      <c r="Z529" s="297"/>
      <c r="AA529" s="308">
        <f t="shared" si="153"/>
        <v>0</v>
      </c>
      <c r="AB529" s="302">
        <f t="shared" si="150"/>
        <v>0</v>
      </c>
    </row>
    <row r="530" spans="3:28" hidden="1" outlineLevel="2" x14ac:dyDescent="0.25">
      <c r="C530" s="397"/>
      <c r="D530" s="332" t="str">
        <f t="shared" si="152"/>
        <v>Наименование объекта / группы объектов 22</v>
      </c>
      <c r="E530" s="337" t="s">
        <v>13</v>
      </c>
      <c r="F530" s="297"/>
      <c r="G530" s="297"/>
      <c r="H530" s="297"/>
      <c r="I530" s="297"/>
      <c r="J530" s="297"/>
      <c r="K530" s="297"/>
      <c r="L530" s="297"/>
      <c r="M530" s="297"/>
      <c r="N530" s="297"/>
      <c r="O530" s="297"/>
      <c r="P530" s="297"/>
      <c r="Q530" s="297"/>
      <c r="R530" s="297"/>
      <c r="S530" s="297"/>
      <c r="T530" s="297"/>
      <c r="U530" s="297"/>
      <c r="V530" s="297"/>
      <c r="W530" s="297"/>
      <c r="X530" s="297"/>
      <c r="Y530" s="297"/>
      <c r="Z530" s="297"/>
      <c r="AA530" s="308">
        <f t="shared" si="153"/>
        <v>0</v>
      </c>
      <c r="AB530" s="302">
        <f t="shared" si="150"/>
        <v>0</v>
      </c>
    </row>
    <row r="531" spans="3:28" hidden="1" outlineLevel="2" x14ac:dyDescent="0.25">
      <c r="C531" s="397"/>
      <c r="D531" s="332" t="str">
        <f t="shared" si="152"/>
        <v>Наименование объекта / группы объектов 23</v>
      </c>
      <c r="E531" s="337" t="s">
        <v>13</v>
      </c>
      <c r="F531" s="297"/>
      <c r="G531" s="297"/>
      <c r="H531" s="297"/>
      <c r="I531" s="297"/>
      <c r="J531" s="297"/>
      <c r="K531" s="297"/>
      <c r="L531" s="297"/>
      <c r="M531" s="297"/>
      <c r="N531" s="297"/>
      <c r="O531" s="297"/>
      <c r="P531" s="297"/>
      <c r="Q531" s="297"/>
      <c r="R531" s="297"/>
      <c r="S531" s="297"/>
      <c r="T531" s="297"/>
      <c r="U531" s="297"/>
      <c r="V531" s="297"/>
      <c r="W531" s="297"/>
      <c r="X531" s="297"/>
      <c r="Y531" s="297"/>
      <c r="Z531" s="297"/>
      <c r="AA531" s="308">
        <f t="shared" si="153"/>
        <v>0</v>
      </c>
      <c r="AB531" s="302">
        <f t="shared" si="150"/>
        <v>0</v>
      </c>
    </row>
    <row r="532" spans="3:28" hidden="1" outlineLevel="2" x14ac:dyDescent="0.25">
      <c r="C532" s="397"/>
      <c r="D532" s="332" t="str">
        <f t="shared" si="152"/>
        <v>Наименование объекта / группы объектов 24</v>
      </c>
      <c r="E532" s="337" t="s">
        <v>13</v>
      </c>
      <c r="F532" s="297"/>
      <c r="G532" s="297"/>
      <c r="H532" s="297"/>
      <c r="I532" s="297"/>
      <c r="J532" s="297"/>
      <c r="K532" s="297"/>
      <c r="L532" s="297"/>
      <c r="M532" s="297"/>
      <c r="N532" s="297"/>
      <c r="O532" s="297"/>
      <c r="P532" s="297"/>
      <c r="Q532" s="297"/>
      <c r="R532" s="297"/>
      <c r="S532" s="297"/>
      <c r="T532" s="297"/>
      <c r="U532" s="297"/>
      <c r="V532" s="297"/>
      <c r="W532" s="297"/>
      <c r="X532" s="297"/>
      <c r="Y532" s="297"/>
      <c r="Z532" s="297"/>
      <c r="AA532" s="308">
        <f t="shared" si="153"/>
        <v>0</v>
      </c>
      <c r="AB532" s="302">
        <f t="shared" si="150"/>
        <v>0</v>
      </c>
    </row>
    <row r="533" spans="3:28" hidden="1" outlineLevel="2" x14ac:dyDescent="0.25">
      <c r="C533" s="397"/>
      <c r="D533" s="332" t="str">
        <f t="shared" si="152"/>
        <v>Наименование объекта / группы объектов 25</v>
      </c>
      <c r="E533" s="337" t="s">
        <v>13</v>
      </c>
      <c r="F533" s="297"/>
      <c r="G533" s="297"/>
      <c r="H533" s="297"/>
      <c r="I533" s="297"/>
      <c r="J533" s="297"/>
      <c r="K533" s="297"/>
      <c r="L533" s="297"/>
      <c r="M533" s="297"/>
      <c r="N533" s="297"/>
      <c r="O533" s="297"/>
      <c r="P533" s="297"/>
      <c r="Q533" s="297"/>
      <c r="R533" s="297"/>
      <c r="S533" s="297"/>
      <c r="T533" s="297"/>
      <c r="U533" s="297"/>
      <c r="V533" s="297"/>
      <c r="W533" s="297"/>
      <c r="X533" s="297"/>
      <c r="Y533" s="297"/>
      <c r="Z533" s="297"/>
      <c r="AA533" s="308">
        <f t="shared" si="153"/>
        <v>0</v>
      </c>
      <c r="AB533" s="302">
        <f t="shared" si="150"/>
        <v>0</v>
      </c>
    </row>
    <row r="534" spans="3:28" hidden="1" outlineLevel="1" collapsed="1" x14ac:dyDescent="0.25">
      <c r="C534" s="395"/>
      <c r="D534" s="332" t="str">
        <f t="shared" si="152"/>
        <v>Стоимость содержания 1 кв м:</v>
      </c>
      <c r="E534" s="365" t="s">
        <v>13</v>
      </c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  <c r="AA534" s="315"/>
      <c r="AB534" s="315"/>
    </row>
    <row r="535" spans="3:28" hidden="1" outlineLevel="1" x14ac:dyDescent="0.25">
      <c r="C535" s="397"/>
      <c r="D535" s="332" t="str">
        <f t="shared" si="152"/>
        <v>Центр РАН и НИЦ интегральной электроники</v>
      </c>
      <c r="E535" s="337" t="s">
        <v>13</v>
      </c>
      <c r="F535" s="297"/>
      <c r="G535" s="297"/>
      <c r="H535" s="297"/>
      <c r="I535" s="297"/>
      <c r="J535" s="297"/>
      <c r="K535" s="297"/>
      <c r="L535" s="297"/>
      <c r="M535" s="297"/>
      <c r="N535" s="297"/>
      <c r="O535" s="297"/>
      <c r="P535" s="297"/>
      <c r="Q535" s="297"/>
      <c r="R535" s="297"/>
      <c r="S535" s="297"/>
      <c r="T535" s="297"/>
      <c r="U535" s="297"/>
      <c r="V535" s="297"/>
      <c r="W535" s="297"/>
      <c r="X535" s="297"/>
      <c r="Y535" s="297"/>
      <c r="Z535" s="297"/>
      <c r="AA535" s="301">
        <f>IFERROR(AVERAGE(J535:Z535),0)</f>
        <v>0</v>
      </c>
      <c r="AB535" s="296">
        <f>AA535/1000</f>
        <v>0</v>
      </c>
    </row>
    <row r="536" spans="3:28" hidden="1" outlineLevel="1" x14ac:dyDescent="0.25">
      <c r="C536" s="397"/>
      <c r="D536" s="332" t="str">
        <f t="shared" si="152"/>
        <v xml:space="preserve">Университет МИРЭА
</v>
      </c>
      <c r="E536" s="337" t="s">
        <v>13</v>
      </c>
      <c r="F536" s="297"/>
      <c r="G536" s="297"/>
      <c r="H536" s="297"/>
      <c r="I536" s="297"/>
      <c r="J536" s="297"/>
      <c r="K536" s="297"/>
      <c r="L536" s="297"/>
      <c r="M536" s="297"/>
      <c r="N536" s="297"/>
      <c r="O536" s="297"/>
      <c r="P536" s="297"/>
      <c r="Q536" s="297"/>
      <c r="R536" s="297"/>
      <c r="S536" s="297"/>
      <c r="T536" s="297"/>
      <c r="U536" s="297"/>
      <c r="V536" s="297"/>
      <c r="W536" s="297"/>
      <c r="X536" s="297"/>
      <c r="Y536" s="297"/>
      <c r="Z536" s="297"/>
      <c r="AA536" s="301">
        <f t="shared" ref="AA536:AA558" si="154">IFERROR(AVERAGE(J536:Z536),0)</f>
        <v>0</v>
      </c>
      <c r="AB536" s="298">
        <f t="shared" ref="AB536:AB558" si="155">AA536/1000</f>
        <v>0</v>
      </c>
    </row>
    <row r="537" spans="3:28" hidden="1" outlineLevel="1" x14ac:dyDescent="0.25">
      <c r="C537" s="397"/>
      <c r="D537" s="332" t="str">
        <f t="shared" si="152"/>
        <v>Технологический центр</v>
      </c>
      <c r="E537" s="337" t="s">
        <v>13</v>
      </c>
      <c r="F537" s="297"/>
      <c r="G537" s="297"/>
      <c r="H537" s="297"/>
      <c r="I537" s="297"/>
      <c r="J537" s="297"/>
      <c r="K537" s="297"/>
      <c r="L537" s="297"/>
      <c r="M537" s="297"/>
      <c r="N537" s="297"/>
      <c r="O537" s="297"/>
      <c r="P537" s="297"/>
      <c r="Q537" s="297"/>
      <c r="R537" s="297"/>
      <c r="S537" s="297"/>
      <c r="T537" s="297"/>
      <c r="U537" s="297"/>
      <c r="V537" s="297"/>
      <c r="W537" s="297"/>
      <c r="X537" s="297"/>
      <c r="Y537" s="297"/>
      <c r="Z537" s="297"/>
      <c r="AA537" s="301">
        <f t="shared" si="154"/>
        <v>0</v>
      </c>
      <c r="AB537" s="296">
        <f t="shared" si="155"/>
        <v>0</v>
      </c>
    </row>
    <row r="538" spans="3:28" hidden="1" outlineLevel="1" x14ac:dyDescent="0.25">
      <c r="C538" s="397"/>
      <c r="D538" s="332" t="str">
        <f t="shared" si="152"/>
        <v>Спортивный центр</v>
      </c>
      <c r="E538" s="337" t="s">
        <v>13</v>
      </c>
      <c r="F538" s="297"/>
      <c r="G538" s="297"/>
      <c r="H538" s="297"/>
      <c r="I538" s="297"/>
      <c r="J538" s="297"/>
      <c r="K538" s="297"/>
      <c r="L538" s="297"/>
      <c r="M538" s="297"/>
      <c r="N538" s="297"/>
      <c r="O538" s="297"/>
      <c r="P538" s="297"/>
      <c r="Q538" s="297"/>
      <c r="R538" s="297"/>
      <c r="S538" s="297"/>
      <c r="T538" s="297"/>
      <c r="U538" s="297"/>
      <c r="V538" s="297"/>
      <c r="W538" s="297"/>
      <c r="X538" s="297"/>
      <c r="Y538" s="297"/>
      <c r="Z538" s="297"/>
      <c r="AA538" s="301">
        <f t="shared" si="154"/>
        <v>0</v>
      </c>
      <c r="AB538" s="296">
        <f t="shared" si="155"/>
        <v>0</v>
      </c>
    </row>
    <row r="539" spans="3:28" hidden="1" outlineLevel="1" x14ac:dyDescent="0.25">
      <c r="C539" s="397"/>
      <c r="D539" s="332" t="str">
        <f t="shared" si="152"/>
        <v>Гостиничный комплекс</v>
      </c>
      <c r="E539" s="337" t="s">
        <v>13</v>
      </c>
      <c r="F539" s="297"/>
      <c r="G539" s="297"/>
      <c r="H539" s="297"/>
      <c r="I539" s="297"/>
      <c r="J539" s="297"/>
      <c r="K539" s="297"/>
      <c r="L539" s="297"/>
      <c r="M539" s="297"/>
      <c r="N539" s="297"/>
      <c r="O539" s="297"/>
      <c r="P539" s="297"/>
      <c r="Q539" s="297"/>
      <c r="R539" s="297"/>
      <c r="S539" s="297"/>
      <c r="T539" s="297"/>
      <c r="U539" s="297"/>
      <c r="V539" s="297"/>
      <c r="W539" s="297"/>
      <c r="X539" s="297"/>
      <c r="Y539" s="297"/>
      <c r="Z539" s="297"/>
      <c r="AA539" s="301">
        <f t="shared" si="154"/>
        <v>0</v>
      </c>
      <c r="AB539" s="296">
        <f t="shared" si="155"/>
        <v>0</v>
      </c>
    </row>
    <row r="540" spans="3:28" hidden="1" outlineLevel="1" x14ac:dyDescent="0.25">
      <c r="C540" s="397"/>
      <c r="D540" s="332" t="str">
        <f t="shared" si="152"/>
        <v>Наименование объекта / группы объектов 6</v>
      </c>
      <c r="E540" s="337" t="s">
        <v>13</v>
      </c>
      <c r="F540" s="297"/>
      <c r="G540" s="297"/>
      <c r="H540" s="297"/>
      <c r="I540" s="297"/>
      <c r="J540" s="297"/>
      <c r="K540" s="297"/>
      <c r="L540" s="297"/>
      <c r="M540" s="297"/>
      <c r="N540" s="297"/>
      <c r="O540" s="297"/>
      <c r="P540" s="297"/>
      <c r="Q540" s="297"/>
      <c r="R540" s="297"/>
      <c r="S540" s="297"/>
      <c r="T540" s="297"/>
      <c r="U540" s="297"/>
      <c r="V540" s="297"/>
      <c r="W540" s="297"/>
      <c r="X540" s="297"/>
      <c r="Y540" s="297"/>
      <c r="Z540" s="297"/>
      <c r="AA540" s="301">
        <f t="shared" si="154"/>
        <v>0</v>
      </c>
      <c r="AB540" s="296">
        <f t="shared" si="155"/>
        <v>0</v>
      </c>
    </row>
    <row r="541" spans="3:28" hidden="1" outlineLevel="1" x14ac:dyDescent="0.25">
      <c r="C541" s="397"/>
      <c r="D541" s="332" t="str">
        <f t="shared" si="152"/>
        <v>Наименование объекта / группы объектов 7</v>
      </c>
      <c r="E541" s="337" t="s">
        <v>13</v>
      </c>
      <c r="F541" s="297"/>
      <c r="G541" s="297"/>
      <c r="H541" s="297"/>
      <c r="I541" s="297"/>
      <c r="J541" s="297"/>
      <c r="K541" s="297"/>
      <c r="L541" s="297"/>
      <c r="M541" s="297"/>
      <c r="N541" s="297"/>
      <c r="O541" s="297"/>
      <c r="P541" s="297"/>
      <c r="Q541" s="297"/>
      <c r="R541" s="297"/>
      <c r="S541" s="297"/>
      <c r="T541" s="297"/>
      <c r="U541" s="297"/>
      <c r="V541" s="297"/>
      <c r="W541" s="297"/>
      <c r="X541" s="297"/>
      <c r="Y541" s="297"/>
      <c r="Z541" s="297"/>
      <c r="AA541" s="301">
        <f t="shared" si="154"/>
        <v>0</v>
      </c>
      <c r="AB541" s="296">
        <f t="shared" si="155"/>
        <v>0</v>
      </c>
    </row>
    <row r="542" spans="3:28" hidden="1" outlineLevel="1" x14ac:dyDescent="0.25">
      <c r="C542" s="397"/>
      <c r="D542" s="332" t="str">
        <f t="shared" si="152"/>
        <v>Наименование объекта / группы объектов 8</v>
      </c>
      <c r="E542" s="337" t="s">
        <v>13</v>
      </c>
      <c r="F542" s="297"/>
      <c r="G542" s="297"/>
      <c r="H542" s="297"/>
      <c r="I542" s="297"/>
      <c r="J542" s="297"/>
      <c r="K542" s="297"/>
      <c r="L542" s="297"/>
      <c r="M542" s="297"/>
      <c r="N542" s="297"/>
      <c r="O542" s="297"/>
      <c r="P542" s="297"/>
      <c r="Q542" s="297"/>
      <c r="R542" s="297"/>
      <c r="S542" s="297"/>
      <c r="T542" s="297"/>
      <c r="U542" s="297"/>
      <c r="V542" s="297"/>
      <c r="W542" s="297"/>
      <c r="X542" s="297"/>
      <c r="Y542" s="297"/>
      <c r="Z542" s="297"/>
      <c r="AA542" s="301">
        <f t="shared" si="154"/>
        <v>0</v>
      </c>
      <c r="AB542" s="296">
        <f t="shared" si="155"/>
        <v>0</v>
      </c>
    </row>
    <row r="543" spans="3:28" hidden="1" outlineLevel="1" x14ac:dyDescent="0.25">
      <c r="C543" s="397"/>
      <c r="D543" s="332" t="str">
        <f t="shared" si="152"/>
        <v>Наименование объекта / группы объектов 9</v>
      </c>
      <c r="E543" s="337" t="s">
        <v>13</v>
      </c>
      <c r="F543" s="297"/>
      <c r="G543" s="297"/>
      <c r="H543" s="297"/>
      <c r="I543" s="297"/>
      <c r="J543" s="297"/>
      <c r="K543" s="297"/>
      <c r="L543" s="297"/>
      <c r="M543" s="297"/>
      <c r="N543" s="297"/>
      <c r="O543" s="297"/>
      <c r="P543" s="297"/>
      <c r="Q543" s="297"/>
      <c r="R543" s="297"/>
      <c r="S543" s="297"/>
      <c r="T543" s="297"/>
      <c r="U543" s="297"/>
      <c r="V543" s="297"/>
      <c r="W543" s="297"/>
      <c r="X543" s="297"/>
      <c r="Y543" s="297"/>
      <c r="Z543" s="297"/>
      <c r="AA543" s="301">
        <f t="shared" si="154"/>
        <v>0</v>
      </c>
      <c r="AB543" s="296">
        <f t="shared" si="155"/>
        <v>0</v>
      </c>
    </row>
    <row r="544" spans="3:28" hidden="1" outlineLevel="1" x14ac:dyDescent="0.25">
      <c r="C544" s="397"/>
      <c r="D544" s="332" t="str">
        <f t="shared" si="152"/>
        <v>Наименование объекта / группы объектов 10</v>
      </c>
      <c r="E544" s="337" t="s">
        <v>13</v>
      </c>
      <c r="F544" s="297"/>
      <c r="G544" s="297"/>
      <c r="H544" s="297"/>
      <c r="I544" s="297"/>
      <c r="J544" s="297"/>
      <c r="K544" s="297"/>
      <c r="L544" s="297"/>
      <c r="M544" s="297"/>
      <c r="N544" s="297"/>
      <c r="O544" s="297"/>
      <c r="P544" s="297"/>
      <c r="Q544" s="297"/>
      <c r="R544" s="297"/>
      <c r="S544" s="297"/>
      <c r="T544" s="297"/>
      <c r="U544" s="297"/>
      <c r="V544" s="297"/>
      <c r="W544" s="297"/>
      <c r="X544" s="297"/>
      <c r="Y544" s="297"/>
      <c r="Z544" s="297"/>
      <c r="AA544" s="301">
        <f t="shared" si="154"/>
        <v>0</v>
      </c>
      <c r="AB544" s="296">
        <f t="shared" si="155"/>
        <v>0</v>
      </c>
    </row>
    <row r="545" spans="3:28" hidden="1" outlineLevel="1" x14ac:dyDescent="0.25">
      <c r="C545" s="397"/>
      <c r="D545" s="332" t="str">
        <f t="shared" si="152"/>
        <v>Наименование объекта / группы объектов 11</v>
      </c>
      <c r="E545" s="337" t="s">
        <v>13</v>
      </c>
      <c r="F545" s="297"/>
      <c r="G545" s="297"/>
      <c r="H545" s="297"/>
      <c r="I545" s="297"/>
      <c r="J545" s="297"/>
      <c r="K545" s="297"/>
      <c r="L545" s="297"/>
      <c r="M545" s="297"/>
      <c r="N545" s="297"/>
      <c r="O545" s="297"/>
      <c r="P545" s="297"/>
      <c r="Q545" s="297"/>
      <c r="R545" s="297"/>
      <c r="S545" s="297"/>
      <c r="T545" s="297"/>
      <c r="U545" s="297"/>
      <c r="V545" s="297"/>
      <c r="W545" s="297"/>
      <c r="X545" s="297"/>
      <c r="Y545" s="297"/>
      <c r="Z545" s="297"/>
      <c r="AA545" s="301">
        <f t="shared" si="154"/>
        <v>0</v>
      </c>
      <c r="AB545" s="296">
        <f t="shared" si="155"/>
        <v>0</v>
      </c>
    </row>
    <row r="546" spans="3:28" hidden="1" outlineLevel="1" x14ac:dyDescent="0.25">
      <c r="C546" s="397"/>
      <c r="D546" s="332" t="str">
        <f t="shared" si="152"/>
        <v>Наименование объекта / группы объектов 12</v>
      </c>
      <c r="E546" s="337" t="s">
        <v>13</v>
      </c>
      <c r="F546" s="297"/>
      <c r="G546" s="297"/>
      <c r="H546" s="297"/>
      <c r="I546" s="297"/>
      <c r="J546" s="297"/>
      <c r="K546" s="297"/>
      <c r="L546" s="297"/>
      <c r="M546" s="297"/>
      <c r="N546" s="297"/>
      <c r="O546" s="297"/>
      <c r="P546" s="297"/>
      <c r="Q546" s="297"/>
      <c r="R546" s="297"/>
      <c r="S546" s="297"/>
      <c r="T546" s="297"/>
      <c r="U546" s="297"/>
      <c r="V546" s="297"/>
      <c r="W546" s="297"/>
      <c r="X546" s="297"/>
      <c r="Y546" s="297"/>
      <c r="Z546" s="297"/>
      <c r="AA546" s="301">
        <f t="shared" si="154"/>
        <v>0</v>
      </c>
      <c r="AB546" s="296">
        <f t="shared" si="155"/>
        <v>0</v>
      </c>
    </row>
    <row r="547" spans="3:28" hidden="1" outlineLevel="1" x14ac:dyDescent="0.25">
      <c r="C547" s="397"/>
      <c r="D547" s="332" t="str">
        <f t="shared" si="152"/>
        <v>Наименование объекта / группы объектов 13</v>
      </c>
      <c r="E547" s="337" t="s">
        <v>13</v>
      </c>
      <c r="F547" s="297"/>
      <c r="G547" s="297"/>
      <c r="H547" s="297"/>
      <c r="I547" s="297"/>
      <c r="J547" s="297"/>
      <c r="K547" s="297"/>
      <c r="L547" s="297"/>
      <c r="M547" s="297"/>
      <c r="N547" s="297"/>
      <c r="O547" s="297"/>
      <c r="P547" s="297"/>
      <c r="Q547" s="297"/>
      <c r="R547" s="297"/>
      <c r="S547" s="297"/>
      <c r="T547" s="297"/>
      <c r="U547" s="297"/>
      <c r="V547" s="297"/>
      <c r="W547" s="297"/>
      <c r="X547" s="297"/>
      <c r="Y547" s="297"/>
      <c r="Z547" s="297"/>
      <c r="AA547" s="301">
        <f t="shared" si="154"/>
        <v>0</v>
      </c>
      <c r="AB547" s="296">
        <f t="shared" si="155"/>
        <v>0</v>
      </c>
    </row>
    <row r="548" spans="3:28" hidden="1" outlineLevel="1" x14ac:dyDescent="0.25">
      <c r="C548" s="397"/>
      <c r="D548" s="332" t="str">
        <f t="shared" si="152"/>
        <v>Наименование объекта / группы объектов 14</v>
      </c>
      <c r="E548" s="337" t="s">
        <v>13</v>
      </c>
      <c r="F548" s="297"/>
      <c r="G548" s="297"/>
      <c r="H548" s="297"/>
      <c r="I548" s="297"/>
      <c r="J548" s="297"/>
      <c r="K548" s="297"/>
      <c r="L548" s="297"/>
      <c r="M548" s="297"/>
      <c r="N548" s="297"/>
      <c r="O548" s="297"/>
      <c r="P548" s="297"/>
      <c r="Q548" s="297"/>
      <c r="R548" s="297"/>
      <c r="S548" s="297"/>
      <c r="T548" s="297"/>
      <c r="U548" s="297"/>
      <c r="V548" s="297"/>
      <c r="W548" s="297"/>
      <c r="X548" s="297"/>
      <c r="Y548" s="297"/>
      <c r="Z548" s="297"/>
      <c r="AA548" s="301">
        <f t="shared" si="154"/>
        <v>0</v>
      </c>
      <c r="AB548" s="296">
        <f t="shared" si="155"/>
        <v>0</v>
      </c>
    </row>
    <row r="549" spans="3:28" hidden="1" outlineLevel="1" x14ac:dyDescent="0.25">
      <c r="C549" s="397"/>
      <c r="D549" s="332" t="str">
        <f t="shared" si="152"/>
        <v>Наименование объекта / группы объектов 15</v>
      </c>
      <c r="E549" s="337" t="s">
        <v>13</v>
      </c>
      <c r="F549" s="297"/>
      <c r="G549" s="297"/>
      <c r="H549" s="297"/>
      <c r="I549" s="297"/>
      <c r="J549" s="297"/>
      <c r="K549" s="297"/>
      <c r="L549" s="297"/>
      <c r="M549" s="297"/>
      <c r="N549" s="297"/>
      <c r="O549" s="297"/>
      <c r="P549" s="297"/>
      <c r="Q549" s="297"/>
      <c r="R549" s="297"/>
      <c r="S549" s="297"/>
      <c r="T549" s="297"/>
      <c r="U549" s="297"/>
      <c r="V549" s="297"/>
      <c r="W549" s="297"/>
      <c r="X549" s="297"/>
      <c r="Y549" s="297"/>
      <c r="Z549" s="297"/>
      <c r="AA549" s="301">
        <f t="shared" si="154"/>
        <v>0</v>
      </c>
      <c r="AB549" s="296">
        <f t="shared" si="155"/>
        <v>0</v>
      </c>
    </row>
    <row r="550" spans="3:28" hidden="1" outlineLevel="1" x14ac:dyDescent="0.25">
      <c r="C550" s="397"/>
      <c r="D550" s="332" t="str">
        <f t="shared" si="152"/>
        <v>Наименование объекта / группы объектов 16</v>
      </c>
      <c r="E550" s="337" t="s">
        <v>13</v>
      </c>
      <c r="F550" s="297"/>
      <c r="G550" s="297"/>
      <c r="H550" s="297"/>
      <c r="I550" s="297"/>
      <c r="J550" s="297"/>
      <c r="K550" s="297"/>
      <c r="L550" s="297"/>
      <c r="M550" s="297"/>
      <c r="N550" s="297"/>
      <c r="O550" s="297"/>
      <c r="P550" s="297"/>
      <c r="Q550" s="297"/>
      <c r="R550" s="297"/>
      <c r="S550" s="297"/>
      <c r="T550" s="297"/>
      <c r="U550" s="297"/>
      <c r="V550" s="297"/>
      <c r="W550" s="297"/>
      <c r="X550" s="297"/>
      <c r="Y550" s="297"/>
      <c r="Z550" s="297"/>
      <c r="AA550" s="301">
        <f t="shared" si="154"/>
        <v>0</v>
      </c>
      <c r="AB550" s="298">
        <f t="shared" si="155"/>
        <v>0</v>
      </c>
    </row>
    <row r="551" spans="3:28" hidden="1" outlineLevel="1" x14ac:dyDescent="0.25">
      <c r="C551" s="397"/>
      <c r="D551" s="332" t="str">
        <f t="shared" si="152"/>
        <v>Наименование объекта / группы объектов 17</v>
      </c>
      <c r="E551" s="337" t="s">
        <v>13</v>
      </c>
      <c r="F551" s="297"/>
      <c r="G551" s="297"/>
      <c r="H551" s="297"/>
      <c r="I551" s="297"/>
      <c r="J551" s="297"/>
      <c r="K551" s="297"/>
      <c r="L551" s="297"/>
      <c r="M551" s="297"/>
      <c r="N551" s="297"/>
      <c r="O551" s="297"/>
      <c r="P551" s="297"/>
      <c r="Q551" s="297"/>
      <c r="R551" s="297"/>
      <c r="S551" s="297"/>
      <c r="T551" s="297"/>
      <c r="U551" s="297"/>
      <c r="V551" s="297"/>
      <c r="W551" s="297"/>
      <c r="X551" s="297"/>
      <c r="Y551" s="297"/>
      <c r="Z551" s="297"/>
      <c r="AA551" s="301">
        <f t="shared" si="154"/>
        <v>0</v>
      </c>
      <c r="AB551" s="298">
        <f t="shared" si="155"/>
        <v>0</v>
      </c>
    </row>
    <row r="552" spans="3:28" hidden="1" outlineLevel="1" x14ac:dyDescent="0.25">
      <c r="C552" s="397"/>
      <c r="D552" s="332" t="str">
        <f t="shared" si="152"/>
        <v>Наименование объекта / группы объектов 18</v>
      </c>
      <c r="E552" s="337" t="s">
        <v>13</v>
      </c>
      <c r="F552" s="297"/>
      <c r="G552" s="297"/>
      <c r="H552" s="297"/>
      <c r="I552" s="297"/>
      <c r="J552" s="297"/>
      <c r="K552" s="297"/>
      <c r="L552" s="297"/>
      <c r="M552" s="297"/>
      <c r="N552" s="297"/>
      <c r="O552" s="297"/>
      <c r="P552" s="297"/>
      <c r="Q552" s="297"/>
      <c r="R552" s="297"/>
      <c r="S552" s="297"/>
      <c r="T552" s="297"/>
      <c r="U552" s="297"/>
      <c r="V552" s="297"/>
      <c r="W552" s="297"/>
      <c r="X552" s="297"/>
      <c r="Y552" s="297"/>
      <c r="Z552" s="297"/>
      <c r="AA552" s="301">
        <f t="shared" si="154"/>
        <v>0</v>
      </c>
      <c r="AB552" s="296">
        <f t="shared" si="155"/>
        <v>0</v>
      </c>
    </row>
    <row r="553" spans="3:28" hidden="1" outlineLevel="1" x14ac:dyDescent="0.25">
      <c r="C553" s="397"/>
      <c r="D553" s="332" t="str">
        <f t="shared" si="152"/>
        <v>Наименование объекта / группы объектов 19</v>
      </c>
      <c r="E553" s="337" t="s">
        <v>13</v>
      </c>
      <c r="F553" s="297"/>
      <c r="G553" s="297"/>
      <c r="H553" s="297"/>
      <c r="I553" s="297"/>
      <c r="J553" s="297"/>
      <c r="K553" s="297"/>
      <c r="L553" s="297"/>
      <c r="M553" s="297"/>
      <c r="N553" s="297"/>
      <c r="O553" s="297"/>
      <c r="P553" s="297"/>
      <c r="Q553" s="297"/>
      <c r="R553" s="297"/>
      <c r="S553" s="297"/>
      <c r="T553" s="297"/>
      <c r="U553" s="297"/>
      <c r="V553" s="297"/>
      <c r="W553" s="297"/>
      <c r="X553" s="297"/>
      <c r="Y553" s="297"/>
      <c r="Z553" s="297"/>
      <c r="AA553" s="301">
        <f t="shared" si="154"/>
        <v>0</v>
      </c>
      <c r="AB553" s="296">
        <f t="shared" si="155"/>
        <v>0</v>
      </c>
    </row>
    <row r="554" spans="3:28" hidden="1" outlineLevel="1" x14ac:dyDescent="0.25">
      <c r="C554" s="397"/>
      <c r="D554" s="332" t="str">
        <f t="shared" si="152"/>
        <v>Наименование объекта / группы объектов 20</v>
      </c>
      <c r="E554" s="337" t="s">
        <v>13</v>
      </c>
      <c r="F554" s="297"/>
      <c r="G554" s="297"/>
      <c r="H554" s="297"/>
      <c r="I554" s="297"/>
      <c r="J554" s="297"/>
      <c r="K554" s="297"/>
      <c r="L554" s="297"/>
      <c r="M554" s="297"/>
      <c r="N554" s="297"/>
      <c r="O554" s="297"/>
      <c r="P554" s="297"/>
      <c r="Q554" s="297"/>
      <c r="R554" s="297"/>
      <c r="S554" s="297"/>
      <c r="T554" s="297"/>
      <c r="U554" s="297"/>
      <c r="V554" s="297"/>
      <c r="W554" s="297"/>
      <c r="X554" s="297"/>
      <c r="Y554" s="297"/>
      <c r="Z554" s="297"/>
      <c r="AA554" s="301">
        <f t="shared" si="154"/>
        <v>0</v>
      </c>
      <c r="AB554" s="296">
        <f t="shared" si="155"/>
        <v>0</v>
      </c>
    </row>
    <row r="555" spans="3:28" hidden="1" outlineLevel="1" x14ac:dyDescent="0.25">
      <c r="C555" s="397"/>
      <c r="D555" s="332" t="str">
        <f t="shared" si="152"/>
        <v>Наименование объекта / группы объектов 21</v>
      </c>
      <c r="E555" s="337" t="s">
        <v>13</v>
      </c>
      <c r="F555" s="297"/>
      <c r="G555" s="297"/>
      <c r="H555" s="297"/>
      <c r="I555" s="297"/>
      <c r="J555" s="297"/>
      <c r="K555" s="297"/>
      <c r="L555" s="297"/>
      <c r="M555" s="297"/>
      <c r="N555" s="297"/>
      <c r="O555" s="297"/>
      <c r="P555" s="297"/>
      <c r="Q555" s="297"/>
      <c r="R555" s="297"/>
      <c r="S555" s="297"/>
      <c r="T555" s="297"/>
      <c r="U555" s="297"/>
      <c r="V555" s="297"/>
      <c r="W555" s="297"/>
      <c r="X555" s="297"/>
      <c r="Y555" s="297"/>
      <c r="Z555" s="297"/>
      <c r="AA555" s="301">
        <f t="shared" si="154"/>
        <v>0</v>
      </c>
      <c r="AB555" s="296">
        <f t="shared" si="155"/>
        <v>0</v>
      </c>
    </row>
    <row r="556" spans="3:28" hidden="1" outlineLevel="1" x14ac:dyDescent="0.25">
      <c r="C556" s="397"/>
      <c r="D556" s="332" t="str">
        <f t="shared" si="152"/>
        <v>Наименование объекта / группы объектов 22</v>
      </c>
      <c r="E556" s="337" t="s">
        <v>13</v>
      </c>
      <c r="F556" s="297"/>
      <c r="G556" s="297"/>
      <c r="H556" s="297"/>
      <c r="I556" s="297"/>
      <c r="J556" s="297"/>
      <c r="K556" s="297"/>
      <c r="L556" s="297"/>
      <c r="M556" s="297"/>
      <c r="N556" s="297"/>
      <c r="O556" s="297"/>
      <c r="P556" s="297"/>
      <c r="Q556" s="297"/>
      <c r="R556" s="297"/>
      <c r="S556" s="297"/>
      <c r="T556" s="297"/>
      <c r="U556" s="297"/>
      <c r="V556" s="297"/>
      <c r="W556" s="297"/>
      <c r="X556" s="297"/>
      <c r="Y556" s="297"/>
      <c r="Z556" s="297"/>
      <c r="AA556" s="301">
        <f t="shared" si="154"/>
        <v>0</v>
      </c>
      <c r="AB556" s="296">
        <f t="shared" si="155"/>
        <v>0</v>
      </c>
    </row>
    <row r="557" spans="3:28" hidden="1" outlineLevel="1" x14ac:dyDescent="0.25">
      <c r="C557" s="397"/>
      <c r="D557" s="332" t="str">
        <f t="shared" si="152"/>
        <v>Наименование объекта / группы объектов 23</v>
      </c>
      <c r="E557" s="337" t="s">
        <v>13</v>
      </c>
      <c r="F557" s="297"/>
      <c r="G557" s="297"/>
      <c r="H557" s="297"/>
      <c r="I557" s="297"/>
      <c r="J557" s="297"/>
      <c r="K557" s="297"/>
      <c r="L557" s="297"/>
      <c r="M557" s="297"/>
      <c r="N557" s="297"/>
      <c r="O557" s="297"/>
      <c r="P557" s="297"/>
      <c r="Q557" s="297"/>
      <c r="R557" s="297"/>
      <c r="S557" s="297"/>
      <c r="T557" s="297"/>
      <c r="U557" s="297"/>
      <c r="V557" s="297"/>
      <c r="W557" s="297"/>
      <c r="X557" s="297"/>
      <c r="Y557" s="297"/>
      <c r="Z557" s="297"/>
      <c r="AA557" s="301">
        <f t="shared" si="154"/>
        <v>0</v>
      </c>
      <c r="AB557" s="296">
        <f t="shared" si="155"/>
        <v>0</v>
      </c>
    </row>
    <row r="558" spans="3:28" hidden="1" outlineLevel="1" x14ac:dyDescent="0.25">
      <c r="C558" s="397"/>
      <c r="D558" s="332" t="str">
        <f t="shared" si="152"/>
        <v>Наименование объекта / группы объектов 24</v>
      </c>
      <c r="E558" s="337" t="s">
        <v>13</v>
      </c>
      <c r="F558" s="297"/>
      <c r="G558" s="297"/>
      <c r="H558" s="297"/>
      <c r="I558" s="297"/>
      <c r="J558" s="297"/>
      <c r="K558" s="297"/>
      <c r="L558" s="297"/>
      <c r="M558" s="297"/>
      <c r="N558" s="297"/>
      <c r="O558" s="297"/>
      <c r="P558" s="297"/>
      <c r="Q558" s="297"/>
      <c r="R558" s="297"/>
      <c r="S558" s="297"/>
      <c r="T558" s="297"/>
      <c r="U558" s="297"/>
      <c r="V558" s="297"/>
      <c r="W558" s="297"/>
      <c r="X558" s="297"/>
      <c r="Y558" s="297"/>
      <c r="Z558" s="297"/>
      <c r="AA558" s="301">
        <f t="shared" si="154"/>
        <v>0</v>
      </c>
      <c r="AB558" s="296">
        <f t="shared" si="155"/>
        <v>0</v>
      </c>
    </row>
    <row r="559" spans="3:28" hidden="1" outlineLevel="1" x14ac:dyDescent="0.25">
      <c r="C559" s="397"/>
      <c r="D559" s="332" t="str">
        <f t="shared" si="152"/>
        <v>Наименование объекта / группы объектов 25</v>
      </c>
      <c r="E559" s="337" t="s">
        <v>13</v>
      </c>
      <c r="F559" s="297"/>
      <c r="G559" s="297"/>
      <c r="H559" s="297"/>
      <c r="I559" s="297"/>
      <c r="J559" s="297"/>
      <c r="K559" s="297"/>
      <c r="L559" s="297"/>
      <c r="M559" s="297"/>
      <c r="N559" s="297"/>
      <c r="O559" s="297"/>
      <c r="P559" s="297"/>
      <c r="Q559" s="297"/>
      <c r="R559" s="297"/>
      <c r="S559" s="297"/>
      <c r="T559" s="297"/>
      <c r="U559" s="297"/>
      <c r="V559" s="297"/>
      <c r="W559" s="297"/>
      <c r="X559" s="297"/>
      <c r="Y559" s="297"/>
      <c r="Z559" s="297"/>
      <c r="AA559" s="301">
        <f>IFERROR(AVERAGE(J559:Z559),0)</f>
        <v>0</v>
      </c>
      <c r="AB559" s="296">
        <f>AA559/1000</f>
        <v>0</v>
      </c>
    </row>
    <row r="560" spans="3:28" collapsed="1" x14ac:dyDescent="0.25">
      <c r="C560" s="326">
        <v>9</v>
      </c>
      <c r="D560" s="327" t="s">
        <v>119</v>
      </c>
      <c r="E560" s="392" t="s">
        <v>10</v>
      </c>
      <c r="F560" s="354">
        <f>F561-F562</f>
        <v>0</v>
      </c>
      <c r="G560" s="354">
        <f t="shared" ref="G560:AB560" si="156">G561-G562</f>
        <v>0</v>
      </c>
      <c r="H560" s="354">
        <f t="shared" si="156"/>
        <v>0</v>
      </c>
      <c r="I560" s="354">
        <f t="shared" si="156"/>
        <v>0</v>
      </c>
      <c r="J560" s="354">
        <f t="shared" si="156"/>
        <v>0</v>
      </c>
      <c r="K560" s="354">
        <f t="shared" si="156"/>
        <v>0</v>
      </c>
      <c r="L560" s="354">
        <f t="shared" si="156"/>
        <v>0</v>
      </c>
      <c r="M560" s="354">
        <f t="shared" si="156"/>
        <v>0</v>
      </c>
      <c r="N560" s="354">
        <f t="shared" si="156"/>
        <v>0</v>
      </c>
      <c r="O560" s="354">
        <f t="shared" si="156"/>
        <v>0</v>
      </c>
      <c r="P560" s="354">
        <f t="shared" si="156"/>
        <v>0</v>
      </c>
      <c r="Q560" s="354">
        <f t="shared" si="156"/>
        <v>0</v>
      </c>
      <c r="R560" s="354">
        <f t="shared" si="156"/>
        <v>0</v>
      </c>
      <c r="S560" s="354">
        <f t="shared" si="156"/>
        <v>0</v>
      </c>
      <c r="T560" s="354">
        <f t="shared" si="156"/>
        <v>0</v>
      </c>
      <c r="U560" s="354">
        <f t="shared" si="156"/>
        <v>0</v>
      </c>
      <c r="V560" s="354">
        <f t="shared" si="156"/>
        <v>0</v>
      </c>
      <c r="W560" s="354">
        <f t="shared" si="156"/>
        <v>0</v>
      </c>
      <c r="X560" s="354">
        <f t="shared" si="156"/>
        <v>0</v>
      </c>
      <c r="Y560" s="354">
        <f t="shared" si="156"/>
        <v>0</v>
      </c>
      <c r="Z560" s="354">
        <f t="shared" si="156"/>
        <v>0</v>
      </c>
      <c r="AA560" s="354">
        <f>AA561-AA562</f>
        <v>0</v>
      </c>
      <c r="AB560" s="354">
        <f t="shared" si="156"/>
        <v>0</v>
      </c>
    </row>
    <row r="561" spans="3:28" hidden="1" outlineLevel="1" x14ac:dyDescent="0.25">
      <c r="C561" s="395"/>
      <c r="D561" s="338" t="s">
        <v>12</v>
      </c>
      <c r="E561" s="339" t="s">
        <v>13</v>
      </c>
      <c r="F561" s="312"/>
      <c r="G561" s="312"/>
      <c r="H561" s="312"/>
      <c r="I561" s="312"/>
      <c r="J561" s="312"/>
      <c r="K561" s="312"/>
      <c r="L561" s="312"/>
      <c r="M561" s="312"/>
      <c r="N561" s="312"/>
      <c r="O561" s="312"/>
      <c r="P561" s="312"/>
      <c r="Q561" s="312"/>
      <c r="R561" s="312"/>
      <c r="S561" s="312"/>
      <c r="T561" s="312"/>
      <c r="U561" s="312"/>
      <c r="V561" s="312"/>
      <c r="W561" s="312"/>
      <c r="X561" s="312"/>
      <c r="Y561" s="312"/>
      <c r="Z561" s="312"/>
      <c r="AA561" s="308">
        <f>SUM(J561:Z561)</f>
        <v>0</v>
      </c>
      <c r="AB561" s="296">
        <f>AA561/1000</f>
        <v>0</v>
      </c>
    </row>
    <row r="562" spans="3:28" hidden="1" outlineLevel="1" x14ac:dyDescent="0.25">
      <c r="C562" s="395"/>
      <c r="D562" s="338" t="s">
        <v>112</v>
      </c>
      <c r="E562" s="339" t="s">
        <v>13</v>
      </c>
      <c r="F562" s="296">
        <f>F563+F578</f>
        <v>0</v>
      </c>
      <c r="G562" s="296">
        <f t="shared" ref="G562:R562" si="157">G563+G578</f>
        <v>0</v>
      </c>
      <c r="H562" s="296">
        <f t="shared" si="157"/>
        <v>0</v>
      </c>
      <c r="I562" s="296">
        <f t="shared" si="157"/>
        <v>0</v>
      </c>
      <c r="J562" s="296">
        <f t="shared" si="157"/>
        <v>0</v>
      </c>
      <c r="K562" s="296">
        <f t="shared" si="157"/>
        <v>0</v>
      </c>
      <c r="L562" s="296">
        <f t="shared" si="157"/>
        <v>0</v>
      </c>
      <c r="M562" s="296">
        <f t="shared" si="157"/>
        <v>0</v>
      </c>
      <c r="N562" s="296">
        <f t="shared" si="157"/>
        <v>0</v>
      </c>
      <c r="O562" s="296">
        <f t="shared" si="157"/>
        <v>0</v>
      </c>
      <c r="P562" s="296">
        <f t="shared" si="157"/>
        <v>0</v>
      </c>
      <c r="Q562" s="296">
        <f t="shared" si="157"/>
        <v>0</v>
      </c>
      <c r="R562" s="296">
        <f t="shared" si="157"/>
        <v>0</v>
      </c>
      <c r="S562" s="296">
        <f t="shared" ref="S562:Z562" si="158">S563+S578</f>
        <v>0</v>
      </c>
      <c r="T562" s="296">
        <f t="shared" si="158"/>
        <v>0</v>
      </c>
      <c r="U562" s="296">
        <f t="shared" si="158"/>
        <v>0</v>
      </c>
      <c r="V562" s="296">
        <f t="shared" si="158"/>
        <v>0</v>
      </c>
      <c r="W562" s="296">
        <f t="shared" si="158"/>
        <v>0</v>
      </c>
      <c r="X562" s="296">
        <f t="shared" si="158"/>
        <v>0</v>
      </c>
      <c r="Y562" s="296">
        <f t="shared" si="158"/>
        <v>0</v>
      </c>
      <c r="Z562" s="296">
        <f t="shared" si="158"/>
        <v>0</v>
      </c>
      <c r="AA562" s="308">
        <f>SUM(J562:Z562)</f>
        <v>0</v>
      </c>
      <c r="AB562" s="296">
        <f t="shared" ref="AB562" si="159">AB563+AB578</f>
        <v>0</v>
      </c>
    </row>
    <row r="563" spans="3:28" hidden="1" outlineLevel="1" x14ac:dyDescent="0.25">
      <c r="C563" s="395"/>
      <c r="D563" s="338" t="s">
        <v>113</v>
      </c>
      <c r="E563" s="339" t="s">
        <v>13</v>
      </c>
      <c r="F563" s="312"/>
      <c r="G563" s="312"/>
      <c r="H563" s="312"/>
      <c r="I563" s="312"/>
      <c r="J563" s="312"/>
      <c r="K563" s="312"/>
      <c r="L563" s="312"/>
      <c r="M563" s="312"/>
      <c r="N563" s="312"/>
      <c r="O563" s="312"/>
      <c r="P563" s="312"/>
      <c r="Q563" s="312"/>
      <c r="R563" s="312"/>
      <c r="S563" s="312"/>
      <c r="T563" s="312"/>
      <c r="U563" s="312"/>
      <c r="V563" s="312"/>
      <c r="W563" s="312"/>
      <c r="X563" s="312"/>
      <c r="Y563" s="312"/>
      <c r="Z563" s="312"/>
      <c r="AA563" s="308">
        <f>SUM(J563:Z563)</f>
        <v>0</v>
      </c>
      <c r="AB563" s="296">
        <f t="shared" ref="AB563:AB603" si="160">AA563/1000</f>
        <v>0</v>
      </c>
    </row>
    <row r="564" spans="3:28" hidden="1" outlineLevel="1" x14ac:dyDescent="0.25">
      <c r="C564" s="396"/>
      <c r="D564" s="355" t="s">
        <v>114</v>
      </c>
      <c r="E564" s="367" t="s">
        <v>13</v>
      </c>
      <c r="F564" s="313"/>
      <c r="G564" s="313"/>
      <c r="H564" s="313"/>
      <c r="I564" s="313"/>
      <c r="J564" s="313"/>
      <c r="K564" s="313"/>
      <c r="L564" s="313"/>
      <c r="M564" s="313"/>
      <c r="N564" s="313"/>
      <c r="O564" s="313"/>
      <c r="P564" s="313"/>
      <c r="Q564" s="313"/>
      <c r="R564" s="313"/>
      <c r="S564" s="313"/>
      <c r="T564" s="313"/>
      <c r="U564" s="313"/>
      <c r="V564" s="313"/>
      <c r="W564" s="313"/>
      <c r="X564" s="313"/>
      <c r="Y564" s="313"/>
      <c r="Z564" s="313"/>
      <c r="AA564" s="310">
        <f t="shared" ref="AA564:AA577" si="161">SUM(J564:Z564)</f>
        <v>0</v>
      </c>
      <c r="AB564" s="310">
        <f t="shared" si="160"/>
        <v>0</v>
      </c>
    </row>
    <row r="565" spans="3:28" hidden="1" outlineLevel="1" x14ac:dyDescent="0.25">
      <c r="C565" s="396"/>
      <c r="D565" s="357" t="s">
        <v>40</v>
      </c>
      <c r="E565" s="367" t="s">
        <v>13</v>
      </c>
      <c r="F565" s="313"/>
      <c r="G565" s="313"/>
      <c r="H565" s="313"/>
      <c r="I565" s="313"/>
      <c r="J565" s="313"/>
      <c r="K565" s="313"/>
      <c r="L565" s="313"/>
      <c r="M565" s="313"/>
      <c r="N565" s="313"/>
      <c r="O565" s="313"/>
      <c r="P565" s="313"/>
      <c r="Q565" s="313"/>
      <c r="R565" s="313"/>
      <c r="S565" s="313"/>
      <c r="T565" s="313"/>
      <c r="U565" s="313"/>
      <c r="V565" s="313"/>
      <c r="W565" s="313"/>
      <c r="X565" s="313"/>
      <c r="Y565" s="313"/>
      <c r="Z565" s="313"/>
      <c r="AA565" s="310">
        <f t="shared" si="161"/>
        <v>0</v>
      </c>
      <c r="AB565" s="310">
        <f t="shared" si="160"/>
        <v>0</v>
      </c>
    </row>
    <row r="566" spans="3:28" hidden="1" outlineLevel="1" x14ac:dyDescent="0.25">
      <c r="C566" s="396"/>
      <c r="D566" s="357" t="s">
        <v>98</v>
      </c>
      <c r="E566" s="367" t="s">
        <v>13</v>
      </c>
      <c r="F566" s="313"/>
      <c r="G566" s="313"/>
      <c r="H566" s="313"/>
      <c r="I566" s="313"/>
      <c r="J566" s="313"/>
      <c r="K566" s="313"/>
      <c r="L566" s="313"/>
      <c r="M566" s="313"/>
      <c r="N566" s="313"/>
      <c r="O566" s="313"/>
      <c r="P566" s="313"/>
      <c r="Q566" s="313"/>
      <c r="R566" s="313"/>
      <c r="S566" s="313"/>
      <c r="T566" s="313"/>
      <c r="U566" s="313"/>
      <c r="V566" s="313"/>
      <c r="W566" s="313"/>
      <c r="X566" s="313"/>
      <c r="Y566" s="313"/>
      <c r="Z566" s="313"/>
      <c r="AA566" s="310">
        <f t="shared" si="161"/>
        <v>0</v>
      </c>
      <c r="AB566" s="310">
        <f t="shared" si="160"/>
        <v>0</v>
      </c>
    </row>
    <row r="567" spans="3:28" hidden="1" outlineLevel="1" x14ac:dyDescent="0.25">
      <c r="C567" s="396"/>
      <c r="D567" s="357" t="s">
        <v>48</v>
      </c>
      <c r="E567" s="367" t="s">
        <v>13</v>
      </c>
      <c r="F567" s="313"/>
      <c r="G567" s="313"/>
      <c r="H567" s="313"/>
      <c r="I567" s="313"/>
      <c r="J567" s="313"/>
      <c r="K567" s="313"/>
      <c r="L567" s="313"/>
      <c r="M567" s="313"/>
      <c r="N567" s="313"/>
      <c r="O567" s="313"/>
      <c r="P567" s="313"/>
      <c r="Q567" s="313"/>
      <c r="R567" s="313"/>
      <c r="S567" s="313"/>
      <c r="T567" s="313"/>
      <c r="U567" s="313"/>
      <c r="V567" s="313"/>
      <c r="W567" s="313"/>
      <c r="X567" s="313"/>
      <c r="Y567" s="313"/>
      <c r="Z567" s="313"/>
      <c r="AA567" s="310">
        <f t="shared" si="161"/>
        <v>0</v>
      </c>
      <c r="AB567" s="310">
        <f t="shared" si="160"/>
        <v>0</v>
      </c>
    </row>
    <row r="568" spans="3:28" hidden="1" outlineLevel="1" x14ac:dyDescent="0.25">
      <c r="C568" s="396"/>
      <c r="D568" s="357" t="s">
        <v>99</v>
      </c>
      <c r="E568" s="367" t="s">
        <v>13</v>
      </c>
      <c r="F568" s="313"/>
      <c r="G568" s="313"/>
      <c r="H568" s="313"/>
      <c r="I568" s="313"/>
      <c r="J568" s="313"/>
      <c r="K568" s="313"/>
      <c r="L568" s="313"/>
      <c r="M568" s="313"/>
      <c r="N568" s="313"/>
      <c r="O568" s="313"/>
      <c r="P568" s="313"/>
      <c r="Q568" s="313"/>
      <c r="R568" s="313"/>
      <c r="S568" s="313"/>
      <c r="T568" s="313"/>
      <c r="U568" s="313"/>
      <c r="V568" s="313"/>
      <c r="W568" s="313"/>
      <c r="X568" s="313"/>
      <c r="Y568" s="313"/>
      <c r="Z568" s="313"/>
      <c r="AA568" s="310">
        <f t="shared" si="161"/>
        <v>0</v>
      </c>
      <c r="AB568" s="310">
        <f t="shared" si="160"/>
        <v>0</v>
      </c>
    </row>
    <row r="569" spans="3:28" hidden="1" outlineLevel="1" x14ac:dyDescent="0.25">
      <c r="C569" s="396"/>
      <c r="D569" s="357" t="s">
        <v>100</v>
      </c>
      <c r="E569" s="367" t="s">
        <v>13</v>
      </c>
      <c r="F569" s="313"/>
      <c r="G569" s="313"/>
      <c r="H569" s="313"/>
      <c r="I569" s="313"/>
      <c r="J569" s="313"/>
      <c r="K569" s="313"/>
      <c r="L569" s="313"/>
      <c r="M569" s="313"/>
      <c r="N569" s="313"/>
      <c r="O569" s="313"/>
      <c r="P569" s="313"/>
      <c r="Q569" s="313"/>
      <c r="R569" s="313"/>
      <c r="S569" s="313"/>
      <c r="T569" s="313"/>
      <c r="U569" s="313"/>
      <c r="V569" s="313"/>
      <c r="W569" s="313"/>
      <c r="X569" s="313"/>
      <c r="Y569" s="313"/>
      <c r="Z569" s="313"/>
      <c r="AA569" s="310">
        <f t="shared" si="161"/>
        <v>0</v>
      </c>
      <c r="AB569" s="310">
        <f t="shared" si="160"/>
        <v>0</v>
      </c>
    </row>
    <row r="570" spans="3:28" hidden="1" outlineLevel="1" x14ac:dyDescent="0.25">
      <c r="C570" s="396"/>
      <c r="D570" s="357" t="s">
        <v>101</v>
      </c>
      <c r="E570" s="367" t="s">
        <v>13</v>
      </c>
      <c r="F570" s="313"/>
      <c r="G570" s="313"/>
      <c r="H570" s="313"/>
      <c r="I570" s="313"/>
      <c r="J570" s="313"/>
      <c r="K570" s="313"/>
      <c r="L570" s="313"/>
      <c r="M570" s="313"/>
      <c r="N570" s="313"/>
      <c r="O570" s="313"/>
      <c r="P570" s="313"/>
      <c r="Q570" s="313"/>
      <c r="R570" s="313"/>
      <c r="S570" s="313"/>
      <c r="T570" s="313"/>
      <c r="U570" s="313"/>
      <c r="V570" s="313"/>
      <c r="W570" s="313"/>
      <c r="X570" s="313"/>
      <c r="Y570" s="313"/>
      <c r="Z570" s="313"/>
      <c r="AA570" s="310">
        <f t="shared" si="161"/>
        <v>0</v>
      </c>
      <c r="AB570" s="310">
        <f t="shared" si="160"/>
        <v>0</v>
      </c>
    </row>
    <row r="571" spans="3:28" hidden="1" outlineLevel="1" x14ac:dyDescent="0.25">
      <c r="C571" s="396"/>
      <c r="D571" s="357" t="s">
        <v>102</v>
      </c>
      <c r="E571" s="367" t="s">
        <v>13</v>
      </c>
      <c r="F571" s="313"/>
      <c r="G571" s="313"/>
      <c r="H571" s="313"/>
      <c r="I571" s="313"/>
      <c r="J571" s="313"/>
      <c r="K571" s="313"/>
      <c r="L571" s="313"/>
      <c r="M571" s="313"/>
      <c r="N571" s="313"/>
      <c r="O571" s="313"/>
      <c r="P571" s="313"/>
      <c r="Q571" s="313"/>
      <c r="R571" s="313"/>
      <c r="S571" s="313"/>
      <c r="T571" s="313"/>
      <c r="U571" s="313"/>
      <c r="V571" s="313"/>
      <c r="W571" s="313"/>
      <c r="X571" s="313"/>
      <c r="Y571" s="313"/>
      <c r="Z571" s="313"/>
      <c r="AA571" s="310">
        <f t="shared" si="161"/>
        <v>0</v>
      </c>
      <c r="AB571" s="310">
        <f t="shared" si="160"/>
        <v>0</v>
      </c>
    </row>
    <row r="572" spans="3:28" hidden="1" outlineLevel="1" x14ac:dyDescent="0.25">
      <c r="C572" s="396"/>
      <c r="D572" s="357" t="s">
        <v>103</v>
      </c>
      <c r="E572" s="367" t="s">
        <v>13</v>
      </c>
      <c r="F572" s="313"/>
      <c r="G572" s="313"/>
      <c r="H572" s="313"/>
      <c r="I572" s="313"/>
      <c r="J572" s="313"/>
      <c r="K572" s="313"/>
      <c r="L572" s="313"/>
      <c r="M572" s="313"/>
      <c r="N572" s="313"/>
      <c r="O572" s="313"/>
      <c r="P572" s="313"/>
      <c r="Q572" s="313"/>
      <c r="R572" s="313"/>
      <c r="S572" s="313"/>
      <c r="T572" s="313"/>
      <c r="U572" s="313"/>
      <c r="V572" s="313"/>
      <c r="W572" s="313"/>
      <c r="X572" s="313"/>
      <c r="Y572" s="313"/>
      <c r="Z572" s="313"/>
      <c r="AA572" s="310">
        <f t="shared" si="161"/>
        <v>0</v>
      </c>
      <c r="AB572" s="310">
        <f t="shared" si="160"/>
        <v>0</v>
      </c>
    </row>
    <row r="573" spans="3:28" hidden="1" outlineLevel="1" x14ac:dyDescent="0.25">
      <c r="C573" s="396"/>
      <c r="D573" s="357" t="s">
        <v>104</v>
      </c>
      <c r="E573" s="367" t="s">
        <v>13</v>
      </c>
      <c r="F573" s="313"/>
      <c r="G573" s="313"/>
      <c r="H573" s="313"/>
      <c r="I573" s="313"/>
      <c r="J573" s="313"/>
      <c r="K573" s="313"/>
      <c r="L573" s="313"/>
      <c r="M573" s="313"/>
      <c r="N573" s="313"/>
      <c r="O573" s="313"/>
      <c r="P573" s="313"/>
      <c r="Q573" s="313"/>
      <c r="R573" s="313"/>
      <c r="S573" s="313"/>
      <c r="T573" s="313"/>
      <c r="U573" s="313"/>
      <c r="V573" s="313"/>
      <c r="W573" s="313"/>
      <c r="X573" s="313"/>
      <c r="Y573" s="313"/>
      <c r="Z573" s="313"/>
      <c r="AA573" s="310">
        <f t="shared" si="161"/>
        <v>0</v>
      </c>
      <c r="AB573" s="310">
        <f t="shared" si="160"/>
        <v>0</v>
      </c>
    </row>
    <row r="574" spans="3:28" hidden="1" outlineLevel="1" x14ac:dyDescent="0.25">
      <c r="C574" s="396"/>
      <c r="D574" s="357" t="s">
        <v>105</v>
      </c>
      <c r="E574" s="367" t="s">
        <v>13</v>
      </c>
      <c r="F574" s="313"/>
      <c r="G574" s="313"/>
      <c r="H574" s="313"/>
      <c r="I574" s="313"/>
      <c r="J574" s="313"/>
      <c r="K574" s="313"/>
      <c r="L574" s="313"/>
      <c r="M574" s="313"/>
      <c r="N574" s="313"/>
      <c r="O574" s="313"/>
      <c r="P574" s="313"/>
      <c r="Q574" s="313"/>
      <c r="R574" s="313"/>
      <c r="S574" s="313"/>
      <c r="T574" s="313"/>
      <c r="U574" s="313"/>
      <c r="V574" s="313"/>
      <c r="W574" s="313"/>
      <c r="X574" s="313"/>
      <c r="Y574" s="313"/>
      <c r="Z574" s="313"/>
      <c r="AA574" s="310">
        <f t="shared" si="161"/>
        <v>0</v>
      </c>
      <c r="AB574" s="310">
        <f t="shared" si="160"/>
        <v>0</v>
      </c>
    </row>
    <row r="575" spans="3:28" hidden="1" outlineLevel="1" x14ac:dyDescent="0.25">
      <c r="C575" s="396"/>
      <c r="D575" s="357" t="s">
        <v>106</v>
      </c>
      <c r="E575" s="367" t="s">
        <v>13</v>
      </c>
      <c r="F575" s="313"/>
      <c r="G575" s="313"/>
      <c r="H575" s="313"/>
      <c r="I575" s="313"/>
      <c r="J575" s="313"/>
      <c r="K575" s="313"/>
      <c r="L575" s="313"/>
      <c r="M575" s="313"/>
      <c r="N575" s="313"/>
      <c r="O575" s="313"/>
      <c r="P575" s="313"/>
      <c r="Q575" s="313"/>
      <c r="R575" s="313"/>
      <c r="S575" s="313"/>
      <c r="T575" s="313"/>
      <c r="U575" s="313"/>
      <c r="V575" s="313"/>
      <c r="W575" s="313"/>
      <c r="X575" s="313"/>
      <c r="Y575" s="313"/>
      <c r="Z575" s="313"/>
      <c r="AA575" s="310">
        <f t="shared" si="161"/>
        <v>0</v>
      </c>
      <c r="AB575" s="310">
        <f t="shared" si="160"/>
        <v>0</v>
      </c>
    </row>
    <row r="576" spans="3:28" hidden="1" outlineLevel="1" x14ac:dyDescent="0.25">
      <c r="C576" s="396"/>
      <c r="D576" s="357" t="s">
        <v>49</v>
      </c>
      <c r="E576" s="367" t="s">
        <v>13</v>
      </c>
      <c r="F576" s="313"/>
      <c r="G576" s="313"/>
      <c r="H576" s="313"/>
      <c r="I576" s="313"/>
      <c r="J576" s="313"/>
      <c r="K576" s="313"/>
      <c r="L576" s="313"/>
      <c r="M576" s="313"/>
      <c r="N576" s="313"/>
      <c r="O576" s="313"/>
      <c r="P576" s="313"/>
      <c r="Q576" s="313"/>
      <c r="R576" s="313"/>
      <c r="S576" s="313"/>
      <c r="T576" s="313"/>
      <c r="U576" s="313"/>
      <c r="V576" s="313"/>
      <c r="W576" s="313"/>
      <c r="X576" s="313"/>
      <c r="Y576" s="313"/>
      <c r="Z576" s="313"/>
      <c r="AA576" s="310">
        <f t="shared" si="161"/>
        <v>0</v>
      </c>
      <c r="AB576" s="310">
        <f t="shared" si="160"/>
        <v>0</v>
      </c>
    </row>
    <row r="577" spans="3:28" hidden="1" outlineLevel="1" x14ac:dyDescent="0.25">
      <c r="C577" s="396"/>
      <c r="D577" s="357" t="s">
        <v>107</v>
      </c>
      <c r="E577" s="367" t="s">
        <v>13</v>
      </c>
      <c r="F577" s="313"/>
      <c r="G577" s="313"/>
      <c r="H577" s="313"/>
      <c r="I577" s="313"/>
      <c r="J577" s="313"/>
      <c r="K577" s="313"/>
      <c r="L577" s="313"/>
      <c r="M577" s="313"/>
      <c r="N577" s="313"/>
      <c r="O577" s="313"/>
      <c r="P577" s="313"/>
      <c r="Q577" s="313"/>
      <c r="R577" s="313"/>
      <c r="S577" s="313"/>
      <c r="T577" s="313"/>
      <c r="U577" s="313"/>
      <c r="V577" s="313"/>
      <c r="W577" s="313"/>
      <c r="X577" s="313"/>
      <c r="Y577" s="313"/>
      <c r="Z577" s="313"/>
      <c r="AA577" s="310">
        <f t="shared" si="161"/>
        <v>0</v>
      </c>
      <c r="AB577" s="310">
        <f t="shared" si="160"/>
        <v>0</v>
      </c>
    </row>
    <row r="578" spans="3:28" hidden="1" outlineLevel="1" x14ac:dyDescent="0.25">
      <c r="C578" s="395"/>
      <c r="D578" s="338" t="s">
        <v>115</v>
      </c>
      <c r="E578" s="339" t="s">
        <v>13</v>
      </c>
      <c r="F578" s="296">
        <f>SUM(F579:F603)</f>
        <v>0</v>
      </c>
      <c r="G578" s="296">
        <f t="shared" ref="G578:Z578" si="162">SUM(G579:G603)</f>
        <v>0</v>
      </c>
      <c r="H578" s="296">
        <f t="shared" si="162"/>
        <v>0</v>
      </c>
      <c r="I578" s="296">
        <f t="shared" si="162"/>
        <v>0</v>
      </c>
      <c r="J578" s="296">
        <f t="shared" si="162"/>
        <v>0</v>
      </c>
      <c r="K578" s="296">
        <f t="shared" si="162"/>
        <v>0</v>
      </c>
      <c r="L578" s="296">
        <f t="shared" si="162"/>
        <v>0</v>
      </c>
      <c r="M578" s="296">
        <f t="shared" si="162"/>
        <v>0</v>
      </c>
      <c r="N578" s="296">
        <f t="shared" si="162"/>
        <v>0</v>
      </c>
      <c r="O578" s="296">
        <f t="shared" si="162"/>
        <v>0</v>
      </c>
      <c r="P578" s="296">
        <f t="shared" si="162"/>
        <v>0</v>
      </c>
      <c r="Q578" s="296">
        <f t="shared" si="162"/>
        <v>0</v>
      </c>
      <c r="R578" s="296">
        <f t="shared" si="162"/>
        <v>0</v>
      </c>
      <c r="S578" s="296">
        <f t="shared" si="162"/>
        <v>0</v>
      </c>
      <c r="T578" s="296">
        <f t="shared" si="162"/>
        <v>0</v>
      </c>
      <c r="U578" s="296">
        <f t="shared" si="162"/>
        <v>0</v>
      </c>
      <c r="V578" s="296">
        <f t="shared" si="162"/>
        <v>0</v>
      </c>
      <c r="W578" s="296">
        <f t="shared" si="162"/>
        <v>0</v>
      </c>
      <c r="X578" s="296">
        <f t="shared" si="162"/>
        <v>0</v>
      </c>
      <c r="Y578" s="296">
        <f t="shared" si="162"/>
        <v>0</v>
      </c>
      <c r="Z578" s="296">
        <f t="shared" si="162"/>
        <v>0</v>
      </c>
      <c r="AA578" s="308">
        <f>SUM(J578:Z578)</f>
        <v>0</v>
      </c>
      <c r="AB578" s="296">
        <f t="shared" si="160"/>
        <v>0</v>
      </c>
    </row>
    <row r="579" spans="3:28" hidden="1" outlineLevel="1" x14ac:dyDescent="0.25">
      <c r="C579" s="397"/>
      <c r="D579" s="332" t="str">
        <f>D24</f>
        <v>Центр РАН и НИЦ интегральной электроники</v>
      </c>
      <c r="E579" s="337" t="s">
        <v>13</v>
      </c>
      <c r="F579" s="297"/>
      <c r="G579" s="297"/>
      <c r="H579" s="297"/>
      <c r="I579" s="297"/>
      <c r="J579" s="297"/>
      <c r="K579" s="297"/>
      <c r="L579" s="297"/>
      <c r="M579" s="297"/>
      <c r="N579" s="297"/>
      <c r="O579" s="297"/>
      <c r="P579" s="297"/>
      <c r="Q579" s="297"/>
      <c r="R579" s="297"/>
      <c r="S579" s="297"/>
      <c r="T579" s="297"/>
      <c r="U579" s="297"/>
      <c r="V579" s="297"/>
      <c r="W579" s="297"/>
      <c r="X579" s="297"/>
      <c r="Y579" s="297"/>
      <c r="Z579" s="297"/>
      <c r="AA579" s="308">
        <f>SUM(J579:Z579)</f>
        <v>0</v>
      </c>
      <c r="AB579" s="302">
        <f>AA579/1000</f>
        <v>0</v>
      </c>
    </row>
    <row r="580" spans="3:28" hidden="1" outlineLevel="1" x14ac:dyDescent="0.25">
      <c r="C580" s="397"/>
      <c r="D580" s="332" t="str">
        <f t="shared" ref="D580:D603" si="163">D25</f>
        <v xml:space="preserve">Университет МИРЭА
</v>
      </c>
      <c r="E580" s="337" t="s">
        <v>13</v>
      </c>
      <c r="F580" s="297"/>
      <c r="G580" s="297"/>
      <c r="H580" s="297"/>
      <c r="I580" s="297"/>
      <c r="J580" s="297"/>
      <c r="K580" s="297"/>
      <c r="L580" s="297"/>
      <c r="M580" s="297"/>
      <c r="N580" s="297"/>
      <c r="O580" s="297"/>
      <c r="P580" s="297"/>
      <c r="Q580" s="297"/>
      <c r="R580" s="297"/>
      <c r="S580" s="297"/>
      <c r="T580" s="297"/>
      <c r="U580" s="297"/>
      <c r="V580" s="297"/>
      <c r="W580" s="297"/>
      <c r="X580" s="297"/>
      <c r="Y580" s="297"/>
      <c r="Z580" s="297"/>
      <c r="AA580" s="308">
        <f t="shared" ref="AA580:AA603" si="164">SUM(J580:Z580)</f>
        <v>0</v>
      </c>
      <c r="AB580" s="302">
        <f t="shared" si="160"/>
        <v>0</v>
      </c>
    </row>
    <row r="581" spans="3:28" hidden="1" outlineLevel="1" x14ac:dyDescent="0.25">
      <c r="C581" s="397"/>
      <c r="D581" s="332" t="str">
        <f t="shared" si="163"/>
        <v>Технологический центр</v>
      </c>
      <c r="E581" s="337" t="s">
        <v>13</v>
      </c>
      <c r="F581" s="297"/>
      <c r="G581" s="297"/>
      <c r="H581" s="297"/>
      <c r="I581" s="297"/>
      <c r="J581" s="297"/>
      <c r="K581" s="297"/>
      <c r="L581" s="297"/>
      <c r="M581" s="297"/>
      <c r="N581" s="297"/>
      <c r="O581" s="297"/>
      <c r="P581" s="297"/>
      <c r="Q581" s="297"/>
      <c r="R581" s="297"/>
      <c r="S581" s="297"/>
      <c r="T581" s="297"/>
      <c r="U581" s="297"/>
      <c r="V581" s="297"/>
      <c r="W581" s="297"/>
      <c r="X581" s="297"/>
      <c r="Y581" s="297"/>
      <c r="Z581" s="297"/>
      <c r="AA581" s="308">
        <f t="shared" si="164"/>
        <v>0</v>
      </c>
      <c r="AB581" s="302">
        <f t="shared" si="160"/>
        <v>0</v>
      </c>
    </row>
    <row r="582" spans="3:28" hidden="1" outlineLevel="1" x14ac:dyDescent="0.25">
      <c r="C582" s="397"/>
      <c r="D582" s="332" t="str">
        <f t="shared" si="163"/>
        <v>Спортивный центр</v>
      </c>
      <c r="E582" s="337" t="s">
        <v>13</v>
      </c>
      <c r="F582" s="297"/>
      <c r="G582" s="297"/>
      <c r="H582" s="297"/>
      <c r="I582" s="297"/>
      <c r="J582" s="297"/>
      <c r="K582" s="297"/>
      <c r="L582" s="297"/>
      <c r="M582" s="297"/>
      <c r="N582" s="297"/>
      <c r="O582" s="297"/>
      <c r="P582" s="297"/>
      <c r="Q582" s="297"/>
      <c r="R582" s="297"/>
      <c r="S582" s="297"/>
      <c r="T582" s="297"/>
      <c r="U582" s="297"/>
      <c r="V582" s="297"/>
      <c r="W582" s="297"/>
      <c r="X582" s="297"/>
      <c r="Y582" s="297"/>
      <c r="Z582" s="297"/>
      <c r="AA582" s="308">
        <f t="shared" si="164"/>
        <v>0</v>
      </c>
      <c r="AB582" s="302">
        <f t="shared" si="160"/>
        <v>0</v>
      </c>
    </row>
    <row r="583" spans="3:28" hidden="1" outlineLevel="1" x14ac:dyDescent="0.25">
      <c r="C583" s="397"/>
      <c r="D583" s="332" t="str">
        <f t="shared" si="163"/>
        <v>Гостиничный комплекс</v>
      </c>
      <c r="E583" s="337" t="s">
        <v>13</v>
      </c>
      <c r="F583" s="297"/>
      <c r="G583" s="297"/>
      <c r="H583" s="297"/>
      <c r="I583" s="297"/>
      <c r="J583" s="297"/>
      <c r="K583" s="297"/>
      <c r="L583" s="297"/>
      <c r="M583" s="297"/>
      <c r="N583" s="297"/>
      <c r="O583" s="297"/>
      <c r="P583" s="297"/>
      <c r="Q583" s="297"/>
      <c r="R583" s="297"/>
      <c r="S583" s="297"/>
      <c r="T583" s="297"/>
      <c r="U583" s="297"/>
      <c r="V583" s="297"/>
      <c r="W583" s="297"/>
      <c r="X583" s="297"/>
      <c r="Y583" s="297"/>
      <c r="Z583" s="297"/>
      <c r="AA583" s="308">
        <f t="shared" si="164"/>
        <v>0</v>
      </c>
      <c r="AB583" s="302">
        <f t="shared" si="160"/>
        <v>0</v>
      </c>
    </row>
    <row r="584" spans="3:28" hidden="1" outlineLevel="2" x14ac:dyDescent="0.25">
      <c r="C584" s="397"/>
      <c r="D584" s="332" t="str">
        <f t="shared" si="163"/>
        <v>Наименование объекта / группы объектов 6</v>
      </c>
      <c r="E584" s="337" t="s">
        <v>13</v>
      </c>
      <c r="F584" s="297"/>
      <c r="G584" s="297"/>
      <c r="H584" s="297"/>
      <c r="I584" s="297"/>
      <c r="J584" s="297"/>
      <c r="K584" s="297"/>
      <c r="L584" s="297"/>
      <c r="M584" s="297"/>
      <c r="N584" s="297"/>
      <c r="O584" s="297"/>
      <c r="P584" s="297"/>
      <c r="Q584" s="297"/>
      <c r="R584" s="297"/>
      <c r="S584" s="297"/>
      <c r="T584" s="297"/>
      <c r="U584" s="297"/>
      <c r="V584" s="297"/>
      <c r="W584" s="297"/>
      <c r="X584" s="297"/>
      <c r="Y584" s="297"/>
      <c r="Z584" s="297"/>
      <c r="AA584" s="308">
        <f t="shared" si="164"/>
        <v>0</v>
      </c>
      <c r="AB584" s="302">
        <f t="shared" si="160"/>
        <v>0</v>
      </c>
    </row>
    <row r="585" spans="3:28" hidden="1" outlineLevel="2" x14ac:dyDescent="0.25">
      <c r="C585" s="397"/>
      <c r="D585" s="332" t="str">
        <f t="shared" si="163"/>
        <v>Наименование объекта / группы объектов 7</v>
      </c>
      <c r="E585" s="337" t="s">
        <v>13</v>
      </c>
      <c r="F585" s="297"/>
      <c r="G585" s="297"/>
      <c r="H585" s="297"/>
      <c r="I585" s="297"/>
      <c r="J585" s="297"/>
      <c r="K585" s="297"/>
      <c r="L585" s="297"/>
      <c r="M585" s="297"/>
      <c r="N585" s="297"/>
      <c r="O585" s="297"/>
      <c r="P585" s="297"/>
      <c r="Q585" s="297"/>
      <c r="R585" s="297"/>
      <c r="S585" s="297"/>
      <c r="T585" s="297"/>
      <c r="U585" s="297"/>
      <c r="V585" s="297"/>
      <c r="W585" s="297"/>
      <c r="X585" s="297"/>
      <c r="Y585" s="297"/>
      <c r="Z585" s="297"/>
      <c r="AA585" s="308">
        <f t="shared" si="164"/>
        <v>0</v>
      </c>
      <c r="AB585" s="302">
        <f t="shared" si="160"/>
        <v>0</v>
      </c>
    </row>
    <row r="586" spans="3:28" hidden="1" outlineLevel="2" x14ac:dyDescent="0.25">
      <c r="C586" s="397"/>
      <c r="D586" s="332" t="str">
        <f t="shared" si="163"/>
        <v>Наименование объекта / группы объектов 8</v>
      </c>
      <c r="E586" s="337" t="s">
        <v>13</v>
      </c>
      <c r="F586" s="297"/>
      <c r="G586" s="297"/>
      <c r="H586" s="297"/>
      <c r="I586" s="297"/>
      <c r="J586" s="297"/>
      <c r="K586" s="297"/>
      <c r="L586" s="297"/>
      <c r="M586" s="297"/>
      <c r="N586" s="297"/>
      <c r="O586" s="297"/>
      <c r="P586" s="297"/>
      <c r="Q586" s="297"/>
      <c r="R586" s="297"/>
      <c r="S586" s="297"/>
      <c r="T586" s="297"/>
      <c r="U586" s="297"/>
      <c r="V586" s="297"/>
      <c r="W586" s="297"/>
      <c r="X586" s="297"/>
      <c r="Y586" s="297"/>
      <c r="Z586" s="297"/>
      <c r="AA586" s="308">
        <f t="shared" si="164"/>
        <v>0</v>
      </c>
      <c r="AB586" s="302">
        <f t="shared" si="160"/>
        <v>0</v>
      </c>
    </row>
    <row r="587" spans="3:28" hidden="1" outlineLevel="2" x14ac:dyDescent="0.25">
      <c r="C587" s="397"/>
      <c r="D587" s="332" t="str">
        <f t="shared" si="163"/>
        <v>Наименование объекта / группы объектов 9</v>
      </c>
      <c r="E587" s="337" t="s">
        <v>13</v>
      </c>
      <c r="F587" s="297"/>
      <c r="G587" s="297"/>
      <c r="H587" s="297"/>
      <c r="I587" s="297"/>
      <c r="J587" s="297"/>
      <c r="K587" s="297"/>
      <c r="L587" s="297"/>
      <c r="M587" s="297"/>
      <c r="N587" s="297"/>
      <c r="O587" s="297"/>
      <c r="P587" s="297"/>
      <c r="Q587" s="297"/>
      <c r="R587" s="297"/>
      <c r="S587" s="297"/>
      <c r="T587" s="297"/>
      <c r="U587" s="297"/>
      <c r="V587" s="297"/>
      <c r="W587" s="297"/>
      <c r="X587" s="297"/>
      <c r="Y587" s="297"/>
      <c r="Z587" s="297"/>
      <c r="AA587" s="308">
        <f t="shared" si="164"/>
        <v>0</v>
      </c>
      <c r="AB587" s="302">
        <f t="shared" si="160"/>
        <v>0</v>
      </c>
    </row>
    <row r="588" spans="3:28" hidden="1" outlineLevel="2" x14ac:dyDescent="0.25">
      <c r="C588" s="397"/>
      <c r="D588" s="332" t="str">
        <f t="shared" si="163"/>
        <v>Наименование объекта / группы объектов 10</v>
      </c>
      <c r="E588" s="337" t="s">
        <v>13</v>
      </c>
      <c r="F588" s="297"/>
      <c r="G588" s="297"/>
      <c r="H588" s="297"/>
      <c r="I588" s="297"/>
      <c r="J588" s="297"/>
      <c r="K588" s="297"/>
      <c r="L588" s="297"/>
      <c r="M588" s="297"/>
      <c r="N588" s="297"/>
      <c r="O588" s="297"/>
      <c r="P588" s="297"/>
      <c r="Q588" s="297"/>
      <c r="R588" s="297"/>
      <c r="S588" s="297"/>
      <c r="T588" s="297"/>
      <c r="U588" s="297"/>
      <c r="V588" s="297"/>
      <c r="W588" s="297"/>
      <c r="X588" s="297"/>
      <c r="Y588" s="297"/>
      <c r="Z588" s="297"/>
      <c r="AA588" s="308">
        <f t="shared" si="164"/>
        <v>0</v>
      </c>
      <c r="AB588" s="302">
        <f t="shared" si="160"/>
        <v>0</v>
      </c>
    </row>
    <row r="589" spans="3:28" hidden="1" outlineLevel="2" x14ac:dyDescent="0.25">
      <c r="C589" s="397"/>
      <c r="D589" s="332" t="str">
        <f t="shared" si="163"/>
        <v>Наименование объекта / группы объектов 11</v>
      </c>
      <c r="E589" s="337" t="s">
        <v>13</v>
      </c>
      <c r="F589" s="297"/>
      <c r="G589" s="297"/>
      <c r="H589" s="297"/>
      <c r="I589" s="297"/>
      <c r="J589" s="297"/>
      <c r="K589" s="297"/>
      <c r="L589" s="297"/>
      <c r="M589" s="297"/>
      <c r="N589" s="297"/>
      <c r="O589" s="297"/>
      <c r="P589" s="297"/>
      <c r="Q589" s="297"/>
      <c r="R589" s="297"/>
      <c r="S589" s="297"/>
      <c r="T589" s="297"/>
      <c r="U589" s="297"/>
      <c r="V589" s="297"/>
      <c r="W589" s="297"/>
      <c r="X589" s="297"/>
      <c r="Y589" s="297"/>
      <c r="Z589" s="297"/>
      <c r="AA589" s="308">
        <f t="shared" si="164"/>
        <v>0</v>
      </c>
      <c r="AB589" s="302">
        <f t="shared" si="160"/>
        <v>0</v>
      </c>
    </row>
    <row r="590" spans="3:28" hidden="1" outlineLevel="2" x14ac:dyDescent="0.25">
      <c r="C590" s="397"/>
      <c r="D590" s="332" t="str">
        <f t="shared" si="163"/>
        <v>Наименование объекта / группы объектов 12</v>
      </c>
      <c r="E590" s="337" t="s">
        <v>13</v>
      </c>
      <c r="F590" s="297"/>
      <c r="G590" s="297"/>
      <c r="H590" s="297"/>
      <c r="I590" s="297"/>
      <c r="J590" s="297"/>
      <c r="K590" s="297"/>
      <c r="L590" s="297"/>
      <c r="M590" s="297"/>
      <c r="N590" s="297"/>
      <c r="O590" s="297"/>
      <c r="P590" s="297"/>
      <c r="Q590" s="297"/>
      <c r="R590" s="297"/>
      <c r="S590" s="297"/>
      <c r="T590" s="297"/>
      <c r="U590" s="297"/>
      <c r="V590" s="297"/>
      <c r="W590" s="297"/>
      <c r="X590" s="297"/>
      <c r="Y590" s="297"/>
      <c r="Z590" s="297"/>
      <c r="AA590" s="308">
        <f t="shared" si="164"/>
        <v>0</v>
      </c>
      <c r="AB590" s="302">
        <f t="shared" si="160"/>
        <v>0</v>
      </c>
    </row>
    <row r="591" spans="3:28" hidden="1" outlineLevel="2" x14ac:dyDescent="0.25">
      <c r="C591" s="397"/>
      <c r="D591" s="332" t="str">
        <f t="shared" si="163"/>
        <v>Наименование объекта / группы объектов 13</v>
      </c>
      <c r="E591" s="337" t="s">
        <v>13</v>
      </c>
      <c r="F591" s="297"/>
      <c r="G591" s="297"/>
      <c r="H591" s="297"/>
      <c r="I591" s="297"/>
      <c r="J591" s="297"/>
      <c r="K591" s="297"/>
      <c r="L591" s="297"/>
      <c r="M591" s="297"/>
      <c r="N591" s="297"/>
      <c r="O591" s="297"/>
      <c r="P591" s="297"/>
      <c r="Q591" s="297"/>
      <c r="R591" s="297"/>
      <c r="S591" s="297"/>
      <c r="T591" s="297"/>
      <c r="U591" s="297"/>
      <c r="V591" s="297"/>
      <c r="W591" s="297"/>
      <c r="X591" s="297"/>
      <c r="Y591" s="297"/>
      <c r="Z591" s="297"/>
      <c r="AA591" s="308">
        <f t="shared" si="164"/>
        <v>0</v>
      </c>
      <c r="AB591" s="302">
        <f t="shared" si="160"/>
        <v>0</v>
      </c>
    </row>
    <row r="592" spans="3:28" hidden="1" outlineLevel="2" x14ac:dyDescent="0.25">
      <c r="C592" s="397"/>
      <c r="D592" s="332" t="str">
        <f t="shared" si="163"/>
        <v>Наименование объекта / группы объектов 14</v>
      </c>
      <c r="E592" s="337" t="s">
        <v>13</v>
      </c>
      <c r="F592" s="297"/>
      <c r="G592" s="297"/>
      <c r="H592" s="297"/>
      <c r="I592" s="297"/>
      <c r="J592" s="297"/>
      <c r="K592" s="297"/>
      <c r="L592" s="297"/>
      <c r="M592" s="297"/>
      <c r="N592" s="297"/>
      <c r="O592" s="297"/>
      <c r="P592" s="297"/>
      <c r="Q592" s="297"/>
      <c r="R592" s="297"/>
      <c r="S592" s="297"/>
      <c r="T592" s="297"/>
      <c r="U592" s="297"/>
      <c r="V592" s="297"/>
      <c r="W592" s="297"/>
      <c r="X592" s="297"/>
      <c r="Y592" s="297"/>
      <c r="Z592" s="297"/>
      <c r="AA592" s="308">
        <f t="shared" si="164"/>
        <v>0</v>
      </c>
      <c r="AB592" s="302">
        <f t="shared" si="160"/>
        <v>0</v>
      </c>
    </row>
    <row r="593" spans="3:28" hidden="1" outlineLevel="2" x14ac:dyDescent="0.25">
      <c r="C593" s="397"/>
      <c r="D593" s="332" t="str">
        <f t="shared" si="163"/>
        <v>Наименование объекта / группы объектов 15</v>
      </c>
      <c r="E593" s="337" t="s">
        <v>13</v>
      </c>
      <c r="F593" s="297"/>
      <c r="G593" s="297"/>
      <c r="H593" s="297"/>
      <c r="I593" s="297"/>
      <c r="J593" s="297"/>
      <c r="K593" s="297"/>
      <c r="L593" s="297"/>
      <c r="M593" s="297"/>
      <c r="N593" s="297"/>
      <c r="O593" s="297"/>
      <c r="P593" s="297"/>
      <c r="Q593" s="297"/>
      <c r="R593" s="297"/>
      <c r="S593" s="297"/>
      <c r="T593" s="297"/>
      <c r="U593" s="297"/>
      <c r="V593" s="297"/>
      <c r="W593" s="297"/>
      <c r="X593" s="297"/>
      <c r="Y593" s="297"/>
      <c r="Z593" s="297"/>
      <c r="AA593" s="308">
        <f t="shared" si="164"/>
        <v>0</v>
      </c>
      <c r="AB593" s="302">
        <f t="shared" si="160"/>
        <v>0</v>
      </c>
    </row>
    <row r="594" spans="3:28" hidden="1" outlineLevel="2" x14ac:dyDescent="0.25">
      <c r="C594" s="397"/>
      <c r="D594" s="332" t="str">
        <f t="shared" si="163"/>
        <v>Наименование объекта / группы объектов 16</v>
      </c>
      <c r="E594" s="337" t="s">
        <v>13</v>
      </c>
      <c r="F594" s="297"/>
      <c r="G594" s="297"/>
      <c r="H594" s="297"/>
      <c r="I594" s="297"/>
      <c r="J594" s="297"/>
      <c r="K594" s="297"/>
      <c r="L594" s="297"/>
      <c r="M594" s="297"/>
      <c r="N594" s="297"/>
      <c r="O594" s="297"/>
      <c r="P594" s="297"/>
      <c r="Q594" s="297"/>
      <c r="R594" s="297"/>
      <c r="S594" s="297"/>
      <c r="T594" s="297"/>
      <c r="U594" s="297"/>
      <c r="V594" s="297"/>
      <c r="W594" s="297"/>
      <c r="X594" s="297"/>
      <c r="Y594" s="297"/>
      <c r="Z594" s="297"/>
      <c r="AA594" s="308">
        <f t="shared" si="164"/>
        <v>0</v>
      </c>
      <c r="AB594" s="302">
        <f t="shared" si="160"/>
        <v>0</v>
      </c>
    </row>
    <row r="595" spans="3:28" hidden="1" outlineLevel="2" x14ac:dyDescent="0.25">
      <c r="C595" s="397"/>
      <c r="D595" s="332" t="str">
        <f t="shared" si="163"/>
        <v>Наименование объекта / группы объектов 17</v>
      </c>
      <c r="E595" s="337" t="s">
        <v>13</v>
      </c>
      <c r="F595" s="297"/>
      <c r="G595" s="297"/>
      <c r="H595" s="297"/>
      <c r="I595" s="297"/>
      <c r="J595" s="297"/>
      <c r="K595" s="297"/>
      <c r="L595" s="297"/>
      <c r="M595" s="297"/>
      <c r="N595" s="297"/>
      <c r="O595" s="297"/>
      <c r="P595" s="297"/>
      <c r="Q595" s="297"/>
      <c r="R595" s="297"/>
      <c r="S595" s="297"/>
      <c r="T595" s="297"/>
      <c r="U595" s="297"/>
      <c r="V595" s="297"/>
      <c r="W595" s="297"/>
      <c r="X595" s="297"/>
      <c r="Y595" s="297"/>
      <c r="Z595" s="297"/>
      <c r="AA595" s="308">
        <f t="shared" si="164"/>
        <v>0</v>
      </c>
      <c r="AB595" s="302">
        <f t="shared" si="160"/>
        <v>0</v>
      </c>
    </row>
    <row r="596" spans="3:28" hidden="1" outlineLevel="2" x14ac:dyDescent="0.25">
      <c r="C596" s="397"/>
      <c r="D596" s="332" t="str">
        <f t="shared" si="163"/>
        <v>Наименование объекта / группы объектов 18</v>
      </c>
      <c r="E596" s="337" t="s">
        <v>13</v>
      </c>
      <c r="F596" s="297"/>
      <c r="G596" s="297"/>
      <c r="H596" s="297"/>
      <c r="I596" s="297"/>
      <c r="J596" s="297"/>
      <c r="K596" s="297"/>
      <c r="L596" s="297"/>
      <c r="M596" s="297"/>
      <c r="N596" s="297"/>
      <c r="O596" s="297"/>
      <c r="P596" s="297"/>
      <c r="Q596" s="297"/>
      <c r="R596" s="297"/>
      <c r="S596" s="297"/>
      <c r="T596" s="297"/>
      <c r="U596" s="297"/>
      <c r="V596" s="297"/>
      <c r="W596" s="297"/>
      <c r="X596" s="297"/>
      <c r="Y596" s="297"/>
      <c r="Z596" s="297"/>
      <c r="AA596" s="308">
        <f>SUM(J596:Z596)</f>
        <v>0</v>
      </c>
      <c r="AB596" s="302">
        <f t="shared" si="160"/>
        <v>0</v>
      </c>
    </row>
    <row r="597" spans="3:28" hidden="1" outlineLevel="2" x14ac:dyDescent="0.25">
      <c r="C597" s="397"/>
      <c r="D597" s="332" t="str">
        <f t="shared" si="163"/>
        <v>Наименование объекта / группы объектов 19</v>
      </c>
      <c r="E597" s="337" t="s">
        <v>13</v>
      </c>
      <c r="F597" s="297"/>
      <c r="G597" s="297"/>
      <c r="H597" s="297"/>
      <c r="I597" s="297"/>
      <c r="J597" s="297"/>
      <c r="K597" s="297"/>
      <c r="L597" s="297"/>
      <c r="M597" s="297"/>
      <c r="N597" s="297"/>
      <c r="O597" s="297"/>
      <c r="P597" s="297"/>
      <c r="Q597" s="297"/>
      <c r="R597" s="297"/>
      <c r="S597" s="297"/>
      <c r="T597" s="297"/>
      <c r="U597" s="297"/>
      <c r="V597" s="297"/>
      <c r="W597" s="297"/>
      <c r="X597" s="297"/>
      <c r="Y597" s="297"/>
      <c r="Z597" s="297"/>
      <c r="AA597" s="308">
        <f t="shared" si="164"/>
        <v>0</v>
      </c>
      <c r="AB597" s="302">
        <f t="shared" si="160"/>
        <v>0</v>
      </c>
    </row>
    <row r="598" spans="3:28" hidden="1" outlineLevel="2" x14ac:dyDescent="0.25">
      <c r="C598" s="397"/>
      <c r="D598" s="332" t="str">
        <f t="shared" si="163"/>
        <v>Наименование объекта / группы объектов 20</v>
      </c>
      <c r="E598" s="337" t="s">
        <v>13</v>
      </c>
      <c r="F598" s="297"/>
      <c r="G598" s="297"/>
      <c r="H598" s="297"/>
      <c r="I598" s="297"/>
      <c r="J598" s="297"/>
      <c r="K598" s="297"/>
      <c r="L598" s="297"/>
      <c r="M598" s="297"/>
      <c r="N598" s="297"/>
      <c r="O598" s="297"/>
      <c r="P598" s="297"/>
      <c r="Q598" s="297"/>
      <c r="R598" s="297"/>
      <c r="S598" s="297"/>
      <c r="T598" s="297"/>
      <c r="U598" s="297"/>
      <c r="V598" s="297"/>
      <c r="W598" s="297"/>
      <c r="X598" s="297"/>
      <c r="Y598" s="297"/>
      <c r="Z598" s="297"/>
      <c r="AA598" s="308">
        <f t="shared" si="164"/>
        <v>0</v>
      </c>
      <c r="AB598" s="302">
        <f t="shared" si="160"/>
        <v>0</v>
      </c>
    </row>
    <row r="599" spans="3:28" hidden="1" outlineLevel="2" x14ac:dyDescent="0.25">
      <c r="C599" s="397"/>
      <c r="D599" s="332" t="str">
        <f t="shared" si="163"/>
        <v>Наименование объекта / группы объектов 21</v>
      </c>
      <c r="E599" s="337" t="s">
        <v>13</v>
      </c>
      <c r="F599" s="297"/>
      <c r="G599" s="297"/>
      <c r="H599" s="297"/>
      <c r="I599" s="297"/>
      <c r="J599" s="297"/>
      <c r="K599" s="297"/>
      <c r="L599" s="297"/>
      <c r="M599" s="297"/>
      <c r="N599" s="297"/>
      <c r="O599" s="297"/>
      <c r="P599" s="297"/>
      <c r="Q599" s="297"/>
      <c r="R599" s="297"/>
      <c r="S599" s="297"/>
      <c r="T599" s="297"/>
      <c r="U599" s="297"/>
      <c r="V599" s="297"/>
      <c r="W599" s="297"/>
      <c r="X599" s="297"/>
      <c r="Y599" s="297"/>
      <c r="Z599" s="297"/>
      <c r="AA599" s="308">
        <f t="shared" si="164"/>
        <v>0</v>
      </c>
      <c r="AB599" s="302">
        <f t="shared" si="160"/>
        <v>0</v>
      </c>
    </row>
    <row r="600" spans="3:28" hidden="1" outlineLevel="2" x14ac:dyDescent="0.25">
      <c r="C600" s="397"/>
      <c r="D600" s="332" t="str">
        <f t="shared" si="163"/>
        <v>Наименование объекта / группы объектов 22</v>
      </c>
      <c r="E600" s="337" t="s">
        <v>13</v>
      </c>
      <c r="F600" s="297"/>
      <c r="G600" s="297"/>
      <c r="H600" s="297"/>
      <c r="I600" s="297"/>
      <c r="J600" s="297"/>
      <c r="K600" s="297"/>
      <c r="L600" s="297"/>
      <c r="M600" s="297"/>
      <c r="N600" s="297"/>
      <c r="O600" s="297"/>
      <c r="P600" s="297"/>
      <c r="Q600" s="297"/>
      <c r="R600" s="297"/>
      <c r="S600" s="297"/>
      <c r="T600" s="297"/>
      <c r="U600" s="297"/>
      <c r="V600" s="297"/>
      <c r="W600" s="297"/>
      <c r="X600" s="297"/>
      <c r="Y600" s="297"/>
      <c r="Z600" s="297"/>
      <c r="AA600" s="308">
        <f t="shared" si="164"/>
        <v>0</v>
      </c>
      <c r="AB600" s="302">
        <f t="shared" si="160"/>
        <v>0</v>
      </c>
    </row>
    <row r="601" spans="3:28" hidden="1" outlineLevel="2" x14ac:dyDescent="0.25">
      <c r="C601" s="397"/>
      <c r="D601" s="332" t="str">
        <f t="shared" si="163"/>
        <v>Наименование объекта / группы объектов 23</v>
      </c>
      <c r="E601" s="337" t="s">
        <v>13</v>
      </c>
      <c r="F601" s="297"/>
      <c r="G601" s="297"/>
      <c r="H601" s="297"/>
      <c r="I601" s="297"/>
      <c r="J601" s="297"/>
      <c r="K601" s="297"/>
      <c r="L601" s="297"/>
      <c r="M601" s="297"/>
      <c r="N601" s="297"/>
      <c r="O601" s="297"/>
      <c r="P601" s="297"/>
      <c r="Q601" s="297"/>
      <c r="R601" s="297"/>
      <c r="S601" s="297"/>
      <c r="T601" s="297"/>
      <c r="U601" s="297"/>
      <c r="V601" s="297"/>
      <c r="W601" s="297"/>
      <c r="X601" s="297"/>
      <c r="Y601" s="297"/>
      <c r="Z601" s="297"/>
      <c r="AA601" s="308">
        <f t="shared" si="164"/>
        <v>0</v>
      </c>
      <c r="AB601" s="302">
        <f t="shared" si="160"/>
        <v>0</v>
      </c>
    </row>
    <row r="602" spans="3:28" hidden="1" outlineLevel="2" x14ac:dyDescent="0.25">
      <c r="C602" s="397"/>
      <c r="D602" s="332" t="str">
        <f t="shared" si="163"/>
        <v>Наименование объекта / группы объектов 24</v>
      </c>
      <c r="E602" s="337" t="s">
        <v>13</v>
      </c>
      <c r="F602" s="297"/>
      <c r="G602" s="297"/>
      <c r="H602" s="297"/>
      <c r="I602" s="297"/>
      <c r="J602" s="297"/>
      <c r="K602" s="297"/>
      <c r="L602" s="297"/>
      <c r="M602" s="297"/>
      <c r="N602" s="297"/>
      <c r="O602" s="297"/>
      <c r="P602" s="297"/>
      <c r="Q602" s="297"/>
      <c r="R602" s="297"/>
      <c r="S602" s="297"/>
      <c r="T602" s="297"/>
      <c r="U602" s="297"/>
      <c r="V602" s="297"/>
      <c r="W602" s="297"/>
      <c r="X602" s="297"/>
      <c r="Y602" s="297"/>
      <c r="Z602" s="297"/>
      <c r="AA602" s="308">
        <f t="shared" si="164"/>
        <v>0</v>
      </c>
      <c r="AB602" s="302">
        <f t="shared" si="160"/>
        <v>0</v>
      </c>
    </row>
    <row r="603" spans="3:28" hidden="1" outlineLevel="2" x14ac:dyDescent="0.25">
      <c r="C603" s="397"/>
      <c r="D603" s="332" t="str">
        <f t="shared" si="163"/>
        <v>Наименование объекта / группы объектов 25</v>
      </c>
      <c r="E603" s="337" t="s">
        <v>13</v>
      </c>
      <c r="F603" s="297"/>
      <c r="G603" s="297"/>
      <c r="H603" s="297"/>
      <c r="I603" s="297"/>
      <c r="J603" s="297"/>
      <c r="K603" s="297"/>
      <c r="L603" s="297"/>
      <c r="M603" s="297"/>
      <c r="N603" s="297"/>
      <c r="O603" s="297"/>
      <c r="P603" s="297"/>
      <c r="Q603" s="297"/>
      <c r="R603" s="297"/>
      <c r="S603" s="297"/>
      <c r="T603" s="297"/>
      <c r="U603" s="297"/>
      <c r="V603" s="297"/>
      <c r="W603" s="297"/>
      <c r="X603" s="297"/>
      <c r="Y603" s="297"/>
      <c r="Z603" s="297"/>
      <c r="AA603" s="308">
        <f t="shared" si="164"/>
        <v>0</v>
      </c>
      <c r="AB603" s="302">
        <f t="shared" si="160"/>
        <v>0</v>
      </c>
    </row>
    <row r="604" spans="3:28" hidden="1" outlineLevel="1" collapsed="1" x14ac:dyDescent="0.25">
      <c r="C604" s="395"/>
      <c r="D604" s="338" t="s">
        <v>109</v>
      </c>
      <c r="E604" s="365" t="s">
        <v>13</v>
      </c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  <c r="AA604" s="300"/>
      <c r="AB604" s="300"/>
    </row>
    <row r="605" spans="3:28" hidden="1" outlineLevel="1" x14ac:dyDescent="0.25">
      <c r="C605" s="397"/>
      <c r="D605" s="332" t="str">
        <f>D24</f>
        <v>Центр РАН и НИЦ интегральной электроники</v>
      </c>
      <c r="E605" s="337" t="s">
        <v>13</v>
      </c>
      <c r="F605" s="297"/>
      <c r="G605" s="297"/>
      <c r="H605" s="297"/>
      <c r="I605" s="297"/>
      <c r="J605" s="297"/>
      <c r="K605" s="297"/>
      <c r="L605" s="297"/>
      <c r="M605" s="297"/>
      <c r="N605" s="297"/>
      <c r="O605" s="297"/>
      <c r="P605" s="297"/>
      <c r="Q605" s="297"/>
      <c r="R605" s="297"/>
      <c r="S605" s="297"/>
      <c r="T605" s="297"/>
      <c r="U605" s="297"/>
      <c r="V605" s="297"/>
      <c r="W605" s="297"/>
      <c r="X605" s="297"/>
      <c r="Y605" s="297"/>
      <c r="Z605" s="297"/>
      <c r="AA605" s="301">
        <f>IFERROR(AVERAGE(J605:Z605),0)</f>
        <v>0</v>
      </c>
      <c r="AB605" s="296">
        <f>AA605/1000</f>
        <v>0</v>
      </c>
    </row>
    <row r="606" spans="3:28" hidden="1" outlineLevel="1" x14ac:dyDescent="0.25">
      <c r="C606" s="397"/>
      <c r="D606" s="332" t="str">
        <f t="shared" ref="D606:D629" si="165">D25</f>
        <v xml:space="preserve">Университет МИРЭА
</v>
      </c>
      <c r="E606" s="337" t="s">
        <v>13</v>
      </c>
      <c r="F606" s="297"/>
      <c r="G606" s="297"/>
      <c r="H606" s="297"/>
      <c r="I606" s="297"/>
      <c r="J606" s="297"/>
      <c r="K606" s="297"/>
      <c r="L606" s="297"/>
      <c r="M606" s="297"/>
      <c r="N606" s="297"/>
      <c r="O606" s="297"/>
      <c r="P606" s="297"/>
      <c r="Q606" s="297"/>
      <c r="R606" s="297"/>
      <c r="S606" s="297"/>
      <c r="T606" s="297"/>
      <c r="U606" s="297"/>
      <c r="V606" s="297"/>
      <c r="W606" s="297"/>
      <c r="X606" s="297"/>
      <c r="Y606" s="297"/>
      <c r="Z606" s="297"/>
      <c r="AA606" s="301">
        <f t="shared" ref="AA606:AA628" si="166">IFERROR(AVERAGE(J606:Z606),0)</f>
        <v>0</v>
      </c>
      <c r="AB606" s="298">
        <f t="shared" ref="AB606:AB628" si="167">AA606/1000</f>
        <v>0</v>
      </c>
    </row>
    <row r="607" spans="3:28" hidden="1" outlineLevel="1" x14ac:dyDescent="0.25">
      <c r="C607" s="397"/>
      <c r="D607" s="332" t="str">
        <f t="shared" si="165"/>
        <v>Технологический центр</v>
      </c>
      <c r="E607" s="337" t="s">
        <v>13</v>
      </c>
      <c r="F607" s="297"/>
      <c r="G607" s="297"/>
      <c r="H607" s="297"/>
      <c r="I607" s="297"/>
      <c r="J607" s="297"/>
      <c r="K607" s="297"/>
      <c r="L607" s="297"/>
      <c r="M607" s="297"/>
      <c r="N607" s="297"/>
      <c r="O607" s="297"/>
      <c r="P607" s="297"/>
      <c r="Q607" s="297"/>
      <c r="R607" s="297"/>
      <c r="S607" s="297"/>
      <c r="T607" s="297"/>
      <c r="U607" s="297"/>
      <c r="V607" s="297"/>
      <c r="W607" s="297"/>
      <c r="X607" s="297"/>
      <c r="Y607" s="297"/>
      <c r="Z607" s="297"/>
      <c r="AA607" s="301">
        <f t="shared" si="166"/>
        <v>0</v>
      </c>
      <c r="AB607" s="296">
        <f t="shared" si="167"/>
        <v>0</v>
      </c>
    </row>
    <row r="608" spans="3:28" hidden="1" outlineLevel="1" x14ac:dyDescent="0.25">
      <c r="C608" s="397"/>
      <c r="D608" s="332" t="str">
        <f t="shared" si="165"/>
        <v>Спортивный центр</v>
      </c>
      <c r="E608" s="337" t="s">
        <v>13</v>
      </c>
      <c r="F608" s="297"/>
      <c r="G608" s="297"/>
      <c r="H608" s="297"/>
      <c r="I608" s="297"/>
      <c r="J608" s="297"/>
      <c r="K608" s="297"/>
      <c r="L608" s="297"/>
      <c r="M608" s="297"/>
      <c r="N608" s="297"/>
      <c r="O608" s="297"/>
      <c r="P608" s="297"/>
      <c r="Q608" s="297"/>
      <c r="R608" s="297"/>
      <c r="S608" s="297"/>
      <c r="T608" s="297"/>
      <c r="U608" s="297"/>
      <c r="V608" s="297"/>
      <c r="W608" s="297"/>
      <c r="X608" s="297"/>
      <c r="Y608" s="297"/>
      <c r="Z608" s="297"/>
      <c r="AA608" s="301">
        <f t="shared" si="166"/>
        <v>0</v>
      </c>
      <c r="AB608" s="296">
        <f t="shared" si="167"/>
        <v>0</v>
      </c>
    </row>
    <row r="609" spans="3:28" hidden="1" outlineLevel="1" x14ac:dyDescent="0.25">
      <c r="C609" s="397"/>
      <c r="D609" s="332" t="str">
        <f t="shared" si="165"/>
        <v>Гостиничный комплекс</v>
      </c>
      <c r="E609" s="337" t="s">
        <v>13</v>
      </c>
      <c r="F609" s="297"/>
      <c r="G609" s="297"/>
      <c r="H609" s="297"/>
      <c r="I609" s="297"/>
      <c r="J609" s="297"/>
      <c r="K609" s="297"/>
      <c r="L609" s="297"/>
      <c r="M609" s="297"/>
      <c r="N609" s="297"/>
      <c r="O609" s="297"/>
      <c r="P609" s="297"/>
      <c r="Q609" s="297"/>
      <c r="R609" s="297"/>
      <c r="S609" s="297"/>
      <c r="T609" s="297"/>
      <c r="U609" s="297"/>
      <c r="V609" s="297"/>
      <c r="W609" s="297"/>
      <c r="X609" s="297"/>
      <c r="Y609" s="297"/>
      <c r="Z609" s="297"/>
      <c r="AA609" s="301">
        <f t="shared" si="166"/>
        <v>0</v>
      </c>
      <c r="AB609" s="296">
        <f t="shared" si="167"/>
        <v>0</v>
      </c>
    </row>
    <row r="610" spans="3:28" hidden="1" outlineLevel="1" x14ac:dyDescent="0.25">
      <c r="C610" s="397"/>
      <c r="D610" s="332" t="str">
        <f t="shared" si="165"/>
        <v>Наименование объекта / группы объектов 6</v>
      </c>
      <c r="E610" s="337" t="s">
        <v>13</v>
      </c>
      <c r="F610" s="297"/>
      <c r="G610" s="297"/>
      <c r="H610" s="297"/>
      <c r="I610" s="297"/>
      <c r="J610" s="297"/>
      <c r="K610" s="297"/>
      <c r="L610" s="297"/>
      <c r="M610" s="297"/>
      <c r="N610" s="297"/>
      <c r="O610" s="297"/>
      <c r="P610" s="297"/>
      <c r="Q610" s="297"/>
      <c r="R610" s="297"/>
      <c r="S610" s="297"/>
      <c r="T610" s="297"/>
      <c r="U610" s="297"/>
      <c r="V610" s="297"/>
      <c r="W610" s="297"/>
      <c r="X610" s="297"/>
      <c r="Y610" s="297"/>
      <c r="Z610" s="297"/>
      <c r="AA610" s="301">
        <f t="shared" si="166"/>
        <v>0</v>
      </c>
      <c r="AB610" s="296">
        <f t="shared" si="167"/>
        <v>0</v>
      </c>
    </row>
    <row r="611" spans="3:28" hidden="1" outlineLevel="1" x14ac:dyDescent="0.25">
      <c r="C611" s="397"/>
      <c r="D611" s="332" t="str">
        <f t="shared" si="165"/>
        <v>Наименование объекта / группы объектов 7</v>
      </c>
      <c r="E611" s="337" t="s">
        <v>13</v>
      </c>
      <c r="F611" s="297"/>
      <c r="G611" s="297"/>
      <c r="H611" s="297"/>
      <c r="I611" s="297"/>
      <c r="J611" s="297"/>
      <c r="K611" s="297"/>
      <c r="L611" s="297"/>
      <c r="M611" s="297"/>
      <c r="N611" s="297"/>
      <c r="O611" s="297"/>
      <c r="P611" s="297"/>
      <c r="Q611" s="297"/>
      <c r="R611" s="297"/>
      <c r="S611" s="297"/>
      <c r="T611" s="297"/>
      <c r="U611" s="297"/>
      <c r="V611" s="297"/>
      <c r="W611" s="297"/>
      <c r="X611" s="297"/>
      <c r="Y611" s="297"/>
      <c r="Z611" s="297"/>
      <c r="AA611" s="301">
        <f t="shared" si="166"/>
        <v>0</v>
      </c>
      <c r="AB611" s="296">
        <f t="shared" si="167"/>
        <v>0</v>
      </c>
    </row>
    <row r="612" spans="3:28" hidden="1" outlineLevel="1" x14ac:dyDescent="0.25">
      <c r="C612" s="397"/>
      <c r="D612" s="332" t="str">
        <f t="shared" si="165"/>
        <v>Наименование объекта / группы объектов 8</v>
      </c>
      <c r="E612" s="337" t="s">
        <v>13</v>
      </c>
      <c r="F612" s="297"/>
      <c r="G612" s="297"/>
      <c r="H612" s="297"/>
      <c r="I612" s="297"/>
      <c r="J612" s="297"/>
      <c r="K612" s="297"/>
      <c r="L612" s="297"/>
      <c r="M612" s="297"/>
      <c r="N612" s="297"/>
      <c r="O612" s="297"/>
      <c r="P612" s="297"/>
      <c r="Q612" s="297"/>
      <c r="R612" s="297"/>
      <c r="S612" s="297"/>
      <c r="T612" s="297"/>
      <c r="U612" s="297"/>
      <c r="V612" s="297"/>
      <c r="W612" s="297"/>
      <c r="X612" s="297"/>
      <c r="Y612" s="297"/>
      <c r="Z612" s="297"/>
      <c r="AA612" s="301">
        <f t="shared" si="166"/>
        <v>0</v>
      </c>
      <c r="AB612" s="296">
        <f t="shared" si="167"/>
        <v>0</v>
      </c>
    </row>
    <row r="613" spans="3:28" hidden="1" outlineLevel="1" x14ac:dyDescent="0.25">
      <c r="C613" s="397"/>
      <c r="D613" s="332" t="str">
        <f t="shared" si="165"/>
        <v>Наименование объекта / группы объектов 9</v>
      </c>
      <c r="E613" s="337" t="s">
        <v>13</v>
      </c>
      <c r="F613" s="297"/>
      <c r="G613" s="297"/>
      <c r="H613" s="297"/>
      <c r="I613" s="297"/>
      <c r="J613" s="297"/>
      <c r="K613" s="297"/>
      <c r="L613" s="297"/>
      <c r="M613" s="297"/>
      <c r="N613" s="297"/>
      <c r="O613" s="297"/>
      <c r="P613" s="297"/>
      <c r="Q613" s="297"/>
      <c r="R613" s="297"/>
      <c r="S613" s="297"/>
      <c r="T613" s="297"/>
      <c r="U613" s="297"/>
      <c r="V613" s="297"/>
      <c r="W613" s="297"/>
      <c r="X613" s="297"/>
      <c r="Y613" s="297"/>
      <c r="Z613" s="297"/>
      <c r="AA613" s="301">
        <f t="shared" si="166"/>
        <v>0</v>
      </c>
      <c r="AB613" s="296">
        <f t="shared" si="167"/>
        <v>0</v>
      </c>
    </row>
    <row r="614" spans="3:28" hidden="1" outlineLevel="1" x14ac:dyDescent="0.25">
      <c r="C614" s="397"/>
      <c r="D614" s="332" t="str">
        <f t="shared" si="165"/>
        <v>Наименование объекта / группы объектов 10</v>
      </c>
      <c r="E614" s="337" t="s">
        <v>13</v>
      </c>
      <c r="F614" s="297"/>
      <c r="G614" s="297"/>
      <c r="H614" s="297"/>
      <c r="I614" s="297"/>
      <c r="J614" s="297"/>
      <c r="K614" s="297"/>
      <c r="L614" s="297"/>
      <c r="M614" s="297"/>
      <c r="N614" s="297"/>
      <c r="O614" s="297"/>
      <c r="P614" s="297"/>
      <c r="Q614" s="297"/>
      <c r="R614" s="297"/>
      <c r="S614" s="297"/>
      <c r="T614" s="297"/>
      <c r="U614" s="297"/>
      <c r="V614" s="297"/>
      <c r="W614" s="297"/>
      <c r="X614" s="297"/>
      <c r="Y614" s="297"/>
      <c r="Z614" s="297"/>
      <c r="AA614" s="301">
        <f t="shared" si="166"/>
        <v>0</v>
      </c>
      <c r="AB614" s="296">
        <f t="shared" si="167"/>
        <v>0</v>
      </c>
    </row>
    <row r="615" spans="3:28" hidden="1" outlineLevel="1" x14ac:dyDescent="0.25">
      <c r="C615" s="397"/>
      <c r="D615" s="332" t="str">
        <f t="shared" si="165"/>
        <v>Наименование объекта / группы объектов 11</v>
      </c>
      <c r="E615" s="337" t="s">
        <v>13</v>
      </c>
      <c r="F615" s="297"/>
      <c r="G615" s="297"/>
      <c r="H615" s="297"/>
      <c r="I615" s="297"/>
      <c r="J615" s="297"/>
      <c r="K615" s="297"/>
      <c r="L615" s="297"/>
      <c r="M615" s="297"/>
      <c r="N615" s="297"/>
      <c r="O615" s="297"/>
      <c r="P615" s="297"/>
      <c r="Q615" s="297"/>
      <c r="R615" s="297"/>
      <c r="S615" s="297"/>
      <c r="T615" s="297"/>
      <c r="U615" s="297"/>
      <c r="V615" s="297"/>
      <c r="W615" s="297"/>
      <c r="X615" s="297"/>
      <c r="Y615" s="297"/>
      <c r="Z615" s="297"/>
      <c r="AA615" s="301">
        <f t="shared" si="166"/>
        <v>0</v>
      </c>
      <c r="AB615" s="296">
        <f t="shared" si="167"/>
        <v>0</v>
      </c>
    </row>
    <row r="616" spans="3:28" hidden="1" outlineLevel="1" x14ac:dyDescent="0.25">
      <c r="C616" s="397"/>
      <c r="D616" s="332" t="str">
        <f t="shared" si="165"/>
        <v>Наименование объекта / группы объектов 12</v>
      </c>
      <c r="E616" s="337" t="s">
        <v>13</v>
      </c>
      <c r="F616" s="297"/>
      <c r="G616" s="297"/>
      <c r="H616" s="297"/>
      <c r="I616" s="297"/>
      <c r="J616" s="297"/>
      <c r="K616" s="297"/>
      <c r="L616" s="297"/>
      <c r="M616" s="297"/>
      <c r="N616" s="297"/>
      <c r="O616" s="297"/>
      <c r="P616" s="297"/>
      <c r="Q616" s="297"/>
      <c r="R616" s="297"/>
      <c r="S616" s="297"/>
      <c r="T616" s="297"/>
      <c r="U616" s="297"/>
      <c r="V616" s="297"/>
      <c r="W616" s="297"/>
      <c r="X616" s="297"/>
      <c r="Y616" s="297"/>
      <c r="Z616" s="297"/>
      <c r="AA616" s="301">
        <f t="shared" si="166"/>
        <v>0</v>
      </c>
      <c r="AB616" s="296">
        <f t="shared" si="167"/>
        <v>0</v>
      </c>
    </row>
    <row r="617" spans="3:28" hidden="1" outlineLevel="1" x14ac:dyDescent="0.25">
      <c r="C617" s="397"/>
      <c r="D617" s="332" t="str">
        <f t="shared" si="165"/>
        <v>Наименование объекта / группы объектов 13</v>
      </c>
      <c r="E617" s="337" t="s">
        <v>13</v>
      </c>
      <c r="F617" s="297"/>
      <c r="G617" s="297"/>
      <c r="H617" s="297"/>
      <c r="I617" s="297"/>
      <c r="J617" s="297"/>
      <c r="K617" s="297"/>
      <c r="L617" s="297"/>
      <c r="M617" s="297"/>
      <c r="N617" s="297"/>
      <c r="O617" s="297"/>
      <c r="P617" s="297"/>
      <c r="Q617" s="297"/>
      <c r="R617" s="297"/>
      <c r="S617" s="297"/>
      <c r="T617" s="297"/>
      <c r="U617" s="297"/>
      <c r="V617" s="297"/>
      <c r="W617" s="297"/>
      <c r="X617" s="297"/>
      <c r="Y617" s="297"/>
      <c r="Z617" s="297"/>
      <c r="AA617" s="301">
        <f t="shared" si="166"/>
        <v>0</v>
      </c>
      <c r="AB617" s="296">
        <f t="shared" si="167"/>
        <v>0</v>
      </c>
    </row>
    <row r="618" spans="3:28" hidden="1" outlineLevel="1" x14ac:dyDescent="0.25">
      <c r="C618" s="397"/>
      <c r="D618" s="332" t="str">
        <f t="shared" si="165"/>
        <v>Наименование объекта / группы объектов 14</v>
      </c>
      <c r="E618" s="337" t="s">
        <v>13</v>
      </c>
      <c r="F618" s="297"/>
      <c r="G618" s="297"/>
      <c r="H618" s="297"/>
      <c r="I618" s="297"/>
      <c r="J618" s="297"/>
      <c r="K618" s="297"/>
      <c r="L618" s="297"/>
      <c r="M618" s="297"/>
      <c r="N618" s="297"/>
      <c r="O618" s="297"/>
      <c r="P618" s="297"/>
      <c r="Q618" s="297"/>
      <c r="R618" s="297"/>
      <c r="S618" s="297"/>
      <c r="T618" s="297"/>
      <c r="U618" s="297"/>
      <c r="V618" s="297"/>
      <c r="W618" s="297"/>
      <c r="X618" s="297"/>
      <c r="Y618" s="297"/>
      <c r="Z618" s="297"/>
      <c r="AA618" s="301">
        <f t="shared" si="166"/>
        <v>0</v>
      </c>
      <c r="AB618" s="296">
        <f t="shared" si="167"/>
        <v>0</v>
      </c>
    </row>
    <row r="619" spans="3:28" hidden="1" outlineLevel="1" x14ac:dyDescent="0.25">
      <c r="C619" s="397"/>
      <c r="D619" s="332" t="str">
        <f t="shared" si="165"/>
        <v>Наименование объекта / группы объектов 15</v>
      </c>
      <c r="E619" s="337" t="s">
        <v>13</v>
      </c>
      <c r="F619" s="297"/>
      <c r="G619" s="297"/>
      <c r="H619" s="297"/>
      <c r="I619" s="297"/>
      <c r="J619" s="297"/>
      <c r="K619" s="297"/>
      <c r="L619" s="297"/>
      <c r="M619" s="297"/>
      <c r="N619" s="297"/>
      <c r="O619" s="297"/>
      <c r="P619" s="297"/>
      <c r="Q619" s="297"/>
      <c r="R619" s="297"/>
      <c r="S619" s="297"/>
      <c r="T619" s="297"/>
      <c r="U619" s="297"/>
      <c r="V619" s="297"/>
      <c r="W619" s="297"/>
      <c r="X619" s="297"/>
      <c r="Y619" s="297"/>
      <c r="Z619" s="297"/>
      <c r="AA619" s="301">
        <f t="shared" si="166"/>
        <v>0</v>
      </c>
      <c r="AB619" s="296">
        <f t="shared" si="167"/>
        <v>0</v>
      </c>
    </row>
    <row r="620" spans="3:28" hidden="1" outlineLevel="1" x14ac:dyDescent="0.25">
      <c r="C620" s="397"/>
      <c r="D620" s="332" t="str">
        <f t="shared" si="165"/>
        <v>Наименование объекта / группы объектов 16</v>
      </c>
      <c r="E620" s="337" t="s">
        <v>13</v>
      </c>
      <c r="F620" s="297"/>
      <c r="G620" s="297"/>
      <c r="H620" s="297"/>
      <c r="I620" s="297"/>
      <c r="J620" s="297"/>
      <c r="K620" s="297"/>
      <c r="L620" s="297"/>
      <c r="M620" s="297"/>
      <c r="N620" s="297"/>
      <c r="O620" s="297"/>
      <c r="P620" s="297"/>
      <c r="Q620" s="297"/>
      <c r="R620" s="297"/>
      <c r="S620" s="297"/>
      <c r="T620" s="297"/>
      <c r="U620" s="297"/>
      <c r="V620" s="297"/>
      <c r="W620" s="297"/>
      <c r="X620" s="297"/>
      <c r="Y620" s="297"/>
      <c r="Z620" s="297"/>
      <c r="AA620" s="301">
        <f t="shared" si="166"/>
        <v>0</v>
      </c>
      <c r="AB620" s="298">
        <f t="shared" si="167"/>
        <v>0</v>
      </c>
    </row>
    <row r="621" spans="3:28" hidden="1" outlineLevel="1" x14ac:dyDescent="0.25">
      <c r="C621" s="397"/>
      <c r="D621" s="332" t="str">
        <f t="shared" si="165"/>
        <v>Наименование объекта / группы объектов 17</v>
      </c>
      <c r="E621" s="337" t="s">
        <v>13</v>
      </c>
      <c r="F621" s="297"/>
      <c r="G621" s="297"/>
      <c r="H621" s="297"/>
      <c r="I621" s="297"/>
      <c r="J621" s="297"/>
      <c r="K621" s="297"/>
      <c r="L621" s="297"/>
      <c r="M621" s="297"/>
      <c r="N621" s="297"/>
      <c r="O621" s="297"/>
      <c r="P621" s="297"/>
      <c r="Q621" s="297"/>
      <c r="R621" s="297"/>
      <c r="S621" s="297"/>
      <c r="T621" s="297"/>
      <c r="U621" s="297"/>
      <c r="V621" s="297"/>
      <c r="W621" s="297"/>
      <c r="X621" s="297"/>
      <c r="Y621" s="297"/>
      <c r="Z621" s="297"/>
      <c r="AA621" s="301">
        <f t="shared" si="166"/>
        <v>0</v>
      </c>
      <c r="AB621" s="298">
        <f t="shared" si="167"/>
        <v>0</v>
      </c>
    </row>
    <row r="622" spans="3:28" hidden="1" outlineLevel="1" x14ac:dyDescent="0.25">
      <c r="C622" s="397"/>
      <c r="D622" s="332" t="str">
        <f t="shared" si="165"/>
        <v>Наименование объекта / группы объектов 18</v>
      </c>
      <c r="E622" s="337" t="s">
        <v>13</v>
      </c>
      <c r="F622" s="297"/>
      <c r="G622" s="297"/>
      <c r="H622" s="297"/>
      <c r="I622" s="297"/>
      <c r="J622" s="297"/>
      <c r="K622" s="297"/>
      <c r="L622" s="297"/>
      <c r="M622" s="297"/>
      <c r="N622" s="297"/>
      <c r="O622" s="297"/>
      <c r="P622" s="297"/>
      <c r="Q622" s="297"/>
      <c r="R622" s="297"/>
      <c r="S622" s="297"/>
      <c r="T622" s="297"/>
      <c r="U622" s="297"/>
      <c r="V622" s="297"/>
      <c r="W622" s="297"/>
      <c r="X622" s="297"/>
      <c r="Y622" s="297"/>
      <c r="Z622" s="297"/>
      <c r="AA622" s="301">
        <f t="shared" si="166"/>
        <v>0</v>
      </c>
      <c r="AB622" s="296">
        <f t="shared" si="167"/>
        <v>0</v>
      </c>
    </row>
    <row r="623" spans="3:28" hidden="1" outlineLevel="1" x14ac:dyDescent="0.25">
      <c r="C623" s="397"/>
      <c r="D623" s="332" t="str">
        <f t="shared" si="165"/>
        <v>Наименование объекта / группы объектов 19</v>
      </c>
      <c r="E623" s="337" t="s">
        <v>13</v>
      </c>
      <c r="F623" s="297"/>
      <c r="G623" s="297"/>
      <c r="H623" s="297"/>
      <c r="I623" s="297"/>
      <c r="J623" s="297"/>
      <c r="K623" s="297"/>
      <c r="L623" s="297"/>
      <c r="M623" s="297"/>
      <c r="N623" s="297"/>
      <c r="O623" s="297"/>
      <c r="P623" s="297"/>
      <c r="Q623" s="297"/>
      <c r="R623" s="297"/>
      <c r="S623" s="297"/>
      <c r="T623" s="297"/>
      <c r="U623" s="297"/>
      <c r="V623" s="297"/>
      <c r="W623" s="297"/>
      <c r="X623" s="297"/>
      <c r="Y623" s="297"/>
      <c r="Z623" s="297"/>
      <c r="AA623" s="301">
        <f t="shared" si="166"/>
        <v>0</v>
      </c>
      <c r="AB623" s="296">
        <f t="shared" si="167"/>
        <v>0</v>
      </c>
    </row>
    <row r="624" spans="3:28" hidden="1" outlineLevel="1" x14ac:dyDescent="0.25">
      <c r="C624" s="397"/>
      <c r="D624" s="332" t="str">
        <f t="shared" si="165"/>
        <v>Наименование объекта / группы объектов 20</v>
      </c>
      <c r="E624" s="337" t="s">
        <v>13</v>
      </c>
      <c r="F624" s="297"/>
      <c r="G624" s="297"/>
      <c r="H624" s="297"/>
      <c r="I624" s="297"/>
      <c r="J624" s="297"/>
      <c r="K624" s="297"/>
      <c r="L624" s="297"/>
      <c r="M624" s="297"/>
      <c r="N624" s="297"/>
      <c r="O624" s="297"/>
      <c r="P624" s="297"/>
      <c r="Q624" s="297"/>
      <c r="R624" s="297"/>
      <c r="S624" s="297"/>
      <c r="T624" s="297"/>
      <c r="U624" s="297"/>
      <c r="V624" s="297"/>
      <c r="W624" s="297"/>
      <c r="X624" s="297"/>
      <c r="Y624" s="297"/>
      <c r="Z624" s="297"/>
      <c r="AA624" s="301">
        <f t="shared" si="166"/>
        <v>0</v>
      </c>
      <c r="AB624" s="296">
        <f t="shared" si="167"/>
        <v>0</v>
      </c>
    </row>
    <row r="625" spans="3:28" hidden="1" outlineLevel="1" x14ac:dyDescent="0.25">
      <c r="C625" s="397"/>
      <c r="D625" s="332" t="str">
        <f t="shared" si="165"/>
        <v>Наименование объекта / группы объектов 21</v>
      </c>
      <c r="E625" s="337" t="s">
        <v>13</v>
      </c>
      <c r="F625" s="297"/>
      <c r="G625" s="297"/>
      <c r="H625" s="297"/>
      <c r="I625" s="297"/>
      <c r="J625" s="297"/>
      <c r="K625" s="297"/>
      <c r="L625" s="297"/>
      <c r="M625" s="297"/>
      <c r="N625" s="297"/>
      <c r="O625" s="297"/>
      <c r="P625" s="297"/>
      <c r="Q625" s="297"/>
      <c r="R625" s="297"/>
      <c r="S625" s="297"/>
      <c r="T625" s="297"/>
      <c r="U625" s="297"/>
      <c r="V625" s="297"/>
      <c r="W625" s="297"/>
      <c r="X625" s="297"/>
      <c r="Y625" s="297"/>
      <c r="Z625" s="297"/>
      <c r="AA625" s="301">
        <f t="shared" si="166"/>
        <v>0</v>
      </c>
      <c r="AB625" s="296">
        <f t="shared" si="167"/>
        <v>0</v>
      </c>
    </row>
    <row r="626" spans="3:28" hidden="1" outlineLevel="1" x14ac:dyDescent="0.25">
      <c r="C626" s="397"/>
      <c r="D626" s="332" t="str">
        <f t="shared" si="165"/>
        <v>Наименование объекта / группы объектов 22</v>
      </c>
      <c r="E626" s="337" t="s">
        <v>13</v>
      </c>
      <c r="F626" s="297"/>
      <c r="G626" s="297"/>
      <c r="H626" s="297"/>
      <c r="I626" s="297"/>
      <c r="J626" s="297"/>
      <c r="K626" s="297"/>
      <c r="L626" s="297"/>
      <c r="M626" s="297"/>
      <c r="N626" s="297"/>
      <c r="O626" s="297"/>
      <c r="P626" s="297"/>
      <c r="Q626" s="297"/>
      <c r="R626" s="297"/>
      <c r="S626" s="297"/>
      <c r="T626" s="297"/>
      <c r="U626" s="297"/>
      <c r="V626" s="297"/>
      <c r="W626" s="297"/>
      <c r="X626" s="297"/>
      <c r="Y626" s="297"/>
      <c r="Z626" s="297"/>
      <c r="AA626" s="301">
        <f t="shared" si="166"/>
        <v>0</v>
      </c>
      <c r="AB626" s="296">
        <f t="shared" si="167"/>
        <v>0</v>
      </c>
    </row>
    <row r="627" spans="3:28" hidden="1" outlineLevel="1" x14ac:dyDescent="0.25">
      <c r="C627" s="397"/>
      <c r="D627" s="332" t="str">
        <f t="shared" si="165"/>
        <v>Наименование объекта / группы объектов 23</v>
      </c>
      <c r="E627" s="337" t="s">
        <v>13</v>
      </c>
      <c r="F627" s="297"/>
      <c r="G627" s="297"/>
      <c r="H627" s="297"/>
      <c r="I627" s="297"/>
      <c r="J627" s="297"/>
      <c r="K627" s="297"/>
      <c r="L627" s="297"/>
      <c r="M627" s="297"/>
      <c r="N627" s="297"/>
      <c r="O627" s="297"/>
      <c r="P627" s="297"/>
      <c r="Q627" s="297"/>
      <c r="R627" s="297"/>
      <c r="S627" s="297"/>
      <c r="T627" s="297"/>
      <c r="U627" s="297"/>
      <c r="V627" s="297"/>
      <c r="W627" s="297"/>
      <c r="X627" s="297"/>
      <c r="Y627" s="297"/>
      <c r="Z627" s="297"/>
      <c r="AA627" s="301">
        <f t="shared" si="166"/>
        <v>0</v>
      </c>
      <c r="AB627" s="296">
        <f t="shared" si="167"/>
        <v>0</v>
      </c>
    </row>
    <row r="628" spans="3:28" hidden="1" outlineLevel="1" x14ac:dyDescent="0.25">
      <c r="C628" s="397"/>
      <c r="D628" s="332" t="str">
        <f t="shared" si="165"/>
        <v>Наименование объекта / группы объектов 24</v>
      </c>
      <c r="E628" s="337" t="s">
        <v>13</v>
      </c>
      <c r="F628" s="297"/>
      <c r="G628" s="297"/>
      <c r="H628" s="297"/>
      <c r="I628" s="297"/>
      <c r="J628" s="297"/>
      <c r="K628" s="297"/>
      <c r="L628" s="297"/>
      <c r="M628" s="297"/>
      <c r="N628" s="297"/>
      <c r="O628" s="297"/>
      <c r="P628" s="297"/>
      <c r="Q628" s="297"/>
      <c r="R628" s="297"/>
      <c r="S628" s="297"/>
      <c r="T628" s="297"/>
      <c r="U628" s="297"/>
      <c r="V628" s="297"/>
      <c r="W628" s="297"/>
      <c r="X628" s="297"/>
      <c r="Y628" s="297"/>
      <c r="Z628" s="297"/>
      <c r="AA628" s="301">
        <f t="shared" si="166"/>
        <v>0</v>
      </c>
      <c r="AB628" s="296">
        <f t="shared" si="167"/>
        <v>0</v>
      </c>
    </row>
    <row r="629" spans="3:28" hidden="1" outlineLevel="1" x14ac:dyDescent="0.25">
      <c r="C629" s="397"/>
      <c r="D629" s="332" t="str">
        <f t="shared" si="165"/>
        <v>Наименование объекта / группы объектов 25</v>
      </c>
      <c r="E629" s="337" t="s">
        <v>13</v>
      </c>
      <c r="F629" s="297"/>
      <c r="G629" s="297"/>
      <c r="H629" s="297"/>
      <c r="I629" s="297"/>
      <c r="J629" s="297"/>
      <c r="K629" s="297"/>
      <c r="L629" s="297"/>
      <c r="M629" s="297"/>
      <c r="N629" s="297"/>
      <c r="O629" s="297"/>
      <c r="P629" s="297"/>
      <c r="Q629" s="297"/>
      <c r="R629" s="297"/>
      <c r="S629" s="297"/>
      <c r="T629" s="297"/>
      <c r="U629" s="297"/>
      <c r="V629" s="297"/>
      <c r="W629" s="297"/>
      <c r="X629" s="297"/>
      <c r="Y629" s="297"/>
      <c r="Z629" s="297"/>
      <c r="AA629" s="301">
        <f>IFERROR(AVERAGE(J629:Z629),0)</f>
        <v>0</v>
      </c>
      <c r="AB629" s="296">
        <f>AA629/1000</f>
        <v>0</v>
      </c>
    </row>
    <row r="630" spans="3:28" collapsed="1" x14ac:dyDescent="0.25">
      <c r="C630" s="326">
        <v>10</v>
      </c>
      <c r="D630" s="327" t="s">
        <v>120</v>
      </c>
      <c r="E630" s="392" t="s">
        <v>10</v>
      </c>
      <c r="F630" s="354">
        <f>F631-F632</f>
        <v>0</v>
      </c>
      <c r="G630" s="354">
        <f t="shared" ref="G630:AB630" si="168">G631-G632</f>
        <v>0</v>
      </c>
      <c r="H630" s="354">
        <f t="shared" si="168"/>
        <v>0</v>
      </c>
      <c r="I630" s="354">
        <f t="shared" si="168"/>
        <v>0</v>
      </c>
      <c r="J630" s="354">
        <f t="shared" si="168"/>
        <v>0</v>
      </c>
      <c r="K630" s="354">
        <f t="shared" si="168"/>
        <v>0</v>
      </c>
      <c r="L630" s="354">
        <f t="shared" si="168"/>
        <v>0</v>
      </c>
      <c r="M630" s="354">
        <f t="shared" si="168"/>
        <v>0</v>
      </c>
      <c r="N630" s="354">
        <f t="shared" si="168"/>
        <v>0</v>
      </c>
      <c r="O630" s="354">
        <f t="shared" si="168"/>
        <v>0</v>
      </c>
      <c r="P630" s="354">
        <f t="shared" si="168"/>
        <v>0</v>
      </c>
      <c r="Q630" s="354">
        <f t="shared" si="168"/>
        <v>0</v>
      </c>
      <c r="R630" s="354">
        <f t="shared" si="168"/>
        <v>0</v>
      </c>
      <c r="S630" s="354">
        <f t="shared" si="168"/>
        <v>0</v>
      </c>
      <c r="T630" s="354">
        <f t="shared" si="168"/>
        <v>0</v>
      </c>
      <c r="U630" s="354">
        <f t="shared" si="168"/>
        <v>0</v>
      </c>
      <c r="V630" s="354">
        <f t="shared" si="168"/>
        <v>0</v>
      </c>
      <c r="W630" s="354">
        <f t="shared" si="168"/>
        <v>0</v>
      </c>
      <c r="X630" s="354">
        <f t="shared" si="168"/>
        <v>0</v>
      </c>
      <c r="Y630" s="354">
        <f t="shared" si="168"/>
        <v>0</v>
      </c>
      <c r="Z630" s="354">
        <f t="shared" si="168"/>
        <v>0</v>
      </c>
      <c r="AA630" s="354">
        <f t="shared" si="168"/>
        <v>0</v>
      </c>
      <c r="AB630" s="354">
        <f t="shared" si="168"/>
        <v>0</v>
      </c>
    </row>
    <row r="631" spans="3:28" hidden="1" outlineLevel="1" x14ac:dyDescent="0.25">
      <c r="C631" s="395"/>
      <c r="D631" s="338" t="s">
        <v>12</v>
      </c>
      <c r="E631" s="365" t="s">
        <v>13</v>
      </c>
      <c r="F631" s="312"/>
      <c r="G631" s="312"/>
      <c r="H631" s="312"/>
      <c r="I631" s="312"/>
      <c r="J631" s="312"/>
      <c r="K631" s="312"/>
      <c r="L631" s="312"/>
      <c r="M631" s="312"/>
      <c r="N631" s="312"/>
      <c r="O631" s="312"/>
      <c r="P631" s="312"/>
      <c r="Q631" s="312"/>
      <c r="R631" s="312"/>
      <c r="S631" s="312"/>
      <c r="T631" s="312"/>
      <c r="U631" s="312"/>
      <c r="V631" s="312"/>
      <c r="W631" s="312"/>
      <c r="X631" s="312"/>
      <c r="Y631" s="312"/>
      <c r="Z631" s="312"/>
      <c r="AA631" s="308">
        <f>SUM(J631:Z631)</f>
        <v>0</v>
      </c>
      <c r="AB631" s="296">
        <f t="shared" ref="AB631:AB674" si="169">AA631/1000</f>
        <v>0</v>
      </c>
    </row>
    <row r="632" spans="3:28" hidden="1" outlineLevel="1" x14ac:dyDescent="0.25">
      <c r="C632" s="395"/>
      <c r="D632" s="338" t="s">
        <v>112</v>
      </c>
      <c r="E632" s="365" t="s">
        <v>13</v>
      </c>
      <c r="F632" s="296">
        <f>F633+F648</f>
        <v>0</v>
      </c>
      <c r="G632" s="296">
        <f t="shared" ref="G632:R632" si="170">G633+G648</f>
        <v>0</v>
      </c>
      <c r="H632" s="296">
        <f t="shared" si="170"/>
        <v>0</v>
      </c>
      <c r="I632" s="296">
        <f t="shared" si="170"/>
        <v>0</v>
      </c>
      <c r="J632" s="296">
        <f t="shared" si="170"/>
        <v>0</v>
      </c>
      <c r="K632" s="296">
        <f t="shared" si="170"/>
        <v>0</v>
      </c>
      <c r="L632" s="296">
        <f t="shared" si="170"/>
        <v>0</v>
      </c>
      <c r="M632" s="296">
        <f t="shared" si="170"/>
        <v>0</v>
      </c>
      <c r="N632" s="296">
        <f t="shared" si="170"/>
        <v>0</v>
      </c>
      <c r="O632" s="296">
        <f t="shared" si="170"/>
        <v>0</v>
      </c>
      <c r="P632" s="296">
        <f t="shared" si="170"/>
        <v>0</v>
      </c>
      <c r="Q632" s="296">
        <f t="shared" si="170"/>
        <v>0</v>
      </c>
      <c r="R632" s="296">
        <f t="shared" si="170"/>
        <v>0</v>
      </c>
      <c r="S632" s="296">
        <f t="shared" ref="S632:Z632" si="171">S633+S648</f>
        <v>0</v>
      </c>
      <c r="T632" s="296">
        <f t="shared" si="171"/>
        <v>0</v>
      </c>
      <c r="U632" s="296">
        <f t="shared" si="171"/>
        <v>0</v>
      </c>
      <c r="V632" s="296">
        <f t="shared" si="171"/>
        <v>0</v>
      </c>
      <c r="W632" s="296">
        <f t="shared" si="171"/>
        <v>0</v>
      </c>
      <c r="X632" s="296">
        <f t="shared" si="171"/>
        <v>0</v>
      </c>
      <c r="Y632" s="296">
        <f t="shared" si="171"/>
        <v>0</v>
      </c>
      <c r="Z632" s="296">
        <f t="shared" si="171"/>
        <v>0</v>
      </c>
      <c r="AA632" s="308">
        <f t="shared" ref="AA632:AA673" si="172">SUM(J632:Z632)</f>
        <v>0</v>
      </c>
      <c r="AB632" s="296">
        <f t="shared" si="169"/>
        <v>0</v>
      </c>
    </row>
    <row r="633" spans="3:28" hidden="1" outlineLevel="1" x14ac:dyDescent="0.25">
      <c r="C633" s="395"/>
      <c r="D633" s="338" t="s">
        <v>113</v>
      </c>
      <c r="E633" s="365" t="s">
        <v>13</v>
      </c>
      <c r="F633" s="312"/>
      <c r="G633" s="312"/>
      <c r="H633" s="312"/>
      <c r="I633" s="312"/>
      <c r="J633" s="312"/>
      <c r="K633" s="312"/>
      <c r="L633" s="312"/>
      <c r="M633" s="312"/>
      <c r="N633" s="312"/>
      <c r="O633" s="312"/>
      <c r="P633" s="312"/>
      <c r="Q633" s="312"/>
      <c r="R633" s="312"/>
      <c r="S633" s="312"/>
      <c r="T633" s="312"/>
      <c r="U633" s="312"/>
      <c r="V633" s="312"/>
      <c r="W633" s="312"/>
      <c r="X633" s="312"/>
      <c r="Y633" s="312"/>
      <c r="Z633" s="312"/>
      <c r="AA633" s="308">
        <f t="shared" si="172"/>
        <v>0</v>
      </c>
      <c r="AB633" s="296">
        <f t="shared" si="169"/>
        <v>0</v>
      </c>
    </row>
    <row r="634" spans="3:28" hidden="1" outlineLevel="1" x14ac:dyDescent="0.25">
      <c r="C634" s="396"/>
      <c r="D634" s="355" t="s">
        <v>114</v>
      </c>
      <c r="E634" s="367"/>
      <c r="F634" s="313"/>
      <c r="G634" s="313"/>
      <c r="H634" s="313"/>
      <c r="I634" s="313"/>
      <c r="J634" s="313"/>
      <c r="K634" s="313"/>
      <c r="L634" s="313"/>
      <c r="M634" s="313"/>
      <c r="N634" s="313"/>
      <c r="O634" s="313"/>
      <c r="P634" s="313"/>
      <c r="Q634" s="313"/>
      <c r="R634" s="313"/>
      <c r="S634" s="313"/>
      <c r="T634" s="313"/>
      <c r="U634" s="313"/>
      <c r="V634" s="313"/>
      <c r="W634" s="313"/>
      <c r="X634" s="313"/>
      <c r="Y634" s="313"/>
      <c r="Z634" s="313"/>
      <c r="AA634" s="310">
        <f t="shared" si="172"/>
        <v>0</v>
      </c>
      <c r="AB634" s="310">
        <f t="shared" si="169"/>
        <v>0</v>
      </c>
    </row>
    <row r="635" spans="3:28" hidden="1" outlineLevel="1" x14ac:dyDescent="0.25">
      <c r="C635" s="396"/>
      <c r="D635" s="357" t="s">
        <v>40</v>
      </c>
      <c r="E635" s="367"/>
      <c r="F635" s="313"/>
      <c r="G635" s="313"/>
      <c r="H635" s="313"/>
      <c r="I635" s="313"/>
      <c r="J635" s="313"/>
      <c r="K635" s="313"/>
      <c r="L635" s="313"/>
      <c r="M635" s="313"/>
      <c r="N635" s="313"/>
      <c r="O635" s="313"/>
      <c r="P635" s="313"/>
      <c r="Q635" s="313"/>
      <c r="R635" s="313"/>
      <c r="S635" s="313"/>
      <c r="T635" s="313"/>
      <c r="U635" s="313"/>
      <c r="V635" s="313"/>
      <c r="W635" s="313"/>
      <c r="X635" s="313"/>
      <c r="Y635" s="313"/>
      <c r="Z635" s="313"/>
      <c r="AA635" s="310">
        <f t="shared" si="172"/>
        <v>0</v>
      </c>
      <c r="AB635" s="310">
        <f t="shared" si="169"/>
        <v>0</v>
      </c>
    </row>
    <row r="636" spans="3:28" hidden="1" outlineLevel="1" x14ac:dyDescent="0.25">
      <c r="C636" s="396"/>
      <c r="D636" s="357" t="s">
        <v>98</v>
      </c>
      <c r="E636" s="367"/>
      <c r="F636" s="313"/>
      <c r="G636" s="313"/>
      <c r="H636" s="313"/>
      <c r="I636" s="313"/>
      <c r="J636" s="313"/>
      <c r="K636" s="313"/>
      <c r="L636" s="313"/>
      <c r="M636" s="313"/>
      <c r="N636" s="313"/>
      <c r="O636" s="313"/>
      <c r="P636" s="313"/>
      <c r="Q636" s="313"/>
      <c r="R636" s="313"/>
      <c r="S636" s="313"/>
      <c r="T636" s="313"/>
      <c r="U636" s="313"/>
      <c r="V636" s="313"/>
      <c r="W636" s="313"/>
      <c r="X636" s="313"/>
      <c r="Y636" s="313"/>
      <c r="Z636" s="313"/>
      <c r="AA636" s="310">
        <f t="shared" si="172"/>
        <v>0</v>
      </c>
      <c r="AB636" s="310">
        <f t="shared" si="169"/>
        <v>0</v>
      </c>
    </row>
    <row r="637" spans="3:28" hidden="1" outlineLevel="1" x14ac:dyDescent="0.25">
      <c r="C637" s="396"/>
      <c r="D637" s="357" t="s">
        <v>48</v>
      </c>
      <c r="E637" s="367"/>
      <c r="F637" s="313"/>
      <c r="G637" s="313"/>
      <c r="H637" s="313"/>
      <c r="I637" s="313"/>
      <c r="J637" s="313"/>
      <c r="K637" s="313"/>
      <c r="L637" s="313"/>
      <c r="M637" s="313"/>
      <c r="N637" s="313"/>
      <c r="O637" s="313"/>
      <c r="P637" s="313"/>
      <c r="Q637" s="313"/>
      <c r="R637" s="313"/>
      <c r="S637" s="313"/>
      <c r="T637" s="313"/>
      <c r="U637" s="313"/>
      <c r="V637" s="313"/>
      <c r="W637" s="313"/>
      <c r="X637" s="313"/>
      <c r="Y637" s="313"/>
      <c r="Z637" s="313"/>
      <c r="AA637" s="310">
        <f t="shared" si="172"/>
        <v>0</v>
      </c>
      <c r="AB637" s="310">
        <f t="shared" si="169"/>
        <v>0</v>
      </c>
    </row>
    <row r="638" spans="3:28" hidden="1" outlineLevel="1" x14ac:dyDescent="0.25">
      <c r="C638" s="396"/>
      <c r="D638" s="357" t="s">
        <v>99</v>
      </c>
      <c r="E638" s="367"/>
      <c r="F638" s="313"/>
      <c r="G638" s="313"/>
      <c r="H638" s="313"/>
      <c r="I638" s="313"/>
      <c r="J638" s="313"/>
      <c r="K638" s="313"/>
      <c r="L638" s="313"/>
      <c r="M638" s="313"/>
      <c r="N638" s="313"/>
      <c r="O638" s="313"/>
      <c r="P638" s="313"/>
      <c r="Q638" s="313"/>
      <c r="R638" s="313"/>
      <c r="S638" s="313"/>
      <c r="T638" s="313"/>
      <c r="U638" s="313"/>
      <c r="V638" s="313"/>
      <c r="W638" s="313"/>
      <c r="X638" s="313"/>
      <c r="Y638" s="313"/>
      <c r="Z638" s="313"/>
      <c r="AA638" s="310">
        <f t="shared" si="172"/>
        <v>0</v>
      </c>
      <c r="AB638" s="310">
        <f t="shared" si="169"/>
        <v>0</v>
      </c>
    </row>
    <row r="639" spans="3:28" hidden="1" outlineLevel="1" x14ac:dyDescent="0.25">
      <c r="C639" s="396"/>
      <c r="D639" s="357" t="s">
        <v>100</v>
      </c>
      <c r="E639" s="367"/>
      <c r="F639" s="313"/>
      <c r="G639" s="313"/>
      <c r="H639" s="313"/>
      <c r="I639" s="313"/>
      <c r="J639" s="313"/>
      <c r="K639" s="313"/>
      <c r="L639" s="313"/>
      <c r="M639" s="313"/>
      <c r="N639" s="313"/>
      <c r="O639" s="313"/>
      <c r="P639" s="313"/>
      <c r="Q639" s="313"/>
      <c r="R639" s="313"/>
      <c r="S639" s="313"/>
      <c r="T639" s="313"/>
      <c r="U639" s="313"/>
      <c r="V639" s="313"/>
      <c r="W639" s="313"/>
      <c r="X639" s="313"/>
      <c r="Y639" s="313"/>
      <c r="Z639" s="313"/>
      <c r="AA639" s="310">
        <f t="shared" si="172"/>
        <v>0</v>
      </c>
      <c r="AB639" s="310">
        <f t="shared" si="169"/>
        <v>0</v>
      </c>
    </row>
    <row r="640" spans="3:28" hidden="1" outlineLevel="1" x14ac:dyDescent="0.25">
      <c r="C640" s="396"/>
      <c r="D640" s="357" t="s">
        <v>101</v>
      </c>
      <c r="E640" s="367"/>
      <c r="F640" s="313"/>
      <c r="G640" s="313"/>
      <c r="H640" s="313"/>
      <c r="I640" s="313"/>
      <c r="J640" s="313"/>
      <c r="K640" s="313"/>
      <c r="L640" s="313"/>
      <c r="M640" s="313"/>
      <c r="N640" s="313"/>
      <c r="O640" s="313"/>
      <c r="P640" s="313"/>
      <c r="Q640" s="313"/>
      <c r="R640" s="313"/>
      <c r="S640" s="313"/>
      <c r="T640" s="313"/>
      <c r="U640" s="313"/>
      <c r="V640" s="313"/>
      <c r="W640" s="313"/>
      <c r="X640" s="313"/>
      <c r="Y640" s="313"/>
      <c r="Z640" s="313"/>
      <c r="AA640" s="310">
        <f t="shared" si="172"/>
        <v>0</v>
      </c>
      <c r="AB640" s="310">
        <f t="shared" si="169"/>
        <v>0</v>
      </c>
    </row>
    <row r="641" spans="3:28" hidden="1" outlineLevel="1" x14ac:dyDescent="0.25">
      <c r="C641" s="396"/>
      <c r="D641" s="357" t="s">
        <v>102</v>
      </c>
      <c r="E641" s="367"/>
      <c r="F641" s="313"/>
      <c r="G641" s="313"/>
      <c r="H641" s="313"/>
      <c r="I641" s="313"/>
      <c r="J641" s="313"/>
      <c r="K641" s="313"/>
      <c r="L641" s="313"/>
      <c r="M641" s="313"/>
      <c r="N641" s="313"/>
      <c r="O641" s="313"/>
      <c r="P641" s="313"/>
      <c r="Q641" s="313"/>
      <c r="R641" s="313"/>
      <c r="S641" s="313"/>
      <c r="T641" s="313"/>
      <c r="U641" s="313"/>
      <c r="V641" s="313"/>
      <c r="W641" s="313"/>
      <c r="X641" s="313"/>
      <c r="Y641" s="313"/>
      <c r="Z641" s="313"/>
      <c r="AA641" s="310">
        <f t="shared" si="172"/>
        <v>0</v>
      </c>
      <c r="AB641" s="310">
        <f t="shared" si="169"/>
        <v>0</v>
      </c>
    </row>
    <row r="642" spans="3:28" hidden="1" outlineLevel="1" x14ac:dyDescent="0.25">
      <c r="C642" s="396"/>
      <c r="D642" s="357" t="s">
        <v>103</v>
      </c>
      <c r="E642" s="367"/>
      <c r="F642" s="313"/>
      <c r="G642" s="313"/>
      <c r="H642" s="313"/>
      <c r="I642" s="313"/>
      <c r="J642" s="313"/>
      <c r="K642" s="313"/>
      <c r="L642" s="313"/>
      <c r="M642" s="313"/>
      <c r="N642" s="313"/>
      <c r="O642" s="313"/>
      <c r="P642" s="313"/>
      <c r="Q642" s="313"/>
      <c r="R642" s="313"/>
      <c r="S642" s="313"/>
      <c r="T642" s="313"/>
      <c r="U642" s="313"/>
      <c r="V642" s="313"/>
      <c r="W642" s="313"/>
      <c r="X642" s="313"/>
      <c r="Y642" s="313"/>
      <c r="Z642" s="313"/>
      <c r="AA642" s="310">
        <f t="shared" si="172"/>
        <v>0</v>
      </c>
      <c r="AB642" s="310">
        <f t="shared" si="169"/>
        <v>0</v>
      </c>
    </row>
    <row r="643" spans="3:28" hidden="1" outlineLevel="1" x14ac:dyDescent="0.25">
      <c r="C643" s="396"/>
      <c r="D643" s="357" t="s">
        <v>104</v>
      </c>
      <c r="E643" s="367"/>
      <c r="F643" s="313"/>
      <c r="G643" s="313"/>
      <c r="H643" s="313"/>
      <c r="I643" s="313"/>
      <c r="J643" s="313"/>
      <c r="K643" s="313"/>
      <c r="L643" s="313"/>
      <c r="M643" s="313"/>
      <c r="N643" s="313"/>
      <c r="O643" s="313"/>
      <c r="P643" s="313"/>
      <c r="Q643" s="313"/>
      <c r="R643" s="313"/>
      <c r="S643" s="313"/>
      <c r="T643" s="313"/>
      <c r="U643" s="313"/>
      <c r="V643" s="313"/>
      <c r="W643" s="313"/>
      <c r="X643" s="313"/>
      <c r="Y643" s="313"/>
      <c r="Z643" s="313"/>
      <c r="AA643" s="310">
        <f t="shared" si="172"/>
        <v>0</v>
      </c>
      <c r="AB643" s="310">
        <f t="shared" si="169"/>
        <v>0</v>
      </c>
    </row>
    <row r="644" spans="3:28" hidden="1" outlineLevel="1" x14ac:dyDescent="0.25">
      <c r="C644" s="396"/>
      <c r="D644" s="357" t="s">
        <v>105</v>
      </c>
      <c r="E644" s="367"/>
      <c r="F644" s="313"/>
      <c r="G644" s="313"/>
      <c r="H644" s="313"/>
      <c r="I644" s="313"/>
      <c r="J644" s="313"/>
      <c r="K644" s="313"/>
      <c r="L644" s="313"/>
      <c r="M644" s="313"/>
      <c r="N644" s="313"/>
      <c r="O644" s="313"/>
      <c r="P644" s="313"/>
      <c r="Q644" s="313"/>
      <c r="R644" s="313"/>
      <c r="S644" s="313"/>
      <c r="T644" s="313"/>
      <c r="U644" s="313"/>
      <c r="V644" s="313"/>
      <c r="W644" s="313"/>
      <c r="X644" s="313"/>
      <c r="Y644" s="313"/>
      <c r="Z644" s="313"/>
      <c r="AA644" s="310">
        <f t="shared" si="172"/>
        <v>0</v>
      </c>
      <c r="AB644" s="310">
        <f t="shared" si="169"/>
        <v>0</v>
      </c>
    </row>
    <row r="645" spans="3:28" hidden="1" outlineLevel="1" x14ac:dyDescent="0.25">
      <c r="C645" s="396"/>
      <c r="D645" s="357" t="s">
        <v>106</v>
      </c>
      <c r="E645" s="367"/>
      <c r="F645" s="313"/>
      <c r="G645" s="313"/>
      <c r="H645" s="313"/>
      <c r="I645" s="313"/>
      <c r="J645" s="313"/>
      <c r="K645" s="313"/>
      <c r="L645" s="313"/>
      <c r="M645" s="313"/>
      <c r="N645" s="313"/>
      <c r="O645" s="313"/>
      <c r="P645" s="313"/>
      <c r="Q645" s="313"/>
      <c r="R645" s="313"/>
      <c r="S645" s="313"/>
      <c r="T645" s="313"/>
      <c r="U645" s="313"/>
      <c r="V645" s="313"/>
      <c r="W645" s="313"/>
      <c r="X645" s="313"/>
      <c r="Y645" s="313"/>
      <c r="Z645" s="313"/>
      <c r="AA645" s="310">
        <f t="shared" si="172"/>
        <v>0</v>
      </c>
      <c r="AB645" s="310">
        <f t="shared" si="169"/>
        <v>0</v>
      </c>
    </row>
    <row r="646" spans="3:28" hidden="1" outlineLevel="1" x14ac:dyDescent="0.25">
      <c r="C646" s="396"/>
      <c r="D646" s="357" t="s">
        <v>49</v>
      </c>
      <c r="E646" s="367"/>
      <c r="F646" s="313"/>
      <c r="G646" s="313"/>
      <c r="H646" s="313"/>
      <c r="I646" s="313"/>
      <c r="J646" s="313"/>
      <c r="K646" s="313"/>
      <c r="L646" s="313"/>
      <c r="M646" s="313"/>
      <c r="N646" s="313"/>
      <c r="O646" s="313"/>
      <c r="P646" s="313"/>
      <c r="Q646" s="313"/>
      <c r="R646" s="313"/>
      <c r="S646" s="313"/>
      <c r="T646" s="313"/>
      <c r="U646" s="313"/>
      <c r="V646" s="313"/>
      <c r="W646" s="313"/>
      <c r="X646" s="313"/>
      <c r="Y646" s="313"/>
      <c r="Z646" s="313"/>
      <c r="AA646" s="310">
        <f t="shared" si="172"/>
        <v>0</v>
      </c>
      <c r="AB646" s="310">
        <f t="shared" si="169"/>
        <v>0</v>
      </c>
    </row>
    <row r="647" spans="3:28" hidden="1" outlineLevel="1" x14ac:dyDescent="0.25">
      <c r="C647" s="396"/>
      <c r="D647" s="357" t="s">
        <v>107</v>
      </c>
      <c r="E647" s="367"/>
      <c r="F647" s="313"/>
      <c r="G647" s="313"/>
      <c r="H647" s="313"/>
      <c r="I647" s="313"/>
      <c r="J647" s="313"/>
      <c r="K647" s="313"/>
      <c r="L647" s="313"/>
      <c r="M647" s="313"/>
      <c r="N647" s="313"/>
      <c r="O647" s="313"/>
      <c r="P647" s="313"/>
      <c r="Q647" s="313"/>
      <c r="R647" s="313"/>
      <c r="S647" s="313"/>
      <c r="T647" s="313"/>
      <c r="U647" s="313"/>
      <c r="V647" s="313"/>
      <c r="W647" s="313"/>
      <c r="X647" s="313"/>
      <c r="Y647" s="313"/>
      <c r="Z647" s="313"/>
      <c r="AA647" s="310">
        <f t="shared" si="172"/>
        <v>0</v>
      </c>
      <c r="AB647" s="310">
        <f t="shared" si="169"/>
        <v>0</v>
      </c>
    </row>
    <row r="648" spans="3:28" hidden="1" outlineLevel="1" x14ac:dyDescent="0.25">
      <c r="C648" s="395"/>
      <c r="D648" s="338" t="s">
        <v>115</v>
      </c>
      <c r="E648" s="365" t="s">
        <v>13</v>
      </c>
      <c r="F648" s="296">
        <f>SUM(F649:F673)</f>
        <v>0</v>
      </c>
      <c r="G648" s="296">
        <f t="shared" ref="G648:Z648" si="173">SUM(G649:G673)</f>
        <v>0</v>
      </c>
      <c r="H648" s="296">
        <f>SUM(H649:H673)</f>
        <v>0</v>
      </c>
      <c r="I648" s="296">
        <f t="shared" si="173"/>
        <v>0</v>
      </c>
      <c r="J648" s="296">
        <f t="shared" si="173"/>
        <v>0</v>
      </c>
      <c r="K648" s="296">
        <f t="shared" si="173"/>
        <v>0</v>
      </c>
      <c r="L648" s="296">
        <f t="shared" si="173"/>
        <v>0</v>
      </c>
      <c r="M648" s="296">
        <f t="shared" si="173"/>
        <v>0</v>
      </c>
      <c r="N648" s="296">
        <f t="shared" si="173"/>
        <v>0</v>
      </c>
      <c r="O648" s="296">
        <f t="shared" si="173"/>
        <v>0</v>
      </c>
      <c r="P648" s="296">
        <f t="shared" si="173"/>
        <v>0</v>
      </c>
      <c r="Q648" s="296">
        <f t="shared" si="173"/>
        <v>0</v>
      </c>
      <c r="R648" s="296">
        <f t="shared" si="173"/>
        <v>0</v>
      </c>
      <c r="S648" s="296">
        <f t="shared" si="173"/>
        <v>0</v>
      </c>
      <c r="T648" s="296">
        <f t="shared" si="173"/>
        <v>0</v>
      </c>
      <c r="U648" s="296">
        <f t="shared" si="173"/>
        <v>0</v>
      </c>
      <c r="V648" s="296">
        <f t="shared" si="173"/>
        <v>0</v>
      </c>
      <c r="W648" s="296">
        <f t="shared" si="173"/>
        <v>0</v>
      </c>
      <c r="X648" s="296">
        <f t="shared" si="173"/>
        <v>0</v>
      </c>
      <c r="Y648" s="296">
        <f>SUM(Y649:Y673)</f>
        <v>0</v>
      </c>
      <c r="Z648" s="296">
        <f t="shared" si="173"/>
        <v>0</v>
      </c>
      <c r="AA648" s="308">
        <f t="shared" si="172"/>
        <v>0</v>
      </c>
      <c r="AB648" s="296">
        <f t="shared" si="169"/>
        <v>0</v>
      </c>
    </row>
    <row r="649" spans="3:28" hidden="1" outlineLevel="1" x14ac:dyDescent="0.25">
      <c r="C649" s="397"/>
      <c r="D649" s="332" t="str">
        <f>D24</f>
        <v>Центр РАН и НИЦ интегральной электроники</v>
      </c>
      <c r="E649" s="337" t="s">
        <v>13</v>
      </c>
      <c r="F649" s="297"/>
      <c r="G649" s="297"/>
      <c r="H649" s="297"/>
      <c r="I649" s="297"/>
      <c r="J649" s="297"/>
      <c r="K649" s="297"/>
      <c r="L649" s="297"/>
      <c r="M649" s="297"/>
      <c r="N649" s="297"/>
      <c r="O649" s="297"/>
      <c r="P649" s="297"/>
      <c r="Q649" s="297"/>
      <c r="R649" s="297"/>
      <c r="S649" s="297"/>
      <c r="T649" s="297"/>
      <c r="U649" s="297"/>
      <c r="V649" s="297"/>
      <c r="W649" s="297"/>
      <c r="X649" s="297"/>
      <c r="Y649" s="297"/>
      <c r="Z649" s="297"/>
      <c r="AA649" s="308">
        <f t="shared" si="172"/>
        <v>0</v>
      </c>
      <c r="AB649" s="302">
        <f t="shared" si="169"/>
        <v>0</v>
      </c>
    </row>
    <row r="650" spans="3:28" hidden="1" outlineLevel="1" x14ac:dyDescent="0.25">
      <c r="C650" s="397"/>
      <c r="D650" s="332" t="str">
        <f t="shared" ref="D650:D673" si="174">D25</f>
        <v xml:space="preserve">Университет МИРЭА
</v>
      </c>
      <c r="E650" s="337" t="s">
        <v>13</v>
      </c>
      <c r="F650" s="297"/>
      <c r="G650" s="297"/>
      <c r="H650" s="297"/>
      <c r="I650" s="297"/>
      <c r="J650" s="297"/>
      <c r="K650" s="297"/>
      <c r="L650" s="297"/>
      <c r="M650" s="297"/>
      <c r="N650" s="297"/>
      <c r="O650" s="297"/>
      <c r="P650" s="297"/>
      <c r="Q650" s="297"/>
      <c r="R650" s="297"/>
      <c r="S650" s="297"/>
      <c r="T650" s="297"/>
      <c r="U650" s="297"/>
      <c r="V650" s="297"/>
      <c r="W650" s="297"/>
      <c r="X650" s="297"/>
      <c r="Y650" s="297"/>
      <c r="Z650" s="297"/>
      <c r="AA650" s="308">
        <f>SUM(J650:Z650)</f>
        <v>0</v>
      </c>
      <c r="AB650" s="302">
        <f t="shared" si="169"/>
        <v>0</v>
      </c>
    </row>
    <row r="651" spans="3:28" hidden="1" outlineLevel="1" x14ac:dyDescent="0.25">
      <c r="C651" s="397"/>
      <c r="D651" s="332" t="str">
        <f t="shared" si="174"/>
        <v>Технологический центр</v>
      </c>
      <c r="E651" s="337" t="s">
        <v>13</v>
      </c>
      <c r="F651" s="297"/>
      <c r="G651" s="297"/>
      <c r="H651" s="297"/>
      <c r="I651" s="297"/>
      <c r="J651" s="297"/>
      <c r="K651" s="297"/>
      <c r="L651" s="297"/>
      <c r="M651" s="297"/>
      <c r="N651" s="297"/>
      <c r="O651" s="297"/>
      <c r="P651" s="297"/>
      <c r="Q651" s="297"/>
      <c r="R651" s="297"/>
      <c r="S651" s="297"/>
      <c r="T651" s="297"/>
      <c r="U651" s="297"/>
      <c r="V651" s="297"/>
      <c r="W651" s="297"/>
      <c r="X651" s="297"/>
      <c r="Y651" s="297"/>
      <c r="Z651" s="297"/>
      <c r="AA651" s="308">
        <f t="shared" si="172"/>
        <v>0</v>
      </c>
      <c r="AB651" s="302">
        <f t="shared" si="169"/>
        <v>0</v>
      </c>
    </row>
    <row r="652" spans="3:28" hidden="1" outlineLevel="1" x14ac:dyDescent="0.25">
      <c r="C652" s="397"/>
      <c r="D652" s="332" t="str">
        <f t="shared" si="174"/>
        <v>Спортивный центр</v>
      </c>
      <c r="E652" s="337" t="s">
        <v>13</v>
      </c>
      <c r="F652" s="297"/>
      <c r="G652" s="297"/>
      <c r="H652" s="297"/>
      <c r="I652" s="297"/>
      <c r="J652" s="297"/>
      <c r="K652" s="297"/>
      <c r="L652" s="297"/>
      <c r="M652" s="297"/>
      <c r="N652" s="297"/>
      <c r="O652" s="297"/>
      <c r="P652" s="297"/>
      <c r="Q652" s="297"/>
      <c r="R652" s="297"/>
      <c r="S652" s="297"/>
      <c r="T652" s="297"/>
      <c r="U652" s="297"/>
      <c r="V652" s="297"/>
      <c r="W652" s="297"/>
      <c r="X652" s="297"/>
      <c r="Y652" s="297"/>
      <c r="Z652" s="297"/>
      <c r="AA652" s="308">
        <f t="shared" si="172"/>
        <v>0</v>
      </c>
      <c r="AB652" s="302">
        <f t="shared" si="169"/>
        <v>0</v>
      </c>
    </row>
    <row r="653" spans="3:28" hidden="1" outlineLevel="1" x14ac:dyDescent="0.25">
      <c r="C653" s="397"/>
      <c r="D653" s="332" t="str">
        <f t="shared" si="174"/>
        <v>Гостиничный комплекс</v>
      </c>
      <c r="E653" s="337" t="s">
        <v>13</v>
      </c>
      <c r="F653" s="297"/>
      <c r="G653" s="297"/>
      <c r="H653" s="297"/>
      <c r="I653" s="297"/>
      <c r="J653" s="297"/>
      <c r="K653" s="297"/>
      <c r="L653" s="297"/>
      <c r="M653" s="297"/>
      <c r="N653" s="297"/>
      <c r="O653" s="297"/>
      <c r="P653" s="297"/>
      <c r="Q653" s="297"/>
      <c r="R653" s="297"/>
      <c r="S653" s="297"/>
      <c r="T653" s="297"/>
      <c r="U653" s="297"/>
      <c r="V653" s="297"/>
      <c r="W653" s="297"/>
      <c r="X653" s="297"/>
      <c r="Y653" s="297"/>
      <c r="Z653" s="297"/>
      <c r="AA653" s="308">
        <f t="shared" si="172"/>
        <v>0</v>
      </c>
      <c r="AB653" s="302">
        <f t="shared" si="169"/>
        <v>0</v>
      </c>
    </row>
    <row r="654" spans="3:28" hidden="1" outlineLevel="2" x14ac:dyDescent="0.25">
      <c r="C654" s="397"/>
      <c r="D654" s="332" t="str">
        <f t="shared" si="174"/>
        <v>Наименование объекта / группы объектов 6</v>
      </c>
      <c r="E654" s="337" t="s">
        <v>13</v>
      </c>
      <c r="F654" s="297"/>
      <c r="G654" s="297"/>
      <c r="H654" s="297"/>
      <c r="I654" s="297"/>
      <c r="J654" s="297"/>
      <c r="K654" s="297"/>
      <c r="L654" s="297"/>
      <c r="M654" s="297"/>
      <c r="N654" s="297"/>
      <c r="O654" s="297"/>
      <c r="P654" s="297"/>
      <c r="Q654" s="297"/>
      <c r="R654" s="297"/>
      <c r="S654" s="297"/>
      <c r="T654" s="297"/>
      <c r="U654" s="297"/>
      <c r="V654" s="297"/>
      <c r="W654" s="297"/>
      <c r="X654" s="297"/>
      <c r="Y654" s="297"/>
      <c r="Z654" s="297"/>
      <c r="AA654" s="308">
        <f t="shared" si="172"/>
        <v>0</v>
      </c>
      <c r="AB654" s="302">
        <f t="shared" si="169"/>
        <v>0</v>
      </c>
    </row>
    <row r="655" spans="3:28" hidden="1" outlineLevel="2" x14ac:dyDescent="0.25">
      <c r="C655" s="397"/>
      <c r="D655" s="332" t="str">
        <f t="shared" si="174"/>
        <v>Наименование объекта / группы объектов 7</v>
      </c>
      <c r="E655" s="337" t="s">
        <v>13</v>
      </c>
      <c r="F655" s="297"/>
      <c r="G655" s="297"/>
      <c r="H655" s="297"/>
      <c r="I655" s="297"/>
      <c r="J655" s="297"/>
      <c r="K655" s="297"/>
      <c r="L655" s="297"/>
      <c r="M655" s="297"/>
      <c r="N655" s="297"/>
      <c r="O655" s="297"/>
      <c r="P655" s="297"/>
      <c r="Q655" s="297"/>
      <c r="R655" s="297"/>
      <c r="S655" s="297"/>
      <c r="T655" s="297"/>
      <c r="U655" s="297"/>
      <c r="V655" s="297"/>
      <c r="W655" s="297"/>
      <c r="X655" s="297"/>
      <c r="Y655" s="297"/>
      <c r="Z655" s="297"/>
      <c r="AA655" s="308">
        <f t="shared" si="172"/>
        <v>0</v>
      </c>
      <c r="AB655" s="302">
        <f t="shared" si="169"/>
        <v>0</v>
      </c>
    </row>
    <row r="656" spans="3:28" hidden="1" outlineLevel="2" x14ac:dyDescent="0.25">
      <c r="C656" s="397"/>
      <c r="D656" s="332" t="str">
        <f t="shared" si="174"/>
        <v>Наименование объекта / группы объектов 8</v>
      </c>
      <c r="E656" s="337" t="s">
        <v>13</v>
      </c>
      <c r="F656" s="297"/>
      <c r="G656" s="297"/>
      <c r="H656" s="297"/>
      <c r="I656" s="297"/>
      <c r="J656" s="297"/>
      <c r="K656" s="297"/>
      <c r="L656" s="297"/>
      <c r="M656" s="297"/>
      <c r="N656" s="297"/>
      <c r="O656" s="297"/>
      <c r="P656" s="297"/>
      <c r="Q656" s="297"/>
      <c r="R656" s="297"/>
      <c r="S656" s="297"/>
      <c r="T656" s="297"/>
      <c r="U656" s="297"/>
      <c r="V656" s="297"/>
      <c r="W656" s="297"/>
      <c r="X656" s="297"/>
      <c r="Y656" s="297"/>
      <c r="Z656" s="297"/>
      <c r="AA656" s="308">
        <f t="shared" si="172"/>
        <v>0</v>
      </c>
      <c r="AB656" s="302">
        <f t="shared" si="169"/>
        <v>0</v>
      </c>
    </row>
    <row r="657" spans="3:28" hidden="1" outlineLevel="2" x14ac:dyDescent="0.25">
      <c r="C657" s="397"/>
      <c r="D657" s="332" t="str">
        <f t="shared" si="174"/>
        <v>Наименование объекта / группы объектов 9</v>
      </c>
      <c r="E657" s="337" t="s">
        <v>13</v>
      </c>
      <c r="F657" s="297"/>
      <c r="G657" s="297"/>
      <c r="H657" s="297"/>
      <c r="I657" s="297"/>
      <c r="J657" s="297"/>
      <c r="K657" s="297"/>
      <c r="L657" s="297"/>
      <c r="M657" s="297"/>
      <c r="N657" s="297"/>
      <c r="O657" s="297"/>
      <c r="P657" s="297"/>
      <c r="Q657" s="297"/>
      <c r="R657" s="297"/>
      <c r="S657" s="297"/>
      <c r="T657" s="297"/>
      <c r="U657" s="297"/>
      <c r="V657" s="297"/>
      <c r="W657" s="297"/>
      <c r="X657" s="297"/>
      <c r="Y657" s="297"/>
      <c r="Z657" s="297"/>
      <c r="AA657" s="308">
        <f t="shared" si="172"/>
        <v>0</v>
      </c>
      <c r="AB657" s="302">
        <f t="shared" si="169"/>
        <v>0</v>
      </c>
    </row>
    <row r="658" spans="3:28" hidden="1" outlineLevel="2" x14ac:dyDescent="0.25">
      <c r="C658" s="397"/>
      <c r="D658" s="332" t="str">
        <f t="shared" si="174"/>
        <v>Наименование объекта / группы объектов 10</v>
      </c>
      <c r="E658" s="337" t="s">
        <v>13</v>
      </c>
      <c r="F658" s="297"/>
      <c r="G658" s="297"/>
      <c r="H658" s="297"/>
      <c r="I658" s="297"/>
      <c r="J658" s="297"/>
      <c r="K658" s="297"/>
      <c r="L658" s="297"/>
      <c r="M658" s="297"/>
      <c r="N658" s="297"/>
      <c r="O658" s="297"/>
      <c r="P658" s="297"/>
      <c r="Q658" s="297"/>
      <c r="R658" s="297"/>
      <c r="S658" s="297"/>
      <c r="T658" s="297"/>
      <c r="U658" s="297"/>
      <c r="V658" s="297"/>
      <c r="W658" s="297"/>
      <c r="X658" s="297"/>
      <c r="Y658" s="297"/>
      <c r="Z658" s="297"/>
      <c r="AA658" s="308">
        <f>SUM(J658:Z658)</f>
        <v>0</v>
      </c>
      <c r="AB658" s="302">
        <f t="shared" si="169"/>
        <v>0</v>
      </c>
    </row>
    <row r="659" spans="3:28" hidden="1" outlineLevel="2" x14ac:dyDescent="0.25">
      <c r="C659" s="397"/>
      <c r="D659" s="332" t="str">
        <f t="shared" si="174"/>
        <v>Наименование объекта / группы объектов 11</v>
      </c>
      <c r="E659" s="337" t="s">
        <v>13</v>
      </c>
      <c r="F659" s="297"/>
      <c r="G659" s="297"/>
      <c r="H659" s="297"/>
      <c r="I659" s="297"/>
      <c r="J659" s="297"/>
      <c r="K659" s="297"/>
      <c r="L659" s="297"/>
      <c r="M659" s="297"/>
      <c r="N659" s="297"/>
      <c r="O659" s="297"/>
      <c r="P659" s="297"/>
      <c r="Q659" s="297"/>
      <c r="R659" s="297"/>
      <c r="S659" s="297"/>
      <c r="T659" s="297"/>
      <c r="U659" s="297"/>
      <c r="V659" s="297"/>
      <c r="W659" s="297"/>
      <c r="X659" s="297"/>
      <c r="Y659" s="297"/>
      <c r="Z659" s="297"/>
      <c r="AA659" s="308">
        <f t="shared" si="172"/>
        <v>0</v>
      </c>
      <c r="AB659" s="302">
        <f t="shared" si="169"/>
        <v>0</v>
      </c>
    </row>
    <row r="660" spans="3:28" hidden="1" outlineLevel="2" x14ac:dyDescent="0.25">
      <c r="C660" s="397"/>
      <c r="D660" s="332" t="str">
        <f t="shared" si="174"/>
        <v>Наименование объекта / группы объектов 12</v>
      </c>
      <c r="E660" s="337" t="s">
        <v>13</v>
      </c>
      <c r="F660" s="297"/>
      <c r="G660" s="297"/>
      <c r="H660" s="297"/>
      <c r="I660" s="297"/>
      <c r="J660" s="297"/>
      <c r="K660" s="297"/>
      <c r="L660" s="297"/>
      <c r="M660" s="297"/>
      <c r="N660" s="297"/>
      <c r="O660" s="297"/>
      <c r="P660" s="297"/>
      <c r="Q660" s="297"/>
      <c r="R660" s="297"/>
      <c r="S660" s="297"/>
      <c r="T660" s="297"/>
      <c r="U660" s="297"/>
      <c r="V660" s="297"/>
      <c r="W660" s="297"/>
      <c r="X660" s="297"/>
      <c r="Y660" s="297"/>
      <c r="Z660" s="297"/>
      <c r="AA660" s="308">
        <f t="shared" si="172"/>
        <v>0</v>
      </c>
      <c r="AB660" s="302">
        <f t="shared" si="169"/>
        <v>0</v>
      </c>
    </row>
    <row r="661" spans="3:28" hidden="1" outlineLevel="2" x14ac:dyDescent="0.25">
      <c r="C661" s="397"/>
      <c r="D661" s="332" t="str">
        <f t="shared" si="174"/>
        <v>Наименование объекта / группы объектов 13</v>
      </c>
      <c r="E661" s="337" t="s">
        <v>13</v>
      </c>
      <c r="F661" s="297"/>
      <c r="G661" s="297"/>
      <c r="H661" s="297"/>
      <c r="I661" s="297"/>
      <c r="J661" s="297"/>
      <c r="K661" s="297"/>
      <c r="L661" s="297"/>
      <c r="M661" s="297"/>
      <c r="N661" s="297"/>
      <c r="O661" s="297"/>
      <c r="P661" s="297"/>
      <c r="Q661" s="297"/>
      <c r="R661" s="297"/>
      <c r="S661" s="297"/>
      <c r="T661" s="297"/>
      <c r="U661" s="297"/>
      <c r="V661" s="297"/>
      <c r="W661" s="297"/>
      <c r="X661" s="297"/>
      <c r="Y661" s="297"/>
      <c r="Z661" s="297"/>
      <c r="AA661" s="308">
        <f t="shared" si="172"/>
        <v>0</v>
      </c>
      <c r="AB661" s="302">
        <f t="shared" si="169"/>
        <v>0</v>
      </c>
    </row>
    <row r="662" spans="3:28" hidden="1" outlineLevel="2" x14ac:dyDescent="0.25">
      <c r="C662" s="397"/>
      <c r="D662" s="332" t="str">
        <f t="shared" si="174"/>
        <v>Наименование объекта / группы объектов 14</v>
      </c>
      <c r="E662" s="337" t="s">
        <v>13</v>
      </c>
      <c r="F662" s="297"/>
      <c r="G662" s="297"/>
      <c r="H662" s="297"/>
      <c r="I662" s="297"/>
      <c r="J662" s="297"/>
      <c r="K662" s="297"/>
      <c r="L662" s="297"/>
      <c r="M662" s="297"/>
      <c r="N662" s="297"/>
      <c r="O662" s="297"/>
      <c r="P662" s="297"/>
      <c r="Q662" s="297"/>
      <c r="R662" s="297"/>
      <c r="S662" s="297"/>
      <c r="T662" s="297"/>
      <c r="U662" s="297"/>
      <c r="V662" s="297"/>
      <c r="W662" s="297"/>
      <c r="X662" s="297"/>
      <c r="Y662" s="297"/>
      <c r="Z662" s="297"/>
      <c r="AA662" s="308">
        <f t="shared" si="172"/>
        <v>0</v>
      </c>
      <c r="AB662" s="302">
        <f t="shared" si="169"/>
        <v>0</v>
      </c>
    </row>
    <row r="663" spans="3:28" hidden="1" outlineLevel="2" x14ac:dyDescent="0.25">
      <c r="C663" s="397"/>
      <c r="D663" s="332" t="str">
        <f t="shared" si="174"/>
        <v>Наименование объекта / группы объектов 15</v>
      </c>
      <c r="E663" s="337" t="s">
        <v>13</v>
      </c>
      <c r="F663" s="297"/>
      <c r="G663" s="297"/>
      <c r="H663" s="297"/>
      <c r="I663" s="297"/>
      <c r="J663" s="297"/>
      <c r="K663" s="297"/>
      <c r="L663" s="297"/>
      <c r="M663" s="297"/>
      <c r="N663" s="297"/>
      <c r="O663" s="297"/>
      <c r="P663" s="297"/>
      <c r="Q663" s="297"/>
      <c r="R663" s="297"/>
      <c r="S663" s="297"/>
      <c r="T663" s="297"/>
      <c r="U663" s="297"/>
      <c r="V663" s="297"/>
      <c r="W663" s="297"/>
      <c r="X663" s="297"/>
      <c r="Y663" s="297"/>
      <c r="Z663" s="297"/>
      <c r="AA663" s="308">
        <f t="shared" si="172"/>
        <v>0</v>
      </c>
      <c r="AB663" s="302">
        <f t="shared" si="169"/>
        <v>0</v>
      </c>
    </row>
    <row r="664" spans="3:28" hidden="1" outlineLevel="2" x14ac:dyDescent="0.25">
      <c r="C664" s="397"/>
      <c r="D664" s="332" t="str">
        <f t="shared" si="174"/>
        <v>Наименование объекта / группы объектов 16</v>
      </c>
      <c r="E664" s="337" t="s">
        <v>13</v>
      </c>
      <c r="F664" s="297"/>
      <c r="G664" s="297"/>
      <c r="H664" s="297"/>
      <c r="I664" s="297"/>
      <c r="J664" s="297"/>
      <c r="K664" s="297"/>
      <c r="L664" s="297"/>
      <c r="M664" s="297"/>
      <c r="N664" s="297"/>
      <c r="O664" s="297"/>
      <c r="P664" s="297"/>
      <c r="Q664" s="297"/>
      <c r="R664" s="297"/>
      <c r="S664" s="297"/>
      <c r="T664" s="297"/>
      <c r="U664" s="297"/>
      <c r="V664" s="297"/>
      <c r="W664" s="297"/>
      <c r="X664" s="297"/>
      <c r="Y664" s="297"/>
      <c r="Z664" s="297"/>
      <c r="AA664" s="308">
        <f t="shared" si="172"/>
        <v>0</v>
      </c>
      <c r="AB664" s="302">
        <f t="shared" si="169"/>
        <v>0</v>
      </c>
    </row>
    <row r="665" spans="3:28" hidden="1" outlineLevel="2" x14ac:dyDescent="0.25">
      <c r="C665" s="397"/>
      <c r="D665" s="332" t="str">
        <f t="shared" si="174"/>
        <v>Наименование объекта / группы объектов 17</v>
      </c>
      <c r="E665" s="337" t="s">
        <v>13</v>
      </c>
      <c r="F665" s="297"/>
      <c r="G665" s="297"/>
      <c r="H665" s="297"/>
      <c r="I665" s="297"/>
      <c r="J665" s="297"/>
      <c r="K665" s="297"/>
      <c r="L665" s="297"/>
      <c r="M665" s="297"/>
      <c r="N665" s="297"/>
      <c r="O665" s="297"/>
      <c r="P665" s="297"/>
      <c r="Q665" s="297"/>
      <c r="R665" s="297"/>
      <c r="S665" s="297"/>
      <c r="T665" s="297"/>
      <c r="U665" s="297"/>
      <c r="V665" s="297"/>
      <c r="W665" s="297"/>
      <c r="X665" s="297"/>
      <c r="Y665" s="297"/>
      <c r="Z665" s="297"/>
      <c r="AA665" s="308">
        <f t="shared" si="172"/>
        <v>0</v>
      </c>
      <c r="AB665" s="302">
        <f t="shared" si="169"/>
        <v>0</v>
      </c>
    </row>
    <row r="666" spans="3:28" hidden="1" outlineLevel="2" x14ac:dyDescent="0.25">
      <c r="C666" s="397"/>
      <c r="D666" s="332" t="str">
        <f t="shared" si="174"/>
        <v>Наименование объекта / группы объектов 18</v>
      </c>
      <c r="E666" s="337" t="s">
        <v>13</v>
      </c>
      <c r="F666" s="297"/>
      <c r="G666" s="297"/>
      <c r="H666" s="297"/>
      <c r="I666" s="297"/>
      <c r="J666" s="297"/>
      <c r="K666" s="297"/>
      <c r="L666" s="297"/>
      <c r="M666" s="297"/>
      <c r="N666" s="297"/>
      <c r="O666" s="297"/>
      <c r="P666" s="297"/>
      <c r="Q666" s="297"/>
      <c r="R666" s="297"/>
      <c r="S666" s="297"/>
      <c r="T666" s="297"/>
      <c r="U666" s="297"/>
      <c r="V666" s="297"/>
      <c r="W666" s="297"/>
      <c r="X666" s="297"/>
      <c r="Y666" s="297"/>
      <c r="Z666" s="297"/>
      <c r="AA666" s="308">
        <f t="shared" si="172"/>
        <v>0</v>
      </c>
      <c r="AB666" s="302">
        <f t="shared" si="169"/>
        <v>0</v>
      </c>
    </row>
    <row r="667" spans="3:28" hidden="1" outlineLevel="2" x14ac:dyDescent="0.25">
      <c r="C667" s="397"/>
      <c r="D667" s="332" t="str">
        <f t="shared" si="174"/>
        <v>Наименование объекта / группы объектов 19</v>
      </c>
      <c r="E667" s="337" t="s">
        <v>13</v>
      </c>
      <c r="F667" s="297"/>
      <c r="G667" s="297"/>
      <c r="H667" s="297"/>
      <c r="I667" s="297"/>
      <c r="J667" s="297"/>
      <c r="K667" s="297"/>
      <c r="L667" s="297"/>
      <c r="M667" s="297"/>
      <c r="N667" s="297"/>
      <c r="O667" s="297"/>
      <c r="P667" s="297"/>
      <c r="Q667" s="297"/>
      <c r="R667" s="297"/>
      <c r="S667" s="297"/>
      <c r="T667" s="297"/>
      <c r="U667" s="297"/>
      <c r="V667" s="297"/>
      <c r="W667" s="297"/>
      <c r="X667" s="297"/>
      <c r="Y667" s="297"/>
      <c r="Z667" s="297"/>
      <c r="AA667" s="308">
        <f t="shared" si="172"/>
        <v>0</v>
      </c>
      <c r="AB667" s="302">
        <f t="shared" si="169"/>
        <v>0</v>
      </c>
    </row>
    <row r="668" spans="3:28" hidden="1" outlineLevel="2" x14ac:dyDescent="0.25">
      <c r="C668" s="397"/>
      <c r="D668" s="332" t="str">
        <f t="shared" si="174"/>
        <v>Наименование объекта / группы объектов 20</v>
      </c>
      <c r="E668" s="337" t="s">
        <v>13</v>
      </c>
      <c r="F668" s="297"/>
      <c r="G668" s="297"/>
      <c r="H668" s="297"/>
      <c r="I668" s="297"/>
      <c r="J668" s="297"/>
      <c r="K668" s="297"/>
      <c r="L668" s="297"/>
      <c r="M668" s="297"/>
      <c r="N668" s="297"/>
      <c r="O668" s="297"/>
      <c r="P668" s="297"/>
      <c r="Q668" s="297"/>
      <c r="R668" s="297"/>
      <c r="S668" s="297"/>
      <c r="T668" s="297"/>
      <c r="U668" s="297"/>
      <c r="V668" s="297"/>
      <c r="W668" s="297"/>
      <c r="X668" s="297"/>
      <c r="Y668" s="297"/>
      <c r="Z668" s="297"/>
      <c r="AA668" s="308">
        <f t="shared" si="172"/>
        <v>0</v>
      </c>
      <c r="AB668" s="302">
        <f t="shared" si="169"/>
        <v>0</v>
      </c>
    </row>
    <row r="669" spans="3:28" hidden="1" outlineLevel="2" x14ac:dyDescent="0.25">
      <c r="C669" s="397"/>
      <c r="D669" s="332" t="str">
        <f t="shared" si="174"/>
        <v>Наименование объекта / группы объектов 21</v>
      </c>
      <c r="E669" s="337" t="s">
        <v>13</v>
      </c>
      <c r="F669" s="297"/>
      <c r="G669" s="297"/>
      <c r="H669" s="297"/>
      <c r="I669" s="297"/>
      <c r="J669" s="297"/>
      <c r="K669" s="297"/>
      <c r="L669" s="297"/>
      <c r="M669" s="297"/>
      <c r="N669" s="297"/>
      <c r="O669" s="297"/>
      <c r="P669" s="297"/>
      <c r="Q669" s="297"/>
      <c r="R669" s="297"/>
      <c r="S669" s="297"/>
      <c r="T669" s="297"/>
      <c r="U669" s="297"/>
      <c r="V669" s="297"/>
      <c r="W669" s="297"/>
      <c r="X669" s="297"/>
      <c r="Y669" s="297"/>
      <c r="Z669" s="297"/>
      <c r="AA669" s="308">
        <f t="shared" si="172"/>
        <v>0</v>
      </c>
      <c r="AB669" s="302">
        <f t="shared" si="169"/>
        <v>0</v>
      </c>
    </row>
    <row r="670" spans="3:28" hidden="1" outlineLevel="2" x14ac:dyDescent="0.25">
      <c r="C670" s="397"/>
      <c r="D670" s="332" t="str">
        <f t="shared" si="174"/>
        <v>Наименование объекта / группы объектов 22</v>
      </c>
      <c r="E670" s="337" t="s">
        <v>13</v>
      </c>
      <c r="F670" s="297"/>
      <c r="G670" s="297"/>
      <c r="H670" s="297"/>
      <c r="I670" s="297"/>
      <c r="J670" s="297"/>
      <c r="K670" s="297"/>
      <c r="L670" s="297"/>
      <c r="M670" s="297"/>
      <c r="N670" s="297"/>
      <c r="O670" s="297"/>
      <c r="P670" s="297"/>
      <c r="Q670" s="297"/>
      <c r="R670" s="297"/>
      <c r="S670" s="297"/>
      <c r="T670" s="297"/>
      <c r="U670" s="297"/>
      <c r="V670" s="297"/>
      <c r="W670" s="297"/>
      <c r="X670" s="297"/>
      <c r="Y670" s="297"/>
      <c r="Z670" s="297"/>
      <c r="AA670" s="308">
        <f t="shared" si="172"/>
        <v>0</v>
      </c>
      <c r="AB670" s="302">
        <f t="shared" si="169"/>
        <v>0</v>
      </c>
    </row>
    <row r="671" spans="3:28" hidden="1" outlineLevel="2" x14ac:dyDescent="0.25">
      <c r="C671" s="397"/>
      <c r="D671" s="332" t="str">
        <f t="shared" si="174"/>
        <v>Наименование объекта / группы объектов 23</v>
      </c>
      <c r="E671" s="337" t="s">
        <v>13</v>
      </c>
      <c r="F671" s="297"/>
      <c r="G671" s="297"/>
      <c r="H671" s="297"/>
      <c r="I671" s="297"/>
      <c r="J671" s="297"/>
      <c r="K671" s="297"/>
      <c r="L671" s="297"/>
      <c r="M671" s="297"/>
      <c r="N671" s="297"/>
      <c r="O671" s="297"/>
      <c r="P671" s="297"/>
      <c r="Q671" s="297"/>
      <c r="R671" s="297"/>
      <c r="S671" s="297"/>
      <c r="T671" s="297"/>
      <c r="U671" s="297"/>
      <c r="V671" s="297"/>
      <c r="W671" s="297"/>
      <c r="X671" s="297"/>
      <c r="Y671" s="297"/>
      <c r="Z671" s="297"/>
      <c r="AA671" s="308">
        <f t="shared" si="172"/>
        <v>0</v>
      </c>
      <c r="AB671" s="302">
        <f t="shared" si="169"/>
        <v>0</v>
      </c>
    </row>
    <row r="672" spans="3:28" hidden="1" outlineLevel="2" x14ac:dyDescent="0.25">
      <c r="C672" s="397"/>
      <c r="D672" s="332" t="str">
        <f t="shared" si="174"/>
        <v>Наименование объекта / группы объектов 24</v>
      </c>
      <c r="E672" s="337" t="s">
        <v>13</v>
      </c>
      <c r="F672" s="297"/>
      <c r="G672" s="297"/>
      <c r="H672" s="297"/>
      <c r="I672" s="297"/>
      <c r="J672" s="297"/>
      <c r="K672" s="297"/>
      <c r="L672" s="297"/>
      <c r="M672" s="297"/>
      <c r="N672" s="297"/>
      <c r="O672" s="297"/>
      <c r="P672" s="297"/>
      <c r="Q672" s="297"/>
      <c r="R672" s="297"/>
      <c r="S672" s="297"/>
      <c r="T672" s="297"/>
      <c r="U672" s="297"/>
      <c r="V672" s="297"/>
      <c r="W672" s="297"/>
      <c r="X672" s="297"/>
      <c r="Y672" s="297"/>
      <c r="Z672" s="297"/>
      <c r="AA672" s="308">
        <f t="shared" si="172"/>
        <v>0</v>
      </c>
      <c r="AB672" s="302">
        <f t="shared" si="169"/>
        <v>0</v>
      </c>
    </row>
    <row r="673" spans="3:28" hidden="1" outlineLevel="2" x14ac:dyDescent="0.25">
      <c r="C673" s="397"/>
      <c r="D673" s="332" t="str">
        <f t="shared" si="174"/>
        <v>Наименование объекта / группы объектов 25</v>
      </c>
      <c r="E673" s="337" t="s">
        <v>13</v>
      </c>
      <c r="F673" s="297"/>
      <c r="G673" s="297"/>
      <c r="H673" s="297"/>
      <c r="I673" s="297"/>
      <c r="J673" s="297"/>
      <c r="K673" s="297"/>
      <c r="L673" s="297"/>
      <c r="M673" s="297"/>
      <c r="N673" s="297"/>
      <c r="O673" s="297"/>
      <c r="P673" s="297"/>
      <c r="Q673" s="297"/>
      <c r="R673" s="297"/>
      <c r="S673" s="297"/>
      <c r="T673" s="297"/>
      <c r="U673" s="297"/>
      <c r="V673" s="297"/>
      <c r="W673" s="297"/>
      <c r="X673" s="297"/>
      <c r="Y673" s="297"/>
      <c r="Z673" s="297"/>
      <c r="AA673" s="308">
        <f t="shared" si="172"/>
        <v>0</v>
      </c>
      <c r="AB673" s="302">
        <f t="shared" si="169"/>
        <v>0</v>
      </c>
    </row>
    <row r="674" spans="3:28" hidden="1" outlineLevel="1" collapsed="1" x14ac:dyDescent="0.25">
      <c r="C674" s="395"/>
      <c r="D674" s="338" t="s">
        <v>109</v>
      </c>
      <c r="E674" s="365" t="s">
        <v>13</v>
      </c>
      <c r="F674" s="303"/>
      <c r="G674" s="303"/>
      <c r="H674" s="303"/>
      <c r="I674" s="303"/>
      <c r="J674" s="303"/>
      <c r="K674" s="303"/>
      <c r="L674" s="303"/>
      <c r="M674" s="303"/>
      <c r="N674" s="303"/>
      <c r="O674" s="303"/>
      <c r="P674" s="303"/>
      <c r="Q674" s="303"/>
      <c r="R674" s="303"/>
      <c r="S674" s="303"/>
      <c r="T674" s="303"/>
      <c r="U674" s="303"/>
      <c r="V674" s="303"/>
      <c r="W674" s="303"/>
      <c r="X674" s="303"/>
      <c r="Y674" s="303"/>
      <c r="Z674" s="303"/>
      <c r="AA674" s="296"/>
      <c r="AB674" s="296">
        <f t="shared" si="169"/>
        <v>0</v>
      </c>
    </row>
    <row r="675" spans="3:28" hidden="1" outlineLevel="1" x14ac:dyDescent="0.25">
      <c r="C675" s="397"/>
      <c r="D675" s="332" t="str">
        <f>D24</f>
        <v>Центр РАН и НИЦ интегральной электроники</v>
      </c>
      <c r="E675" s="337" t="s">
        <v>13</v>
      </c>
      <c r="F675" s="297"/>
      <c r="G675" s="297"/>
      <c r="H675" s="297"/>
      <c r="I675" s="297"/>
      <c r="J675" s="297"/>
      <c r="K675" s="297"/>
      <c r="L675" s="297"/>
      <c r="M675" s="297"/>
      <c r="N675" s="297"/>
      <c r="O675" s="297"/>
      <c r="P675" s="297"/>
      <c r="Q675" s="297"/>
      <c r="R675" s="297"/>
      <c r="S675" s="297"/>
      <c r="T675" s="297"/>
      <c r="U675" s="297"/>
      <c r="V675" s="297"/>
      <c r="W675" s="297"/>
      <c r="X675" s="297"/>
      <c r="Y675" s="297"/>
      <c r="Z675" s="297"/>
      <c r="AA675" s="301">
        <f>IFERROR(AVERAGE(J675:Z675),0)</f>
        <v>0</v>
      </c>
      <c r="AB675" s="296">
        <f>AA675/1000</f>
        <v>0</v>
      </c>
    </row>
    <row r="676" spans="3:28" hidden="1" outlineLevel="1" x14ac:dyDescent="0.25">
      <c r="C676" s="397"/>
      <c r="D676" s="332" t="str">
        <f t="shared" ref="D676:D699" si="175">D25</f>
        <v xml:space="preserve">Университет МИРЭА
</v>
      </c>
      <c r="E676" s="337" t="s">
        <v>13</v>
      </c>
      <c r="F676" s="297"/>
      <c r="G676" s="297"/>
      <c r="H676" s="297"/>
      <c r="I676" s="297"/>
      <c r="J676" s="297"/>
      <c r="K676" s="297"/>
      <c r="L676" s="297"/>
      <c r="M676" s="297"/>
      <c r="N676" s="297"/>
      <c r="O676" s="297"/>
      <c r="P676" s="297"/>
      <c r="Q676" s="297"/>
      <c r="R676" s="297"/>
      <c r="S676" s="297"/>
      <c r="T676" s="297"/>
      <c r="U676" s="297"/>
      <c r="V676" s="297"/>
      <c r="W676" s="297"/>
      <c r="X676" s="297"/>
      <c r="Y676" s="297"/>
      <c r="Z676" s="297"/>
      <c r="AA676" s="301">
        <f t="shared" ref="AA676:AA698" si="176">IFERROR(AVERAGE(J676:Z676),0)</f>
        <v>0</v>
      </c>
      <c r="AB676" s="298">
        <f t="shared" ref="AB676:AB698" si="177">AA676/1000</f>
        <v>0</v>
      </c>
    </row>
    <row r="677" spans="3:28" hidden="1" outlineLevel="1" x14ac:dyDescent="0.25">
      <c r="C677" s="397"/>
      <c r="D677" s="332" t="str">
        <f t="shared" si="175"/>
        <v>Технологический центр</v>
      </c>
      <c r="E677" s="337" t="s">
        <v>13</v>
      </c>
      <c r="F677" s="297"/>
      <c r="G677" s="297"/>
      <c r="H677" s="297"/>
      <c r="I677" s="297"/>
      <c r="J677" s="297"/>
      <c r="K677" s="297"/>
      <c r="L677" s="297"/>
      <c r="M677" s="297"/>
      <c r="N677" s="297"/>
      <c r="O677" s="297"/>
      <c r="P677" s="297"/>
      <c r="Q677" s="297"/>
      <c r="R677" s="297"/>
      <c r="S677" s="297"/>
      <c r="T677" s="297"/>
      <c r="U677" s="297"/>
      <c r="V677" s="297"/>
      <c r="W677" s="297"/>
      <c r="X677" s="297"/>
      <c r="Y677" s="297"/>
      <c r="Z677" s="297"/>
      <c r="AA677" s="301">
        <f t="shared" si="176"/>
        <v>0</v>
      </c>
      <c r="AB677" s="296">
        <f t="shared" si="177"/>
        <v>0</v>
      </c>
    </row>
    <row r="678" spans="3:28" hidden="1" outlineLevel="1" x14ac:dyDescent="0.25">
      <c r="C678" s="397"/>
      <c r="D678" s="332" t="str">
        <f t="shared" si="175"/>
        <v>Спортивный центр</v>
      </c>
      <c r="E678" s="337" t="s">
        <v>13</v>
      </c>
      <c r="F678" s="297"/>
      <c r="G678" s="297"/>
      <c r="H678" s="297"/>
      <c r="I678" s="297"/>
      <c r="J678" s="297"/>
      <c r="K678" s="297"/>
      <c r="L678" s="297"/>
      <c r="M678" s="297"/>
      <c r="N678" s="297"/>
      <c r="O678" s="297"/>
      <c r="P678" s="297"/>
      <c r="Q678" s="297"/>
      <c r="R678" s="297"/>
      <c r="S678" s="297"/>
      <c r="T678" s="297"/>
      <c r="U678" s="297"/>
      <c r="V678" s="297"/>
      <c r="W678" s="297"/>
      <c r="X678" s="297"/>
      <c r="Y678" s="297"/>
      <c r="Z678" s="297"/>
      <c r="AA678" s="301">
        <f t="shared" si="176"/>
        <v>0</v>
      </c>
      <c r="AB678" s="296">
        <f t="shared" si="177"/>
        <v>0</v>
      </c>
    </row>
    <row r="679" spans="3:28" hidden="1" outlineLevel="1" x14ac:dyDescent="0.25">
      <c r="C679" s="397"/>
      <c r="D679" s="332" t="str">
        <f t="shared" si="175"/>
        <v>Гостиничный комплекс</v>
      </c>
      <c r="E679" s="337" t="s">
        <v>13</v>
      </c>
      <c r="F679" s="297"/>
      <c r="G679" s="297"/>
      <c r="H679" s="297"/>
      <c r="I679" s="297"/>
      <c r="J679" s="297"/>
      <c r="K679" s="297"/>
      <c r="L679" s="297"/>
      <c r="M679" s="297"/>
      <c r="N679" s="297"/>
      <c r="O679" s="297"/>
      <c r="P679" s="297"/>
      <c r="Q679" s="297"/>
      <c r="R679" s="297"/>
      <c r="S679" s="297"/>
      <c r="T679" s="297"/>
      <c r="U679" s="297"/>
      <c r="V679" s="297"/>
      <c r="W679" s="297"/>
      <c r="X679" s="297"/>
      <c r="Y679" s="297"/>
      <c r="Z679" s="297"/>
      <c r="AA679" s="301">
        <f t="shared" si="176"/>
        <v>0</v>
      </c>
      <c r="AB679" s="296">
        <f t="shared" si="177"/>
        <v>0</v>
      </c>
    </row>
    <row r="680" spans="3:28" hidden="1" outlineLevel="2" x14ac:dyDescent="0.25">
      <c r="C680" s="397"/>
      <c r="D680" s="332" t="str">
        <f t="shared" si="175"/>
        <v>Наименование объекта / группы объектов 6</v>
      </c>
      <c r="E680" s="337" t="s">
        <v>13</v>
      </c>
      <c r="F680" s="297"/>
      <c r="G680" s="297"/>
      <c r="H680" s="297"/>
      <c r="I680" s="297"/>
      <c r="J680" s="297"/>
      <c r="K680" s="297"/>
      <c r="L680" s="297"/>
      <c r="M680" s="297"/>
      <c r="N680" s="297"/>
      <c r="O680" s="297"/>
      <c r="P680" s="297"/>
      <c r="Q680" s="297"/>
      <c r="R680" s="297"/>
      <c r="S680" s="297"/>
      <c r="T680" s="297"/>
      <c r="U680" s="297"/>
      <c r="V680" s="297"/>
      <c r="W680" s="297"/>
      <c r="X680" s="297"/>
      <c r="Y680" s="297"/>
      <c r="Z680" s="297"/>
      <c r="AA680" s="301">
        <f t="shared" si="176"/>
        <v>0</v>
      </c>
      <c r="AB680" s="296">
        <f t="shared" si="177"/>
        <v>0</v>
      </c>
    </row>
    <row r="681" spans="3:28" hidden="1" outlineLevel="2" x14ac:dyDescent="0.25">
      <c r="C681" s="397"/>
      <c r="D681" s="332" t="str">
        <f t="shared" si="175"/>
        <v>Наименование объекта / группы объектов 7</v>
      </c>
      <c r="E681" s="337" t="s">
        <v>13</v>
      </c>
      <c r="F681" s="297"/>
      <c r="G681" s="297"/>
      <c r="H681" s="297"/>
      <c r="I681" s="297"/>
      <c r="J681" s="297"/>
      <c r="K681" s="297"/>
      <c r="L681" s="297"/>
      <c r="M681" s="297"/>
      <c r="N681" s="297"/>
      <c r="O681" s="297"/>
      <c r="P681" s="297"/>
      <c r="Q681" s="297"/>
      <c r="R681" s="297"/>
      <c r="S681" s="297"/>
      <c r="T681" s="297"/>
      <c r="U681" s="297"/>
      <c r="V681" s="297"/>
      <c r="W681" s="297"/>
      <c r="X681" s="297"/>
      <c r="Y681" s="297"/>
      <c r="Z681" s="297"/>
      <c r="AA681" s="301">
        <f t="shared" si="176"/>
        <v>0</v>
      </c>
      <c r="AB681" s="296">
        <f t="shared" si="177"/>
        <v>0</v>
      </c>
    </row>
    <row r="682" spans="3:28" hidden="1" outlineLevel="2" x14ac:dyDescent="0.25">
      <c r="D682" s="332" t="str">
        <f t="shared" si="175"/>
        <v>Наименование объекта / группы объектов 8</v>
      </c>
      <c r="E682" s="337" t="s">
        <v>13</v>
      </c>
      <c r="F682" s="297"/>
      <c r="G682" s="297"/>
      <c r="H682" s="297"/>
      <c r="I682" s="297"/>
      <c r="J682" s="297"/>
      <c r="K682" s="297"/>
      <c r="L682" s="297"/>
      <c r="M682" s="297"/>
      <c r="N682" s="297"/>
      <c r="O682" s="297"/>
      <c r="P682" s="297"/>
      <c r="Q682" s="297"/>
      <c r="R682" s="297"/>
      <c r="S682" s="297"/>
      <c r="T682" s="297"/>
      <c r="U682" s="297"/>
      <c r="V682" s="297"/>
      <c r="W682" s="297"/>
      <c r="X682" s="297"/>
      <c r="Y682" s="297"/>
      <c r="Z682" s="297"/>
      <c r="AA682" s="301">
        <f t="shared" si="176"/>
        <v>0</v>
      </c>
      <c r="AB682" s="296">
        <f t="shared" si="177"/>
        <v>0</v>
      </c>
    </row>
    <row r="683" spans="3:28" hidden="1" outlineLevel="2" x14ac:dyDescent="0.25">
      <c r="D683" s="332" t="str">
        <f t="shared" si="175"/>
        <v>Наименование объекта / группы объектов 9</v>
      </c>
      <c r="E683" s="337" t="s">
        <v>13</v>
      </c>
      <c r="F683" s="297"/>
      <c r="G683" s="297"/>
      <c r="H683" s="297"/>
      <c r="I683" s="297"/>
      <c r="J683" s="297"/>
      <c r="K683" s="297"/>
      <c r="L683" s="297"/>
      <c r="M683" s="297"/>
      <c r="N683" s="297"/>
      <c r="O683" s="297"/>
      <c r="P683" s="297"/>
      <c r="Q683" s="297"/>
      <c r="R683" s="297"/>
      <c r="S683" s="297"/>
      <c r="T683" s="297"/>
      <c r="U683" s="297"/>
      <c r="V683" s="297"/>
      <c r="W683" s="297"/>
      <c r="X683" s="297"/>
      <c r="Y683" s="297"/>
      <c r="Z683" s="297"/>
      <c r="AA683" s="301">
        <f t="shared" si="176"/>
        <v>0</v>
      </c>
      <c r="AB683" s="296">
        <f t="shared" si="177"/>
        <v>0</v>
      </c>
    </row>
    <row r="684" spans="3:28" hidden="1" outlineLevel="2" x14ac:dyDescent="0.25">
      <c r="D684" s="332" t="str">
        <f t="shared" si="175"/>
        <v>Наименование объекта / группы объектов 10</v>
      </c>
      <c r="E684" s="337" t="s">
        <v>13</v>
      </c>
      <c r="F684" s="297"/>
      <c r="G684" s="297"/>
      <c r="H684" s="297"/>
      <c r="I684" s="297"/>
      <c r="J684" s="297"/>
      <c r="K684" s="297"/>
      <c r="L684" s="297"/>
      <c r="M684" s="297"/>
      <c r="N684" s="297"/>
      <c r="O684" s="297"/>
      <c r="P684" s="297"/>
      <c r="Q684" s="297"/>
      <c r="R684" s="297"/>
      <c r="S684" s="297"/>
      <c r="T684" s="297"/>
      <c r="U684" s="297"/>
      <c r="V684" s="297"/>
      <c r="W684" s="297"/>
      <c r="X684" s="297"/>
      <c r="Y684" s="297"/>
      <c r="Z684" s="297"/>
      <c r="AA684" s="301">
        <f t="shared" si="176"/>
        <v>0</v>
      </c>
      <c r="AB684" s="296">
        <f t="shared" si="177"/>
        <v>0</v>
      </c>
    </row>
    <row r="685" spans="3:28" hidden="1" outlineLevel="2" x14ac:dyDescent="0.25">
      <c r="D685" s="332" t="str">
        <f t="shared" si="175"/>
        <v>Наименование объекта / группы объектов 11</v>
      </c>
      <c r="E685" s="337" t="s">
        <v>13</v>
      </c>
      <c r="F685" s="297"/>
      <c r="G685" s="297"/>
      <c r="H685" s="297"/>
      <c r="I685" s="297"/>
      <c r="J685" s="297"/>
      <c r="K685" s="297"/>
      <c r="L685" s="297"/>
      <c r="M685" s="297"/>
      <c r="N685" s="297"/>
      <c r="O685" s="297"/>
      <c r="P685" s="297"/>
      <c r="Q685" s="297"/>
      <c r="R685" s="297"/>
      <c r="S685" s="297"/>
      <c r="T685" s="297"/>
      <c r="U685" s="297"/>
      <c r="V685" s="297"/>
      <c r="W685" s="297"/>
      <c r="X685" s="297"/>
      <c r="Y685" s="297"/>
      <c r="Z685" s="297"/>
      <c r="AA685" s="301">
        <f t="shared" si="176"/>
        <v>0</v>
      </c>
      <c r="AB685" s="296">
        <f t="shared" si="177"/>
        <v>0</v>
      </c>
    </row>
    <row r="686" spans="3:28" hidden="1" outlineLevel="2" x14ac:dyDescent="0.25">
      <c r="D686" s="332" t="str">
        <f t="shared" si="175"/>
        <v>Наименование объекта / группы объектов 12</v>
      </c>
      <c r="E686" s="337" t="s">
        <v>13</v>
      </c>
      <c r="F686" s="297"/>
      <c r="G686" s="297"/>
      <c r="H686" s="297"/>
      <c r="I686" s="297"/>
      <c r="J686" s="297"/>
      <c r="K686" s="297"/>
      <c r="L686" s="297"/>
      <c r="M686" s="297"/>
      <c r="N686" s="297"/>
      <c r="O686" s="297"/>
      <c r="P686" s="297"/>
      <c r="Q686" s="297"/>
      <c r="R686" s="297"/>
      <c r="S686" s="297"/>
      <c r="T686" s="297"/>
      <c r="U686" s="297"/>
      <c r="V686" s="297"/>
      <c r="W686" s="297"/>
      <c r="X686" s="297"/>
      <c r="Y686" s="297"/>
      <c r="Z686" s="297"/>
      <c r="AA686" s="301">
        <f t="shared" si="176"/>
        <v>0</v>
      </c>
      <c r="AB686" s="296">
        <f t="shared" si="177"/>
        <v>0</v>
      </c>
    </row>
    <row r="687" spans="3:28" hidden="1" outlineLevel="2" x14ac:dyDescent="0.25">
      <c r="D687" s="332" t="str">
        <f t="shared" si="175"/>
        <v>Наименование объекта / группы объектов 13</v>
      </c>
      <c r="E687" s="337" t="s">
        <v>13</v>
      </c>
      <c r="F687" s="297"/>
      <c r="G687" s="297"/>
      <c r="H687" s="297"/>
      <c r="I687" s="297"/>
      <c r="J687" s="297"/>
      <c r="K687" s="297"/>
      <c r="L687" s="297"/>
      <c r="M687" s="297"/>
      <c r="N687" s="297"/>
      <c r="O687" s="297"/>
      <c r="P687" s="297"/>
      <c r="Q687" s="297"/>
      <c r="R687" s="297"/>
      <c r="S687" s="297"/>
      <c r="T687" s="297"/>
      <c r="U687" s="297"/>
      <c r="V687" s="297"/>
      <c r="W687" s="297"/>
      <c r="X687" s="297"/>
      <c r="Y687" s="297"/>
      <c r="Z687" s="297"/>
      <c r="AA687" s="301">
        <f t="shared" si="176"/>
        <v>0</v>
      </c>
      <c r="AB687" s="296">
        <f t="shared" si="177"/>
        <v>0</v>
      </c>
    </row>
    <row r="688" spans="3:28" hidden="1" outlineLevel="2" x14ac:dyDescent="0.25">
      <c r="D688" s="332" t="str">
        <f t="shared" si="175"/>
        <v>Наименование объекта / группы объектов 14</v>
      </c>
      <c r="E688" s="337" t="s">
        <v>13</v>
      </c>
      <c r="F688" s="297"/>
      <c r="G688" s="297"/>
      <c r="H688" s="297"/>
      <c r="I688" s="297"/>
      <c r="J688" s="297"/>
      <c r="K688" s="297"/>
      <c r="L688" s="297"/>
      <c r="M688" s="297"/>
      <c r="N688" s="297"/>
      <c r="O688" s="297"/>
      <c r="P688" s="297"/>
      <c r="Q688" s="297"/>
      <c r="R688" s="297"/>
      <c r="S688" s="297"/>
      <c r="T688" s="297"/>
      <c r="U688" s="297"/>
      <c r="V688" s="297"/>
      <c r="W688" s="297"/>
      <c r="X688" s="297"/>
      <c r="Y688" s="297"/>
      <c r="Z688" s="297"/>
      <c r="AA688" s="301">
        <f t="shared" si="176"/>
        <v>0</v>
      </c>
      <c r="AB688" s="296">
        <f t="shared" si="177"/>
        <v>0</v>
      </c>
    </row>
    <row r="689" spans="4:28" hidden="1" outlineLevel="2" x14ac:dyDescent="0.25">
      <c r="D689" s="332" t="str">
        <f t="shared" si="175"/>
        <v>Наименование объекта / группы объектов 15</v>
      </c>
      <c r="E689" s="337" t="s">
        <v>13</v>
      </c>
      <c r="F689" s="297"/>
      <c r="G689" s="297"/>
      <c r="H689" s="297"/>
      <c r="I689" s="297"/>
      <c r="J689" s="297"/>
      <c r="K689" s="297"/>
      <c r="L689" s="297"/>
      <c r="M689" s="297"/>
      <c r="N689" s="297"/>
      <c r="O689" s="297"/>
      <c r="P689" s="297"/>
      <c r="Q689" s="297"/>
      <c r="R689" s="297"/>
      <c r="S689" s="297"/>
      <c r="T689" s="297"/>
      <c r="U689" s="297"/>
      <c r="V689" s="297"/>
      <c r="W689" s="297"/>
      <c r="X689" s="297"/>
      <c r="Y689" s="297"/>
      <c r="Z689" s="297"/>
      <c r="AA689" s="301">
        <f t="shared" si="176"/>
        <v>0</v>
      </c>
      <c r="AB689" s="296">
        <f t="shared" si="177"/>
        <v>0</v>
      </c>
    </row>
    <row r="690" spans="4:28" hidden="1" outlineLevel="2" x14ac:dyDescent="0.25">
      <c r="D690" s="332" t="str">
        <f t="shared" si="175"/>
        <v>Наименование объекта / группы объектов 16</v>
      </c>
      <c r="E690" s="337" t="s">
        <v>13</v>
      </c>
      <c r="F690" s="297"/>
      <c r="G690" s="297"/>
      <c r="H690" s="297"/>
      <c r="I690" s="297"/>
      <c r="J690" s="297"/>
      <c r="K690" s="297"/>
      <c r="L690" s="297"/>
      <c r="M690" s="297"/>
      <c r="N690" s="297"/>
      <c r="O690" s="297"/>
      <c r="P690" s="297"/>
      <c r="Q690" s="297"/>
      <c r="R690" s="297"/>
      <c r="S690" s="297"/>
      <c r="T690" s="297"/>
      <c r="U690" s="297"/>
      <c r="V690" s="297"/>
      <c r="W690" s="297"/>
      <c r="X690" s="297"/>
      <c r="Y690" s="297"/>
      <c r="Z690" s="297"/>
      <c r="AA690" s="301">
        <f t="shared" si="176"/>
        <v>0</v>
      </c>
      <c r="AB690" s="298">
        <f t="shared" si="177"/>
        <v>0</v>
      </c>
    </row>
    <row r="691" spans="4:28" hidden="1" outlineLevel="2" x14ac:dyDescent="0.25">
      <c r="D691" s="332" t="str">
        <f t="shared" si="175"/>
        <v>Наименование объекта / группы объектов 17</v>
      </c>
      <c r="E691" s="337" t="s">
        <v>13</v>
      </c>
      <c r="F691" s="297"/>
      <c r="G691" s="297"/>
      <c r="H691" s="297"/>
      <c r="I691" s="297"/>
      <c r="J691" s="297"/>
      <c r="K691" s="297"/>
      <c r="L691" s="297"/>
      <c r="M691" s="297"/>
      <c r="N691" s="297"/>
      <c r="O691" s="297"/>
      <c r="P691" s="297"/>
      <c r="Q691" s="297"/>
      <c r="R691" s="297"/>
      <c r="S691" s="297"/>
      <c r="T691" s="297"/>
      <c r="U691" s="297"/>
      <c r="V691" s="297"/>
      <c r="W691" s="297"/>
      <c r="X691" s="297"/>
      <c r="Y691" s="297"/>
      <c r="Z691" s="297"/>
      <c r="AA691" s="301">
        <f t="shared" si="176"/>
        <v>0</v>
      </c>
      <c r="AB691" s="298">
        <f t="shared" si="177"/>
        <v>0</v>
      </c>
    </row>
    <row r="692" spans="4:28" hidden="1" outlineLevel="2" x14ac:dyDescent="0.25">
      <c r="D692" s="332" t="str">
        <f t="shared" si="175"/>
        <v>Наименование объекта / группы объектов 18</v>
      </c>
      <c r="E692" s="337" t="s">
        <v>13</v>
      </c>
      <c r="F692" s="297"/>
      <c r="G692" s="297"/>
      <c r="H692" s="297"/>
      <c r="I692" s="297"/>
      <c r="J692" s="297"/>
      <c r="K692" s="297"/>
      <c r="L692" s="297"/>
      <c r="M692" s="297"/>
      <c r="N692" s="297"/>
      <c r="O692" s="297"/>
      <c r="P692" s="297"/>
      <c r="Q692" s="297"/>
      <c r="R692" s="297"/>
      <c r="S692" s="297"/>
      <c r="T692" s="297"/>
      <c r="U692" s="297"/>
      <c r="V692" s="297"/>
      <c r="W692" s="297"/>
      <c r="X692" s="297"/>
      <c r="Y692" s="297"/>
      <c r="Z692" s="297"/>
      <c r="AA692" s="301">
        <f t="shared" si="176"/>
        <v>0</v>
      </c>
      <c r="AB692" s="296">
        <f t="shared" si="177"/>
        <v>0</v>
      </c>
    </row>
    <row r="693" spans="4:28" hidden="1" outlineLevel="2" x14ac:dyDescent="0.25">
      <c r="D693" s="332" t="str">
        <f t="shared" si="175"/>
        <v>Наименование объекта / группы объектов 19</v>
      </c>
      <c r="E693" s="337" t="s">
        <v>13</v>
      </c>
      <c r="F693" s="297"/>
      <c r="G693" s="297"/>
      <c r="H693" s="297"/>
      <c r="I693" s="297"/>
      <c r="J693" s="297"/>
      <c r="K693" s="297"/>
      <c r="L693" s="297"/>
      <c r="M693" s="297"/>
      <c r="N693" s="297"/>
      <c r="O693" s="297"/>
      <c r="P693" s="297"/>
      <c r="Q693" s="297"/>
      <c r="R693" s="297"/>
      <c r="S693" s="297"/>
      <c r="T693" s="297"/>
      <c r="U693" s="297"/>
      <c r="V693" s="297"/>
      <c r="W693" s="297"/>
      <c r="X693" s="297"/>
      <c r="Y693" s="297"/>
      <c r="Z693" s="297"/>
      <c r="AA693" s="301">
        <f t="shared" si="176"/>
        <v>0</v>
      </c>
      <c r="AB693" s="296">
        <f t="shared" si="177"/>
        <v>0</v>
      </c>
    </row>
    <row r="694" spans="4:28" hidden="1" outlineLevel="2" x14ac:dyDescent="0.25">
      <c r="D694" s="332" t="str">
        <f t="shared" si="175"/>
        <v>Наименование объекта / группы объектов 20</v>
      </c>
      <c r="E694" s="337" t="s">
        <v>13</v>
      </c>
      <c r="F694" s="297"/>
      <c r="G694" s="297"/>
      <c r="H694" s="297"/>
      <c r="I694" s="297"/>
      <c r="J694" s="297"/>
      <c r="K694" s="297"/>
      <c r="L694" s="297"/>
      <c r="M694" s="297"/>
      <c r="N694" s="297"/>
      <c r="O694" s="297"/>
      <c r="P694" s="297"/>
      <c r="Q694" s="297"/>
      <c r="R694" s="297"/>
      <c r="S694" s="297"/>
      <c r="T694" s="297"/>
      <c r="U694" s="297"/>
      <c r="V694" s="297"/>
      <c r="W694" s="297"/>
      <c r="X694" s="297"/>
      <c r="Y694" s="297"/>
      <c r="Z694" s="297"/>
      <c r="AA694" s="301">
        <f t="shared" si="176"/>
        <v>0</v>
      </c>
      <c r="AB694" s="296">
        <f t="shared" si="177"/>
        <v>0</v>
      </c>
    </row>
    <row r="695" spans="4:28" hidden="1" outlineLevel="2" x14ac:dyDescent="0.25">
      <c r="D695" s="332" t="str">
        <f t="shared" si="175"/>
        <v>Наименование объекта / группы объектов 21</v>
      </c>
      <c r="E695" s="337" t="s">
        <v>13</v>
      </c>
      <c r="F695" s="297"/>
      <c r="G695" s="297"/>
      <c r="H695" s="297"/>
      <c r="I695" s="297"/>
      <c r="J695" s="297"/>
      <c r="K695" s="297"/>
      <c r="L695" s="297"/>
      <c r="M695" s="297"/>
      <c r="N695" s="297"/>
      <c r="O695" s="297"/>
      <c r="P695" s="297"/>
      <c r="Q695" s="297"/>
      <c r="R695" s="297"/>
      <c r="S695" s="297"/>
      <c r="T695" s="297"/>
      <c r="U695" s="297"/>
      <c r="V695" s="297"/>
      <c r="W695" s="297"/>
      <c r="X695" s="297"/>
      <c r="Y695" s="297"/>
      <c r="Z695" s="297"/>
      <c r="AA695" s="301">
        <f t="shared" si="176"/>
        <v>0</v>
      </c>
      <c r="AB695" s="296">
        <f t="shared" si="177"/>
        <v>0</v>
      </c>
    </row>
    <row r="696" spans="4:28" hidden="1" outlineLevel="2" x14ac:dyDescent="0.25">
      <c r="D696" s="332" t="str">
        <f t="shared" si="175"/>
        <v>Наименование объекта / группы объектов 22</v>
      </c>
      <c r="E696" s="337" t="s">
        <v>13</v>
      </c>
      <c r="F696" s="297"/>
      <c r="G696" s="297"/>
      <c r="H696" s="297"/>
      <c r="I696" s="297"/>
      <c r="J696" s="297"/>
      <c r="K696" s="297"/>
      <c r="L696" s="297"/>
      <c r="M696" s="297"/>
      <c r="N696" s="297"/>
      <c r="O696" s="297"/>
      <c r="P696" s="297"/>
      <c r="Q696" s="297"/>
      <c r="R696" s="297"/>
      <c r="S696" s="297"/>
      <c r="T696" s="297"/>
      <c r="U696" s="297"/>
      <c r="V696" s="297"/>
      <c r="W696" s="297"/>
      <c r="X696" s="297"/>
      <c r="Y696" s="297"/>
      <c r="Z696" s="297"/>
      <c r="AA696" s="301">
        <f t="shared" si="176"/>
        <v>0</v>
      </c>
      <c r="AB696" s="296">
        <f t="shared" si="177"/>
        <v>0</v>
      </c>
    </row>
    <row r="697" spans="4:28" hidden="1" outlineLevel="2" x14ac:dyDescent="0.25">
      <c r="D697" s="332" t="str">
        <f t="shared" si="175"/>
        <v>Наименование объекта / группы объектов 23</v>
      </c>
      <c r="E697" s="337" t="s">
        <v>13</v>
      </c>
      <c r="F697" s="297"/>
      <c r="G697" s="297"/>
      <c r="H697" s="297"/>
      <c r="I697" s="297"/>
      <c r="J697" s="297"/>
      <c r="K697" s="297"/>
      <c r="L697" s="297"/>
      <c r="M697" s="297"/>
      <c r="N697" s="297"/>
      <c r="O697" s="297"/>
      <c r="P697" s="297"/>
      <c r="Q697" s="297"/>
      <c r="R697" s="297"/>
      <c r="S697" s="297"/>
      <c r="T697" s="297"/>
      <c r="U697" s="297"/>
      <c r="V697" s="297"/>
      <c r="W697" s="297"/>
      <c r="X697" s="297"/>
      <c r="Y697" s="297"/>
      <c r="Z697" s="297"/>
      <c r="AA697" s="301">
        <f t="shared" si="176"/>
        <v>0</v>
      </c>
      <c r="AB697" s="296">
        <f t="shared" si="177"/>
        <v>0</v>
      </c>
    </row>
    <row r="698" spans="4:28" hidden="1" outlineLevel="2" x14ac:dyDescent="0.25">
      <c r="D698" s="332" t="str">
        <f t="shared" si="175"/>
        <v>Наименование объекта / группы объектов 24</v>
      </c>
      <c r="E698" s="337" t="s">
        <v>13</v>
      </c>
      <c r="F698" s="297"/>
      <c r="G698" s="297"/>
      <c r="H698" s="297"/>
      <c r="I698" s="297"/>
      <c r="J698" s="297"/>
      <c r="K698" s="297"/>
      <c r="L698" s="297"/>
      <c r="M698" s="297"/>
      <c r="N698" s="297"/>
      <c r="O698" s="297"/>
      <c r="P698" s="297"/>
      <c r="Q698" s="297"/>
      <c r="R698" s="297"/>
      <c r="S698" s="297"/>
      <c r="T698" s="297"/>
      <c r="U698" s="297"/>
      <c r="V698" s="297"/>
      <c r="W698" s="297"/>
      <c r="X698" s="297"/>
      <c r="Y698" s="297"/>
      <c r="Z698" s="297"/>
      <c r="AA698" s="301">
        <f t="shared" si="176"/>
        <v>0</v>
      </c>
      <c r="AB698" s="296">
        <f t="shared" si="177"/>
        <v>0</v>
      </c>
    </row>
    <row r="699" spans="4:28" hidden="1" outlineLevel="2" x14ac:dyDescent="0.25">
      <c r="D699" s="332" t="str">
        <f t="shared" si="175"/>
        <v>Наименование объекта / группы объектов 25</v>
      </c>
      <c r="E699" s="337" t="s">
        <v>13</v>
      </c>
      <c r="F699" s="297"/>
      <c r="G699" s="297"/>
      <c r="H699" s="297"/>
      <c r="I699" s="297"/>
      <c r="J699" s="297"/>
      <c r="K699" s="297"/>
      <c r="L699" s="297"/>
      <c r="M699" s="297"/>
      <c r="N699" s="297"/>
      <c r="O699" s="297"/>
      <c r="P699" s="297"/>
      <c r="Q699" s="297"/>
      <c r="R699" s="297"/>
      <c r="S699" s="297"/>
      <c r="T699" s="297"/>
      <c r="U699" s="297"/>
      <c r="V699" s="297"/>
      <c r="W699" s="297"/>
      <c r="X699" s="297"/>
      <c r="Y699" s="297"/>
      <c r="Z699" s="297"/>
      <c r="AA699" s="301">
        <f>IFERROR(AVERAGE(J699:Z699),0)</f>
        <v>0</v>
      </c>
      <c r="AB699" s="296">
        <f>AA699/1000</f>
        <v>0</v>
      </c>
    </row>
    <row r="700" spans="4:28" hidden="1" outlineLevel="1" collapsed="1" x14ac:dyDescent="0.25"/>
    <row r="701" spans="4:28" collapsed="1" x14ac:dyDescent="0.25"/>
  </sheetData>
  <mergeCells count="2">
    <mergeCell ref="AD50:AD59"/>
    <mergeCell ref="B24:B31"/>
  </mergeCells>
  <dataValidations disablePrompts="1" count="1">
    <dataValidation type="decimal" operator="equal" allowBlank="1" showInputMessage="1" showErrorMessage="1" errorTitle="Недопустимое значение" promptTitle="Недопустимое значение" sqref="F13:F14 J13:J14" xr:uid="{00000000-0002-0000-0200-000000000000}">
      <formula1>0.9</formula1>
    </dataValidation>
  </dataValidations>
  <pageMargins left="0.7" right="0.7" top="0.75" bottom="0.75" header="0.3" footer="0.3"/>
  <pageSetup paperSize="9" orientation="portrait" r:id="rId1"/>
  <ignoredErrors>
    <ignoredError sqref="AA367:AB391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225"/>
  <sheetViews>
    <sheetView showGridLines="0" zoomScale="80" zoomScaleNormal="8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15" sqref="F15"/>
    </sheetView>
  </sheetViews>
  <sheetFormatPr defaultColWidth="9.1796875" defaultRowHeight="18" x14ac:dyDescent="0.35"/>
  <cols>
    <col min="1" max="1" width="13.54296875" style="1" customWidth="1"/>
    <col min="2" max="2" width="6.453125" style="2" customWidth="1"/>
    <col min="3" max="3" width="10.54296875" style="2" bestFit="1" customWidth="1"/>
    <col min="4" max="4" width="72.54296875" style="2" customWidth="1"/>
    <col min="5" max="5" width="11" style="2" customWidth="1"/>
    <col min="6" max="11" width="12.81640625" style="2" customWidth="1"/>
    <col min="12" max="15" width="13.1796875" style="2" bestFit="1" customWidth="1"/>
    <col min="16" max="23" width="13.1796875" style="74" customWidth="1"/>
    <col min="24" max="24" width="15.1796875" style="2" customWidth="1"/>
    <col min="25" max="25" width="13.81640625" style="2" customWidth="1"/>
    <col min="26" max="26" width="8.81640625" style="2" bestFit="1" customWidth="1"/>
    <col min="27" max="27" width="7.1796875" style="2" bestFit="1" customWidth="1"/>
    <col min="28" max="28" width="9.81640625" style="2" bestFit="1" customWidth="1"/>
    <col min="29" max="29" width="6.453125" style="2" bestFit="1" customWidth="1"/>
    <col min="30" max="30" width="8.1796875" style="2" bestFit="1" customWidth="1"/>
    <col min="31" max="43" width="7.453125" style="2" bestFit="1" customWidth="1"/>
    <col min="44" max="16384" width="9.1796875" style="2"/>
  </cols>
  <sheetData>
    <row r="1" spans="1:43" s="18" customFormat="1" ht="40.5" customHeight="1" x14ac:dyDescent="0.3">
      <c r="A1" s="17"/>
      <c r="D1" s="19"/>
      <c r="E1" s="19"/>
    </row>
    <row r="3" spans="1:43" ht="21.75" customHeight="1" x14ac:dyDescent="0.35">
      <c r="B3" s="4"/>
      <c r="C3" s="5"/>
      <c r="D3" s="5" t="s">
        <v>82</v>
      </c>
      <c r="E3" s="6"/>
    </row>
    <row r="4" spans="1:43" ht="18" customHeight="1" x14ac:dyDescent="0.35">
      <c r="C4" s="6"/>
      <c r="D4" s="6"/>
      <c r="E4" s="6"/>
    </row>
    <row r="5" spans="1:43" ht="18" customHeight="1" x14ac:dyDescent="0.35">
      <c r="C5" s="409" t="s">
        <v>4</v>
      </c>
      <c r="D5" s="409" t="s">
        <v>5</v>
      </c>
      <c r="E5" s="409" t="s">
        <v>6</v>
      </c>
      <c r="F5" s="7">
        <v>2025</v>
      </c>
      <c r="G5" s="7">
        <v>2026</v>
      </c>
      <c r="H5" s="7">
        <v>2027</v>
      </c>
      <c r="I5" s="7">
        <v>2028</v>
      </c>
      <c r="J5" s="7">
        <v>2029</v>
      </c>
      <c r="K5" s="7">
        <v>2030</v>
      </c>
      <c r="L5" s="7">
        <v>2031</v>
      </c>
      <c r="M5" s="7">
        <v>2032</v>
      </c>
      <c r="N5" s="7">
        <v>2033</v>
      </c>
      <c r="O5" s="7">
        <v>2034</v>
      </c>
      <c r="P5" s="7">
        <v>2035</v>
      </c>
      <c r="Q5" s="7">
        <v>2036</v>
      </c>
      <c r="R5" s="7">
        <v>2037</v>
      </c>
      <c r="S5" s="7">
        <v>2038</v>
      </c>
      <c r="T5" s="7">
        <v>2039</v>
      </c>
      <c r="U5" s="7">
        <v>2040</v>
      </c>
      <c r="V5" s="7">
        <v>2041</v>
      </c>
      <c r="W5" s="7">
        <v>2042</v>
      </c>
      <c r="X5" s="411" t="s">
        <v>265</v>
      </c>
    </row>
    <row r="6" spans="1:43" x14ac:dyDescent="0.35">
      <c r="C6" s="410"/>
      <c r="D6" s="410"/>
      <c r="E6" s="410"/>
      <c r="F6" s="8" t="s">
        <v>8</v>
      </c>
      <c r="G6" s="8" t="s">
        <v>8</v>
      </c>
      <c r="H6" s="8" t="s">
        <v>8</v>
      </c>
      <c r="I6" s="8" t="s">
        <v>8</v>
      </c>
      <c r="J6" s="8" t="s">
        <v>8</v>
      </c>
      <c r="K6" s="8" t="s">
        <v>8</v>
      </c>
      <c r="L6" s="8" t="s">
        <v>8</v>
      </c>
      <c r="M6" s="8" t="s">
        <v>8</v>
      </c>
      <c r="N6" s="8" t="s">
        <v>8</v>
      </c>
      <c r="O6" s="8" t="s">
        <v>8</v>
      </c>
      <c r="P6" s="8" t="s">
        <v>8</v>
      </c>
      <c r="Q6" s="8" t="s">
        <v>8</v>
      </c>
      <c r="R6" s="8" t="s">
        <v>8</v>
      </c>
      <c r="S6" s="8" t="s">
        <v>8</v>
      </c>
      <c r="T6" s="8" t="s">
        <v>8</v>
      </c>
      <c r="U6" s="8" t="s">
        <v>8</v>
      </c>
      <c r="V6" s="8" t="s">
        <v>8</v>
      </c>
      <c r="W6" s="8" t="s">
        <v>8</v>
      </c>
      <c r="X6" s="412"/>
    </row>
    <row r="7" spans="1:43" x14ac:dyDescent="0.35">
      <c r="D7" s="2" t="s">
        <v>173</v>
      </c>
      <c r="F7" s="29">
        <f t="shared" ref="F7:O7" si="0">F42+F63+F77+F91+F119+F105+F133+F147</f>
        <v>367624.03427516902</v>
      </c>
      <c r="G7" s="29">
        <f t="shared" si="0"/>
        <v>822670.36654959992</v>
      </c>
      <c r="H7" s="29">
        <f t="shared" si="0"/>
        <v>1183604.4626819617</v>
      </c>
      <c r="I7" s="29">
        <f t="shared" si="0"/>
        <v>1514961.5764757693</v>
      </c>
      <c r="J7" s="29">
        <f t="shared" si="0"/>
        <v>1682624.2445298363</v>
      </c>
      <c r="K7" s="29">
        <f t="shared" si="0"/>
        <v>1723206.7308323714</v>
      </c>
      <c r="L7" s="29">
        <f t="shared" si="0"/>
        <v>1752876.1074156519</v>
      </c>
      <c r="M7" s="29">
        <f t="shared" si="0"/>
        <v>1780166.9375051199</v>
      </c>
      <c r="N7" s="29">
        <f t="shared" si="0"/>
        <v>1807710.8127756682</v>
      </c>
      <c r="O7" s="29">
        <f t="shared" si="0"/>
        <v>1835906.3556555933</v>
      </c>
      <c r="P7" s="82">
        <f t="shared" ref="P7:W7" si="1">P42+P63+P77+P91+P119+P105+P133+P147</f>
        <v>1804118.5034362101</v>
      </c>
      <c r="Q7" s="82">
        <f t="shared" si="1"/>
        <v>1751913.4485474075</v>
      </c>
      <c r="R7" s="82">
        <f t="shared" si="1"/>
        <v>1787938.1943972118</v>
      </c>
      <c r="S7" s="82">
        <f t="shared" si="1"/>
        <v>1816272.2074865038</v>
      </c>
      <c r="T7" s="82">
        <f t="shared" si="1"/>
        <v>1938902.3506324131</v>
      </c>
      <c r="U7" s="82">
        <f t="shared" si="1"/>
        <v>1873739.5296175657</v>
      </c>
      <c r="V7" s="82">
        <f t="shared" si="1"/>
        <v>1899128.2711545597</v>
      </c>
      <c r="W7" s="82">
        <f t="shared" si="1"/>
        <v>1929347.890042759</v>
      </c>
      <c r="X7" s="29">
        <f t="shared" ref="X7:X12" si="2">SUM(G7:W7)</f>
        <v>28905087.989736203</v>
      </c>
      <c r="Y7" s="3"/>
      <c r="Z7" s="3"/>
      <c r="AA7" s="3"/>
      <c r="AB7" s="3"/>
      <c r="AC7" s="3"/>
      <c r="AD7" s="3"/>
      <c r="AE7" s="3"/>
      <c r="AF7" s="3"/>
    </row>
    <row r="8" spans="1:43" s="9" customFormat="1" x14ac:dyDescent="0.35">
      <c r="A8" s="1"/>
      <c r="B8" s="2"/>
      <c r="C8" s="2"/>
      <c r="D8" s="2" t="s">
        <v>174</v>
      </c>
      <c r="E8" s="2"/>
      <c r="F8" s="29" t="e">
        <f t="shared" ref="F8:O8" si="3">F43+F64+F78+F92+F120+F106+F134+F148</f>
        <v>#DIV/0!</v>
      </c>
      <c r="G8" s="29" t="e">
        <f t="shared" si="3"/>
        <v>#DIV/0!</v>
      </c>
      <c r="H8" s="29" t="e">
        <f t="shared" si="3"/>
        <v>#DIV/0!</v>
      </c>
      <c r="I8" s="29" t="e">
        <f t="shared" si="3"/>
        <v>#DIV/0!</v>
      </c>
      <c r="J8" s="29" t="e">
        <f t="shared" si="3"/>
        <v>#DIV/0!</v>
      </c>
      <c r="K8" s="29" t="e">
        <f t="shared" si="3"/>
        <v>#DIV/0!</v>
      </c>
      <c r="L8" s="29" t="e">
        <f t="shared" si="3"/>
        <v>#DIV/0!</v>
      </c>
      <c r="M8" s="29" t="e">
        <f t="shared" si="3"/>
        <v>#DIV/0!</v>
      </c>
      <c r="N8" s="29" t="e">
        <f t="shared" si="3"/>
        <v>#DIV/0!</v>
      </c>
      <c r="O8" s="29" t="e">
        <f t="shared" si="3"/>
        <v>#DIV/0!</v>
      </c>
      <c r="P8" s="82" t="e">
        <f t="shared" ref="P8:W8" si="4">P43+P64+P78+P92+P120+P106+P134+P148</f>
        <v>#DIV/0!</v>
      </c>
      <c r="Q8" s="82" t="e">
        <f t="shared" si="4"/>
        <v>#DIV/0!</v>
      </c>
      <c r="R8" s="82" t="e">
        <f t="shared" si="4"/>
        <v>#DIV/0!</v>
      </c>
      <c r="S8" s="82" t="e">
        <f t="shared" si="4"/>
        <v>#DIV/0!</v>
      </c>
      <c r="T8" s="82" t="e">
        <f t="shared" si="4"/>
        <v>#DIV/0!</v>
      </c>
      <c r="U8" s="82" t="e">
        <f t="shared" si="4"/>
        <v>#DIV/0!</v>
      </c>
      <c r="V8" s="82" t="e">
        <f t="shared" si="4"/>
        <v>#DIV/0!</v>
      </c>
      <c r="W8" s="82" t="e">
        <f t="shared" si="4"/>
        <v>#DIV/0!</v>
      </c>
      <c r="X8" s="29" t="e">
        <f t="shared" si="2"/>
        <v>#DIV/0!</v>
      </c>
      <c r="Y8" s="3" t="e">
        <f>X8-X7</f>
        <v>#DIV/0!</v>
      </c>
      <c r="Z8" s="72" t="e">
        <f>X41+X58+X90+X104+X146</f>
        <v>#DIV/0!</v>
      </c>
    </row>
    <row r="9" spans="1:43" s="9" customFormat="1" x14ac:dyDescent="0.35">
      <c r="A9" s="1"/>
      <c r="B9" s="2"/>
      <c r="C9" s="10">
        <v>1</v>
      </c>
      <c r="D9" s="11" t="s">
        <v>83</v>
      </c>
      <c r="E9" s="12" t="s">
        <v>10</v>
      </c>
      <c r="F9" s="12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>
        <f t="shared" si="2"/>
        <v>0</v>
      </c>
      <c r="AA9" s="413"/>
      <c r="AB9" s="413"/>
      <c r="AC9" s="413"/>
      <c r="AD9" s="413"/>
      <c r="AE9" s="413"/>
      <c r="AF9" s="413"/>
      <c r="AG9" s="413"/>
    </row>
    <row r="10" spans="1:43" s="9" customFormat="1" x14ac:dyDescent="0.35">
      <c r="A10" s="1"/>
      <c r="B10" s="2"/>
      <c r="C10" s="13"/>
      <c r="D10" s="31" t="s">
        <v>175</v>
      </c>
      <c r="E10" s="32"/>
      <c r="F10" s="33">
        <f>'ФинРез и инд-ры ВУЗ'!EG15</f>
        <v>400076.8379717702</v>
      </c>
      <c r="G10" s="33">
        <f>'ФинРез и инд-ры ВУЗ'!EH15</f>
        <v>498359.73691474274</v>
      </c>
      <c r="H10" s="33">
        <f>'ФинРез и инд-ры ВУЗ'!EI15</f>
        <v>619553.3133609388</v>
      </c>
      <c r="I10" s="33">
        <f>'ФинРез и инд-ры ВУЗ'!EJ15</f>
        <v>714935.5962437829</v>
      </c>
      <c r="J10" s="33">
        <f>'ФинРез и инд-ры ВУЗ'!EK15</f>
        <v>787256.52442451566</v>
      </c>
      <c r="K10" s="33">
        <f>'ФинРез и инд-ры ВУЗ'!EL15</f>
        <v>842583.16532695014</v>
      </c>
      <c r="L10" s="33">
        <f>'ФинРез и инд-ры ВУЗ'!EM15</f>
        <v>900076.73693659622</v>
      </c>
      <c r="M10" s="33">
        <f>'ФинРез и инд-ры ВУЗ'!EN15</f>
        <v>961237.49070286937</v>
      </c>
      <c r="N10" s="33">
        <f>'ФинРез и инд-ры ВУЗ'!EO15</f>
        <v>1026283.4446634129</v>
      </c>
      <c r="O10" s="33">
        <f>'ФинРез и инд-ры ВУЗ'!EP15</f>
        <v>1095444.8561346289</v>
      </c>
      <c r="P10" s="33">
        <f>'ФинРез и инд-ры ВУЗ'!EQ15</f>
        <v>1165924.4930684641</v>
      </c>
      <c r="Q10" s="33">
        <f>'ФинРез и инд-ры ВУЗ'!ER15</f>
        <v>1240289.7891871855</v>
      </c>
      <c r="R10" s="33">
        <f>'ФинРез и инд-ры ВУЗ'!ES15</f>
        <v>1330122.0333795864</v>
      </c>
      <c r="S10" s="33">
        <f>'ФинРез и инд-ры ВУЗ'!ET15</f>
        <v>1417000.9604847636</v>
      </c>
      <c r="T10" s="33">
        <f>'ФинРез и инд-ры ВУЗ'!EU15</f>
        <v>1504871.5837986059</v>
      </c>
      <c r="U10" s="33">
        <f>'ФинРез и инд-ры ВУЗ'!EV15</f>
        <v>1601772.8407421261</v>
      </c>
      <c r="V10" s="33">
        <f>'ФинРез и инд-ры ВУЗ'!EW15</f>
        <v>1698099.8534225244</v>
      </c>
      <c r="W10" s="33">
        <f>'ФинРез и инд-ры ВУЗ'!EX15</f>
        <v>1804494.4244088903</v>
      </c>
      <c r="X10" s="33">
        <f t="shared" si="2"/>
        <v>19208306.843200587</v>
      </c>
    </row>
    <row r="11" spans="1:43" s="9" customFormat="1" x14ac:dyDescent="0.35">
      <c r="A11" s="1"/>
      <c r="B11" s="2"/>
      <c r="C11" s="13"/>
      <c r="D11" s="31" t="s">
        <v>176</v>
      </c>
      <c r="E11" s="32"/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1</v>
      </c>
      <c r="Q11" s="33">
        <v>2</v>
      </c>
      <c r="R11" s="33">
        <v>3</v>
      </c>
      <c r="S11" s="33">
        <v>4</v>
      </c>
      <c r="T11" s="33">
        <v>5</v>
      </c>
      <c r="U11" s="33">
        <v>6</v>
      </c>
      <c r="V11" s="33">
        <v>7</v>
      </c>
      <c r="W11" s="33">
        <v>8</v>
      </c>
      <c r="X11" s="33">
        <f t="shared" si="2"/>
        <v>36</v>
      </c>
    </row>
    <row r="12" spans="1:43" s="9" customFormat="1" ht="18.5" thickBot="1" x14ac:dyDescent="0.4">
      <c r="A12" s="1"/>
      <c r="B12" s="2"/>
      <c r="C12" s="13"/>
      <c r="D12" s="34" t="s">
        <v>125</v>
      </c>
      <c r="E12" s="35"/>
      <c r="F12" s="36">
        <f>'ФинРез Кампус'!I23</f>
        <v>0</v>
      </c>
      <c r="G12" s="36">
        <f>'ФинРез Кампус'!J23</f>
        <v>0</v>
      </c>
      <c r="H12" s="36">
        <f>'ФинРез Кампус'!K23</f>
        <v>0</v>
      </c>
      <c r="I12" s="36">
        <f>'ФинРез Кампус'!L23</f>
        <v>0</v>
      </c>
      <c r="J12" s="36">
        <f>'ФинРез Кампус'!M23</f>
        <v>0</v>
      </c>
      <c r="K12" s="36">
        <f>'ФинРез Кампус'!N23</f>
        <v>0</v>
      </c>
      <c r="L12" s="36">
        <f>'ФинРез Кампус'!O23</f>
        <v>0</v>
      </c>
      <c r="M12" s="36">
        <f>'ФинРез Кампус'!P23</f>
        <v>0</v>
      </c>
      <c r="N12" s="36">
        <f>'ФинРез Кампус'!Q23</f>
        <v>0</v>
      </c>
      <c r="O12" s="36">
        <f>'ФинРез Кампус'!R23</f>
        <v>0</v>
      </c>
      <c r="P12" s="83">
        <f>'ФинРез Кампус'!S23</f>
        <v>0</v>
      </c>
      <c r="Q12" s="83">
        <f>'ФинРез Кампус'!T23</f>
        <v>0</v>
      </c>
      <c r="R12" s="83">
        <f>'ФинРез Кампус'!U23</f>
        <v>0</v>
      </c>
      <c r="S12" s="83">
        <f>'ФинРез Кампус'!V23</f>
        <v>0</v>
      </c>
      <c r="T12" s="83">
        <f>'ФинРез Кампус'!W23</f>
        <v>0</v>
      </c>
      <c r="U12" s="83">
        <f>'ФинРез Кампус'!X23</f>
        <v>0</v>
      </c>
      <c r="V12" s="83">
        <f>'ФинРез Кампус'!Y23</f>
        <v>0</v>
      </c>
      <c r="W12" s="83">
        <f>'ФинРез Кампус'!Z23</f>
        <v>0</v>
      </c>
      <c r="X12" s="33">
        <f t="shared" si="2"/>
        <v>0</v>
      </c>
      <c r="AB12" s="144"/>
      <c r="AC12" s="144"/>
      <c r="AD12" s="151"/>
      <c r="AE12" s="169">
        <v>0.9</v>
      </c>
      <c r="AF12" s="170">
        <v>0.92</v>
      </c>
      <c r="AG12" s="170">
        <v>0.94</v>
      </c>
      <c r="AH12" s="170">
        <v>0.96</v>
      </c>
      <c r="AI12" s="170">
        <v>0.98</v>
      </c>
      <c r="AJ12" s="170">
        <v>1</v>
      </c>
      <c r="AK12" s="170">
        <v>1.02</v>
      </c>
      <c r="AL12" s="170">
        <v>1.04</v>
      </c>
      <c r="AM12" s="170">
        <v>1.06</v>
      </c>
      <c r="AN12" s="170">
        <v>1.08</v>
      </c>
      <c r="AO12" s="170">
        <v>1.1000000000000001</v>
      </c>
      <c r="AP12" s="170">
        <v>1.1200000000000001</v>
      </c>
      <c r="AQ12" s="171">
        <v>1.1399999999999999</v>
      </c>
    </row>
    <row r="13" spans="1:43" s="9" customFormat="1" ht="18.5" thickBot="1" x14ac:dyDescent="0.4">
      <c r="A13" s="1"/>
      <c r="B13" s="2"/>
      <c r="C13" s="13"/>
      <c r="D13" s="34" t="s">
        <v>177</v>
      </c>
      <c r="E13" s="35"/>
      <c r="F13" s="36">
        <f>'ФинРез и инд-ры ВУЗ'!EG91</f>
        <v>188</v>
      </c>
      <c r="G13" s="36">
        <f>'ФинРез и инд-ры ВУЗ'!EH91</f>
        <v>565</v>
      </c>
      <c r="H13" s="36">
        <f>'ФинРез и инд-ры ВУЗ'!EI91</f>
        <v>1017</v>
      </c>
      <c r="I13" s="36">
        <f>'ФинРез и инд-ры ВУЗ'!EJ91</f>
        <v>1418</v>
      </c>
      <c r="J13" s="36">
        <f>'ФинРез и инд-ры ВУЗ'!EK91</f>
        <v>1650</v>
      </c>
      <c r="K13" s="36">
        <f>'ФинРез и инд-ры ВУЗ'!EL91</f>
        <v>1774</v>
      </c>
      <c r="L13" s="36">
        <f>'ФинРез и инд-ры ВУЗ'!EM91</f>
        <v>1893</v>
      </c>
      <c r="M13" s="36">
        <f>'ФинРез и инд-ры ВУЗ'!EN91</f>
        <v>2014</v>
      </c>
      <c r="N13" s="36">
        <f>'ФинРез и инд-ры ВУЗ'!EO91</f>
        <v>2137</v>
      </c>
      <c r="O13" s="36">
        <f>'ФинРез и инд-ры ВУЗ'!EP91</f>
        <v>2262</v>
      </c>
      <c r="P13" s="83">
        <f>'ФинРез и инд-ры ВУЗ'!EQ91</f>
        <v>2376</v>
      </c>
      <c r="Q13" s="83">
        <f>'ФинРез и инд-ры ВУЗ'!ER91</f>
        <v>2490</v>
      </c>
      <c r="R13" s="83">
        <f>'ФинРез и инд-ры ВУЗ'!ES91</f>
        <v>2649</v>
      </c>
      <c r="S13" s="83">
        <f>'ФинРез и инд-ры ВУЗ'!ET91</f>
        <v>2777</v>
      </c>
      <c r="T13" s="83">
        <f>'ФинРез и инд-ры ВУЗ'!EU91</f>
        <v>2891</v>
      </c>
      <c r="U13" s="83">
        <f>'ФинРез и инд-ры ВУЗ'!EV91</f>
        <v>3020</v>
      </c>
      <c r="V13" s="83">
        <f>'ФинРез и инд-ры ВУЗ'!EW91</f>
        <v>3129</v>
      </c>
      <c r="W13" s="83">
        <f>'ФинРез и инд-ры ВУЗ'!EX91</f>
        <v>3254</v>
      </c>
      <c r="X13" s="36"/>
      <c r="AB13" s="144"/>
      <c r="AC13" s="144"/>
      <c r="AD13" s="156">
        <f>X35</f>
        <v>1401.2202332291629</v>
      </c>
      <c r="AE13" s="164">
        <f t="dataTable" ref="AE13:AQ13" dt2D="0" dtr="1" r1="E35" ca="1"/>
        <v>1146.4529180965878</v>
      </c>
      <c r="AF13" s="164">
        <v>1171.9296496098452</v>
      </c>
      <c r="AG13" s="164">
        <v>1197.4063811231026</v>
      </c>
      <c r="AH13" s="164">
        <v>1222.8831126363602</v>
      </c>
      <c r="AI13" s="164">
        <v>1248.3598441496176</v>
      </c>
      <c r="AJ13" s="164">
        <v>1273.8365756628752</v>
      </c>
      <c r="AK13" s="164">
        <v>1299.3133071761329</v>
      </c>
      <c r="AL13" s="164">
        <v>1324.7900386893903</v>
      </c>
      <c r="AM13" s="164">
        <v>1350.2667702026479</v>
      </c>
      <c r="AN13" s="164">
        <v>1375.7435017159053</v>
      </c>
      <c r="AO13" s="164">
        <v>1401.2202332291629</v>
      </c>
      <c r="AP13" s="164">
        <v>1426.6969647424205</v>
      </c>
      <c r="AQ13" s="165">
        <v>1452.1736962556777</v>
      </c>
    </row>
    <row r="14" spans="1:43" s="9" customFormat="1" ht="18.5" thickBot="1" x14ac:dyDescent="0.4">
      <c r="A14" s="1"/>
      <c r="B14" s="2"/>
      <c r="C14" s="13"/>
      <c r="D14" s="34" t="s">
        <v>178</v>
      </c>
      <c r="E14" s="35"/>
      <c r="F14" s="36">
        <f>F10/F13</f>
        <v>2128.0682870838841</v>
      </c>
      <c r="G14" s="36">
        <f t="shared" ref="G14:O14" si="5">G10/G13</f>
        <v>882.05263170750925</v>
      </c>
      <c r="H14" s="36">
        <f t="shared" si="5"/>
        <v>609.19696495667529</v>
      </c>
      <c r="I14" s="36">
        <f t="shared" si="5"/>
        <v>504.18589297869033</v>
      </c>
      <c r="J14" s="36">
        <f t="shared" si="5"/>
        <v>477.12516631788827</v>
      </c>
      <c r="K14" s="36">
        <f t="shared" si="5"/>
        <v>474.96232543796515</v>
      </c>
      <c r="L14" s="36">
        <f t="shared" si="5"/>
        <v>475.4763533737962</v>
      </c>
      <c r="M14" s="36">
        <f t="shared" si="5"/>
        <v>477.2778007462112</v>
      </c>
      <c r="N14" s="36">
        <f t="shared" si="5"/>
        <v>480.24494368900929</v>
      </c>
      <c r="O14" s="36">
        <f t="shared" si="5"/>
        <v>484.28154559444249</v>
      </c>
      <c r="P14" s="83">
        <f t="shared" ref="P14:W14" si="6">P10/P13</f>
        <v>490.70896172915155</v>
      </c>
      <c r="Q14" s="83">
        <f t="shared" si="6"/>
        <v>498.10834907115884</v>
      </c>
      <c r="R14" s="83">
        <f t="shared" si="6"/>
        <v>502.12232290660114</v>
      </c>
      <c r="S14" s="83">
        <f t="shared" si="6"/>
        <v>510.26321947596819</v>
      </c>
      <c r="T14" s="83">
        <f t="shared" si="6"/>
        <v>520.53669449969073</v>
      </c>
      <c r="U14" s="83">
        <f t="shared" si="6"/>
        <v>530.38835786163111</v>
      </c>
      <c r="V14" s="83">
        <f t="shared" si="6"/>
        <v>542.6973005505032</v>
      </c>
      <c r="W14" s="83">
        <f t="shared" si="6"/>
        <v>554.54653485214817</v>
      </c>
      <c r="X14" s="36"/>
      <c r="Z14" s="105"/>
      <c r="AA14" s="105"/>
      <c r="AB14" s="146"/>
      <c r="AC14" s="155">
        <f>ROUNDUP(O36,0)</f>
        <v>2488</v>
      </c>
      <c r="AD14" s="154" t="e">
        <f>(X43-X41)/1000000</f>
        <v>#DIV/0!</v>
      </c>
      <c r="AE14" s="152">
        <f>AE12</f>
        <v>0.9</v>
      </c>
      <c r="AF14" s="152">
        <f t="shared" ref="AF14:AQ14" si="7">AF12</f>
        <v>0.92</v>
      </c>
      <c r="AG14" s="152">
        <f t="shared" si="7"/>
        <v>0.94</v>
      </c>
      <c r="AH14" s="152">
        <f t="shared" si="7"/>
        <v>0.96</v>
      </c>
      <c r="AI14" s="152">
        <f t="shared" si="7"/>
        <v>0.98</v>
      </c>
      <c r="AJ14" s="152">
        <f t="shared" si="7"/>
        <v>1</v>
      </c>
      <c r="AK14" s="152">
        <f t="shared" si="7"/>
        <v>1.02</v>
      </c>
      <c r="AL14" s="152">
        <f t="shared" si="7"/>
        <v>1.04</v>
      </c>
      <c r="AM14" s="152">
        <f t="shared" si="7"/>
        <v>1.06</v>
      </c>
      <c r="AN14" s="152">
        <f t="shared" si="7"/>
        <v>1.08</v>
      </c>
      <c r="AO14" s="152">
        <f t="shared" si="7"/>
        <v>1.1000000000000001</v>
      </c>
      <c r="AP14" s="152">
        <f t="shared" si="7"/>
        <v>1.1200000000000001</v>
      </c>
      <c r="AQ14" s="153">
        <f t="shared" si="7"/>
        <v>1.1399999999999999</v>
      </c>
    </row>
    <row r="15" spans="1:43" s="9" customFormat="1" x14ac:dyDescent="0.35">
      <c r="A15" s="1"/>
      <c r="B15" s="2"/>
      <c r="C15" s="13"/>
      <c r="D15" s="34" t="s">
        <v>235</v>
      </c>
      <c r="E15" s="35"/>
      <c r="F15" s="36">
        <f>'ФинРез и инд-ры ВУЗ'!BU14/'ФинРез и инд-ры ВУЗ'!BU91</f>
        <v>379.91390432529994</v>
      </c>
      <c r="G15" s="83">
        <f>'ФинРез и инд-ры ВУЗ'!BV14/'ФинРез и инд-ры ВУЗ'!BV91</f>
        <v>406.87750217770844</v>
      </c>
      <c r="H15" s="83">
        <f>'ФинРез и инд-ры ВУЗ'!BW14/'ФинРез и инд-ры ВУЗ'!BW91</f>
        <v>435.58050707034153</v>
      </c>
      <c r="I15" s="83">
        <f>'ФинРез и инд-ры ВУЗ'!BX14/'ФинРез и инд-ры ВУЗ'!BX91</f>
        <v>461.04086614775127</v>
      </c>
      <c r="J15" s="83">
        <f>'ФинРез и инд-ры ВУЗ'!BY14/'ФинРез и инд-ры ВУЗ'!BY91</f>
        <v>483.35431820081124</v>
      </c>
      <c r="K15" s="83">
        <f>'ФинРез и инд-ры ВУЗ'!BZ14/'ФинРез и инд-ры ВУЗ'!BZ91</f>
        <v>504.3711380446689</v>
      </c>
      <c r="L15" s="83">
        <f>'ФинРез и инд-ры ВУЗ'!CA14/'ФинРез и инд-ры ВУЗ'!CA91</f>
        <v>526.02854286226079</v>
      </c>
      <c r="M15" s="83">
        <f>'ФинРез и инд-ры ВУЗ'!CB14/'ФинРез и инд-ры ВУЗ'!CB91</f>
        <v>548.72914548352298</v>
      </c>
      <c r="N15" s="83">
        <f>'ФинРез и инд-ры ВУЗ'!CC14/'ФинРез и инд-ры ВУЗ'!CC91</f>
        <v>572.51306994840888</v>
      </c>
      <c r="O15" s="83">
        <f>'ФинРез и инд-ры ВУЗ'!CD14/'ФинРез и инд-ры ВУЗ'!CD91</f>
        <v>597.40611905907076</v>
      </c>
      <c r="P15" s="83">
        <f>'ФинРез и инд-ры ВУЗ'!CE14/'ФинРез и инд-ры ВУЗ'!CE91</f>
        <v>623.73534650072986</v>
      </c>
      <c r="Q15" s="83">
        <f>'ФинРез и инд-ры ВУЗ'!CF14/'ФинРез и инд-ры ВУЗ'!CF91</f>
        <v>651.22431812004652</v>
      </c>
      <c r="R15" s="83">
        <f>'ФинРез и инд-ры ВУЗ'!CG14/'ФинРез и инд-ры ВУЗ'!CG91</f>
        <v>679.91943376230256</v>
      </c>
      <c r="S15" s="83">
        <f>'ФинРез и инд-ры ВУЗ'!CH14/'ФинРез и инд-ры ВУЗ'!CH91</f>
        <v>710.13624743603089</v>
      </c>
      <c r="T15" s="83">
        <f>'ФинРез и инд-ры ВУЗ'!CI14/'ФинРез и инд-ры ВУЗ'!CI91</f>
        <v>742.03832533184618</v>
      </c>
      <c r="U15" s="83">
        <f>'ФинРез и инд-ры ВУЗ'!CJ14/'ФинРез и инд-ры ВУЗ'!CJ91</f>
        <v>775.49929130208341</v>
      </c>
      <c r="V15" s="83">
        <f>'ФинРез и инд-ры ВУЗ'!CK14/'ФинРез и инд-ры ВУЗ'!CK91</f>
        <v>810.74156042561481</v>
      </c>
      <c r="W15" s="83">
        <f>'ФинРез и инд-ры ВУЗ'!CL14/'ФинРез и инд-ры ВУЗ'!CL91</f>
        <v>847.67855663686908</v>
      </c>
      <c r="X15" s="36"/>
      <c r="Y15" s="105"/>
      <c r="Z15" s="106"/>
      <c r="AA15" s="106"/>
      <c r="AB15" s="166">
        <v>0.9</v>
      </c>
      <c r="AC15" s="148">
        <f t="dataTable" ref="AC15:AC27" dt2D="0" dtr="0" r1="E36" ca="1"/>
        <v>2036</v>
      </c>
      <c r="AD15" s="147">
        <f>AB15</f>
        <v>0.9</v>
      </c>
      <c r="AE15" s="157" t="e">
        <f t="dataTable" ref="AE15:AQ27" dt2D="1" dtr="1" r1="E35" r2="E36" ca="1"/>
        <v>#DIV/0!</v>
      </c>
      <c r="AF15" s="158" t="e">
        <v>#DIV/0!</v>
      </c>
      <c r="AG15" s="158" t="e">
        <v>#DIV/0!</v>
      </c>
      <c r="AH15" s="158" t="e">
        <v>#DIV/0!</v>
      </c>
      <c r="AI15" s="158" t="e">
        <v>#DIV/0!</v>
      </c>
      <c r="AJ15" s="158" t="e">
        <v>#DIV/0!</v>
      </c>
      <c r="AK15" s="158" t="e">
        <v>#DIV/0!</v>
      </c>
      <c r="AL15" s="158" t="e">
        <v>#DIV/0!</v>
      </c>
      <c r="AM15" s="158" t="e">
        <v>#DIV/0!</v>
      </c>
      <c r="AN15" s="158" t="e">
        <v>#DIV/0!</v>
      </c>
      <c r="AO15" s="158" t="e">
        <v>#DIV/0!</v>
      </c>
      <c r="AP15" s="158" t="e">
        <v>#DIV/0!</v>
      </c>
      <c r="AQ15" s="159" t="e">
        <v>#DIV/0!</v>
      </c>
    </row>
    <row r="16" spans="1:43" s="9" customFormat="1" x14ac:dyDescent="0.35">
      <c r="A16" s="1"/>
      <c r="B16" s="2"/>
      <c r="C16" s="13"/>
      <c r="D16" s="34" t="s">
        <v>179</v>
      </c>
      <c r="E16" s="35"/>
      <c r="F16" s="36">
        <f>F10+F12+F11</f>
        <v>400076.8379717702</v>
      </c>
      <c r="G16" s="36">
        <f>G10+G12+G11</f>
        <v>498359.73691474274</v>
      </c>
      <c r="H16" s="36">
        <f t="shared" ref="H16:O16" si="8">H10+H12+H11</f>
        <v>619553.3133609388</v>
      </c>
      <c r="I16" s="36">
        <f t="shared" si="8"/>
        <v>714935.5962437829</v>
      </c>
      <c r="J16" s="36">
        <f t="shared" si="8"/>
        <v>787256.52442451566</v>
      </c>
      <c r="K16" s="36">
        <f t="shared" si="8"/>
        <v>842583.16532695014</v>
      </c>
      <c r="L16" s="36">
        <f t="shared" si="8"/>
        <v>900076.73693659622</v>
      </c>
      <c r="M16" s="36">
        <f t="shared" si="8"/>
        <v>961237.49070286937</v>
      </c>
      <c r="N16" s="36">
        <f t="shared" si="8"/>
        <v>1026283.4446634129</v>
      </c>
      <c r="O16" s="36">
        <f t="shared" si="8"/>
        <v>1095444.8561346289</v>
      </c>
      <c r="P16" s="83">
        <f t="shared" ref="P16:W16" si="9">P10+P12+P11</f>
        <v>1165925.4930684641</v>
      </c>
      <c r="Q16" s="83">
        <f t="shared" si="9"/>
        <v>1240291.7891871855</v>
      </c>
      <c r="R16" s="83">
        <f t="shared" si="9"/>
        <v>1330125.0333795864</v>
      </c>
      <c r="S16" s="83">
        <f t="shared" si="9"/>
        <v>1417004.9604847636</v>
      </c>
      <c r="T16" s="83">
        <f t="shared" si="9"/>
        <v>1504876.5837986059</v>
      </c>
      <c r="U16" s="83">
        <f t="shared" si="9"/>
        <v>1601778.8407421261</v>
      </c>
      <c r="V16" s="83">
        <f t="shared" si="9"/>
        <v>1698106.8534225244</v>
      </c>
      <c r="W16" s="83">
        <f t="shared" si="9"/>
        <v>1804502.4244088903</v>
      </c>
      <c r="X16" s="36">
        <f>X10+X12</f>
        <v>19208306.843200587</v>
      </c>
      <c r="Y16" s="105"/>
      <c r="Z16" s="106"/>
      <c r="AA16" s="106"/>
      <c r="AB16" s="167">
        <v>0.92</v>
      </c>
      <c r="AC16" s="148">
        <v>2081</v>
      </c>
      <c r="AD16" s="147">
        <f t="shared" ref="AD16:AD27" si="10">AB16</f>
        <v>0.92</v>
      </c>
      <c r="AE16" s="160" t="e">
        <v>#DIV/0!</v>
      </c>
      <c r="AF16" s="161" t="e">
        <v>#DIV/0!</v>
      </c>
      <c r="AG16" s="161" t="e">
        <v>#DIV/0!</v>
      </c>
      <c r="AH16" s="161" t="e">
        <v>#DIV/0!</v>
      </c>
      <c r="AI16" s="161" t="e">
        <v>#DIV/0!</v>
      </c>
      <c r="AJ16" s="161" t="e">
        <v>#DIV/0!</v>
      </c>
      <c r="AK16" s="161" t="e">
        <v>#DIV/0!</v>
      </c>
      <c r="AL16" s="161" t="e">
        <v>#DIV/0!</v>
      </c>
      <c r="AM16" s="161" t="e">
        <v>#DIV/0!</v>
      </c>
      <c r="AN16" s="161" t="e">
        <v>#DIV/0!</v>
      </c>
      <c r="AO16" s="161" t="e">
        <v>#DIV/0!</v>
      </c>
      <c r="AP16" s="161" t="e">
        <v>#DIV/0!</v>
      </c>
      <c r="AQ16" s="162" t="e">
        <v>#DIV/0!</v>
      </c>
    </row>
    <row r="17" spans="1:59" s="9" customFormat="1" x14ac:dyDescent="0.35">
      <c r="A17" s="1"/>
      <c r="B17" s="2"/>
      <c r="C17" s="13"/>
      <c r="D17" s="34" t="s">
        <v>236</v>
      </c>
      <c r="E17" s="35"/>
      <c r="F17" s="36">
        <f>F33/F13</f>
        <v>4080.258519163187</v>
      </c>
      <c r="G17" s="83">
        <f t="shared" ref="G17:O17" si="11">G33/G13</f>
        <v>2267.3866502185474</v>
      </c>
      <c r="H17" s="83">
        <f t="shared" si="11"/>
        <v>1733.1107403229146</v>
      </c>
      <c r="I17" s="83">
        <f t="shared" si="11"/>
        <v>1540.8185862839953</v>
      </c>
      <c r="J17" s="83">
        <f t="shared" si="11"/>
        <v>1469.1355589977404</v>
      </c>
      <c r="K17" s="83">
        <f t="shared" si="11"/>
        <v>1420.0567602545366</v>
      </c>
      <c r="L17" s="83">
        <f t="shared" si="11"/>
        <v>1376.4025638090261</v>
      </c>
      <c r="M17" s="83">
        <f t="shared" si="11"/>
        <v>1337.2177366729763</v>
      </c>
      <c r="N17" s="83">
        <f t="shared" si="11"/>
        <v>1303.1865543786857</v>
      </c>
      <c r="O17" s="83">
        <f t="shared" si="11"/>
        <v>1273.8365756628752</v>
      </c>
      <c r="P17" s="83">
        <f t="shared" ref="P17:W17" si="12">P33/P13</f>
        <v>1253.4106658820237</v>
      </c>
      <c r="Q17" s="83">
        <f t="shared" si="12"/>
        <v>1236.3268726071067</v>
      </c>
      <c r="R17" s="83">
        <f t="shared" si="12"/>
        <v>1209.6249053733316</v>
      </c>
      <c r="S17" s="83">
        <f t="shared" si="12"/>
        <v>1195.3782739480155</v>
      </c>
      <c r="T17" s="83">
        <f t="shared" si="12"/>
        <v>1188.1277240249178</v>
      </c>
      <c r="U17" s="83">
        <f t="shared" si="12"/>
        <v>1179.5210724151748</v>
      </c>
      <c r="V17" s="83">
        <f t="shared" si="12"/>
        <v>1177.4290745931992</v>
      </c>
      <c r="W17" s="83">
        <f t="shared" si="12"/>
        <v>1174.306517531026</v>
      </c>
      <c r="X17" s="36"/>
      <c r="Y17" s="105"/>
      <c r="Z17" s="106"/>
      <c r="AA17" s="106"/>
      <c r="AB17" s="167">
        <v>0.94</v>
      </c>
      <c r="AC17" s="148">
        <v>2126</v>
      </c>
      <c r="AD17" s="147">
        <f t="shared" si="10"/>
        <v>0.94</v>
      </c>
      <c r="AE17" s="160" t="e">
        <v>#DIV/0!</v>
      </c>
      <c r="AF17" s="161" t="e">
        <v>#DIV/0!</v>
      </c>
      <c r="AG17" s="161" t="e">
        <v>#DIV/0!</v>
      </c>
      <c r="AH17" s="161" t="e">
        <v>#DIV/0!</v>
      </c>
      <c r="AI17" s="161" t="e">
        <v>#DIV/0!</v>
      </c>
      <c r="AJ17" s="161" t="e">
        <v>#DIV/0!</v>
      </c>
      <c r="AK17" s="161" t="e">
        <v>#DIV/0!</v>
      </c>
      <c r="AL17" s="161" t="e">
        <v>#DIV/0!</v>
      </c>
      <c r="AM17" s="161" t="e">
        <v>#DIV/0!</v>
      </c>
      <c r="AN17" s="161" t="e">
        <v>#DIV/0!</v>
      </c>
      <c r="AO17" s="161" t="e">
        <v>#DIV/0!</v>
      </c>
      <c r="AP17" s="161" t="e">
        <v>#DIV/0!</v>
      </c>
      <c r="AQ17" s="162" t="e">
        <v>#DIV/0!</v>
      </c>
    </row>
    <row r="18" spans="1:59" s="9" customFormat="1" x14ac:dyDescent="0.35">
      <c r="A18" s="1"/>
      <c r="B18" s="2"/>
      <c r="C18" s="13"/>
      <c r="D18" s="34" t="s">
        <v>180</v>
      </c>
      <c r="E18" s="37"/>
      <c r="F18" s="36">
        <f>F17*F13</f>
        <v>767088.60160267912</v>
      </c>
      <c r="G18" s="36">
        <f t="shared" ref="G18:O18" si="13">G17*G13</f>
        <v>1281073.4573734794</v>
      </c>
      <c r="H18" s="36">
        <f t="shared" si="13"/>
        <v>1762573.6229084041</v>
      </c>
      <c r="I18" s="36">
        <f t="shared" si="13"/>
        <v>2184880.7553507052</v>
      </c>
      <c r="J18" s="36">
        <f t="shared" si="13"/>
        <v>2424073.6723462716</v>
      </c>
      <c r="K18" s="36">
        <f t="shared" si="13"/>
        <v>2519180.6926915478</v>
      </c>
      <c r="L18" s="36">
        <f t="shared" si="13"/>
        <v>2605530.0532904863</v>
      </c>
      <c r="M18" s="36">
        <f t="shared" si="13"/>
        <v>2693156.5216593742</v>
      </c>
      <c r="N18" s="36">
        <f t="shared" si="13"/>
        <v>2784909.6667072512</v>
      </c>
      <c r="O18" s="36">
        <f t="shared" si="13"/>
        <v>2881418.334149424</v>
      </c>
      <c r="P18" s="83">
        <f t="shared" ref="P18:W18" si="14">P17*P13</f>
        <v>2978103.7421356887</v>
      </c>
      <c r="Q18" s="83">
        <f t="shared" si="14"/>
        <v>3078453.9127916954</v>
      </c>
      <c r="R18" s="83">
        <f t="shared" si="14"/>
        <v>3204296.3743339553</v>
      </c>
      <c r="S18" s="83">
        <f t="shared" si="14"/>
        <v>3319565.4667536388</v>
      </c>
      <c r="T18" s="83">
        <f t="shared" si="14"/>
        <v>3434877.2501560375</v>
      </c>
      <c r="U18" s="83">
        <f t="shared" si="14"/>
        <v>3562153.6386938277</v>
      </c>
      <c r="V18" s="83">
        <f t="shared" si="14"/>
        <v>3684175.5744021204</v>
      </c>
      <c r="W18" s="83">
        <f t="shared" si="14"/>
        <v>3821193.4080459587</v>
      </c>
      <c r="X18" s="36">
        <f>SUM(G18:W18)</f>
        <v>48219616.143789873</v>
      </c>
      <c r="Y18" s="105"/>
      <c r="Z18" s="106"/>
      <c r="AA18" s="106"/>
      <c r="AB18" s="167">
        <v>0.96</v>
      </c>
      <c r="AC18" s="148">
        <v>2172</v>
      </c>
      <c r="AD18" s="147">
        <f t="shared" si="10"/>
        <v>0.96</v>
      </c>
      <c r="AE18" s="160" t="e">
        <v>#DIV/0!</v>
      </c>
      <c r="AF18" s="161" t="e">
        <v>#DIV/0!</v>
      </c>
      <c r="AG18" s="161" t="e">
        <v>#DIV/0!</v>
      </c>
      <c r="AH18" s="161" t="e">
        <v>#DIV/0!</v>
      </c>
      <c r="AI18" s="161" t="e">
        <v>#DIV/0!</v>
      </c>
      <c r="AJ18" s="161" t="e">
        <v>#DIV/0!</v>
      </c>
      <c r="AK18" s="161" t="e">
        <v>#DIV/0!</v>
      </c>
      <c r="AL18" s="161" t="e">
        <v>#DIV/0!</v>
      </c>
      <c r="AM18" s="161" t="e">
        <v>#DIV/0!</v>
      </c>
      <c r="AN18" s="161" t="e">
        <v>#DIV/0!</v>
      </c>
      <c r="AO18" s="161" t="e">
        <v>#DIV/0!</v>
      </c>
      <c r="AP18" s="161" t="e">
        <v>#DIV/0!</v>
      </c>
      <c r="AQ18" s="162" t="e">
        <v>#DIV/0!</v>
      </c>
    </row>
    <row r="19" spans="1:59" s="9" customFormat="1" x14ac:dyDescent="0.35">
      <c r="A19" s="1"/>
      <c r="B19" s="2"/>
      <c r="C19" s="13"/>
      <c r="D19" s="34" t="s">
        <v>181</v>
      </c>
      <c r="E19" s="37"/>
      <c r="F19" s="36">
        <f>F16-F18</f>
        <v>-367011.76363090891</v>
      </c>
      <c r="G19" s="36">
        <f>G16-G18</f>
        <v>-782713.72045873664</v>
      </c>
      <c r="H19" s="36">
        <f t="shared" ref="H19:O19" si="15">H16-H18</f>
        <v>-1143020.3095474653</v>
      </c>
      <c r="I19" s="36">
        <f t="shared" si="15"/>
        <v>-1469945.1591069223</v>
      </c>
      <c r="J19" s="36">
        <f t="shared" si="15"/>
        <v>-1636817.1479217559</v>
      </c>
      <c r="K19" s="36">
        <f t="shared" si="15"/>
        <v>-1676597.5273645977</v>
      </c>
      <c r="L19" s="36">
        <f t="shared" si="15"/>
        <v>-1705453.3163538901</v>
      </c>
      <c r="M19" s="36">
        <f t="shared" si="15"/>
        <v>-1731919.0309565049</v>
      </c>
      <c r="N19" s="36">
        <f t="shared" si="15"/>
        <v>-1758626.2220438384</v>
      </c>
      <c r="O19" s="36">
        <f t="shared" si="15"/>
        <v>-1785973.4780147951</v>
      </c>
      <c r="P19" s="83">
        <f t="shared" ref="P19:W19" si="16">P16-P18</f>
        <v>-1812178.2490672246</v>
      </c>
      <c r="Q19" s="83">
        <f t="shared" si="16"/>
        <v>-1838162.12360451</v>
      </c>
      <c r="R19" s="83">
        <f t="shared" si="16"/>
        <v>-1874171.3409543689</v>
      </c>
      <c r="S19" s="83">
        <f t="shared" si="16"/>
        <v>-1902560.5062688752</v>
      </c>
      <c r="T19" s="83">
        <f t="shared" si="16"/>
        <v>-1930000.6663574316</v>
      </c>
      <c r="U19" s="83">
        <f t="shared" si="16"/>
        <v>-1960374.7979517016</v>
      </c>
      <c r="V19" s="83">
        <f t="shared" si="16"/>
        <v>-1986068.720979596</v>
      </c>
      <c r="W19" s="83">
        <f t="shared" si="16"/>
        <v>-2016690.9836370684</v>
      </c>
      <c r="X19" s="83">
        <f>SUM(G19:W19)</f>
        <v>-29011273.300589286</v>
      </c>
      <c r="Y19" s="105"/>
      <c r="Z19" s="106"/>
      <c r="AA19" s="106"/>
      <c r="AB19" s="167">
        <v>0.98</v>
      </c>
      <c r="AC19" s="148">
        <v>2217</v>
      </c>
      <c r="AD19" s="147">
        <f t="shared" si="10"/>
        <v>0.98</v>
      </c>
      <c r="AE19" s="160" t="e">
        <v>#DIV/0!</v>
      </c>
      <c r="AF19" s="161" t="e">
        <v>#DIV/0!</v>
      </c>
      <c r="AG19" s="161" t="e">
        <v>#DIV/0!</v>
      </c>
      <c r="AH19" s="161" t="e">
        <v>#DIV/0!</v>
      </c>
      <c r="AI19" s="161" t="e">
        <v>#DIV/0!</v>
      </c>
      <c r="AJ19" s="161" t="e">
        <v>#DIV/0!</v>
      </c>
      <c r="AK19" s="161" t="e">
        <v>#DIV/0!</v>
      </c>
      <c r="AL19" s="161" t="e">
        <v>#DIV/0!</v>
      </c>
      <c r="AM19" s="161" t="e">
        <v>#DIV/0!</v>
      </c>
      <c r="AN19" s="161" t="e">
        <v>#DIV/0!</v>
      </c>
      <c r="AO19" s="161" t="e">
        <v>#DIV/0!</v>
      </c>
      <c r="AP19" s="161" t="e">
        <v>#DIV/0!</v>
      </c>
      <c r="AQ19" s="162" t="e">
        <v>#DIV/0!</v>
      </c>
    </row>
    <row r="20" spans="1:59" s="9" customFormat="1" x14ac:dyDescent="0.35">
      <c r="A20" s="1"/>
      <c r="B20" s="2"/>
      <c r="C20" s="13"/>
      <c r="D20" s="38" t="s">
        <v>182</v>
      </c>
      <c r="E20" s="39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1"/>
      <c r="Y20" s="105"/>
      <c r="Z20" s="106"/>
      <c r="AA20" s="106"/>
      <c r="AB20" s="167">
        <v>1</v>
      </c>
      <c r="AC20" s="148">
        <v>2262</v>
      </c>
      <c r="AD20" s="147">
        <f t="shared" si="10"/>
        <v>1</v>
      </c>
      <c r="AE20" s="160" t="e">
        <v>#DIV/0!</v>
      </c>
      <c r="AF20" s="161" t="e">
        <v>#DIV/0!</v>
      </c>
      <c r="AG20" s="161" t="e">
        <v>#DIV/0!</v>
      </c>
      <c r="AH20" s="161" t="e">
        <v>#DIV/0!</v>
      </c>
      <c r="AI20" s="161" t="e">
        <v>#DIV/0!</v>
      </c>
      <c r="AJ20" s="161" t="e">
        <v>#DIV/0!</v>
      </c>
      <c r="AK20" s="161" t="e">
        <v>#DIV/0!</v>
      </c>
      <c r="AL20" s="161" t="e">
        <v>#DIV/0!</v>
      </c>
      <c r="AM20" s="161" t="e">
        <v>#DIV/0!</v>
      </c>
      <c r="AN20" s="161" t="e">
        <v>#DIV/0!</v>
      </c>
      <c r="AO20" s="161" t="e">
        <v>#DIV/0!</v>
      </c>
      <c r="AP20" s="161" t="e">
        <v>#DIV/0!</v>
      </c>
      <c r="AQ20" s="162" t="e">
        <v>#DIV/0!</v>
      </c>
    </row>
    <row r="21" spans="1:59" s="9" customFormat="1" ht="18" customHeight="1" x14ac:dyDescent="0.35">
      <c r="A21" s="1"/>
      <c r="B21" s="2"/>
      <c r="C21" s="13"/>
      <c r="D21" s="34" t="s">
        <v>183</v>
      </c>
      <c r="E21" s="37"/>
      <c r="F21" s="36">
        <f>F20*F14</f>
        <v>0</v>
      </c>
      <c r="G21" s="36">
        <f>G20*G14</f>
        <v>0</v>
      </c>
      <c r="H21" s="36">
        <f t="shared" ref="H21:O21" si="17">H20*H14</f>
        <v>0</v>
      </c>
      <c r="I21" s="36">
        <f t="shared" si="17"/>
        <v>0</v>
      </c>
      <c r="J21" s="36">
        <f t="shared" si="17"/>
        <v>0</v>
      </c>
      <c r="K21" s="36">
        <f t="shared" si="17"/>
        <v>0</v>
      </c>
      <c r="L21" s="36">
        <f t="shared" si="17"/>
        <v>0</v>
      </c>
      <c r="M21" s="36">
        <f t="shared" si="17"/>
        <v>0</v>
      </c>
      <c r="N21" s="36">
        <f t="shared" si="17"/>
        <v>0</v>
      </c>
      <c r="O21" s="36">
        <f t="shared" si="17"/>
        <v>0</v>
      </c>
      <c r="P21" s="83">
        <f t="shared" ref="P21:W21" si="18">P20*P14</f>
        <v>0</v>
      </c>
      <c r="Q21" s="83">
        <f t="shared" si="18"/>
        <v>0</v>
      </c>
      <c r="R21" s="83">
        <f t="shared" si="18"/>
        <v>0</v>
      </c>
      <c r="S21" s="83">
        <f t="shared" si="18"/>
        <v>0</v>
      </c>
      <c r="T21" s="83">
        <f t="shared" si="18"/>
        <v>0</v>
      </c>
      <c r="U21" s="83">
        <f t="shared" si="18"/>
        <v>0</v>
      </c>
      <c r="V21" s="83">
        <f t="shared" si="18"/>
        <v>0</v>
      </c>
      <c r="W21" s="83">
        <f t="shared" si="18"/>
        <v>0</v>
      </c>
      <c r="X21" s="42">
        <f>X20*X14</f>
        <v>0</v>
      </c>
      <c r="Y21" s="105"/>
      <c r="Z21" s="106"/>
      <c r="AA21" s="106"/>
      <c r="AB21" s="167">
        <v>1.02</v>
      </c>
      <c r="AC21" s="148">
        <v>2307</v>
      </c>
      <c r="AD21" s="147">
        <f t="shared" si="10"/>
        <v>1.02</v>
      </c>
      <c r="AE21" s="160" t="e">
        <v>#DIV/0!</v>
      </c>
      <c r="AF21" s="161" t="e">
        <v>#DIV/0!</v>
      </c>
      <c r="AG21" s="161" t="e">
        <v>#DIV/0!</v>
      </c>
      <c r="AH21" s="161" t="e">
        <v>#DIV/0!</v>
      </c>
      <c r="AI21" s="161" t="e">
        <v>#DIV/0!</v>
      </c>
      <c r="AJ21" s="161" t="e">
        <v>#DIV/0!</v>
      </c>
      <c r="AK21" s="161" t="e">
        <v>#DIV/0!</v>
      </c>
      <c r="AL21" s="161" t="e">
        <v>#DIV/0!</v>
      </c>
      <c r="AM21" s="161" t="e">
        <v>#DIV/0!</v>
      </c>
      <c r="AN21" s="161" t="e">
        <v>#DIV/0!</v>
      </c>
      <c r="AO21" s="161" t="e">
        <v>#DIV/0!</v>
      </c>
      <c r="AP21" s="161" t="e">
        <v>#DIV/0!</v>
      </c>
      <c r="AQ21" s="162" t="e">
        <v>#DIV/0!</v>
      </c>
    </row>
    <row r="22" spans="1:59" s="9" customFormat="1" x14ac:dyDescent="0.35">
      <c r="A22" s="1"/>
      <c r="B22" s="2"/>
      <c r="C22" s="13"/>
      <c r="D22" s="34" t="s">
        <v>184</v>
      </c>
      <c r="E22" s="37"/>
      <c r="F22" s="36">
        <f>F21+F12+F11</f>
        <v>0</v>
      </c>
      <c r="G22" s="36">
        <f>G21+G12+G11</f>
        <v>0</v>
      </c>
      <c r="H22" s="36">
        <f t="shared" ref="H22:O22" si="19">H21+H12+H11</f>
        <v>0</v>
      </c>
      <c r="I22" s="36">
        <f t="shared" si="19"/>
        <v>0</v>
      </c>
      <c r="J22" s="36">
        <f t="shared" si="19"/>
        <v>0</v>
      </c>
      <c r="K22" s="36">
        <f t="shared" si="19"/>
        <v>0</v>
      </c>
      <c r="L22" s="36">
        <f t="shared" si="19"/>
        <v>0</v>
      </c>
      <c r="M22" s="36">
        <f t="shared" si="19"/>
        <v>0</v>
      </c>
      <c r="N22" s="36">
        <f t="shared" si="19"/>
        <v>0</v>
      </c>
      <c r="O22" s="36">
        <f t="shared" si="19"/>
        <v>0</v>
      </c>
      <c r="P22" s="83">
        <f t="shared" ref="P22:W22" si="20">P21+P12+P11</f>
        <v>1</v>
      </c>
      <c r="Q22" s="83">
        <f t="shared" si="20"/>
        <v>2</v>
      </c>
      <c r="R22" s="83">
        <f t="shared" si="20"/>
        <v>3</v>
      </c>
      <c r="S22" s="83">
        <f t="shared" si="20"/>
        <v>4</v>
      </c>
      <c r="T22" s="83">
        <f t="shared" si="20"/>
        <v>5</v>
      </c>
      <c r="U22" s="83">
        <f t="shared" si="20"/>
        <v>6</v>
      </c>
      <c r="V22" s="83">
        <f t="shared" si="20"/>
        <v>7</v>
      </c>
      <c r="W22" s="83">
        <f t="shared" si="20"/>
        <v>8</v>
      </c>
      <c r="X22" s="42">
        <f>X21+X12+X11</f>
        <v>36</v>
      </c>
      <c r="Y22" s="105"/>
      <c r="Z22" s="106"/>
      <c r="AA22" s="106"/>
      <c r="AB22" s="167">
        <v>1.04</v>
      </c>
      <c r="AC22" s="148">
        <v>2352</v>
      </c>
      <c r="AD22" s="147">
        <f t="shared" si="10"/>
        <v>1.04</v>
      </c>
      <c r="AE22" s="160" t="e">
        <v>#DIV/0!</v>
      </c>
      <c r="AF22" s="161" t="e">
        <v>#DIV/0!</v>
      </c>
      <c r="AG22" s="161" t="e">
        <v>#DIV/0!</v>
      </c>
      <c r="AH22" s="161" t="e">
        <v>#DIV/0!</v>
      </c>
      <c r="AI22" s="161" t="e">
        <v>#DIV/0!</v>
      </c>
      <c r="AJ22" s="161" t="e">
        <v>#DIV/0!</v>
      </c>
      <c r="AK22" s="161" t="e">
        <v>#DIV/0!</v>
      </c>
      <c r="AL22" s="161" t="e">
        <v>#DIV/0!</v>
      </c>
      <c r="AM22" s="161" t="e">
        <v>#DIV/0!</v>
      </c>
      <c r="AN22" s="161" t="e">
        <v>#DIV/0!</v>
      </c>
      <c r="AO22" s="161" t="e">
        <v>#DIV/0!</v>
      </c>
      <c r="AP22" s="161" t="e">
        <v>#DIV/0!</v>
      </c>
      <c r="AQ22" s="162" t="e">
        <v>#DIV/0!</v>
      </c>
    </row>
    <row r="23" spans="1:59" s="9" customFormat="1" x14ac:dyDescent="0.35">
      <c r="A23" s="1"/>
      <c r="B23" s="2"/>
      <c r="C23" s="13"/>
      <c r="D23" s="34" t="s">
        <v>185</v>
      </c>
      <c r="E23" s="37"/>
      <c r="F23" s="36">
        <f>F20*F17</f>
        <v>0</v>
      </c>
      <c r="G23" s="36">
        <f>G20*G17</f>
        <v>0</v>
      </c>
      <c r="H23" s="36">
        <f t="shared" ref="H23:O23" si="21">H20*H17</f>
        <v>0</v>
      </c>
      <c r="I23" s="36">
        <f t="shared" si="21"/>
        <v>0</v>
      </c>
      <c r="J23" s="36">
        <f t="shared" si="21"/>
        <v>0</v>
      </c>
      <c r="K23" s="36">
        <f t="shared" si="21"/>
        <v>0</v>
      </c>
      <c r="L23" s="36">
        <f t="shared" si="21"/>
        <v>0</v>
      </c>
      <c r="M23" s="36">
        <f t="shared" si="21"/>
        <v>0</v>
      </c>
      <c r="N23" s="36">
        <f t="shared" si="21"/>
        <v>0</v>
      </c>
      <c r="O23" s="36">
        <f t="shared" si="21"/>
        <v>0</v>
      </c>
      <c r="P23" s="83">
        <f t="shared" ref="P23:W23" si="22">P20*P17</f>
        <v>0</v>
      </c>
      <c r="Q23" s="83">
        <f t="shared" si="22"/>
        <v>0</v>
      </c>
      <c r="R23" s="83">
        <f t="shared" si="22"/>
        <v>0</v>
      </c>
      <c r="S23" s="83">
        <f t="shared" si="22"/>
        <v>0</v>
      </c>
      <c r="T23" s="83">
        <f t="shared" si="22"/>
        <v>0</v>
      </c>
      <c r="U23" s="83">
        <f t="shared" si="22"/>
        <v>0</v>
      </c>
      <c r="V23" s="83">
        <f t="shared" si="22"/>
        <v>0</v>
      </c>
      <c r="W23" s="83">
        <f t="shared" si="22"/>
        <v>0</v>
      </c>
      <c r="X23" s="42">
        <f>SUM(G23:W23)</f>
        <v>0</v>
      </c>
      <c r="Y23" s="105"/>
      <c r="Z23" s="106"/>
      <c r="AA23" s="106"/>
      <c r="AB23" s="167">
        <v>1.06</v>
      </c>
      <c r="AC23" s="148">
        <v>2398</v>
      </c>
      <c r="AD23" s="147">
        <f t="shared" si="10"/>
        <v>1.06</v>
      </c>
      <c r="AE23" s="160" t="e">
        <v>#DIV/0!</v>
      </c>
      <c r="AF23" s="161" t="e">
        <v>#DIV/0!</v>
      </c>
      <c r="AG23" s="161" t="e">
        <v>#DIV/0!</v>
      </c>
      <c r="AH23" s="161" t="e">
        <v>#DIV/0!</v>
      </c>
      <c r="AI23" s="161" t="e">
        <v>#DIV/0!</v>
      </c>
      <c r="AJ23" s="161" t="e">
        <v>#DIV/0!</v>
      </c>
      <c r="AK23" s="161" t="e">
        <v>#DIV/0!</v>
      </c>
      <c r="AL23" s="161" t="e">
        <v>#DIV/0!</v>
      </c>
      <c r="AM23" s="161" t="e">
        <v>#DIV/0!</v>
      </c>
      <c r="AN23" s="161" t="e">
        <v>#DIV/0!</v>
      </c>
      <c r="AO23" s="161" t="e">
        <v>#DIV/0!</v>
      </c>
      <c r="AP23" s="161" t="e">
        <v>#DIV/0!</v>
      </c>
      <c r="AQ23" s="162" t="e">
        <v>#DIV/0!</v>
      </c>
    </row>
    <row r="24" spans="1:59" s="9" customFormat="1" x14ac:dyDescent="0.35">
      <c r="A24" s="1"/>
      <c r="B24" s="2"/>
      <c r="C24" s="13"/>
      <c r="D24" s="38" t="s">
        <v>186</v>
      </c>
      <c r="E24" s="39"/>
      <c r="F24" s="40">
        <f>F23-F22</f>
        <v>0</v>
      </c>
      <c r="G24" s="40">
        <f>G23-G22</f>
        <v>0</v>
      </c>
      <c r="H24" s="40">
        <f t="shared" ref="H24:O24" si="23">H23-H22</f>
        <v>0</v>
      </c>
      <c r="I24" s="40">
        <f t="shared" si="23"/>
        <v>0</v>
      </c>
      <c r="J24" s="40">
        <f t="shared" si="23"/>
        <v>0</v>
      </c>
      <c r="K24" s="40">
        <f t="shared" si="23"/>
        <v>0</v>
      </c>
      <c r="L24" s="40">
        <f t="shared" si="23"/>
        <v>0</v>
      </c>
      <c r="M24" s="40">
        <f t="shared" si="23"/>
        <v>0</v>
      </c>
      <c r="N24" s="40">
        <f t="shared" si="23"/>
        <v>0</v>
      </c>
      <c r="O24" s="40">
        <f t="shared" si="23"/>
        <v>0</v>
      </c>
      <c r="P24" s="40">
        <f t="shared" ref="P24:W24" si="24">P23-P22</f>
        <v>-1</v>
      </c>
      <c r="Q24" s="40">
        <f t="shared" si="24"/>
        <v>-2</v>
      </c>
      <c r="R24" s="40">
        <f t="shared" si="24"/>
        <v>-3</v>
      </c>
      <c r="S24" s="40">
        <f t="shared" si="24"/>
        <v>-4</v>
      </c>
      <c r="T24" s="40">
        <f t="shared" si="24"/>
        <v>-5</v>
      </c>
      <c r="U24" s="40">
        <f t="shared" si="24"/>
        <v>-6</v>
      </c>
      <c r="V24" s="40">
        <f t="shared" si="24"/>
        <v>-7</v>
      </c>
      <c r="W24" s="40">
        <f t="shared" si="24"/>
        <v>-8</v>
      </c>
      <c r="X24" s="41">
        <f>X23-X22</f>
        <v>-36</v>
      </c>
      <c r="Y24" s="105"/>
      <c r="Z24" s="106"/>
      <c r="AA24" s="106"/>
      <c r="AB24" s="167">
        <v>1.08</v>
      </c>
      <c r="AC24" s="148">
        <v>2443</v>
      </c>
      <c r="AD24" s="147">
        <f t="shared" si="10"/>
        <v>1.08</v>
      </c>
      <c r="AE24" s="160" t="e">
        <v>#DIV/0!</v>
      </c>
      <c r="AF24" s="161" t="e">
        <v>#DIV/0!</v>
      </c>
      <c r="AG24" s="161" t="e">
        <v>#DIV/0!</v>
      </c>
      <c r="AH24" s="161" t="e">
        <v>#DIV/0!</v>
      </c>
      <c r="AI24" s="161" t="e">
        <v>#DIV/0!</v>
      </c>
      <c r="AJ24" s="161" t="e">
        <v>#DIV/0!</v>
      </c>
      <c r="AK24" s="161" t="e">
        <v>#DIV/0!</v>
      </c>
      <c r="AL24" s="161" t="e">
        <v>#DIV/0!</v>
      </c>
      <c r="AM24" s="161" t="e">
        <v>#DIV/0!</v>
      </c>
      <c r="AN24" s="161" t="e">
        <v>#DIV/0!</v>
      </c>
      <c r="AO24" s="161" t="e">
        <v>#DIV/0!</v>
      </c>
      <c r="AP24" s="161" t="e">
        <v>#DIV/0!</v>
      </c>
      <c r="AQ24" s="162" t="e">
        <v>#DIV/0!</v>
      </c>
    </row>
    <row r="25" spans="1:59" s="9" customFormat="1" x14ac:dyDescent="0.35">
      <c r="A25" s="1"/>
      <c r="B25" s="2"/>
      <c r="C25" s="13"/>
      <c r="D25" s="43" t="s">
        <v>85</v>
      </c>
      <c r="E25" s="44"/>
      <c r="F25" s="45">
        <f>ROUNDUP(F20,0)</f>
        <v>0</v>
      </c>
      <c r="G25" s="45">
        <f t="shared" ref="G25:O25" si="25">ROUNDUP(G20,0)</f>
        <v>0</v>
      </c>
      <c r="H25" s="45">
        <f t="shared" si="25"/>
        <v>0</v>
      </c>
      <c r="I25" s="45">
        <f t="shared" si="25"/>
        <v>0</v>
      </c>
      <c r="J25" s="45">
        <f t="shared" si="25"/>
        <v>0</v>
      </c>
      <c r="K25" s="45">
        <f t="shared" si="25"/>
        <v>0</v>
      </c>
      <c r="L25" s="45">
        <f t="shared" si="25"/>
        <v>0</v>
      </c>
      <c r="M25" s="45">
        <f t="shared" si="25"/>
        <v>0</v>
      </c>
      <c r="N25" s="45">
        <f t="shared" si="25"/>
        <v>0</v>
      </c>
      <c r="O25" s="45">
        <f t="shared" si="25"/>
        <v>0</v>
      </c>
      <c r="P25" s="45">
        <f t="shared" ref="P25:W25" si="26">ROUNDUP(P20,0)</f>
        <v>0</v>
      </c>
      <c r="Q25" s="45">
        <f t="shared" si="26"/>
        <v>0</v>
      </c>
      <c r="R25" s="45">
        <f t="shared" si="26"/>
        <v>0</v>
      </c>
      <c r="S25" s="45">
        <f t="shared" si="26"/>
        <v>0</v>
      </c>
      <c r="T25" s="45">
        <f t="shared" si="26"/>
        <v>0</v>
      </c>
      <c r="U25" s="45">
        <f t="shared" si="26"/>
        <v>0</v>
      </c>
      <c r="V25" s="45">
        <f t="shared" si="26"/>
        <v>0</v>
      </c>
      <c r="W25" s="45">
        <f t="shared" si="26"/>
        <v>0</v>
      </c>
      <c r="X25" s="46">
        <f>MEDIAN(G25:W25)</f>
        <v>0</v>
      </c>
      <c r="Y25" s="105"/>
      <c r="Z25" s="106"/>
      <c r="AA25" s="106"/>
      <c r="AB25" s="167">
        <v>1.1000000000000001</v>
      </c>
      <c r="AC25" s="148">
        <v>2488</v>
      </c>
      <c r="AD25" s="147">
        <f t="shared" si="10"/>
        <v>1.1000000000000001</v>
      </c>
      <c r="AE25" s="160" t="e">
        <v>#DIV/0!</v>
      </c>
      <c r="AF25" s="161" t="e">
        <v>#DIV/0!</v>
      </c>
      <c r="AG25" s="161" t="e">
        <v>#DIV/0!</v>
      </c>
      <c r="AH25" s="161" t="e">
        <v>#DIV/0!</v>
      </c>
      <c r="AI25" s="161" t="e">
        <v>#DIV/0!</v>
      </c>
      <c r="AJ25" s="161" t="e">
        <v>#DIV/0!</v>
      </c>
      <c r="AK25" s="161" t="e">
        <v>#DIV/0!</v>
      </c>
      <c r="AL25" s="161" t="e">
        <v>#DIV/0!</v>
      </c>
      <c r="AM25" s="161" t="e">
        <v>#DIV/0!</v>
      </c>
      <c r="AN25" s="161" t="e">
        <v>#DIV/0!</v>
      </c>
      <c r="AO25" s="161" t="e">
        <v>#DIV/0!</v>
      </c>
      <c r="AP25" s="161" t="e">
        <v>#DIV/0!</v>
      </c>
      <c r="AQ25" s="162" t="e">
        <v>#DIV/0!</v>
      </c>
    </row>
    <row r="26" spans="1:59" s="9" customFormat="1" x14ac:dyDescent="0.35">
      <c r="A26" s="1"/>
      <c r="B26" s="2"/>
      <c r="C26" s="13"/>
      <c r="D26" s="47" t="s">
        <v>187</v>
      </c>
      <c r="E26" s="48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50"/>
      <c r="Y26" s="105"/>
      <c r="Z26" s="106"/>
      <c r="AA26" s="106"/>
      <c r="AB26" s="167">
        <v>1.1200000000000001</v>
      </c>
      <c r="AC26" s="148">
        <v>2533</v>
      </c>
      <c r="AD26" s="147">
        <f t="shared" si="10"/>
        <v>1.1200000000000001</v>
      </c>
      <c r="AE26" s="160" t="e">
        <v>#DIV/0!</v>
      </c>
      <c r="AF26" s="161" t="e">
        <v>#DIV/0!</v>
      </c>
      <c r="AG26" s="161" t="e">
        <v>#DIV/0!</v>
      </c>
      <c r="AH26" s="161" t="e">
        <v>#DIV/0!</v>
      </c>
      <c r="AI26" s="161" t="e">
        <v>#DIV/0!</v>
      </c>
      <c r="AJ26" s="161" t="e">
        <v>#DIV/0!</v>
      </c>
      <c r="AK26" s="161" t="e">
        <v>#DIV/0!</v>
      </c>
      <c r="AL26" s="161" t="e">
        <v>#DIV/0!</v>
      </c>
      <c r="AM26" s="161" t="e">
        <v>#DIV/0!</v>
      </c>
      <c r="AN26" s="161" t="e">
        <v>#DIV/0!</v>
      </c>
      <c r="AO26" s="161" t="e">
        <v>#DIV/0!</v>
      </c>
      <c r="AP26" s="161" t="e">
        <v>#DIV/0!</v>
      </c>
      <c r="AQ26" s="162" t="e">
        <v>#DIV/0!</v>
      </c>
    </row>
    <row r="27" spans="1:59" s="9" customFormat="1" x14ac:dyDescent="0.35">
      <c r="A27" s="1"/>
      <c r="B27" s="2"/>
      <c r="C27" s="13"/>
      <c r="D27" s="51" t="s">
        <v>183</v>
      </c>
      <c r="E27" s="52"/>
      <c r="F27" s="53">
        <f>F26*F14</f>
        <v>0</v>
      </c>
      <c r="G27" s="53">
        <f>G26*G14</f>
        <v>0</v>
      </c>
      <c r="H27" s="53">
        <f t="shared" ref="H27:O27" si="27">H26*H14</f>
        <v>0</v>
      </c>
      <c r="I27" s="53">
        <f t="shared" si="27"/>
        <v>0</v>
      </c>
      <c r="J27" s="53">
        <f t="shared" si="27"/>
        <v>0</v>
      </c>
      <c r="K27" s="53">
        <f t="shared" si="27"/>
        <v>0</v>
      </c>
      <c r="L27" s="53">
        <f t="shared" si="27"/>
        <v>0</v>
      </c>
      <c r="M27" s="53">
        <f t="shared" si="27"/>
        <v>0</v>
      </c>
      <c r="N27" s="53">
        <f t="shared" si="27"/>
        <v>0</v>
      </c>
      <c r="O27" s="53">
        <f t="shared" si="27"/>
        <v>0</v>
      </c>
      <c r="P27" s="53">
        <f t="shared" ref="P27:W27" si="28">P26*P14</f>
        <v>0</v>
      </c>
      <c r="Q27" s="53">
        <f t="shared" si="28"/>
        <v>0</v>
      </c>
      <c r="R27" s="53">
        <f t="shared" si="28"/>
        <v>0</v>
      </c>
      <c r="S27" s="53">
        <f t="shared" si="28"/>
        <v>0</v>
      </c>
      <c r="T27" s="53">
        <f t="shared" si="28"/>
        <v>0</v>
      </c>
      <c r="U27" s="53">
        <f t="shared" si="28"/>
        <v>0</v>
      </c>
      <c r="V27" s="53">
        <f t="shared" si="28"/>
        <v>0</v>
      </c>
      <c r="W27" s="53">
        <f t="shared" si="28"/>
        <v>0</v>
      </c>
      <c r="X27" s="54">
        <f>X26*X14</f>
        <v>0</v>
      </c>
      <c r="Y27" s="105"/>
      <c r="Z27" s="106"/>
      <c r="AA27" s="106"/>
      <c r="AB27" s="168">
        <v>1.1399999999999999</v>
      </c>
      <c r="AC27" s="150">
        <v>2579</v>
      </c>
      <c r="AD27" s="149">
        <f t="shared" si="10"/>
        <v>1.1399999999999999</v>
      </c>
      <c r="AE27" s="163" t="e">
        <v>#DIV/0!</v>
      </c>
      <c r="AF27" s="164" t="e">
        <v>#DIV/0!</v>
      </c>
      <c r="AG27" s="164" t="e">
        <v>#DIV/0!</v>
      </c>
      <c r="AH27" s="164" t="e">
        <v>#DIV/0!</v>
      </c>
      <c r="AI27" s="164" t="e">
        <v>#DIV/0!</v>
      </c>
      <c r="AJ27" s="164" t="e">
        <v>#DIV/0!</v>
      </c>
      <c r="AK27" s="164" t="e">
        <v>#DIV/0!</v>
      </c>
      <c r="AL27" s="164" t="e">
        <v>#DIV/0!</v>
      </c>
      <c r="AM27" s="164" t="e">
        <v>#DIV/0!</v>
      </c>
      <c r="AN27" s="164" t="e">
        <v>#DIV/0!</v>
      </c>
      <c r="AO27" s="164" t="e">
        <v>#DIV/0!</v>
      </c>
      <c r="AP27" s="164" t="e">
        <v>#DIV/0!</v>
      </c>
      <c r="AQ27" s="165" t="e">
        <v>#DIV/0!</v>
      </c>
    </row>
    <row r="28" spans="1:59" s="9" customFormat="1" x14ac:dyDescent="0.35">
      <c r="A28" s="1"/>
      <c r="B28" s="2"/>
      <c r="C28" s="13"/>
      <c r="D28" s="51" t="s">
        <v>188</v>
      </c>
      <c r="E28" s="52"/>
      <c r="F28" s="53">
        <f>F27+F12</f>
        <v>0</v>
      </c>
      <c r="G28" s="53">
        <f>G27+G12</f>
        <v>0</v>
      </c>
      <c r="H28" s="53">
        <f t="shared" ref="H28:O28" si="29">H27+H12</f>
        <v>0</v>
      </c>
      <c r="I28" s="53">
        <f t="shared" si="29"/>
        <v>0</v>
      </c>
      <c r="J28" s="53">
        <f t="shared" si="29"/>
        <v>0</v>
      </c>
      <c r="K28" s="53">
        <f t="shared" si="29"/>
        <v>0</v>
      </c>
      <c r="L28" s="53">
        <f t="shared" si="29"/>
        <v>0</v>
      </c>
      <c r="M28" s="53">
        <f t="shared" si="29"/>
        <v>0</v>
      </c>
      <c r="N28" s="53">
        <f t="shared" si="29"/>
        <v>0</v>
      </c>
      <c r="O28" s="53">
        <f t="shared" si="29"/>
        <v>0</v>
      </c>
      <c r="P28" s="53">
        <f t="shared" ref="P28:W28" si="30">P27+P12</f>
        <v>0</v>
      </c>
      <c r="Q28" s="53">
        <f t="shared" si="30"/>
        <v>0</v>
      </c>
      <c r="R28" s="53">
        <f t="shared" si="30"/>
        <v>0</v>
      </c>
      <c r="S28" s="53">
        <f t="shared" si="30"/>
        <v>0</v>
      </c>
      <c r="T28" s="53">
        <f t="shared" si="30"/>
        <v>0</v>
      </c>
      <c r="U28" s="53">
        <f t="shared" si="30"/>
        <v>0</v>
      </c>
      <c r="V28" s="53">
        <f t="shared" si="30"/>
        <v>0</v>
      </c>
      <c r="W28" s="53">
        <f t="shared" si="30"/>
        <v>0</v>
      </c>
      <c r="X28" s="54">
        <f>X27+X12</f>
        <v>0</v>
      </c>
      <c r="Y28" s="105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76"/>
      <c r="AL28" s="76"/>
      <c r="AM28" s="76"/>
      <c r="AN28" s="76"/>
      <c r="AO28" s="76"/>
      <c r="AP28" s="76"/>
      <c r="AQ28" s="76"/>
      <c r="AR28" s="76"/>
      <c r="AS28" s="76"/>
    </row>
    <row r="29" spans="1:59" s="9" customFormat="1" x14ac:dyDescent="0.35">
      <c r="A29" s="1"/>
      <c r="B29" s="2"/>
      <c r="C29" s="13"/>
      <c r="D29" s="51" t="s">
        <v>189</v>
      </c>
      <c r="E29" s="52"/>
      <c r="F29" s="53">
        <f>F26*F31</f>
        <v>0</v>
      </c>
      <c r="G29" s="53">
        <f>G26*G31</f>
        <v>0</v>
      </c>
      <c r="H29" s="53">
        <f t="shared" ref="H29:O29" si="31">H26*H31</f>
        <v>0</v>
      </c>
      <c r="I29" s="53">
        <f t="shared" si="31"/>
        <v>0</v>
      </c>
      <c r="J29" s="53">
        <f t="shared" si="31"/>
        <v>0</v>
      </c>
      <c r="K29" s="53">
        <f t="shared" si="31"/>
        <v>0</v>
      </c>
      <c r="L29" s="53">
        <f t="shared" si="31"/>
        <v>0</v>
      </c>
      <c r="M29" s="53">
        <f t="shared" si="31"/>
        <v>0</v>
      </c>
      <c r="N29" s="53">
        <f t="shared" si="31"/>
        <v>0</v>
      </c>
      <c r="O29" s="53">
        <f t="shared" si="31"/>
        <v>0</v>
      </c>
      <c r="P29" s="53">
        <f t="shared" ref="P29:W29" si="32">P26*P31</f>
        <v>0</v>
      </c>
      <c r="Q29" s="53">
        <f t="shared" si="32"/>
        <v>0</v>
      </c>
      <c r="R29" s="53">
        <f t="shared" si="32"/>
        <v>0</v>
      </c>
      <c r="S29" s="53">
        <f t="shared" si="32"/>
        <v>0</v>
      </c>
      <c r="T29" s="53">
        <f t="shared" si="32"/>
        <v>0</v>
      </c>
      <c r="U29" s="53">
        <f t="shared" si="32"/>
        <v>0</v>
      </c>
      <c r="V29" s="53">
        <f t="shared" si="32"/>
        <v>0</v>
      </c>
      <c r="W29" s="53">
        <f t="shared" si="32"/>
        <v>0</v>
      </c>
      <c r="X29" s="54">
        <f>X26*X31</f>
        <v>0</v>
      </c>
      <c r="Y29" s="105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76"/>
      <c r="AL29" s="76"/>
      <c r="AM29" s="76"/>
      <c r="AN29" s="76"/>
      <c r="AO29" s="76"/>
      <c r="AP29" s="76"/>
      <c r="AQ29" s="76"/>
      <c r="AR29" s="76"/>
      <c r="AS29" s="76"/>
    </row>
    <row r="30" spans="1:59" s="9" customFormat="1" x14ac:dyDescent="0.35">
      <c r="A30" s="1"/>
      <c r="B30" s="2"/>
      <c r="C30" s="13"/>
      <c r="D30" s="51" t="s">
        <v>190</v>
      </c>
      <c r="E30" s="52"/>
      <c r="F30" s="53">
        <f>F29-F28</f>
        <v>0</v>
      </c>
      <c r="G30" s="53">
        <f>G29-G28</f>
        <v>0</v>
      </c>
      <c r="H30" s="53">
        <f t="shared" ref="H30:O30" si="33">H29-H28</f>
        <v>0</v>
      </c>
      <c r="I30" s="53">
        <f t="shared" si="33"/>
        <v>0</v>
      </c>
      <c r="J30" s="53">
        <f t="shared" si="33"/>
        <v>0</v>
      </c>
      <c r="K30" s="53">
        <f t="shared" si="33"/>
        <v>0</v>
      </c>
      <c r="L30" s="53">
        <f t="shared" si="33"/>
        <v>0</v>
      </c>
      <c r="M30" s="53">
        <f t="shared" si="33"/>
        <v>0</v>
      </c>
      <c r="N30" s="53">
        <f t="shared" si="33"/>
        <v>0</v>
      </c>
      <c r="O30" s="53">
        <f t="shared" si="33"/>
        <v>0</v>
      </c>
      <c r="P30" s="53">
        <f t="shared" ref="P30:W30" si="34">P29-P28</f>
        <v>0</v>
      </c>
      <c r="Q30" s="53">
        <f t="shared" si="34"/>
        <v>0</v>
      </c>
      <c r="R30" s="53">
        <f t="shared" si="34"/>
        <v>0</v>
      </c>
      <c r="S30" s="53">
        <f t="shared" si="34"/>
        <v>0</v>
      </c>
      <c r="T30" s="53">
        <f t="shared" si="34"/>
        <v>0</v>
      </c>
      <c r="U30" s="53">
        <f t="shared" si="34"/>
        <v>0</v>
      </c>
      <c r="V30" s="53">
        <f t="shared" si="34"/>
        <v>0</v>
      </c>
      <c r="W30" s="53">
        <f t="shared" si="34"/>
        <v>0</v>
      </c>
      <c r="X30" s="54">
        <f>X29-X28</f>
        <v>0</v>
      </c>
      <c r="Z30" s="104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3"/>
      <c r="AM30" s="105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76"/>
      <c r="AZ30" s="76"/>
      <c r="BA30" s="76"/>
      <c r="BB30" s="76"/>
      <c r="BC30" s="76"/>
      <c r="BD30" s="76"/>
      <c r="BE30" s="76"/>
      <c r="BF30" s="76"/>
      <c r="BG30" s="76"/>
    </row>
    <row r="31" spans="1:59" ht="28.5" x14ac:dyDescent="0.35">
      <c r="C31" s="13"/>
      <c r="D31" s="55" t="s">
        <v>191</v>
      </c>
      <c r="E31" s="48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50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</row>
    <row r="32" spans="1:59" x14ac:dyDescent="0.35">
      <c r="C32" s="13"/>
      <c r="D32" s="84" t="s">
        <v>214</v>
      </c>
      <c r="E32" s="88">
        <v>1</v>
      </c>
      <c r="F32" s="85">
        <v>0</v>
      </c>
      <c r="G32" s="85">
        <f>ROUNDUP((G13-F36)*$E$32,0)</f>
        <v>358</v>
      </c>
      <c r="H32" s="85">
        <f t="shared" ref="H32:O32" si="35">ROUNDUP((H13-G36)*$E$32,0)</f>
        <v>395</v>
      </c>
      <c r="I32" s="85">
        <f t="shared" si="35"/>
        <v>299</v>
      </c>
      <c r="J32" s="85">
        <f t="shared" si="35"/>
        <v>90</v>
      </c>
      <c r="K32" s="85">
        <f t="shared" si="35"/>
        <v>-41</v>
      </c>
      <c r="L32" s="85">
        <f t="shared" si="35"/>
        <v>-58</v>
      </c>
      <c r="M32" s="85">
        <f t="shared" si="35"/>
        <v>-68</v>
      </c>
      <c r="N32" s="85">
        <f t="shared" si="35"/>
        <v>-78</v>
      </c>
      <c r="O32" s="85">
        <f t="shared" si="35"/>
        <v>-89</v>
      </c>
      <c r="P32" s="85">
        <f t="shared" ref="P32" si="36">ROUNDUP((P13-O36)*$E$32,0)</f>
        <v>-112</v>
      </c>
      <c r="Q32" s="85">
        <f t="shared" ref="Q32" si="37">ROUNDUP((Q13-P36)*$E$32,0)</f>
        <v>-124</v>
      </c>
      <c r="R32" s="85">
        <f t="shared" ref="R32" si="38">ROUNDUP((R13-Q36)*$E$32,0)</f>
        <v>-90</v>
      </c>
      <c r="S32" s="85">
        <f t="shared" ref="S32" si="39">ROUNDUP((S13-R36)*$E$32,0)</f>
        <v>-137</v>
      </c>
      <c r="T32" s="85">
        <f t="shared" ref="T32" si="40">ROUNDUP((T13-S36)*$E$32,0)</f>
        <v>-164</v>
      </c>
      <c r="U32" s="85">
        <f t="shared" ref="U32" si="41">ROUNDUP((U13-T36)*$E$32,0)</f>
        <v>-160</v>
      </c>
      <c r="V32" s="85">
        <f t="shared" ref="V32" si="42">ROUNDUP((V13-U36)*$E$32,0)</f>
        <v>-193</v>
      </c>
      <c r="W32" s="85">
        <f t="shared" ref="W32" si="43">ROUNDUP((W13-V36)*$E$32,0)</f>
        <v>-188</v>
      </c>
      <c r="X32" s="56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</row>
    <row r="33" spans="1:59" x14ac:dyDescent="0.35">
      <c r="C33" s="13"/>
      <c r="D33" s="20" t="s">
        <v>84</v>
      </c>
      <c r="E33" s="21"/>
      <c r="F33" s="29">
        <f>'ФинРез и инд-ры ВУЗ'!EG14</f>
        <v>767088.60160267912</v>
      </c>
      <c r="G33" s="82">
        <f>'ФинРез и инд-ры ВУЗ'!EH14</f>
        <v>1281073.4573734794</v>
      </c>
      <c r="H33" s="82">
        <f>'ФинРез и инд-ры ВУЗ'!EI14</f>
        <v>1762573.6229084041</v>
      </c>
      <c r="I33" s="82">
        <f>'ФинРез и инд-ры ВУЗ'!EJ14</f>
        <v>2184880.7553507052</v>
      </c>
      <c r="J33" s="82">
        <f>'ФинРез и инд-ры ВУЗ'!EK14</f>
        <v>2424073.6723462716</v>
      </c>
      <c r="K33" s="82">
        <f>'ФинРез и инд-ры ВУЗ'!EL14</f>
        <v>2519180.6926915478</v>
      </c>
      <c r="L33" s="82">
        <f>'ФинРез и инд-ры ВУЗ'!EM14</f>
        <v>2605530.0532904863</v>
      </c>
      <c r="M33" s="82">
        <f>'ФинРез и инд-ры ВУЗ'!EN14</f>
        <v>2693156.5216593742</v>
      </c>
      <c r="N33" s="82">
        <f>'ФинРез и инд-ры ВУЗ'!EO14</f>
        <v>2784909.6667072512</v>
      </c>
      <c r="O33" s="82">
        <f>'ФинРез и инд-ры ВУЗ'!EP14</f>
        <v>2881418.334149424</v>
      </c>
      <c r="P33" s="82">
        <f>'ФинРез и инд-ры ВУЗ'!EQ14</f>
        <v>2978103.7421356887</v>
      </c>
      <c r="Q33" s="82">
        <f>'ФинРез и инд-ры ВУЗ'!ER14</f>
        <v>3078453.9127916954</v>
      </c>
      <c r="R33" s="82">
        <f>'ФинРез и инд-ры ВУЗ'!ES14</f>
        <v>3204296.3743339553</v>
      </c>
      <c r="S33" s="82">
        <f>'ФинРез и инд-ры ВУЗ'!ET14</f>
        <v>3319565.4667536393</v>
      </c>
      <c r="T33" s="82">
        <f>'ФинРез и инд-ры ВУЗ'!EU14</f>
        <v>3434877.2501560375</v>
      </c>
      <c r="U33" s="82">
        <f>'ФинРез и инд-ры ВУЗ'!EV14</f>
        <v>3562153.6386938281</v>
      </c>
      <c r="V33" s="82">
        <f>'ФинРез и инд-ры ВУЗ'!EW14</f>
        <v>3684175.57440212</v>
      </c>
      <c r="W33" s="82">
        <f>'ФинРез и инд-ры ВУЗ'!EX14</f>
        <v>3821193.4080459587</v>
      </c>
      <c r="X33" s="29">
        <f>SUM(G33:W33)</f>
        <v>48219616.143789873</v>
      </c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</row>
    <row r="34" spans="1:59" x14ac:dyDescent="0.35">
      <c r="C34" s="13"/>
      <c r="D34" s="20" t="s">
        <v>192</v>
      </c>
      <c r="E34" s="21"/>
      <c r="F34" s="29">
        <f>F36*F35</f>
        <v>929074.86481345771</v>
      </c>
      <c r="G34" s="82">
        <f t="shared" ref="G34:O34" si="44">G36*G35</f>
        <v>1551345.9460795303</v>
      </c>
      <c r="H34" s="82">
        <f t="shared" si="44"/>
        <v>2133286.0102634756</v>
      </c>
      <c r="I34" s="82">
        <f t="shared" si="44"/>
        <v>2644044.6940633361</v>
      </c>
      <c r="J34" s="82">
        <f t="shared" si="44"/>
        <v>2933129.1435389887</v>
      </c>
      <c r="K34" s="82">
        <f t="shared" si="44"/>
        <v>3047583.8131822613</v>
      </c>
      <c r="L34" s="82">
        <f t="shared" si="44"/>
        <v>3152237.1516354317</v>
      </c>
      <c r="M34" s="82">
        <f t="shared" si="44"/>
        <v>3258131.0154037075</v>
      </c>
      <c r="N34" s="82">
        <f t="shared" si="44"/>
        <v>3370170.7482787198</v>
      </c>
      <c r="O34" s="82">
        <f t="shared" si="44"/>
        <v>3486235.9402741571</v>
      </c>
      <c r="P34" s="82">
        <f t="shared" ref="P34:W34" si="45">P36*P35</f>
        <v>3604057.0286771711</v>
      </c>
      <c r="Q34" s="82">
        <f t="shared" si="45"/>
        <v>3724929.2344779521</v>
      </c>
      <c r="R34" s="82">
        <f t="shared" si="45"/>
        <v>3877331.671683677</v>
      </c>
      <c r="S34" s="82">
        <f t="shared" si="45"/>
        <v>4017068.6896023066</v>
      </c>
      <c r="T34" s="82">
        <f t="shared" si="45"/>
        <v>4156070.7786391629</v>
      </c>
      <c r="U34" s="82">
        <f t="shared" si="45"/>
        <v>4310205.902819532</v>
      </c>
      <c r="V34" s="82">
        <f t="shared" si="45"/>
        <v>4457981.9622247713</v>
      </c>
      <c r="W34" s="82">
        <f t="shared" si="45"/>
        <v>4623127.3288678965</v>
      </c>
      <c r="X34" s="82">
        <f>SUM(G34:W34)</f>
        <v>58346937.059712075</v>
      </c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</row>
    <row r="35" spans="1:59" x14ac:dyDescent="0.35">
      <c r="C35" s="57"/>
      <c r="D35" s="24" t="s">
        <v>243</v>
      </c>
      <c r="E35" s="58">
        <v>1.1000000000000001</v>
      </c>
      <c r="F35" s="80">
        <f>F17*$E$35</f>
        <v>4488.2843710795059</v>
      </c>
      <c r="G35" s="80">
        <f t="shared" ref="G35:O35" si="46">G17*$E$35</f>
        <v>2494.1253152404024</v>
      </c>
      <c r="H35" s="80">
        <f t="shared" si="46"/>
        <v>1906.4218143552062</v>
      </c>
      <c r="I35" s="80">
        <f t="shared" si="46"/>
        <v>1694.900444912395</v>
      </c>
      <c r="J35" s="80">
        <f t="shared" si="46"/>
        <v>1616.0491148975145</v>
      </c>
      <c r="K35" s="80">
        <f t="shared" si="46"/>
        <v>1562.0624362799904</v>
      </c>
      <c r="L35" s="80">
        <f t="shared" si="46"/>
        <v>1514.0428201899288</v>
      </c>
      <c r="M35" s="80">
        <f t="shared" si="46"/>
        <v>1470.9395103402742</v>
      </c>
      <c r="N35" s="80">
        <f t="shared" si="46"/>
        <v>1433.5052098165545</v>
      </c>
      <c r="O35" s="80">
        <f t="shared" si="46"/>
        <v>1401.2202332291629</v>
      </c>
      <c r="P35" s="80">
        <f t="shared" ref="P35:W35" si="47">P17*$E$35</f>
        <v>1378.7517324702262</v>
      </c>
      <c r="Q35" s="80">
        <f t="shared" si="47"/>
        <v>1359.9595598678175</v>
      </c>
      <c r="R35" s="80">
        <f t="shared" si="47"/>
        <v>1330.5873959106648</v>
      </c>
      <c r="S35" s="80">
        <f t="shared" si="47"/>
        <v>1314.9161013428172</v>
      </c>
      <c r="T35" s="80">
        <f t="shared" si="47"/>
        <v>1306.9404964274097</v>
      </c>
      <c r="U35" s="80">
        <f t="shared" si="47"/>
        <v>1297.4731796566923</v>
      </c>
      <c r="V35" s="80">
        <f t="shared" si="47"/>
        <v>1295.1719820525193</v>
      </c>
      <c r="W35" s="80">
        <f t="shared" si="47"/>
        <v>1291.7371692841286</v>
      </c>
      <c r="X35" s="59">
        <f>MEDIAN(G35:W35)</f>
        <v>1401.2202332291629</v>
      </c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</row>
    <row r="36" spans="1:59" x14ac:dyDescent="0.35">
      <c r="C36" s="57"/>
      <c r="D36" s="24" t="s">
        <v>88</v>
      </c>
      <c r="E36" s="58">
        <v>1.1000000000000001</v>
      </c>
      <c r="F36" s="80">
        <f>ROUND(F13*$E$36,0)</f>
        <v>207</v>
      </c>
      <c r="G36" s="80">
        <f t="shared" ref="G36:O36" si="48">ROUND(G13*$E$36,0)</f>
        <v>622</v>
      </c>
      <c r="H36" s="80">
        <f t="shared" si="48"/>
        <v>1119</v>
      </c>
      <c r="I36" s="80">
        <f t="shared" si="48"/>
        <v>1560</v>
      </c>
      <c r="J36" s="80">
        <f t="shared" si="48"/>
        <v>1815</v>
      </c>
      <c r="K36" s="80">
        <f t="shared" si="48"/>
        <v>1951</v>
      </c>
      <c r="L36" s="80">
        <f t="shared" si="48"/>
        <v>2082</v>
      </c>
      <c r="M36" s="80">
        <f t="shared" si="48"/>
        <v>2215</v>
      </c>
      <c r="N36" s="80">
        <f t="shared" si="48"/>
        <v>2351</v>
      </c>
      <c r="O36" s="80">
        <f t="shared" si="48"/>
        <v>2488</v>
      </c>
      <c r="P36" s="80">
        <f t="shared" ref="P36:W36" si="49">ROUND(P13*$E$36,0)</f>
        <v>2614</v>
      </c>
      <c r="Q36" s="80">
        <f t="shared" si="49"/>
        <v>2739</v>
      </c>
      <c r="R36" s="80">
        <f t="shared" si="49"/>
        <v>2914</v>
      </c>
      <c r="S36" s="80">
        <f t="shared" si="49"/>
        <v>3055</v>
      </c>
      <c r="T36" s="80">
        <f t="shared" si="49"/>
        <v>3180</v>
      </c>
      <c r="U36" s="80">
        <f t="shared" si="49"/>
        <v>3322</v>
      </c>
      <c r="V36" s="80">
        <f t="shared" si="49"/>
        <v>3442</v>
      </c>
      <c r="W36" s="80">
        <f t="shared" si="49"/>
        <v>3579</v>
      </c>
      <c r="X36" s="59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</row>
    <row r="37" spans="1:59" x14ac:dyDescent="0.35">
      <c r="C37" s="13"/>
      <c r="D37" s="20" t="s">
        <v>89</v>
      </c>
      <c r="E37" s="21"/>
      <c r="F37" s="29">
        <f>F10+F11+F12</f>
        <v>400076.8379717702</v>
      </c>
      <c r="G37" s="29">
        <f t="shared" ref="G37:O37" si="50">G10+G11+G12</f>
        <v>498359.73691474274</v>
      </c>
      <c r="H37" s="29">
        <f t="shared" si="50"/>
        <v>619553.3133609388</v>
      </c>
      <c r="I37" s="29">
        <f t="shared" si="50"/>
        <v>714935.5962437829</v>
      </c>
      <c r="J37" s="29">
        <f t="shared" si="50"/>
        <v>787256.52442451566</v>
      </c>
      <c r="K37" s="29">
        <f t="shared" si="50"/>
        <v>842583.16532695014</v>
      </c>
      <c r="L37" s="29">
        <f t="shared" si="50"/>
        <v>900076.73693659622</v>
      </c>
      <c r="M37" s="29">
        <f t="shared" si="50"/>
        <v>961237.49070286937</v>
      </c>
      <c r="N37" s="29">
        <f t="shared" si="50"/>
        <v>1026283.4446634129</v>
      </c>
      <c r="O37" s="29">
        <f t="shared" si="50"/>
        <v>1095444.8561346289</v>
      </c>
      <c r="P37" s="82">
        <f t="shared" ref="P37:W37" si="51">P10+P11+P12</f>
        <v>1165925.4930684641</v>
      </c>
      <c r="Q37" s="82">
        <f t="shared" si="51"/>
        <v>1240291.7891871855</v>
      </c>
      <c r="R37" s="82">
        <f t="shared" si="51"/>
        <v>1330125.0333795864</v>
      </c>
      <c r="S37" s="82">
        <f t="shared" si="51"/>
        <v>1417004.9604847636</v>
      </c>
      <c r="T37" s="82">
        <f t="shared" si="51"/>
        <v>1504876.5837986059</v>
      </c>
      <c r="U37" s="82">
        <f t="shared" si="51"/>
        <v>1601778.8407421261</v>
      </c>
      <c r="V37" s="82">
        <f t="shared" si="51"/>
        <v>1698106.8534225244</v>
      </c>
      <c r="W37" s="82">
        <f t="shared" si="51"/>
        <v>1804502.4244088903</v>
      </c>
      <c r="X37" s="29">
        <f>SUM(G37:W37)</f>
        <v>19208342.843200587</v>
      </c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</row>
    <row r="38" spans="1:59" s="74" customFormat="1" x14ac:dyDescent="0.35">
      <c r="A38" s="73"/>
      <c r="C38" s="13"/>
      <c r="D38" s="81" t="s">
        <v>224</v>
      </c>
      <c r="E38" s="21"/>
      <c r="F38" s="82" t="e">
        <f>((F14*F36+F11+F12)-F41)</f>
        <v>#DIV/0!</v>
      </c>
      <c r="G38" s="82" t="e">
        <f t="shared" ref="G38:O38" si="52">((G14*G36+G11+G12)-G41)</f>
        <v>#DIV/0!</v>
      </c>
      <c r="H38" s="82" t="e">
        <f t="shared" si="52"/>
        <v>#DIV/0!</v>
      </c>
      <c r="I38" s="82" t="e">
        <f t="shared" si="52"/>
        <v>#DIV/0!</v>
      </c>
      <c r="J38" s="82" t="e">
        <f t="shared" si="52"/>
        <v>#DIV/0!</v>
      </c>
      <c r="K38" s="82" t="e">
        <f t="shared" si="52"/>
        <v>#DIV/0!</v>
      </c>
      <c r="L38" s="82" t="e">
        <f t="shared" si="52"/>
        <v>#DIV/0!</v>
      </c>
      <c r="M38" s="82" t="e">
        <f t="shared" si="52"/>
        <v>#DIV/0!</v>
      </c>
      <c r="N38" s="82" t="e">
        <f t="shared" si="52"/>
        <v>#DIV/0!</v>
      </c>
      <c r="O38" s="82" t="e">
        <f t="shared" si="52"/>
        <v>#DIV/0!</v>
      </c>
      <c r="P38" s="82">
        <f t="shared" ref="P38:W38" si="53">((P14*P36+P11+P12)-P41)</f>
        <v>1282714.225960002</v>
      </c>
      <c r="Q38" s="82">
        <f t="shared" si="53"/>
        <v>1364320.7681059041</v>
      </c>
      <c r="R38" s="82">
        <f t="shared" si="53"/>
        <v>1463187.4489498357</v>
      </c>
      <c r="S38" s="82">
        <f t="shared" si="53"/>
        <v>1558858.1354990827</v>
      </c>
      <c r="T38" s="82">
        <f t="shared" si="53"/>
        <v>1655311.6885090165</v>
      </c>
      <c r="U38" s="82">
        <f t="shared" si="53"/>
        <v>1761956.1248163385</v>
      </c>
      <c r="V38" s="82">
        <f t="shared" si="53"/>
        <v>1867971.1084948319</v>
      </c>
      <c r="W38" s="82">
        <f t="shared" si="53"/>
        <v>1984730.0482358383</v>
      </c>
      <c r="X38" s="82" t="e">
        <f>SUM(G38:W38)</f>
        <v>#DIV/0!</v>
      </c>
    </row>
    <row r="39" spans="1:59" x14ac:dyDescent="0.35">
      <c r="C39" s="13"/>
      <c r="D39" s="22" t="s">
        <v>90</v>
      </c>
      <c r="E39" s="14"/>
      <c r="F39" s="14"/>
      <c r="G39" s="15"/>
      <c r="H39" s="15"/>
      <c r="I39" s="15"/>
      <c r="J39" s="15"/>
      <c r="K39" s="15"/>
      <c r="L39" s="15"/>
      <c r="M39" s="15"/>
      <c r="N39" s="15"/>
      <c r="O39" s="15"/>
      <c r="P39" s="80"/>
      <c r="Q39" s="80"/>
      <c r="R39" s="80"/>
      <c r="S39" s="80"/>
      <c r="T39" s="80"/>
      <c r="U39" s="80"/>
      <c r="V39" s="80"/>
      <c r="W39" s="80"/>
      <c r="X39" s="59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</row>
    <row r="40" spans="1:59" x14ac:dyDescent="0.35">
      <c r="C40" s="13"/>
      <c r="D40" s="60" t="s">
        <v>193</v>
      </c>
      <c r="E40" s="14"/>
      <c r="F40" s="61" t="e">
        <f>'ФинРез Кампус'!I23/'ФинРез Кампус'!I7</f>
        <v>#DIV/0!</v>
      </c>
      <c r="G40" s="61" t="e">
        <f>'ФинРез Кампус'!J23/'ФинРез Кампус'!J7</f>
        <v>#DIV/0!</v>
      </c>
      <c r="H40" s="61" t="e">
        <f>'ФинРез Кампус'!K23/'ФинРез Кампус'!K7</f>
        <v>#DIV/0!</v>
      </c>
      <c r="I40" s="61" t="e">
        <f>'ФинРез Кампус'!L23/'ФинРез Кампус'!L7</f>
        <v>#DIV/0!</v>
      </c>
      <c r="J40" s="61" t="e">
        <f>'ФинРез Кампус'!M23/'ФинРез Кампус'!M7</f>
        <v>#DIV/0!</v>
      </c>
      <c r="K40" s="61" t="e">
        <f>'ФинРез Кампус'!N23/'ФинРез Кампус'!N7</f>
        <v>#DIV/0!</v>
      </c>
      <c r="L40" s="61" t="e">
        <f>'ФинРез Кампус'!O23/'ФинРез Кампус'!O7</f>
        <v>#DIV/0!</v>
      </c>
      <c r="M40" s="61" t="e">
        <f>'ФинРез Кампус'!P23/'ФинРез Кампус'!P7</f>
        <v>#DIV/0!</v>
      </c>
      <c r="N40" s="61" t="e">
        <f>'ФинРез Кампус'!Q23/'ФинРез Кампус'!Q7</f>
        <v>#DIV/0!</v>
      </c>
      <c r="O40" s="61" t="e">
        <f>'ФинРез Кампус'!R23/'ФинРез Кампус'!R7</f>
        <v>#DIV/0!</v>
      </c>
      <c r="P40" s="61">
        <f>'ФинРез Кампус'!S23/'ФинРез Кампус'!S7</f>
        <v>0</v>
      </c>
      <c r="Q40" s="61">
        <f>'ФинРез Кампус'!T23/'ФинРез Кампус'!T7</f>
        <v>0</v>
      </c>
      <c r="R40" s="61">
        <f>'ФинРез Кампус'!U23/'ФинРез Кампус'!U7</f>
        <v>0</v>
      </c>
      <c r="S40" s="61">
        <f>'ФинРез Кампус'!V23/'ФинРез Кампус'!V7</f>
        <v>0</v>
      </c>
      <c r="T40" s="61">
        <f>'ФинРез Кампус'!W23/'ФинРез Кампус'!W7</f>
        <v>0</v>
      </c>
      <c r="U40" s="61">
        <f>'ФинРез Кампус'!X23/'ФинРез Кампус'!X7</f>
        <v>0</v>
      </c>
      <c r="V40" s="61">
        <f>'ФинРез Кампус'!Y23/'ФинРез Кампус'!Y7</f>
        <v>0</v>
      </c>
      <c r="W40" s="61">
        <f>'ФинРез Кампус'!Z23/'ФинРез Кампус'!Z7</f>
        <v>0</v>
      </c>
      <c r="X40" s="63" t="e">
        <f t="shared" ref="X40:X45" si="54">SUM(G40:W40)</f>
        <v>#DIV/0!</v>
      </c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</row>
    <row r="41" spans="1:59" x14ac:dyDescent="0.35">
      <c r="C41" s="13"/>
      <c r="D41" s="60" t="s">
        <v>194</v>
      </c>
      <c r="E41" s="14"/>
      <c r="F41" s="86" t="e">
        <f t="shared" ref="F41:O41" si="55">ROUND(F40*(F$159+F$163),2)</f>
        <v>#DIV/0!</v>
      </c>
      <c r="G41" s="86" t="e">
        <f t="shared" si="55"/>
        <v>#DIV/0!</v>
      </c>
      <c r="H41" s="86" t="e">
        <f t="shared" si="55"/>
        <v>#DIV/0!</v>
      </c>
      <c r="I41" s="86" t="e">
        <f t="shared" si="55"/>
        <v>#DIV/0!</v>
      </c>
      <c r="J41" s="86" t="e">
        <f t="shared" si="55"/>
        <v>#DIV/0!</v>
      </c>
      <c r="K41" s="86" t="e">
        <f t="shared" si="55"/>
        <v>#DIV/0!</v>
      </c>
      <c r="L41" s="86" t="e">
        <f t="shared" si="55"/>
        <v>#DIV/0!</v>
      </c>
      <c r="M41" s="86" t="e">
        <f t="shared" si="55"/>
        <v>#DIV/0!</v>
      </c>
      <c r="N41" s="86" t="e">
        <f t="shared" si="55"/>
        <v>#DIV/0!</v>
      </c>
      <c r="O41" s="86" t="e">
        <f t="shared" si="55"/>
        <v>#DIV/0!</v>
      </c>
      <c r="P41" s="86">
        <f t="shared" ref="P41:W41" si="56">ROUND(P40*(P$159+P$163),2)</f>
        <v>0</v>
      </c>
      <c r="Q41" s="86">
        <f t="shared" si="56"/>
        <v>0</v>
      </c>
      <c r="R41" s="86">
        <f t="shared" si="56"/>
        <v>0</v>
      </c>
      <c r="S41" s="86">
        <f t="shared" si="56"/>
        <v>0</v>
      </c>
      <c r="T41" s="86">
        <f t="shared" si="56"/>
        <v>0</v>
      </c>
      <c r="U41" s="86">
        <f t="shared" si="56"/>
        <v>0</v>
      </c>
      <c r="V41" s="86">
        <f t="shared" si="56"/>
        <v>0</v>
      </c>
      <c r="W41" s="86">
        <f t="shared" si="56"/>
        <v>0</v>
      </c>
      <c r="X41" s="63" t="e">
        <f t="shared" si="54"/>
        <v>#DIV/0!</v>
      </c>
      <c r="Y41" s="75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</row>
    <row r="42" spans="1:59" x14ac:dyDescent="0.35">
      <c r="C42" s="9"/>
      <c r="D42" s="20" t="s">
        <v>91</v>
      </c>
      <c r="E42" s="21"/>
      <c r="F42" s="64">
        <f t="shared" ref="F42:O42" si="57">F33-F37</f>
        <v>367011.76363090891</v>
      </c>
      <c r="G42" s="64">
        <f t="shared" si="57"/>
        <v>782713.72045873664</v>
      </c>
      <c r="H42" s="64">
        <f t="shared" si="57"/>
        <v>1143020.3095474653</v>
      </c>
      <c r="I42" s="64">
        <f t="shared" si="57"/>
        <v>1469945.1591069223</v>
      </c>
      <c r="J42" s="64">
        <f t="shared" si="57"/>
        <v>1636817.1479217559</v>
      </c>
      <c r="K42" s="64">
        <f t="shared" si="57"/>
        <v>1676597.5273645977</v>
      </c>
      <c r="L42" s="64">
        <f t="shared" si="57"/>
        <v>1705453.3163538901</v>
      </c>
      <c r="M42" s="64">
        <f t="shared" si="57"/>
        <v>1731919.0309565049</v>
      </c>
      <c r="N42" s="64">
        <f t="shared" si="57"/>
        <v>1758626.2220438384</v>
      </c>
      <c r="O42" s="64">
        <f t="shared" si="57"/>
        <v>1785973.4780147951</v>
      </c>
      <c r="P42" s="64">
        <f t="shared" ref="P42:W42" si="58">P33-P37</f>
        <v>1812178.2490672246</v>
      </c>
      <c r="Q42" s="64">
        <f t="shared" si="58"/>
        <v>1838162.12360451</v>
      </c>
      <c r="R42" s="64">
        <f t="shared" si="58"/>
        <v>1874171.3409543689</v>
      </c>
      <c r="S42" s="64">
        <f t="shared" si="58"/>
        <v>1902560.5062688757</v>
      </c>
      <c r="T42" s="64">
        <f t="shared" si="58"/>
        <v>1930000.6663574316</v>
      </c>
      <c r="U42" s="64">
        <f t="shared" si="58"/>
        <v>1960374.797951702</v>
      </c>
      <c r="V42" s="64">
        <f t="shared" si="58"/>
        <v>1986068.7209795956</v>
      </c>
      <c r="W42" s="64">
        <f t="shared" si="58"/>
        <v>2016690.9836370684</v>
      </c>
      <c r="X42" s="29">
        <f t="shared" si="54"/>
        <v>29011273.300589282</v>
      </c>
      <c r="Y42" s="3" t="e">
        <f>X43-X41</f>
        <v>#DIV/0!</v>
      </c>
      <c r="Z42" s="3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</row>
    <row r="43" spans="1:59" x14ac:dyDescent="0.35">
      <c r="C43" s="9"/>
      <c r="D43" s="22" t="s">
        <v>92</v>
      </c>
      <c r="E43" s="14"/>
      <c r="F43" s="64" t="e">
        <f>F34-F38</f>
        <v>#DIV/0!</v>
      </c>
      <c r="G43" s="64" t="e">
        <f t="shared" ref="G43:O43" si="59">G34-G38</f>
        <v>#DIV/0!</v>
      </c>
      <c r="H43" s="64" t="e">
        <f t="shared" si="59"/>
        <v>#DIV/0!</v>
      </c>
      <c r="I43" s="64" t="e">
        <f t="shared" si="59"/>
        <v>#DIV/0!</v>
      </c>
      <c r="J43" s="64" t="e">
        <f t="shared" si="59"/>
        <v>#DIV/0!</v>
      </c>
      <c r="K43" s="64" t="e">
        <f t="shared" si="59"/>
        <v>#DIV/0!</v>
      </c>
      <c r="L43" s="64" t="e">
        <f t="shared" si="59"/>
        <v>#DIV/0!</v>
      </c>
      <c r="M43" s="64" t="e">
        <f t="shared" si="59"/>
        <v>#DIV/0!</v>
      </c>
      <c r="N43" s="64" t="e">
        <f t="shared" si="59"/>
        <v>#DIV/0!</v>
      </c>
      <c r="O43" s="64" t="e">
        <f t="shared" si="59"/>
        <v>#DIV/0!</v>
      </c>
      <c r="P43" s="64">
        <f t="shared" ref="P43:W43" si="60">P34-P38</f>
        <v>2321342.8027171688</v>
      </c>
      <c r="Q43" s="64">
        <f t="shared" si="60"/>
        <v>2360608.466372048</v>
      </c>
      <c r="R43" s="64">
        <f t="shared" si="60"/>
        <v>2414144.2227338413</v>
      </c>
      <c r="S43" s="64">
        <f t="shared" si="60"/>
        <v>2458210.5541032236</v>
      </c>
      <c r="T43" s="64">
        <f t="shared" si="60"/>
        <v>2500759.0901301466</v>
      </c>
      <c r="U43" s="64">
        <f t="shared" si="60"/>
        <v>2548249.7780031934</v>
      </c>
      <c r="V43" s="64">
        <f t="shared" si="60"/>
        <v>2590010.8537299391</v>
      </c>
      <c r="W43" s="64">
        <f t="shared" si="60"/>
        <v>2638397.2806320582</v>
      </c>
      <c r="X43" s="82" t="e">
        <f t="shared" si="54"/>
        <v>#DIV/0!</v>
      </c>
      <c r="Y43" s="3" t="e">
        <f>X43-X42</f>
        <v>#DIV/0!</v>
      </c>
      <c r="AA43" s="75"/>
      <c r="AB43" s="90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</row>
    <row r="44" spans="1:59" s="74" customFormat="1" x14ac:dyDescent="0.35">
      <c r="A44" s="73"/>
      <c r="C44" s="76"/>
      <c r="D44" s="22" t="s">
        <v>244</v>
      </c>
      <c r="E44" s="14"/>
      <c r="F44" s="64" t="e">
        <f>((F43-F42-F41)/(F36-F13))/((F43-F42-F41)/(F36-F13)+(F43-F42-F41)/(F35-F17))*(F43-F42-F41)</f>
        <v>#DIV/0!</v>
      </c>
      <c r="G44" s="64" t="e">
        <f t="shared" ref="G44:O44" si="61">((G43-G42-G41)/(G36-G13))/((G43-G42-G41)/(G36-G13)+(G43-G42-G41)/(G35-G17))*(G43-G42-G41)</f>
        <v>#DIV/0!</v>
      </c>
      <c r="H44" s="64" t="e">
        <f t="shared" si="61"/>
        <v>#DIV/0!</v>
      </c>
      <c r="I44" s="64" t="e">
        <f t="shared" si="61"/>
        <v>#DIV/0!</v>
      </c>
      <c r="J44" s="64" t="e">
        <f t="shared" si="61"/>
        <v>#DIV/0!</v>
      </c>
      <c r="K44" s="64" t="e">
        <f t="shared" si="61"/>
        <v>#DIV/0!</v>
      </c>
      <c r="L44" s="64" t="e">
        <f t="shared" si="61"/>
        <v>#DIV/0!</v>
      </c>
      <c r="M44" s="64" t="e">
        <f t="shared" si="61"/>
        <v>#DIV/0!</v>
      </c>
      <c r="N44" s="64" t="e">
        <f t="shared" si="61"/>
        <v>#DIV/0!</v>
      </c>
      <c r="O44" s="64" t="e">
        <f t="shared" si="61"/>
        <v>#DIV/0!</v>
      </c>
      <c r="P44" s="64">
        <f t="shared" ref="P44:W44" si="62">((P43-P42-P41)/(P36-P13))/((P43-P42-P41)/(P36-P13)+(P43-P42-P41)/(P35-P17))*(P43-P42-P41)</f>
        <v>175645.51351890105</v>
      </c>
      <c r="Q44" s="64">
        <f t="shared" si="62"/>
        <v>173338.1088511165</v>
      </c>
      <c r="R44" s="64">
        <f t="shared" si="62"/>
        <v>169230.08376211123</v>
      </c>
      <c r="S44" s="64">
        <f t="shared" si="62"/>
        <v>167081.45724198359</v>
      </c>
      <c r="T44" s="64">
        <f t="shared" si="62"/>
        <v>166285.59792527536</v>
      </c>
      <c r="U44" s="64">
        <f t="shared" si="62"/>
        <v>165116.66805796008</v>
      </c>
      <c r="V44" s="64">
        <f t="shared" si="62"/>
        <v>165086.64777939225</v>
      </c>
      <c r="W44" s="64">
        <f t="shared" si="62"/>
        <v>165014.28046597287</v>
      </c>
      <c r="X44" s="82" t="e">
        <f t="shared" si="54"/>
        <v>#DIV/0!</v>
      </c>
      <c r="Y44" s="75" t="e">
        <f>Y43-X41</f>
        <v>#DIV/0!</v>
      </c>
    </row>
    <row r="45" spans="1:59" s="74" customFormat="1" x14ac:dyDescent="0.35">
      <c r="A45" s="73"/>
      <c r="C45" s="76"/>
      <c r="D45" s="22" t="s">
        <v>245</v>
      </c>
      <c r="E45" s="14"/>
      <c r="F45" s="64" t="e">
        <f t="shared" ref="F45:N45" si="63">(((F43-F42-F41)/(F35-F17))/((F43-F42-F41)/(F36-F13)+(F43-F42-F41)/(F35-F17)))*(F43-F42-F41)</f>
        <v>#DIV/0!</v>
      </c>
      <c r="G45" s="64" t="e">
        <f t="shared" si="63"/>
        <v>#DIV/0!</v>
      </c>
      <c r="H45" s="64" t="e">
        <f t="shared" si="63"/>
        <v>#DIV/0!</v>
      </c>
      <c r="I45" s="64" t="e">
        <f t="shared" si="63"/>
        <v>#DIV/0!</v>
      </c>
      <c r="J45" s="64" t="e">
        <f t="shared" si="63"/>
        <v>#DIV/0!</v>
      </c>
      <c r="K45" s="64" t="e">
        <f t="shared" si="63"/>
        <v>#DIV/0!</v>
      </c>
      <c r="L45" s="64" t="e">
        <f t="shared" si="63"/>
        <v>#DIV/0!</v>
      </c>
      <c r="M45" s="64" t="e">
        <f t="shared" si="63"/>
        <v>#DIV/0!</v>
      </c>
      <c r="N45" s="64" t="e">
        <f t="shared" si="63"/>
        <v>#DIV/0!</v>
      </c>
      <c r="O45" s="64" t="e">
        <f>(((O43-O42-O41)/(O35-O17))/((O43-O42-O41)/(O36-O13)+(O43-O42-O41)/(O35-O17)))*(O43-O42-O41)</f>
        <v>#DIV/0!</v>
      </c>
      <c r="P45" s="64">
        <f t="shared" ref="P45:W45" si="64">(((P43-P42-P41)/(P35-P17))/((P43-P42-P41)/(P36-P13)+(P43-P42-P41)/(P35-P17)))*(P43-P42-P41)</f>
        <v>333519.04013104318</v>
      </c>
      <c r="Q45" s="64">
        <f t="shared" si="64"/>
        <v>349108.23391642154</v>
      </c>
      <c r="R45" s="64">
        <f t="shared" si="64"/>
        <v>370742.79801736108</v>
      </c>
      <c r="S45" s="64">
        <f t="shared" si="64"/>
        <v>388568.59059236437</v>
      </c>
      <c r="T45" s="64">
        <f t="shared" si="64"/>
        <v>404472.82584743964</v>
      </c>
      <c r="U45" s="64">
        <f t="shared" si="64"/>
        <v>422758.31199353136</v>
      </c>
      <c r="V45" s="64">
        <f t="shared" si="64"/>
        <v>438855.48497095134</v>
      </c>
      <c r="W45" s="64">
        <f t="shared" si="64"/>
        <v>456692.01652901684</v>
      </c>
      <c r="X45" s="82" t="e">
        <f t="shared" si="54"/>
        <v>#DIV/0!</v>
      </c>
      <c r="Y45" s="75"/>
      <c r="Z45" s="75"/>
    </row>
    <row r="46" spans="1:59" x14ac:dyDescent="0.35">
      <c r="C46" s="10">
        <v>2</v>
      </c>
      <c r="D46" s="11" t="s">
        <v>93</v>
      </c>
      <c r="E46" s="12" t="s">
        <v>10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79"/>
      <c r="Q46" s="79"/>
      <c r="R46" s="79"/>
      <c r="S46" s="79"/>
      <c r="T46" s="79"/>
      <c r="U46" s="79"/>
      <c r="V46" s="79"/>
      <c r="W46" s="79"/>
      <c r="X46" s="12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</row>
    <row r="47" spans="1:59" x14ac:dyDescent="0.35">
      <c r="C47" s="13"/>
      <c r="D47" s="20" t="s">
        <v>84</v>
      </c>
      <c r="E47" s="21"/>
      <c r="F47" s="29">
        <f>'ФинРез и инд-ры ВУЗ'!EG19</f>
        <v>7653.3830532510765</v>
      </c>
      <c r="G47" s="82">
        <f>'ФинРез и инд-ры ВУЗ'!EH19</f>
        <v>499458.07613578113</v>
      </c>
      <c r="H47" s="82">
        <f>'ФинРез и инд-ры ВУЗ'!EI19</f>
        <v>507301.9141812115</v>
      </c>
      <c r="I47" s="82">
        <f>'ФинРез и инд-ры ВУЗ'!EJ19</f>
        <v>562705.21711058775</v>
      </c>
      <c r="J47" s="82">
        <f>'ФинРез и инд-ры ВУЗ'!EK19</f>
        <v>572588.70760101173</v>
      </c>
      <c r="K47" s="82">
        <f>'ФинРез и инд-ры ВУЗ'!EL19</f>
        <v>582615.04334717197</v>
      </c>
      <c r="L47" s="82">
        <f>'ФинРез и инд-ры ВУЗ'!EM19</f>
        <v>592784.8882720219</v>
      </c>
      <c r="M47" s="82">
        <f>'ФинРез и инд-ры ВУЗ'!EN19</f>
        <v>603098.83185768407</v>
      </c>
      <c r="N47" s="82">
        <f>'ФинРез и инд-ры ВУЗ'!EO19</f>
        <v>613557.38414786849</v>
      </c>
      <c r="O47" s="82">
        <f>'ФинРез и инд-ры ВУЗ'!EP19</f>
        <v>624160.97050997848</v>
      </c>
      <c r="P47" s="82">
        <f>'ФинРез и инд-ры ВУЗ'!EQ19</f>
        <v>634909.92614649609</v>
      </c>
      <c r="Q47" s="82">
        <f>'ФинРез и инд-ры ВУЗ'!ER19</f>
        <v>645804.49034479819</v>
      </c>
      <c r="R47" s="82">
        <f>'ФинРез и инд-ры ВУЗ'!ES19</f>
        <v>656844.8004540801</v>
      </c>
      <c r="S47" s="82">
        <f>'ФинРез и инд-ры ВУЗ'!ET19</f>
        <v>668030.88557764329</v>
      </c>
      <c r="T47" s="82">
        <f>'ФинРез и инд-ры ВУЗ'!EU19</f>
        <v>679362.65996825509</v>
      </c>
      <c r="U47" s="82">
        <f>'ФинРез и инд-ры ВУЗ'!EV19</f>
        <v>690839.91611384414</v>
      </c>
      <c r="V47" s="82">
        <f>'ФинРез и инд-ры ВУЗ'!EW19</f>
        <v>702462.31750019267</v>
      </c>
      <c r="W47" s="82">
        <f>'ФинРез и инд-ры ВУЗ'!EX19</f>
        <v>714229.39103683177</v>
      </c>
      <c r="X47" s="29">
        <f>SUM(G47:W47)</f>
        <v>10550755.420305457</v>
      </c>
      <c r="AP47" s="74"/>
      <c r="AQ47" s="74"/>
      <c r="AR47" s="74"/>
    </row>
    <row r="48" spans="1:59" ht="18.5" thickBot="1" x14ac:dyDescent="0.4">
      <c r="C48" s="13"/>
      <c r="D48" s="22" t="s">
        <v>86</v>
      </c>
      <c r="E48" s="58">
        <v>1</v>
      </c>
      <c r="F48" s="29">
        <f>F62*F60</f>
        <v>7653.3830532510765</v>
      </c>
      <c r="G48" s="82">
        <f t="shared" ref="G48:O48" si="65">G62*G60</f>
        <v>499458.07613578113</v>
      </c>
      <c r="H48" s="82">
        <f t="shared" si="65"/>
        <v>507301.9141812115</v>
      </c>
      <c r="I48" s="82">
        <f t="shared" si="65"/>
        <v>562705.21711058775</v>
      </c>
      <c r="J48" s="82">
        <f t="shared" si="65"/>
        <v>572588.70760101173</v>
      </c>
      <c r="K48" s="82">
        <f t="shared" si="65"/>
        <v>582615.04334717197</v>
      </c>
      <c r="L48" s="82">
        <f t="shared" si="65"/>
        <v>592784.8882720219</v>
      </c>
      <c r="M48" s="82">
        <f t="shared" si="65"/>
        <v>603098.83185768407</v>
      </c>
      <c r="N48" s="82">
        <f t="shared" si="65"/>
        <v>613557.38414786849</v>
      </c>
      <c r="O48" s="82">
        <f t="shared" si="65"/>
        <v>624160.97050997848</v>
      </c>
      <c r="P48" s="82">
        <f t="shared" ref="P48:W48" si="66">P62*P60</f>
        <v>634909.92614649609</v>
      </c>
      <c r="Q48" s="82">
        <f t="shared" si="66"/>
        <v>645804.49034479819</v>
      </c>
      <c r="R48" s="82">
        <f t="shared" si="66"/>
        <v>656844.8004540801</v>
      </c>
      <c r="S48" s="82">
        <f t="shared" si="66"/>
        <v>668030.88557764329</v>
      </c>
      <c r="T48" s="82">
        <f t="shared" si="66"/>
        <v>679362.65996825509</v>
      </c>
      <c r="U48" s="82">
        <f t="shared" si="66"/>
        <v>690839.91611384414</v>
      </c>
      <c r="V48" s="82">
        <f t="shared" si="66"/>
        <v>702462.31750019267</v>
      </c>
      <c r="W48" s="82">
        <f t="shared" si="66"/>
        <v>714229.39103683177</v>
      </c>
      <c r="X48" s="29">
        <f>SUM(G48:W48)</f>
        <v>10550755.420305457</v>
      </c>
      <c r="AA48" s="3"/>
      <c r="AB48" s="74"/>
      <c r="AC48" s="74"/>
      <c r="AD48" s="172"/>
      <c r="AE48" s="185">
        <v>0.9</v>
      </c>
      <c r="AF48" s="186">
        <v>0.92</v>
      </c>
      <c r="AG48" s="186">
        <v>0.94</v>
      </c>
      <c r="AH48" s="186">
        <v>0.96</v>
      </c>
      <c r="AI48" s="186">
        <v>0.98</v>
      </c>
      <c r="AJ48" s="186">
        <v>1</v>
      </c>
      <c r="AK48" s="186">
        <v>1.02</v>
      </c>
      <c r="AL48" s="186">
        <v>1.04</v>
      </c>
      <c r="AM48" s="186">
        <v>1.06</v>
      </c>
      <c r="AN48" s="186">
        <v>1.08</v>
      </c>
      <c r="AO48" s="186">
        <v>1.1000000000000001</v>
      </c>
      <c r="AP48" s="186">
        <v>1.1200000000000001</v>
      </c>
      <c r="AQ48" s="187">
        <v>1.1399999999999999</v>
      </c>
      <c r="AR48" s="74"/>
    </row>
    <row r="49" spans="3:44" ht="18.5" thickBot="1" x14ac:dyDescent="0.4">
      <c r="C49" s="13"/>
      <c r="D49" s="23" t="s">
        <v>195</v>
      </c>
      <c r="E49" s="14"/>
      <c r="F49" s="65">
        <f t="shared" ref="F49:O49" si="67">F54/F47</f>
        <v>0.9199999999999976</v>
      </c>
      <c r="G49" s="65">
        <f t="shared" si="67"/>
        <v>0.91999999999999849</v>
      </c>
      <c r="H49" s="65">
        <f t="shared" si="67"/>
        <v>0.92000000000000104</v>
      </c>
      <c r="I49" s="65">
        <f t="shared" si="67"/>
        <v>0.92000000000000015</v>
      </c>
      <c r="J49" s="65">
        <f t="shared" si="67"/>
        <v>0.92000000000000093</v>
      </c>
      <c r="K49" s="65">
        <f t="shared" si="67"/>
        <v>0.92</v>
      </c>
      <c r="L49" s="65">
        <f t="shared" si="67"/>
        <v>0.91999999999999993</v>
      </c>
      <c r="M49" s="65">
        <f t="shared" si="67"/>
        <v>0.91999999999999937</v>
      </c>
      <c r="N49" s="65">
        <f t="shared" si="67"/>
        <v>0.91999999999999937</v>
      </c>
      <c r="O49" s="65">
        <f t="shared" si="67"/>
        <v>0.92</v>
      </c>
      <c r="P49" s="65">
        <f t="shared" ref="P49:W49" si="68">P54/P47</f>
        <v>0.9199999999999986</v>
      </c>
      <c r="Q49" s="65">
        <f t="shared" si="68"/>
        <v>0.91999999999999948</v>
      </c>
      <c r="R49" s="65">
        <f t="shared" si="68"/>
        <v>0.91999999999999982</v>
      </c>
      <c r="S49" s="65">
        <f t="shared" si="68"/>
        <v>0.91999999999999993</v>
      </c>
      <c r="T49" s="65">
        <f t="shared" si="68"/>
        <v>0.91999999999999926</v>
      </c>
      <c r="U49" s="65">
        <f t="shared" si="68"/>
        <v>0.91999999999999982</v>
      </c>
      <c r="V49" s="65">
        <f t="shared" si="68"/>
        <v>0.92000000000000126</v>
      </c>
      <c r="W49" s="65">
        <f t="shared" si="68"/>
        <v>0.91999999999999971</v>
      </c>
      <c r="AB49" s="74"/>
      <c r="AC49" s="74"/>
      <c r="AD49" s="192">
        <f>ROUND(X62/1000,2)</f>
        <v>5.57</v>
      </c>
      <c r="AE49" s="181">
        <f t="dataTable" ref="AE49:AQ49" dt2D="0" dtr="1" r1="E62" ca="1"/>
        <v>5.0199999999999996</v>
      </c>
      <c r="AF49" s="181">
        <v>5.13</v>
      </c>
      <c r="AG49" s="181">
        <v>5.24</v>
      </c>
      <c r="AH49" s="181">
        <v>5.35</v>
      </c>
      <c r="AI49" s="181">
        <v>5.46</v>
      </c>
      <c r="AJ49" s="181">
        <v>5.57</v>
      </c>
      <c r="AK49" s="181">
        <v>5.68</v>
      </c>
      <c r="AL49" s="181">
        <v>5.8</v>
      </c>
      <c r="AM49" s="181">
        <v>5.91</v>
      </c>
      <c r="AN49" s="181">
        <v>6.02</v>
      </c>
      <c r="AO49" s="181">
        <v>6.13</v>
      </c>
      <c r="AP49" s="181">
        <v>6.24</v>
      </c>
      <c r="AQ49" s="182">
        <v>6.35</v>
      </c>
      <c r="AR49" s="74"/>
    </row>
    <row r="50" spans="3:44" ht="18.5" thickBot="1" x14ac:dyDescent="0.4">
      <c r="C50" s="13"/>
      <c r="D50" s="114" t="s">
        <v>229</v>
      </c>
      <c r="E50" s="14"/>
      <c r="F50" s="115">
        <f>ROUNDUP('ФинРез и инд-ры ВУЗ'!EG95+'ФинРез и инд-ры ВУЗ'!EG99,0)</f>
        <v>7</v>
      </c>
      <c r="G50" s="115">
        <f>ROUNDUP('ФинРез и инд-ры ВУЗ'!EH95+'ФинРез и инд-ры ВУЗ'!EH99,0)</f>
        <v>43</v>
      </c>
      <c r="H50" s="115">
        <f>ROUNDUP('ФинРез и инд-ры ВУЗ'!EI95+'ФинРез и инд-ры ВУЗ'!EI99,0)</f>
        <v>60</v>
      </c>
      <c r="I50" s="115">
        <f>ROUNDUP('ФинРез и инд-ры ВУЗ'!EJ95+'ФинРез и инд-ры ВУЗ'!EJ99,0)</f>
        <v>77</v>
      </c>
      <c r="J50" s="115">
        <f>ROUNDUP('ФинРез и инд-ры ВУЗ'!EK95+'ФинРез и инд-ры ВУЗ'!EK99,0)</f>
        <v>87</v>
      </c>
      <c r="K50" s="115">
        <f>ROUNDUP('ФинРез и инд-ры ВУЗ'!EL95+'ФинРез и инд-ры ВУЗ'!EL99,0)</f>
        <v>92</v>
      </c>
      <c r="L50" s="115">
        <f>ROUNDUP('ФинРез и инд-ры ВУЗ'!EM95+'ФинРез и инд-ры ВУЗ'!EM99,0)</f>
        <v>97</v>
      </c>
      <c r="M50" s="115">
        <f>ROUNDUP('ФинРез и инд-ры ВУЗ'!EN95+'ФинРез и инд-ры ВУЗ'!EN99,0)</f>
        <v>102</v>
      </c>
      <c r="N50" s="115">
        <f>ROUNDUP('ФинРез и инд-ры ВУЗ'!EO95+'ФинРез и инд-ры ВУЗ'!EO99,0)</f>
        <v>107</v>
      </c>
      <c r="O50" s="115">
        <f>ROUNDUP('ФинРез и инд-ры ВУЗ'!EP95+'ФинРез и инд-ры ВУЗ'!EP99,0)</f>
        <v>112</v>
      </c>
      <c r="P50" s="115">
        <f>ROUNDUP('ФинРез и инд-ры ВУЗ'!EQ95+'ФинРез и инд-ры ВУЗ'!EQ99,0)</f>
        <v>117</v>
      </c>
      <c r="Q50" s="115">
        <f>ROUNDUP('ФинРез и инд-ры ВУЗ'!ER95+'ФинРез и инд-ры ВУЗ'!ER99,0)</f>
        <v>121</v>
      </c>
      <c r="R50" s="115">
        <f>ROUNDUP('ФинРез и инд-ры ВУЗ'!ES95+'ФинРез и инд-ры ВУЗ'!ES99,0)</f>
        <v>128</v>
      </c>
      <c r="S50" s="115">
        <f>ROUNDUP('ФинРез и инд-ры ВУЗ'!ET95+'ФинРез и инд-ры ВУЗ'!ET99,0)</f>
        <v>133</v>
      </c>
      <c r="T50" s="115">
        <f>ROUNDUP('ФинРез и инд-ры ВУЗ'!EU95+'ФинРез и инд-ры ВУЗ'!EU99,0)</f>
        <v>138</v>
      </c>
      <c r="U50" s="115">
        <f>ROUNDUP('ФинРез и инд-ры ВУЗ'!EV95+'ФинРез и инд-ры ВУЗ'!EV99,0)</f>
        <v>143</v>
      </c>
      <c r="V50" s="115">
        <f>ROUNDUP('ФинРез и инд-ры ВУЗ'!EW95+'ФинРез и инд-ры ВУЗ'!EW99,0)</f>
        <v>148</v>
      </c>
      <c r="W50" s="115">
        <f>ROUNDUP('ФинРез и инд-ры ВУЗ'!EX95+'ФинРез и инд-ры ВУЗ'!EX99,0)</f>
        <v>153</v>
      </c>
      <c r="AB50" s="172"/>
      <c r="AC50" s="191">
        <f>O60</f>
        <v>112</v>
      </c>
      <c r="AD50" s="184" t="e">
        <f>(X64-X58)/1000000</f>
        <v>#DIV/0!</v>
      </c>
      <c r="AE50" s="186">
        <f>AE48</f>
        <v>0.9</v>
      </c>
      <c r="AF50" s="186">
        <f t="shared" ref="AF50:AQ50" si="69">AF48</f>
        <v>0.92</v>
      </c>
      <c r="AG50" s="186">
        <f t="shared" si="69"/>
        <v>0.94</v>
      </c>
      <c r="AH50" s="186">
        <f t="shared" si="69"/>
        <v>0.96</v>
      </c>
      <c r="AI50" s="186">
        <f t="shared" si="69"/>
        <v>0.98</v>
      </c>
      <c r="AJ50" s="186">
        <f t="shared" si="69"/>
        <v>1</v>
      </c>
      <c r="AK50" s="186">
        <f t="shared" si="69"/>
        <v>1.02</v>
      </c>
      <c r="AL50" s="186">
        <f t="shared" si="69"/>
        <v>1.04</v>
      </c>
      <c r="AM50" s="186">
        <f t="shared" si="69"/>
        <v>1.06</v>
      </c>
      <c r="AN50" s="186">
        <f t="shared" si="69"/>
        <v>1.08</v>
      </c>
      <c r="AO50" s="186">
        <f t="shared" si="69"/>
        <v>1.1000000000000001</v>
      </c>
      <c r="AP50" s="186">
        <f t="shared" si="69"/>
        <v>1.1200000000000001</v>
      </c>
      <c r="AQ50" s="187">
        <f t="shared" si="69"/>
        <v>1.1399999999999999</v>
      </c>
    </row>
    <row r="51" spans="3:44" x14ac:dyDescent="0.35">
      <c r="C51" s="13"/>
      <c r="D51" s="114" t="s">
        <v>230</v>
      </c>
      <c r="E51" s="14"/>
      <c r="F51" s="116">
        <f>F47/F50</f>
        <v>1093.3404361787252</v>
      </c>
      <c r="G51" s="116">
        <f t="shared" ref="G51:O51" si="70">G47/G50</f>
        <v>11615.304096180957</v>
      </c>
      <c r="H51" s="116">
        <f t="shared" si="70"/>
        <v>8455.0319030201917</v>
      </c>
      <c r="I51" s="116">
        <f t="shared" si="70"/>
        <v>7307.859962475166</v>
      </c>
      <c r="J51" s="116">
        <f t="shared" si="70"/>
        <v>6581.4793977127783</v>
      </c>
      <c r="K51" s="116">
        <f t="shared" si="70"/>
        <v>6332.7722102953476</v>
      </c>
      <c r="L51" s="116">
        <f t="shared" si="70"/>
        <v>6111.1844151754831</v>
      </c>
      <c r="M51" s="116">
        <f t="shared" si="70"/>
        <v>5912.7336456635694</v>
      </c>
      <c r="N51" s="116">
        <f t="shared" si="70"/>
        <v>5734.181160260453</v>
      </c>
      <c r="O51" s="116">
        <f t="shared" si="70"/>
        <v>5572.8658081248077</v>
      </c>
      <c r="P51" s="116">
        <f t="shared" ref="P51:W51" si="71">P47/P50</f>
        <v>5426.5805653546677</v>
      </c>
      <c r="Q51" s="116">
        <f t="shared" si="71"/>
        <v>5337.2271929322169</v>
      </c>
      <c r="R51" s="116">
        <f t="shared" si="71"/>
        <v>5131.6000035475008</v>
      </c>
      <c r="S51" s="116">
        <f t="shared" si="71"/>
        <v>5022.7886133657394</v>
      </c>
      <c r="T51" s="116">
        <f t="shared" si="71"/>
        <v>4922.9178258569209</v>
      </c>
      <c r="U51" s="116">
        <f t="shared" si="71"/>
        <v>4831.0483644324768</v>
      </c>
      <c r="V51" s="116">
        <f t="shared" si="71"/>
        <v>4746.3670101364369</v>
      </c>
      <c r="W51" s="116">
        <f t="shared" si="71"/>
        <v>4668.1659544890963</v>
      </c>
      <c r="AB51" s="188">
        <v>0.9</v>
      </c>
      <c r="AC51" s="173">
        <f t="dataTable" ref="AC51:AC63" dt2D="0" dtr="0" r1="E60" ca="1"/>
        <v>101</v>
      </c>
      <c r="AD51" s="189">
        <f>AB51</f>
        <v>0.9</v>
      </c>
      <c r="AE51" s="177" t="e">
        <f t="dataTable" ref="AE51:AQ63" dt2D="1" dtr="1" r1="E62" r2="E60" ca="1"/>
        <v>#DIV/0!</v>
      </c>
      <c r="AF51" s="178" t="e">
        <v>#DIV/0!</v>
      </c>
      <c r="AG51" s="178" t="e">
        <v>#DIV/0!</v>
      </c>
      <c r="AH51" s="178" t="e">
        <v>#DIV/0!</v>
      </c>
      <c r="AI51" s="178" t="e">
        <v>#DIV/0!</v>
      </c>
      <c r="AJ51" s="178" t="e">
        <v>#DIV/0!</v>
      </c>
      <c r="AK51" s="178" t="e">
        <v>#DIV/0!</v>
      </c>
      <c r="AL51" s="178" t="e">
        <v>#DIV/0!</v>
      </c>
      <c r="AM51" s="178" t="e">
        <v>#DIV/0!</v>
      </c>
      <c r="AN51" s="178" t="e">
        <v>#DIV/0!</v>
      </c>
      <c r="AO51" s="178" t="e">
        <v>#DIV/0!</v>
      </c>
      <c r="AP51" s="178" t="e">
        <v>#DIV/0!</v>
      </c>
      <c r="AQ51" s="179" t="e">
        <v>#DIV/0!</v>
      </c>
    </row>
    <row r="52" spans="3:44" x14ac:dyDescent="0.35">
      <c r="C52" s="13"/>
      <c r="D52" s="114" t="s">
        <v>231</v>
      </c>
      <c r="E52" s="14"/>
      <c r="F52" s="116">
        <f>F54/F50</f>
        <v>1005.8732012844246</v>
      </c>
      <c r="G52" s="116">
        <f t="shared" ref="G52:O52" si="72">G54/G50</f>
        <v>10686.079768486461</v>
      </c>
      <c r="H52" s="116">
        <f t="shared" si="72"/>
        <v>7778.6293507785849</v>
      </c>
      <c r="I52" s="116">
        <f t="shared" si="72"/>
        <v>6723.2311654771529</v>
      </c>
      <c r="J52" s="116">
        <f t="shared" si="72"/>
        <v>6054.9610458957623</v>
      </c>
      <c r="K52" s="116">
        <f t="shared" si="72"/>
        <v>5826.1504334717201</v>
      </c>
      <c r="L52" s="116">
        <f t="shared" si="72"/>
        <v>5622.2896619614448</v>
      </c>
      <c r="M52" s="116">
        <f t="shared" si="72"/>
        <v>5439.7149540104801</v>
      </c>
      <c r="N52" s="116">
        <f t="shared" si="72"/>
        <v>5275.4466674396135</v>
      </c>
      <c r="O52" s="116">
        <f t="shared" si="72"/>
        <v>5127.0365434748237</v>
      </c>
      <c r="P52" s="116">
        <f t="shared" ref="P52:W52" si="73">P54/P50</f>
        <v>4992.4541201262864</v>
      </c>
      <c r="Q52" s="116">
        <f t="shared" si="73"/>
        <v>4910.2490174976365</v>
      </c>
      <c r="R52" s="116">
        <f t="shared" si="73"/>
        <v>4721.0720032637</v>
      </c>
      <c r="S52" s="116">
        <f t="shared" si="73"/>
        <v>4620.9655242964791</v>
      </c>
      <c r="T52" s="116">
        <f t="shared" si="73"/>
        <v>4529.084399788364</v>
      </c>
      <c r="U52" s="116">
        <f t="shared" si="73"/>
        <v>4444.5644952778775</v>
      </c>
      <c r="V52" s="116">
        <f t="shared" si="73"/>
        <v>4366.6576493255279</v>
      </c>
      <c r="W52" s="116">
        <f t="shared" si="73"/>
        <v>4294.7126781299676</v>
      </c>
      <c r="AB52" s="189">
        <v>0.92</v>
      </c>
      <c r="AC52" s="173">
        <v>104</v>
      </c>
      <c r="AD52" s="189">
        <f t="shared" ref="AD52:AD63" si="74">AB52</f>
        <v>0.92</v>
      </c>
      <c r="AE52" s="180" t="e">
        <v>#DIV/0!</v>
      </c>
      <c r="AF52" s="181" t="e">
        <v>#DIV/0!</v>
      </c>
      <c r="AG52" s="181" t="e">
        <v>#DIV/0!</v>
      </c>
      <c r="AH52" s="181" t="e">
        <v>#DIV/0!</v>
      </c>
      <c r="AI52" s="181" t="e">
        <v>#DIV/0!</v>
      </c>
      <c r="AJ52" s="181" t="e">
        <v>#DIV/0!</v>
      </c>
      <c r="AK52" s="181" t="e">
        <v>#DIV/0!</v>
      </c>
      <c r="AL52" s="181" t="e">
        <v>#DIV/0!</v>
      </c>
      <c r="AM52" s="181" t="e">
        <v>#DIV/0!</v>
      </c>
      <c r="AN52" s="181" t="e">
        <v>#DIV/0!</v>
      </c>
      <c r="AO52" s="181" t="e">
        <v>#DIV/0!</v>
      </c>
      <c r="AP52" s="181" t="e">
        <v>#DIV/0!</v>
      </c>
      <c r="AQ52" s="182" t="e">
        <v>#DIV/0!</v>
      </c>
    </row>
    <row r="53" spans="3:44" x14ac:dyDescent="0.35">
      <c r="C53" s="13"/>
      <c r="D53" s="20" t="s">
        <v>89</v>
      </c>
      <c r="E53" s="21"/>
      <c r="F53" s="29">
        <f>F54+F55</f>
        <v>7041.1124089909717</v>
      </c>
      <c r="G53" s="29">
        <f t="shared" ref="G53:O53" si="75">G54+G55</f>
        <v>459501.43004491786</v>
      </c>
      <c r="H53" s="29">
        <f t="shared" si="75"/>
        <v>466717.76104671508</v>
      </c>
      <c r="I53" s="29">
        <f t="shared" si="75"/>
        <v>517688.7997417408</v>
      </c>
      <c r="J53" s="29">
        <f t="shared" si="75"/>
        <v>526781.6109929313</v>
      </c>
      <c r="K53" s="29">
        <f t="shared" si="75"/>
        <v>536005.83987939823</v>
      </c>
      <c r="L53" s="29">
        <f t="shared" si="75"/>
        <v>545362.09721026011</v>
      </c>
      <c r="M53" s="29">
        <f t="shared" si="75"/>
        <v>554850.92530906899</v>
      </c>
      <c r="N53" s="29">
        <f t="shared" si="75"/>
        <v>564472.79341603862</v>
      </c>
      <c r="O53" s="29">
        <f t="shared" si="75"/>
        <v>574228.09286918025</v>
      </c>
      <c r="P53" s="82">
        <f t="shared" ref="P53:W53" si="76">P54+P55</f>
        <v>584117.13205477549</v>
      </c>
      <c r="Q53" s="82">
        <f t="shared" si="76"/>
        <v>594140.13111721398</v>
      </c>
      <c r="R53" s="82">
        <f t="shared" si="76"/>
        <v>604297.2164177536</v>
      </c>
      <c r="S53" s="82">
        <f t="shared" si="76"/>
        <v>614588.41473143175</v>
      </c>
      <c r="T53" s="82">
        <f t="shared" si="76"/>
        <v>625013.6471707942</v>
      </c>
      <c r="U53" s="82">
        <f t="shared" si="76"/>
        <v>635572.7228247365</v>
      </c>
      <c r="V53" s="82">
        <f t="shared" si="76"/>
        <v>646265.33210017812</v>
      </c>
      <c r="W53" s="82">
        <f t="shared" si="76"/>
        <v>657091.03975388501</v>
      </c>
      <c r="X53" s="29">
        <f>SUM(G53:W53)</f>
        <v>9706694.986681018</v>
      </c>
      <c r="AB53" s="189">
        <v>0.94</v>
      </c>
      <c r="AC53" s="173">
        <v>106</v>
      </c>
      <c r="AD53" s="189">
        <f t="shared" si="74"/>
        <v>0.94</v>
      </c>
      <c r="AE53" s="180" t="e">
        <v>#DIV/0!</v>
      </c>
      <c r="AF53" s="181" t="e">
        <v>#DIV/0!</v>
      </c>
      <c r="AG53" s="181" t="e">
        <v>#DIV/0!</v>
      </c>
      <c r="AH53" s="181" t="e">
        <v>#DIV/0!</v>
      </c>
      <c r="AI53" s="181" t="e">
        <v>#DIV/0!</v>
      </c>
      <c r="AJ53" s="181" t="e">
        <v>#DIV/0!</v>
      </c>
      <c r="AK53" s="181" t="e">
        <v>#DIV/0!</v>
      </c>
      <c r="AL53" s="181" t="e">
        <v>#DIV/0!</v>
      </c>
      <c r="AM53" s="181" t="e">
        <v>#DIV/0!</v>
      </c>
      <c r="AN53" s="181" t="e">
        <v>#DIV/0!</v>
      </c>
      <c r="AO53" s="181" t="e">
        <v>#DIV/0!</v>
      </c>
      <c r="AP53" s="181" t="e">
        <v>#DIV/0!</v>
      </c>
      <c r="AQ53" s="182" t="e">
        <v>#DIV/0!</v>
      </c>
    </row>
    <row r="54" spans="3:44" x14ac:dyDescent="0.35">
      <c r="C54" s="13"/>
      <c r="D54" s="60" t="s">
        <v>196</v>
      </c>
      <c r="E54" s="14"/>
      <c r="F54" s="29">
        <f>'ФинРез и инд-ры ВУЗ'!EG20</f>
        <v>7041.1124089909717</v>
      </c>
      <c r="G54" s="29">
        <f>'ФинРез и инд-ры ВУЗ'!EH20</f>
        <v>459501.43004491786</v>
      </c>
      <c r="H54" s="29">
        <f>'ФинРез и инд-ры ВУЗ'!EI20</f>
        <v>466717.76104671508</v>
      </c>
      <c r="I54" s="29">
        <f>'ФинРез и инд-ры ВУЗ'!EJ20</f>
        <v>517688.7997417408</v>
      </c>
      <c r="J54" s="29">
        <f>'ФинРез и инд-ры ВУЗ'!EK20</f>
        <v>526781.6109929313</v>
      </c>
      <c r="K54" s="29">
        <f>'ФинРез и инд-ры ВУЗ'!EL20</f>
        <v>536005.83987939823</v>
      </c>
      <c r="L54" s="29">
        <f>'ФинРез и инд-ры ВУЗ'!EM20</f>
        <v>545362.09721026011</v>
      </c>
      <c r="M54" s="29">
        <f>'ФинРез и инд-ры ВУЗ'!EN20</f>
        <v>554850.92530906899</v>
      </c>
      <c r="N54" s="29">
        <f>'ФинРез и инд-ры ВУЗ'!EO20</f>
        <v>564472.79341603862</v>
      </c>
      <c r="O54" s="29">
        <f>'ФинРез и инд-ры ВУЗ'!EP20</f>
        <v>574228.09286918025</v>
      </c>
      <c r="P54" s="82">
        <f>'ФинРез и инд-ры ВУЗ'!EQ20</f>
        <v>584117.13205477549</v>
      </c>
      <c r="Q54" s="82">
        <f>'ФинРез и инд-ры ВУЗ'!ER20</f>
        <v>594140.13111721398</v>
      </c>
      <c r="R54" s="82">
        <f>'ФинРез и инд-ры ВУЗ'!ES20</f>
        <v>604297.2164177536</v>
      </c>
      <c r="S54" s="82">
        <f>'ФинРез и инд-ры ВУЗ'!ET20</f>
        <v>614588.41473143175</v>
      </c>
      <c r="T54" s="82">
        <f>'ФинРез и инд-ры ВУЗ'!EU20</f>
        <v>625013.6471707942</v>
      </c>
      <c r="U54" s="82">
        <f>'ФинРез и инд-ры ВУЗ'!EV20</f>
        <v>635572.7228247365</v>
      </c>
      <c r="V54" s="82">
        <f>'ФинРез и инд-ры ВУЗ'!EW20</f>
        <v>646265.33210017812</v>
      </c>
      <c r="W54" s="82">
        <f>'ФинРез и инд-ры ВУЗ'!EX20</f>
        <v>657091.03975388501</v>
      </c>
      <c r="X54" s="82">
        <f>SUM(G54:W54)</f>
        <v>9706694.986681018</v>
      </c>
      <c r="AB54" s="189">
        <v>0.96</v>
      </c>
      <c r="AC54" s="173">
        <v>108</v>
      </c>
      <c r="AD54" s="189">
        <f t="shared" si="74"/>
        <v>0.96</v>
      </c>
      <c r="AE54" s="180" t="e">
        <v>#DIV/0!</v>
      </c>
      <c r="AF54" s="181" t="e">
        <v>#DIV/0!</v>
      </c>
      <c r="AG54" s="181" t="e">
        <v>#DIV/0!</v>
      </c>
      <c r="AH54" s="181" t="e">
        <v>#DIV/0!</v>
      </c>
      <c r="AI54" s="181" t="e">
        <v>#DIV/0!</v>
      </c>
      <c r="AJ54" s="181" t="e">
        <v>#DIV/0!</v>
      </c>
      <c r="AK54" s="181" t="e">
        <v>#DIV/0!</v>
      </c>
      <c r="AL54" s="181" t="e">
        <v>#DIV/0!</v>
      </c>
      <c r="AM54" s="181" t="e">
        <v>#DIV/0!</v>
      </c>
      <c r="AN54" s="181" t="e">
        <v>#DIV/0!</v>
      </c>
      <c r="AO54" s="181" t="e">
        <v>#DIV/0!</v>
      </c>
      <c r="AP54" s="181" t="e">
        <v>#DIV/0!</v>
      </c>
      <c r="AQ54" s="182" t="e">
        <v>#DIV/0!</v>
      </c>
    </row>
    <row r="55" spans="3:44" x14ac:dyDescent="0.35">
      <c r="C55" s="13"/>
      <c r="D55" s="60" t="s">
        <v>197</v>
      </c>
      <c r="E55" s="14"/>
      <c r="F55" s="29">
        <f>'ФинРез и инд-ры ВУЗ'!EG21</f>
        <v>0</v>
      </c>
      <c r="G55" s="29">
        <f>'ФинРез и инд-ры ВУЗ'!EH21</f>
        <v>0</v>
      </c>
      <c r="H55" s="29">
        <f>'ФинРез и инд-ры ВУЗ'!EI21</f>
        <v>0</v>
      </c>
      <c r="I55" s="29">
        <f>'ФинРез и инд-ры ВУЗ'!EJ21</f>
        <v>0</v>
      </c>
      <c r="J55" s="29">
        <f>'ФинРез и инд-ры ВУЗ'!EK21</f>
        <v>0</v>
      </c>
      <c r="K55" s="29">
        <f>'ФинРез и инд-ры ВУЗ'!EL21</f>
        <v>0</v>
      </c>
      <c r="L55" s="29">
        <f>'ФинРез и инд-ры ВУЗ'!EM21</f>
        <v>0</v>
      </c>
      <c r="M55" s="29">
        <f>'ФинРез и инд-ры ВУЗ'!EN21</f>
        <v>0</v>
      </c>
      <c r="N55" s="29">
        <f>'ФинРез и инд-ры ВУЗ'!EO21</f>
        <v>0</v>
      </c>
      <c r="O55" s="29">
        <f>'ФинРез и инд-ры ВУЗ'!EP21</f>
        <v>0</v>
      </c>
      <c r="P55" s="82">
        <f>'ФинРез и инд-ры ВУЗ'!EQ21</f>
        <v>0</v>
      </c>
      <c r="Q55" s="82">
        <f>'ФинРез и инд-ры ВУЗ'!ER21</f>
        <v>0</v>
      </c>
      <c r="R55" s="82">
        <f>'ФинРез и инд-ры ВУЗ'!ES21</f>
        <v>0</v>
      </c>
      <c r="S55" s="82">
        <f>'ФинРез и инд-ры ВУЗ'!ET21</f>
        <v>0</v>
      </c>
      <c r="T55" s="82">
        <f>'ФинРез и инд-ры ВУЗ'!EU21</f>
        <v>0</v>
      </c>
      <c r="U55" s="82">
        <f>'ФинРез и инд-ры ВУЗ'!EV21</f>
        <v>0</v>
      </c>
      <c r="V55" s="82">
        <f>'ФинРез и инд-ры ВУЗ'!EW21</f>
        <v>0</v>
      </c>
      <c r="W55" s="82">
        <f>'ФинРез и инд-ры ВУЗ'!EX21</f>
        <v>0</v>
      </c>
      <c r="X55" s="82">
        <f>SUM(G55:W55)</f>
        <v>0</v>
      </c>
      <c r="AB55" s="189">
        <v>0.98</v>
      </c>
      <c r="AC55" s="173">
        <v>110</v>
      </c>
      <c r="AD55" s="189">
        <f t="shared" si="74"/>
        <v>0.98</v>
      </c>
      <c r="AE55" s="180" t="e">
        <v>#DIV/0!</v>
      </c>
      <c r="AF55" s="181" t="e">
        <v>#DIV/0!</v>
      </c>
      <c r="AG55" s="181" t="e">
        <v>#DIV/0!</v>
      </c>
      <c r="AH55" s="181" t="e">
        <v>#DIV/0!</v>
      </c>
      <c r="AI55" s="181" t="e">
        <v>#DIV/0!</v>
      </c>
      <c r="AJ55" s="181" t="e">
        <v>#DIV/0!</v>
      </c>
      <c r="AK55" s="181" t="e">
        <v>#DIV/0!</v>
      </c>
      <c r="AL55" s="181" t="e">
        <v>#DIV/0!</v>
      </c>
      <c r="AM55" s="181" t="e">
        <v>#DIV/0!</v>
      </c>
      <c r="AN55" s="181" t="e">
        <v>#DIV/0!</v>
      </c>
      <c r="AO55" s="181" t="e">
        <v>#DIV/0!</v>
      </c>
      <c r="AP55" s="181" t="e">
        <v>#DIV/0!</v>
      </c>
      <c r="AQ55" s="182" t="e">
        <v>#DIV/0!</v>
      </c>
    </row>
    <row r="56" spans="3:44" x14ac:dyDescent="0.35">
      <c r="D56" s="22" t="s">
        <v>90</v>
      </c>
      <c r="E56" s="14"/>
      <c r="F56" s="14"/>
      <c r="AB56" s="189">
        <v>1</v>
      </c>
      <c r="AC56" s="173">
        <v>112</v>
      </c>
      <c r="AD56" s="189">
        <f t="shared" si="74"/>
        <v>1</v>
      </c>
      <c r="AE56" s="180" t="e">
        <v>#DIV/0!</v>
      </c>
      <c r="AF56" s="181" t="e">
        <v>#DIV/0!</v>
      </c>
      <c r="AG56" s="181" t="e">
        <v>#DIV/0!</v>
      </c>
      <c r="AH56" s="181" t="e">
        <v>#DIV/0!</v>
      </c>
      <c r="AI56" s="181" t="e">
        <v>#DIV/0!</v>
      </c>
      <c r="AJ56" s="181" t="e">
        <v>#DIV/0!</v>
      </c>
      <c r="AK56" s="181" t="e">
        <v>#DIV/0!</v>
      </c>
      <c r="AL56" s="181" t="e">
        <v>#DIV/0!</v>
      </c>
      <c r="AM56" s="181" t="e">
        <v>#DIV/0!</v>
      </c>
      <c r="AN56" s="181" t="e">
        <v>#DIV/0!</v>
      </c>
      <c r="AO56" s="181" t="e">
        <v>#DIV/0!</v>
      </c>
      <c r="AP56" s="181" t="e">
        <v>#DIV/0!</v>
      </c>
      <c r="AQ56" s="182" t="e">
        <v>#DIV/0!</v>
      </c>
    </row>
    <row r="57" spans="3:44" x14ac:dyDescent="0.35">
      <c r="C57" s="13"/>
      <c r="D57" s="60" t="s">
        <v>193</v>
      </c>
      <c r="E57" s="14"/>
      <c r="F57" s="61" t="e">
        <f>'ФинРез Кампус'!I90/'ФинРез Кампус'!I7</f>
        <v>#DIV/0!</v>
      </c>
      <c r="G57" s="61" t="e">
        <f>'ФинРез Кампус'!J90/'ФинРез Кампус'!J7</f>
        <v>#DIV/0!</v>
      </c>
      <c r="H57" s="61" t="e">
        <f>'ФинРез Кампус'!K90/'ФинРез Кампус'!K7</f>
        <v>#DIV/0!</v>
      </c>
      <c r="I57" s="61" t="e">
        <f>'ФинРез Кампус'!L90/'ФинРез Кампус'!L7</f>
        <v>#DIV/0!</v>
      </c>
      <c r="J57" s="61" t="e">
        <f>'ФинРез Кампус'!M90/'ФинРез Кампус'!M7</f>
        <v>#DIV/0!</v>
      </c>
      <c r="K57" s="61" t="e">
        <f>'ФинРез Кампус'!N90/'ФинРез Кампус'!N7</f>
        <v>#DIV/0!</v>
      </c>
      <c r="L57" s="61" t="e">
        <f>'ФинРез Кампус'!O90/'ФинРез Кампус'!O7</f>
        <v>#DIV/0!</v>
      </c>
      <c r="M57" s="61" t="e">
        <f>'ФинРез Кампус'!P90/'ФинРез Кампус'!P7</f>
        <v>#DIV/0!</v>
      </c>
      <c r="N57" s="61" t="e">
        <f>'ФинРез Кампус'!Q90/'ФинРез Кампус'!Q7</f>
        <v>#DIV/0!</v>
      </c>
      <c r="O57" s="61" t="e">
        <f>'ФинРез Кампус'!R90/'ФинРез Кампус'!R7</f>
        <v>#DIV/0!</v>
      </c>
      <c r="P57" s="61">
        <f>'ФинРез Кампус'!S90/'ФинРез Кампус'!S7</f>
        <v>0</v>
      </c>
      <c r="Q57" s="61">
        <f>'ФинРез Кампус'!T90/'ФинРез Кампус'!T7</f>
        <v>0</v>
      </c>
      <c r="R57" s="61">
        <f>'ФинРез Кампус'!U90/'ФинРез Кампус'!U7</f>
        <v>0</v>
      </c>
      <c r="S57" s="61">
        <f>'ФинРез Кампус'!V90/'ФинРез Кампус'!V7</f>
        <v>0</v>
      </c>
      <c r="T57" s="61">
        <f>'ФинРез Кампус'!W90/'ФинРез Кампус'!W7</f>
        <v>0</v>
      </c>
      <c r="U57" s="61">
        <f>'ФинРез Кампус'!X90/'ФинРез Кампус'!X7</f>
        <v>0</v>
      </c>
      <c r="V57" s="61">
        <f>'ФинРез Кампус'!Y90/'ФинРез Кампус'!Y7</f>
        <v>0</v>
      </c>
      <c r="W57" s="61">
        <f>'ФинРез Кампус'!Z90/'ФинРез Кампус'!Z7</f>
        <v>0</v>
      </c>
      <c r="X57" s="59"/>
      <c r="AB57" s="189">
        <v>1.02</v>
      </c>
      <c r="AC57" s="173">
        <v>115</v>
      </c>
      <c r="AD57" s="189">
        <f t="shared" si="74"/>
        <v>1.02</v>
      </c>
      <c r="AE57" s="180" t="e">
        <v>#DIV/0!</v>
      </c>
      <c r="AF57" s="181" t="e">
        <v>#DIV/0!</v>
      </c>
      <c r="AG57" s="181" t="e">
        <v>#DIV/0!</v>
      </c>
      <c r="AH57" s="181" t="e">
        <v>#DIV/0!</v>
      </c>
      <c r="AI57" s="181" t="e">
        <v>#DIV/0!</v>
      </c>
      <c r="AJ57" s="181" t="e">
        <v>#DIV/0!</v>
      </c>
      <c r="AK57" s="181" t="e">
        <v>#DIV/0!</v>
      </c>
      <c r="AL57" s="181" t="e">
        <v>#DIV/0!</v>
      </c>
      <c r="AM57" s="181" t="e">
        <v>#DIV/0!</v>
      </c>
      <c r="AN57" s="181" t="e">
        <v>#DIV/0!</v>
      </c>
      <c r="AO57" s="181" t="e">
        <v>#DIV/0!</v>
      </c>
      <c r="AP57" s="181" t="e">
        <v>#DIV/0!</v>
      </c>
      <c r="AQ57" s="182" t="e">
        <v>#DIV/0!</v>
      </c>
    </row>
    <row r="58" spans="3:44" x14ac:dyDescent="0.35">
      <c r="C58" s="13"/>
      <c r="D58" s="60" t="s">
        <v>194</v>
      </c>
      <c r="E58" s="14"/>
      <c r="F58" s="86" t="e">
        <f t="shared" ref="F58:O58" si="77">ROUND(F57*(F$159+F$163),2)</f>
        <v>#DIV/0!</v>
      </c>
      <c r="G58" s="86" t="e">
        <f t="shared" si="77"/>
        <v>#DIV/0!</v>
      </c>
      <c r="H58" s="86" t="e">
        <f t="shared" si="77"/>
        <v>#DIV/0!</v>
      </c>
      <c r="I58" s="86" t="e">
        <f t="shared" si="77"/>
        <v>#DIV/0!</v>
      </c>
      <c r="J58" s="86" t="e">
        <f t="shared" si="77"/>
        <v>#DIV/0!</v>
      </c>
      <c r="K58" s="86" t="e">
        <f t="shared" si="77"/>
        <v>#DIV/0!</v>
      </c>
      <c r="L58" s="86" t="e">
        <f t="shared" si="77"/>
        <v>#DIV/0!</v>
      </c>
      <c r="M58" s="86" t="e">
        <f t="shared" si="77"/>
        <v>#DIV/0!</v>
      </c>
      <c r="N58" s="86" t="e">
        <f t="shared" si="77"/>
        <v>#DIV/0!</v>
      </c>
      <c r="O58" s="86" t="e">
        <f t="shared" si="77"/>
        <v>#DIV/0!</v>
      </c>
      <c r="P58" s="86">
        <f t="shared" ref="P58:W58" si="78">ROUND(P57*(P$159+P$163),2)</f>
        <v>0</v>
      </c>
      <c r="Q58" s="86">
        <f t="shared" si="78"/>
        <v>0</v>
      </c>
      <c r="R58" s="86">
        <f t="shared" si="78"/>
        <v>0</v>
      </c>
      <c r="S58" s="86">
        <f t="shared" si="78"/>
        <v>0</v>
      </c>
      <c r="T58" s="86">
        <f t="shared" si="78"/>
        <v>0</v>
      </c>
      <c r="U58" s="86">
        <f t="shared" si="78"/>
        <v>0</v>
      </c>
      <c r="V58" s="86">
        <f t="shared" si="78"/>
        <v>0</v>
      </c>
      <c r="W58" s="86">
        <f t="shared" si="78"/>
        <v>0</v>
      </c>
      <c r="X58" s="63" t="e">
        <f>SUM(G58:W58)</f>
        <v>#DIV/0!</v>
      </c>
      <c r="AB58" s="189">
        <v>1.04</v>
      </c>
      <c r="AC58" s="173">
        <v>117</v>
      </c>
      <c r="AD58" s="189">
        <f t="shared" si="74"/>
        <v>1.04</v>
      </c>
      <c r="AE58" s="180" t="e">
        <v>#DIV/0!</v>
      </c>
      <c r="AF58" s="181" t="e">
        <v>#DIV/0!</v>
      </c>
      <c r="AG58" s="181" t="e">
        <v>#DIV/0!</v>
      </c>
      <c r="AH58" s="181" t="e">
        <v>#DIV/0!</v>
      </c>
      <c r="AI58" s="181" t="e">
        <v>#DIV/0!</v>
      </c>
      <c r="AJ58" s="181" t="e">
        <v>#DIV/0!</v>
      </c>
      <c r="AK58" s="181" t="e">
        <v>#DIV/0!</v>
      </c>
      <c r="AL58" s="181" t="e">
        <v>#DIV/0!</v>
      </c>
      <c r="AM58" s="181" t="e">
        <v>#DIV/0!</v>
      </c>
      <c r="AN58" s="181" t="e">
        <v>#DIV/0!</v>
      </c>
      <c r="AO58" s="181" t="e">
        <v>#DIV/0!</v>
      </c>
      <c r="AP58" s="181" t="e">
        <v>#DIV/0!</v>
      </c>
      <c r="AQ58" s="182" t="e">
        <v>#DIV/0!</v>
      </c>
    </row>
    <row r="59" spans="3:44" x14ac:dyDescent="0.35">
      <c r="C59" s="74"/>
      <c r="D59" s="109" t="s">
        <v>225</v>
      </c>
      <c r="E59" s="110"/>
      <c r="F59" s="111" t="e">
        <f>F55+F61-F58</f>
        <v>#DIV/0!</v>
      </c>
      <c r="G59" s="111" t="e">
        <f t="shared" ref="G59:O59" si="79">G55+G61-G58</f>
        <v>#DIV/0!</v>
      </c>
      <c r="H59" s="111" t="e">
        <f t="shared" si="79"/>
        <v>#DIV/0!</v>
      </c>
      <c r="I59" s="111" t="e">
        <f t="shared" si="79"/>
        <v>#DIV/0!</v>
      </c>
      <c r="J59" s="111" t="e">
        <f t="shared" si="79"/>
        <v>#DIV/0!</v>
      </c>
      <c r="K59" s="111" t="e">
        <f t="shared" si="79"/>
        <v>#DIV/0!</v>
      </c>
      <c r="L59" s="111" t="e">
        <f t="shared" si="79"/>
        <v>#DIV/0!</v>
      </c>
      <c r="M59" s="111" t="e">
        <f t="shared" si="79"/>
        <v>#DIV/0!</v>
      </c>
      <c r="N59" s="111" t="e">
        <f t="shared" si="79"/>
        <v>#DIV/0!</v>
      </c>
      <c r="O59" s="111" t="e">
        <f t="shared" si="79"/>
        <v>#DIV/0!</v>
      </c>
      <c r="P59" s="111">
        <f t="shared" ref="P59:W59" si="80">P55+P61-P58</f>
        <v>584117.13205477549</v>
      </c>
      <c r="Q59" s="111">
        <f t="shared" si="80"/>
        <v>594140.13111721398</v>
      </c>
      <c r="R59" s="111">
        <f t="shared" si="80"/>
        <v>604297.2164177536</v>
      </c>
      <c r="S59" s="111">
        <f t="shared" si="80"/>
        <v>614588.41473143175</v>
      </c>
      <c r="T59" s="111">
        <f t="shared" si="80"/>
        <v>625013.6471707942</v>
      </c>
      <c r="U59" s="111">
        <f t="shared" si="80"/>
        <v>635572.7228247365</v>
      </c>
      <c r="V59" s="111">
        <f t="shared" si="80"/>
        <v>646265.33210017812</v>
      </c>
      <c r="W59" s="111">
        <f t="shared" si="80"/>
        <v>657091.03975388501</v>
      </c>
      <c r="X59" s="74"/>
      <c r="Y59" s="3"/>
      <c r="Z59" s="3"/>
      <c r="AB59" s="189">
        <v>1.06</v>
      </c>
      <c r="AC59" s="173">
        <v>119</v>
      </c>
      <c r="AD59" s="189">
        <f t="shared" si="74"/>
        <v>1.06</v>
      </c>
      <c r="AE59" s="180" t="e">
        <v>#DIV/0!</v>
      </c>
      <c r="AF59" s="181" t="e">
        <v>#DIV/0!</v>
      </c>
      <c r="AG59" s="181" t="e">
        <v>#DIV/0!</v>
      </c>
      <c r="AH59" s="181" t="e">
        <v>#DIV/0!</v>
      </c>
      <c r="AI59" s="181" t="e">
        <v>#DIV/0!</v>
      </c>
      <c r="AJ59" s="181" t="e">
        <v>#DIV/0!</v>
      </c>
      <c r="AK59" s="181" t="e">
        <v>#DIV/0!</v>
      </c>
      <c r="AL59" s="181" t="e">
        <v>#DIV/0!</v>
      </c>
      <c r="AM59" s="181" t="e">
        <v>#DIV/0!</v>
      </c>
      <c r="AN59" s="181" t="e">
        <v>#DIV/0!</v>
      </c>
      <c r="AO59" s="181" t="e">
        <v>#DIV/0!</v>
      </c>
      <c r="AP59" s="181" t="e">
        <v>#DIV/0!</v>
      </c>
      <c r="AQ59" s="182" t="e">
        <v>#DIV/0!</v>
      </c>
    </row>
    <row r="60" spans="3:44" x14ac:dyDescent="0.35">
      <c r="C60" s="74"/>
      <c r="D60" s="112" t="s">
        <v>226</v>
      </c>
      <c r="E60" s="58">
        <v>1</v>
      </c>
      <c r="F60" s="113">
        <f>ROUNDUP(F50*$E$60,0)</f>
        <v>7</v>
      </c>
      <c r="G60" s="113">
        <f t="shared" ref="G60:O60" si="81">ROUNDUP(G50*$E$60,0)</f>
        <v>43</v>
      </c>
      <c r="H60" s="113">
        <f t="shared" si="81"/>
        <v>60</v>
      </c>
      <c r="I60" s="113">
        <f t="shared" si="81"/>
        <v>77</v>
      </c>
      <c r="J60" s="113">
        <f t="shared" si="81"/>
        <v>87</v>
      </c>
      <c r="K60" s="113">
        <f t="shared" si="81"/>
        <v>92</v>
      </c>
      <c r="L60" s="113">
        <f t="shared" si="81"/>
        <v>97</v>
      </c>
      <c r="M60" s="113">
        <f t="shared" si="81"/>
        <v>102</v>
      </c>
      <c r="N60" s="113">
        <f t="shared" si="81"/>
        <v>107</v>
      </c>
      <c r="O60" s="113">
        <f t="shared" si="81"/>
        <v>112</v>
      </c>
      <c r="P60" s="113">
        <f t="shared" ref="P60:W60" si="82">ROUNDUP(P50*$E$60,0)</f>
        <v>117</v>
      </c>
      <c r="Q60" s="113">
        <f t="shared" si="82"/>
        <v>121</v>
      </c>
      <c r="R60" s="113">
        <f t="shared" si="82"/>
        <v>128</v>
      </c>
      <c r="S60" s="113">
        <f t="shared" si="82"/>
        <v>133</v>
      </c>
      <c r="T60" s="113">
        <f t="shared" si="82"/>
        <v>138</v>
      </c>
      <c r="U60" s="113">
        <f t="shared" si="82"/>
        <v>143</v>
      </c>
      <c r="V60" s="113">
        <f t="shared" si="82"/>
        <v>148</v>
      </c>
      <c r="W60" s="113">
        <f t="shared" si="82"/>
        <v>153</v>
      </c>
      <c r="X60" s="74"/>
      <c r="Y60" s="3" t="e">
        <f>X64-X63</f>
        <v>#DIV/0!</v>
      </c>
      <c r="AB60" s="189">
        <v>1.08</v>
      </c>
      <c r="AC60" s="173">
        <v>121</v>
      </c>
      <c r="AD60" s="189">
        <f t="shared" si="74"/>
        <v>1.08</v>
      </c>
      <c r="AE60" s="180" t="e">
        <v>#DIV/0!</v>
      </c>
      <c r="AF60" s="181" t="e">
        <v>#DIV/0!</v>
      </c>
      <c r="AG60" s="181" t="e">
        <v>#DIV/0!</v>
      </c>
      <c r="AH60" s="181" t="e">
        <v>#DIV/0!</v>
      </c>
      <c r="AI60" s="181" t="e">
        <v>#DIV/0!</v>
      </c>
      <c r="AJ60" s="181" t="e">
        <v>#DIV/0!</v>
      </c>
      <c r="AK60" s="181" t="e">
        <v>#DIV/0!</v>
      </c>
      <c r="AL60" s="181" t="e">
        <v>#DIV/0!</v>
      </c>
      <c r="AM60" s="181" t="e">
        <v>#DIV/0!</v>
      </c>
      <c r="AN60" s="181" t="e">
        <v>#DIV/0!</v>
      </c>
      <c r="AO60" s="181" t="e">
        <v>#DIV/0!</v>
      </c>
      <c r="AP60" s="181" t="e">
        <v>#DIV/0!</v>
      </c>
      <c r="AQ60" s="182" t="e">
        <v>#DIV/0!</v>
      </c>
    </row>
    <row r="61" spans="3:44" x14ac:dyDescent="0.35">
      <c r="C61" s="74"/>
      <c r="D61" s="112" t="s">
        <v>227</v>
      </c>
      <c r="E61" s="14"/>
      <c r="F61" s="113">
        <f>F60*F52</f>
        <v>7041.1124089909717</v>
      </c>
      <c r="G61" s="113">
        <f t="shared" ref="G61:O61" si="83">G60*G52</f>
        <v>459501.4300449178</v>
      </c>
      <c r="H61" s="113">
        <f t="shared" si="83"/>
        <v>466717.76104671508</v>
      </c>
      <c r="I61" s="113">
        <f t="shared" si="83"/>
        <v>517688.79974174075</v>
      </c>
      <c r="J61" s="113">
        <f t="shared" si="83"/>
        <v>526781.6109929313</v>
      </c>
      <c r="K61" s="113">
        <f t="shared" si="83"/>
        <v>536005.83987939823</v>
      </c>
      <c r="L61" s="113">
        <f t="shared" si="83"/>
        <v>545362.09721026011</v>
      </c>
      <c r="M61" s="113">
        <f t="shared" si="83"/>
        <v>554850.92530906899</v>
      </c>
      <c r="N61" s="113">
        <f t="shared" si="83"/>
        <v>564472.79341603862</v>
      </c>
      <c r="O61" s="113">
        <f t="shared" si="83"/>
        <v>574228.09286918025</v>
      </c>
      <c r="P61" s="113">
        <f t="shared" ref="P61:W61" si="84">P60*P52</f>
        <v>584117.13205477549</v>
      </c>
      <c r="Q61" s="113">
        <f t="shared" si="84"/>
        <v>594140.13111721398</v>
      </c>
      <c r="R61" s="113">
        <f t="shared" si="84"/>
        <v>604297.2164177536</v>
      </c>
      <c r="S61" s="113">
        <f t="shared" si="84"/>
        <v>614588.41473143175</v>
      </c>
      <c r="T61" s="113">
        <f t="shared" si="84"/>
        <v>625013.6471707942</v>
      </c>
      <c r="U61" s="113">
        <f t="shared" si="84"/>
        <v>635572.7228247365</v>
      </c>
      <c r="V61" s="113">
        <f t="shared" si="84"/>
        <v>646265.33210017812</v>
      </c>
      <c r="W61" s="113">
        <f t="shared" si="84"/>
        <v>657091.03975388501</v>
      </c>
      <c r="X61" s="74"/>
      <c r="AB61" s="189">
        <v>1.1000000000000001</v>
      </c>
      <c r="AC61" s="173">
        <v>124</v>
      </c>
      <c r="AD61" s="189">
        <f t="shared" si="74"/>
        <v>1.1000000000000001</v>
      </c>
      <c r="AE61" s="180" t="e">
        <v>#DIV/0!</v>
      </c>
      <c r="AF61" s="181" t="e">
        <v>#DIV/0!</v>
      </c>
      <c r="AG61" s="181" t="e">
        <v>#DIV/0!</v>
      </c>
      <c r="AH61" s="181" t="e">
        <v>#DIV/0!</v>
      </c>
      <c r="AI61" s="181" t="e">
        <v>#DIV/0!</v>
      </c>
      <c r="AJ61" s="181" t="e">
        <v>#DIV/0!</v>
      </c>
      <c r="AK61" s="181" t="e">
        <v>#DIV/0!</v>
      </c>
      <c r="AL61" s="181" t="e">
        <v>#DIV/0!</v>
      </c>
      <c r="AM61" s="181" t="e">
        <v>#DIV/0!</v>
      </c>
      <c r="AN61" s="181" t="e">
        <v>#DIV/0!</v>
      </c>
      <c r="AO61" s="181" t="e">
        <v>#DIV/0!</v>
      </c>
      <c r="AP61" s="181" t="e">
        <v>#DIV/0!</v>
      </c>
      <c r="AQ61" s="182" t="e">
        <v>#DIV/0!</v>
      </c>
    </row>
    <row r="62" spans="3:44" x14ac:dyDescent="0.35">
      <c r="C62" s="74"/>
      <c r="D62" s="112" t="s">
        <v>228</v>
      </c>
      <c r="E62" s="58">
        <v>1</v>
      </c>
      <c r="F62" s="113">
        <f>F51*$E$62</f>
        <v>1093.3404361787252</v>
      </c>
      <c r="G62" s="113">
        <f t="shared" ref="G62:O62" si="85">G51*$E$62</f>
        <v>11615.304096180957</v>
      </c>
      <c r="H62" s="113">
        <f t="shared" si="85"/>
        <v>8455.0319030201917</v>
      </c>
      <c r="I62" s="113">
        <f t="shared" si="85"/>
        <v>7307.859962475166</v>
      </c>
      <c r="J62" s="113">
        <f t="shared" si="85"/>
        <v>6581.4793977127783</v>
      </c>
      <c r="K62" s="113">
        <f t="shared" si="85"/>
        <v>6332.7722102953476</v>
      </c>
      <c r="L62" s="113">
        <f t="shared" si="85"/>
        <v>6111.1844151754831</v>
      </c>
      <c r="M62" s="113">
        <f t="shared" si="85"/>
        <v>5912.7336456635694</v>
      </c>
      <c r="N62" s="113">
        <f t="shared" si="85"/>
        <v>5734.181160260453</v>
      </c>
      <c r="O62" s="113">
        <f t="shared" si="85"/>
        <v>5572.8658081248077</v>
      </c>
      <c r="P62" s="113">
        <f t="shared" ref="P62:W62" si="86">P51*$E$62</f>
        <v>5426.5805653546677</v>
      </c>
      <c r="Q62" s="113">
        <f t="shared" si="86"/>
        <v>5337.2271929322169</v>
      </c>
      <c r="R62" s="113">
        <f t="shared" si="86"/>
        <v>5131.6000035475008</v>
      </c>
      <c r="S62" s="113">
        <f t="shared" si="86"/>
        <v>5022.7886133657394</v>
      </c>
      <c r="T62" s="113">
        <f t="shared" si="86"/>
        <v>4922.9178258569209</v>
      </c>
      <c r="U62" s="113">
        <f t="shared" si="86"/>
        <v>4831.0483644324768</v>
      </c>
      <c r="V62" s="113">
        <f t="shared" si="86"/>
        <v>4746.3670101364369</v>
      </c>
      <c r="W62" s="113">
        <f t="shared" si="86"/>
        <v>4668.1659544890963</v>
      </c>
      <c r="X62" s="59">
        <f>MEDIAN(G62:W62)</f>
        <v>5572.8658081248077</v>
      </c>
      <c r="AB62" s="189">
        <v>1.1200000000000001</v>
      </c>
      <c r="AC62" s="173">
        <v>126</v>
      </c>
      <c r="AD62" s="189">
        <f t="shared" si="74"/>
        <v>1.1200000000000001</v>
      </c>
      <c r="AE62" s="180" t="e">
        <v>#DIV/0!</v>
      </c>
      <c r="AF62" s="181" t="e">
        <v>#DIV/0!</v>
      </c>
      <c r="AG62" s="181" t="e">
        <v>#DIV/0!</v>
      </c>
      <c r="AH62" s="181" t="e">
        <v>#DIV/0!</v>
      </c>
      <c r="AI62" s="181" t="e">
        <v>#DIV/0!</v>
      </c>
      <c r="AJ62" s="181" t="e">
        <v>#DIV/0!</v>
      </c>
      <c r="AK62" s="181" t="e">
        <v>#DIV/0!</v>
      </c>
      <c r="AL62" s="181" t="e">
        <v>#DIV/0!</v>
      </c>
      <c r="AM62" s="181" t="e">
        <v>#DIV/0!</v>
      </c>
      <c r="AN62" s="181" t="e">
        <v>#DIV/0!</v>
      </c>
      <c r="AO62" s="181" t="e">
        <v>#DIV/0!</v>
      </c>
      <c r="AP62" s="181" t="e">
        <v>#DIV/0!</v>
      </c>
      <c r="AQ62" s="182" t="e">
        <v>#DIV/0!</v>
      </c>
    </row>
    <row r="63" spans="3:44" x14ac:dyDescent="0.35">
      <c r="C63" s="13"/>
      <c r="D63" s="20" t="s">
        <v>91</v>
      </c>
      <c r="E63" s="21"/>
      <c r="F63" s="29">
        <f t="shared" ref="F63:O63" si="87">F47-F54-F55</f>
        <v>612.27064426010475</v>
      </c>
      <c r="G63" s="29">
        <f t="shared" si="87"/>
        <v>39956.646090863273</v>
      </c>
      <c r="H63" s="29">
        <f t="shared" si="87"/>
        <v>40584.153134496417</v>
      </c>
      <c r="I63" s="29">
        <f t="shared" si="87"/>
        <v>45016.417368846945</v>
      </c>
      <c r="J63" s="29">
        <f t="shared" si="87"/>
        <v>45807.096608080436</v>
      </c>
      <c r="K63" s="29">
        <f t="shared" si="87"/>
        <v>46609.203467773739</v>
      </c>
      <c r="L63" s="29">
        <f t="shared" si="87"/>
        <v>47422.791061761789</v>
      </c>
      <c r="M63" s="29">
        <f t="shared" si="87"/>
        <v>48247.906548615079</v>
      </c>
      <c r="N63" s="29">
        <f t="shared" si="87"/>
        <v>49084.59073182987</v>
      </c>
      <c r="O63" s="29">
        <f t="shared" si="87"/>
        <v>49932.877640798222</v>
      </c>
      <c r="P63" s="82">
        <f t="shared" ref="P63:W63" si="88">P47-P54-P55</f>
        <v>50792.7940917206</v>
      </c>
      <c r="Q63" s="82">
        <f t="shared" si="88"/>
        <v>51664.359227584209</v>
      </c>
      <c r="R63" s="82">
        <f t="shared" si="88"/>
        <v>52547.584036326502</v>
      </c>
      <c r="S63" s="82">
        <f t="shared" si="88"/>
        <v>53442.470846211538</v>
      </c>
      <c r="T63" s="82">
        <f t="shared" si="88"/>
        <v>54349.012797460891</v>
      </c>
      <c r="U63" s="82">
        <f t="shared" si="88"/>
        <v>55267.193289107643</v>
      </c>
      <c r="V63" s="82">
        <f t="shared" si="88"/>
        <v>56196.985400014557</v>
      </c>
      <c r="W63" s="82">
        <f t="shared" si="88"/>
        <v>57138.351282946765</v>
      </c>
      <c r="X63" s="29">
        <f>SUM(G63:W63)</f>
        <v>844060.43362443848</v>
      </c>
      <c r="AA63" s="3"/>
      <c r="AB63" s="190">
        <v>1.1399999999999999</v>
      </c>
      <c r="AC63" s="174">
        <v>128</v>
      </c>
      <c r="AD63" s="190">
        <f t="shared" si="74"/>
        <v>1.1399999999999999</v>
      </c>
      <c r="AE63" s="183" t="e">
        <v>#DIV/0!</v>
      </c>
      <c r="AF63" s="175" t="e">
        <v>#DIV/0!</v>
      </c>
      <c r="AG63" s="175" t="e">
        <v>#DIV/0!</v>
      </c>
      <c r="AH63" s="175" t="e">
        <v>#DIV/0!</v>
      </c>
      <c r="AI63" s="175" t="e">
        <v>#DIV/0!</v>
      </c>
      <c r="AJ63" s="175" t="e">
        <v>#DIV/0!</v>
      </c>
      <c r="AK63" s="175" t="e">
        <v>#DIV/0!</v>
      </c>
      <c r="AL63" s="175" t="e">
        <v>#DIV/0!</v>
      </c>
      <c r="AM63" s="175" t="e">
        <v>#DIV/0!</v>
      </c>
      <c r="AN63" s="175" t="e">
        <v>#DIV/0!</v>
      </c>
      <c r="AO63" s="175" t="e">
        <v>#DIV/0!</v>
      </c>
      <c r="AP63" s="175" t="e">
        <v>#DIV/0!</v>
      </c>
      <c r="AQ63" s="176" t="e">
        <v>#DIV/0!</v>
      </c>
    </row>
    <row r="64" spans="3:44" x14ac:dyDescent="0.35">
      <c r="C64" s="13"/>
      <c r="D64" s="22" t="s">
        <v>92</v>
      </c>
      <c r="E64" s="14"/>
      <c r="F64" s="141" t="e">
        <f>F48-F59</f>
        <v>#DIV/0!</v>
      </c>
      <c r="G64" s="141" t="e">
        <f t="shared" ref="G64:O64" si="89">G48-G59</f>
        <v>#DIV/0!</v>
      </c>
      <c r="H64" s="141" t="e">
        <f t="shared" si="89"/>
        <v>#DIV/0!</v>
      </c>
      <c r="I64" s="141" t="e">
        <f t="shared" si="89"/>
        <v>#DIV/0!</v>
      </c>
      <c r="J64" s="141" t="e">
        <f t="shared" si="89"/>
        <v>#DIV/0!</v>
      </c>
      <c r="K64" s="141" t="e">
        <f t="shared" si="89"/>
        <v>#DIV/0!</v>
      </c>
      <c r="L64" s="141" t="e">
        <f t="shared" si="89"/>
        <v>#DIV/0!</v>
      </c>
      <c r="M64" s="141" t="e">
        <f t="shared" si="89"/>
        <v>#DIV/0!</v>
      </c>
      <c r="N64" s="141" t="e">
        <f t="shared" si="89"/>
        <v>#DIV/0!</v>
      </c>
      <c r="O64" s="141" t="e">
        <f t="shared" si="89"/>
        <v>#DIV/0!</v>
      </c>
      <c r="P64" s="141">
        <f t="shared" ref="P64:W64" si="90">P48-P59</f>
        <v>50792.7940917206</v>
      </c>
      <c r="Q64" s="141">
        <f t="shared" si="90"/>
        <v>51664.359227584209</v>
      </c>
      <c r="R64" s="141">
        <f t="shared" si="90"/>
        <v>52547.584036326502</v>
      </c>
      <c r="S64" s="141">
        <f t="shared" si="90"/>
        <v>53442.470846211538</v>
      </c>
      <c r="T64" s="141">
        <f t="shared" si="90"/>
        <v>54349.012797460891</v>
      </c>
      <c r="U64" s="141">
        <f t="shared" si="90"/>
        <v>55267.193289107643</v>
      </c>
      <c r="V64" s="141">
        <f t="shared" si="90"/>
        <v>56196.985400014557</v>
      </c>
      <c r="W64" s="141">
        <f t="shared" si="90"/>
        <v>57138.351282946765</v>
      </c>
      <c r="X64" s="82" t="e">
        <f>SUM(G64:W64)</f>
        <v>#DIV/0!</v>
      </c>
    </row>
    <row r="65" spans="3:25" x14ac:dyDescent="0.35">
      <c r="C65" s="10">
        <v>4</v>
      </c>
      <c r="D65" s="11" t="s">
        <v>198</v>
      </c>
      <c r="E65" s="12" t="s">
        <v>10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79"/>
      <c r="Q65" s="79"/>
      <c r="R65" s="79"/>
      <c r="S65" s="79"/>
      <c r="T65" s="79"/>
      <c r="U65" s="79"/>
      <c r="V65" s="79"/>
      <c r="W65" s="79"/>
      <c r="X65" s="12"/>
    </row>
    <row r="66" spans="3:25" x14ac:dyDescent="0.35">
      <c r="C66" s="13"/>
      <c r="D66" s="20" t="s">
        <v>199</v>
      </c>
      <c r="E66" s="21"/>
      <c r="F66" s="30"/>
    </row>
    <row r="67" spans="3:25" x14ac:dyDescent="0.35">
      <c r="C67" s="13"/>
      <c r="D67" s="20" t="s">
        <v>84</v>
      </c>
      <c r="E67" s="21"/>
      <c r="F67" s="29">
        <f>'ФинРез Кампус'!I280</f>
        <v>0</v>
      </c>
      <c r="G67" s="29">
        <f>'ФинРез Кампус'!J280</f>
        <v>0</v>
      </c>
      <c r="H67" s="29">
        <f>'ФинРез Кампус'!K280</f>
        <v>0</v>
      </c>
      <c r="I67" s="29">
        <f>'ФинРез Кампус'!L280</f>
        <v>0</v>
      </c>
      <c r="J67" s="29">
        <f>'ФинРез Кампус'!M280</f>
        <v>0</v>
      </c>
      <c r="K67" s="29">
        <f>'ФинРез Кампус'!N280</f>
        <v>0</v>
      </c>
      <c r="L67" s="29">
        <f>'ФинРез Кампус'!O280</f>
        <v>0</v>
      </c>
      <c r="M67" s="29">
        <f>'ФинРез Кампус'!P280</f>
        <v>0</v>
      </c>
      <c r="N67" s="29">
        <f>'ФинРез Кампус'!Q280</f>
        <v>0</v>
      </c>
      <c r="O67" s="29">
        <f>'ФинРез Кампус'!R280</f>
        <v>0</v>
      </c>
      <c r="P67" s="82">
        <f>'ФинРез Кампус'!S280</f>
        <v>686055.34358225111</v>
      </c>
      <c r="Q67" s="82">
        <f>'ФинРез Кампус'!T280</f>
        <v>1518087.3694886349</v>
      </c>
      <c r="R67" s="82">
        <f>'ФинРез Кампус'!U280</f>
        <v>1540977.7061894243</v>
      </c>
      <c r="S67" s="82">
        <f>'ФинРез Кампус'!V280</f>
        <v>1564925.4157181501</v>
      </c>
      <c r="T67" s="82">
        <f>'ФинРез Кампус'!W280</f>
        <v>1298209.0415888354</v>
      </c>
      <c r="U67" s="82">
        <f>'ФинРез Кампус'!X280</f>
        <v>1616197.6921307135</v>
      </c>
      <c r="V67" s="82">
        <f>'ФинРез Кампус'!Y280</f>
        <v>1643631.0143184238</v>
      </c>
      <c r="W67" s="82">
        <f>'ФинРез Кампус'!Z280</f>
        <v>1672339.4827948462</v>
      </c>
      <c r="X67" s="29">
        <f>SUM(G67:W67)</f>
        <v>11540423.065811278</v>
      </c>
    </row>
    <row r="68" spans="3:25" x14ac:dyDescent="0.35">
      <c r="C68" s="13"/>
      <c r="D68" s="22" t="s">
        <v>86</v>
      </c>
      <c r="E68" s="58">
        <v>1.05</v>
      </c>
      <c r="F68" s="29">
        <f t="shared" ref="F68:O68" si="91">F67*$E$68</f>
        <v>0</v>
      </c>
      <c r="G68" s="29">
        <f t="shared" si="91"/>
        <v>0</v>
      </c>
      <c r="H68" s="29">
        <f t="shared" si="91"/>
        <v>0</v>
      </c>
      <c r="I68" s="29">
        <f t="shared" si="91"/>
        <v>0</v>
      </c>
      <c r="J68" s="29">
        <f t="shared" si="91"/>
        <v>0</v>
      </c>
      <c r="K68" s="29">
        <f t="shared" si="91"/>
        <v>0</v>
      </c>
      <c r="L68" s="29">
        <f t="shared" si="91"/>
        <v>0</v>
      </c>
      <c r="M68" s="29">
        <f t="shared" si="91"/>
        <v>0</v>
      </c>
      <c r="N68" s="29">
        <f t="shared" si="91"/>
        <v>0</v>
      </c>
      <c r="O68" s="29">
        <f t="shared" si="91"/>
        <v>0</v>
      </c>
      <c r="P68" s="82">
        <f t="shared" ref="P68:W68" si="92">P67*$E$68</f>
        <v>720358.11076136364</v>
      </c>
      <c r="Q68" s="82">
        <f t="shared" si="92"/>
        <v>1593991.7379630667</v>
      </c>
      <c r="R68" s="82">
        <f t="shared" si="92"/>
        <v>1618026.5914988955</v>
      </c>
      <c r="S68" s="82">
        <f t="shared" si="92"/>
        <v>1643171.6865040576</v>
      </c>
      <c r="T68" s="82">
        <f t="shared" si="92"/>
        <v>1363119.4936682773</v>
      </c>
      <c r="U68" s="82">
        <f t="shared" si="92"/>
        <v>1697007.5767372493</v>
      </c>
      <c r="V68" s="82">
        <f t="shared" si="92"/>
        <v>1725812.565034345</v>
      </c>
      <c r="W68" s="82">
        <f t="shared" si="92"/>
        <v>1755956.4569345885</v>
      </c>
      <c r="X68" s="29">
        <f>SUM(G68:W68)</f>
        <v>12117444.219101842</v>
      </c>
    </row>
    <row r="69" spans="3:25" x14ac:dyDescent="0.35">
      <c r="C69" s="13"/>
      <c r="D69" s="24" t="s">
        <v>87</v>
      </c>
      <c r="E69" s="14"/>
      <c r="F69" s="14"/>
    </row>
    <row r="70" spans="3:25" x14ac:dyDescent="0.35">
      <c r="C70" s="13"/>
      <c r="D70" s="24" t="s">
        <v>94</v>
      </c>
      <c r="E70" s="14"/>
      <c r="F70" s="14"/>
    </row>
    <row r="71" spans="3:25" x14ac:dyDescent="0.35">
      <c r="D71" s="24" t="s">
        <v>95</v>
      </c>
      <c r="E71" s="14"/>
      <c r="F71" s="66"/>
    </row>
    <row r="72" spans="3:25" x14ac:dyDescent="0.35">
      <c r="C72" s="13"/>
      <c r="D72" s="23" t="s">
        <v>195</v>
      </c>
      <c r="E72" s="14"/>
      <c r="F72" s="66"/>
    </row>
    <row r="73" spans="3:25" x14ac:dyDescent="0.35">
      <c r="C73" s="13"/>
      <c r="D73" s="20" t="s">
        <v>89</v>
      </c>
      <c r="E73" s="21"/>
      <c r="F73" s="29">
        <f>'ФинРез Кампус'!I281</f>
        <v>0</v>
      </c>
      <c r="G73" s="29">
        <f>'ФинРез Кампус'!J281</f>
        <v>0</v>
      </c>
      <c r="H73" s="29">
        <f>'ФинРез Кампус'!K281</f>
        <v>0</v>
      </c>
      <c r="I73" s="29">
        <f>'ФинРез Кампус'!L281</f>
        <v>0</v>
      </c>
      <c r="J73" s="29">
        <f>'ФинРез Кампус'!M281</f>
        <v>0</v>
      </c>
      <c r="K73" s="29">
        <f>'ФинРез Кампус'!N281</f>
        <v>0</v>
      </c>
      <c r="L73" s="29">
        <f>'ФинРез Кампус'!O281</f>
        <v>0</v>
      </c>
      <c r="M73" s="29">
        <f>'ФинРез Кампус'!P281</f>
        <v>0</v>
      </c>
      <c r="N73" s="29">
        <f>'ФинРез Кампус'!Q281</f>
        <v>0</v>
      </c>
      <c r="O73" s="29">
        <f>'ФинРез Кампус'!R281</f>
        <v>0</v>
      </c>
      <c r="P73" s="82">
        <f>'ФинРез Кампус'!S281</f>
        <v>662855.40442729567</v>
      </c>
      <c r="Q73" s="82">
        <f>'ФинРез Кампус'!T281</f>
        <v>1466751.0816315315</v>
      </c>
      <c r="R73" s="82">
        <f>'ФинРез Кампус'!U281</f>
        <v>1488867.3489752894</v>
      </c>
      <c r="S73" s="82">
        <f>'ФинРез Кампус'!V281</f>
        <v>1512005.232577923</v>
      </c>
      <c r="T73" s="82">
        <f>'ФинРез Кампус'!W281</f>
        <v>1254308.2527428363</v>
      </c>
      <c r="U73" s="82">
        <f>'ФинРез Кампус'!X281</f>
        <v>1561543.6638944095</v>
      </c>
      <c r="V73" s="82">
        <f>'ФинРез Кампус'!Y281</f>
        <v>1588049.289196545</v>
      </c>
      <c r="W73" s="82">
        <f>'ФинРез Кампус'!Z281</f>
        <v>1615786.939898402</v>
      </c>
      <c r="X73" s="29">
        <f>SUM(G73:W73)</f>
        <v>11150167.213344231</v>
      </c>
    </row>
    <row r="74" spans="3:25" x14ac:dyDescent="0.35">
      <c r="C74" s="13"/>
      <c r="D74" s="22" t="s">
        <v>90</v>
      </c>
      <c r="E74" s="14"/>
      <c r="F74" s="14"/>
      <c r="Y74" s="3">
        <f>X78-X77</f>
        <v>577021.15329056431</v>
      </c>
    </row>
    <row r="75" spans="3:25" x14ac:dyDescent="0.35">
      <c r="D75" s="25">
        <v>0.5</v>
      </c>
      <c r="E75" s="14"/>
      <c r="F75" s="14"/>
    </row>
    <row r="76" spans="3:25" x14ac:dyDescent="0.35">
      <c r="D76" s="25">
        <v>1</v>
      </c>
      <c r="E76" s="14"/>
      <c r="F76" s="14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</row>
    <row r="77" spans="3:25" x14ac:dyDescent="0.35">
      <c r="C77" s="13"/>
      <c r="D77" s="20" t="s">
        <v>91</v>
      </c>
      <c r="E77" s="21"/>
      <c r="F77" s="29">
        <f t="shared" ref="F77:O77" si="93">F67-F73</f>
        <v>0</v>
      </c>
      <c r="G77" s="29">
        <f t="shared" si="93"/>
        <v>0</v>
      </c>
      <c r="H77" s="29">
        <f t="shared" si="93"/>
        <v>0</v>
      </c>
      <c r="I77" s="29">
        <f t="shared" si="93"/>
        <v>0</v>
      </c>
      <c r="J77" s="29">
        <f t="shared" si="93"/>
        <v>0</v>
      </c>
      <c r="K77" s="29">
        <f t="shared" si="93"/>
        <v>0</v>
      </c>
      <c r="L77" s="29">
        <f t="shared" si="93"/>
        <v>0</v>
      </c>
      <c r="M77" s="29">
        <f t="shared" si="93"/>
        <v>0</v>
      </c>
      <c r="N77" s="29">
        <f t="shared" si="93"/>
        <v>0</v>
      </c>
      <c r="O77" s="29">
        <f t="shared" si="93"/>
        <v>0</v>
      </c>
      <c r="P77" s="82">
        <f t="shared" ref="P77:W77" si="94">P67-P73</f>
        <v>23199.939154955442</v>
      </c>
      <c r="Q77" s="82">
        <f t="shared" si="94"/>
        <v>51336.287857103394</v>
      </c>
      <c r="R77" s="82">
        <f t="shared" si="94"/>
        <v>52110.357214134885</v>
      </c>
      <c r="S77" s="82">
        <f t="shared" si="94"/>
        <v>52920.183140227105</v>
      </c>
      <c r="T77" s="82">
        <f t="shared" si="94"/>
        <v>43900.788845999166</v>
      </c>
      <c r="U77" s="82">
        <f t="shared" si="94"/>
        <v>54654.028236303944</v>
      </c>
      <c r="V77" s="82">
        <f t="shared" si="94"/>
        <v>55581.725121878786</v>
      </c>
      <c r="W77" s="82">
        <f t="shared" si="94"/>
        <v>56552.542896444211</v>
      </c>
      <c r="X77" s="29">
        <f>SUM(G77:W77)</f>
        <v>390255.85246704693</v>
      </c>
    </row>
    <row r="78" spans="3:25" x14ac:dyDescent="0.35">
      <c r="C78" s="13"/>
      <c r="D78" s="22" t="s">
        <v>92</v>
      </c>
      <c r="E78" s="14"/>
      <c r="F78" s="29">
        <f t="shared" ref="F78:O78" si="95">F68-F73</f>
        <v>0</v>
      </c>
      <c r="G78" s="29">
        <f t="shared" si="95"/>
        <v>0</v>
      </c>
      <c r="H78" s="29">
        <f t="shared" si="95"/>
        <v>0</v>
      </c>
      <c r="I78" s="29">
        <f t="shared" si="95"/>
        <v>0</v>
      </c>
      <c r="J78" s="29">
        <f t="shared" si="95"/>
        <v>0</v>
      </c>
      <c r="K78" s="29">
        <f t="shared" si="95"/>
        <v>0</v>
      </c>
      <c r="L78" s="29">
        <f t="shared" si="95"/>
        <v>0</v>
      </c>
      <c r="M78" s="29">
        <f t="shared" si="95"/>
        <v>0</v>
      </c>
      <c r="N78" s="29">
        <f t="shared" si="95"/>
        <v>0</v>
      </c>
      <c r="O78" s="29">
        <f t="shared" si="95"/>
        <v>0</v>
      </c>
      <c r="P78" s="82">
        <f t="shared" ref="P78:W78" si="96">P68-P73</f>
        <v>57502.706334067974</v>
      </c>
      <c r="Q78" s="82">
        <f t="shared" si="96"/>
        <v>127240.6563315352</v>
      </c>
      <c r="R78" s="82">
        <f t="shared" si="96"/>
        <v>129159.24252360617</v>
      </c>
      <c r="S78" s="82">
        <f t="shared" si="96"/>
        <v>131166.45392613462</v>
      </c>
      <c r="T78" s="82">
        <f t="shared" si="96"/>
        <v>108811.24092544103</v>
      </c>
      <c r="U78" s="82">
        <f t="shared" si="96"/>
        <v>135463.91284283972</v>
      </c>
      <c r="V78" s="82">
        <f t="shared" si="96"/>
        <v>137763.2758378</v>
      </c>
      <c r="W78" s="82">
        <f t="shared" si="96"/>
        <v>140169.51703618653</v>
      </c>
      <c r="X78" s="29">
        <f>SUM(G78:W78)</f>
        <v>967277.00575761124</v>
      </c>
    </row>
    <row r="79" spans="3:25" x14ac:dyDescent="0.35">
      <c r="C79" s="10">
        <v>5</v>
      </c>
      <c r="D79" s="27" t="s">
        <v>200</v>
      </c>
      <c r="E79" s="12" t="s">
        <v>10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79"/>
      <c r="Q79" s="79"/>
      <c r="R79" s="79"/>
      <c r="S79" s="79"/>
      <c r="T79" s="79"/>
      <c r="U79" s="79"/>
      <c r="V79" s="79"/>
      <c r="W79" s="79"/>
      <c r="X79" s="12"/>
    </row>
    <row r="80" spans="3:25" x14ac:dyDescent="0.35">
      <c r="C80" s="13"/>
      <c r="D80" s="20" t="s">
        <v>84</v>
      </c>
      <c r="E80" s="21"/>
      <c r="F80" s="29">
        <f>'ФинРез Кампус'!I349</f>
        <v>0</v>
      </c>
      <c r="G80" s="29">
        <f>'ФинРез Кампус'!J349</f>
        <v>0</v>
      </c>
      <c r="H80" s="29">
        <f>'ФинРез Кампус'!K349</f>
        <v>0</v>
      </c>
      <c r="I80" s="29">
        <f>'ФинРез Кампус'!L349</f>
        <v>0</v>
      </c>
      <c r="J80" s="29">
        <f>'ФинРез Кампус'!M349</f>
        <v>0</v>
      </c>
      <c r="K80" s="29">
        <f>'ФинРез Кампус'!N349</f>
        <v>0</v>
      </c>
      <c r="L80" s="29">
        <f>'ФинРез Кампус'!O349</f>
        <v>0</v>
      </c>
      <c r="M80" s="29">
        <f>'ФинРез Кампус'!P349</f>
        <v>0</v>
      </c>
      <c r="N80" s="29">
        <f>'ФинРез Кампус'!Q349</f>
        <v>0</v>
      </c>
      <c r="O80" s="29">
        <f>'ФинРез Кампус'!R349</f>
        <v>0</v>
      </c>
      <c r="P80" s="82">
        <f>'ФинРез Кампус'!S349</f>
        <v>0</v>
      </c>
      <c r="Q80" s="82">
        <f>'ФинРез Кампус'!T349</f>
        <v>0</v>
      </c>
      <c r="R80" s="82">
        <f>'ФинРез Кампус'!U349</f>
        <v>0</v>
      </c>
      <c r="S80" s="82">
        <f>'ФинРез Кампус'!V349</f>
        <v>0</v>
      </c>
      <c r="T80" s="82">
        <f>'ФинРез Кампус'!W349</f>
        <v>0</v>
      </c>
      <c r="U80" s="82">
        <f>'ФинРез Кампус'!X349</f>
        <v>0</v>
      </c>
      <c r="V80" s="82">
        <f>'ФинРез Кампус'!Y349</f>
        <v>0</v>
      </c>
      <c r="W80" s="82">
        <f>'ФинРез Кампус'!Z349</f>
        <v>0</v>
      </c>
      <c r="X80" s="29">
        <f>SUM(G80:W80)</f>
        <v>0</v>
      </c>
    </row>
    <row r="81" spans="3:29" x14ac:dyDescent="0.35">
      <c r="C81" s="13"/>
      <c r="D81" s="22" t="s">
        <v>201</v>
      </c>
      <c r="E81" s="58">
        <v>1.1502206752563413</v>
      </c>
      <c r="F81" s="29">
        <f t="shared" ref="F81:O81" si="97">F80*$E$81</f>
        <v>0</v>
      </c>
      <c r="G81" s="29">
        <f t="shared" si="97"/>
        <v>0</v>
      </c>
      <c r="H81" s="29">
        <f t="shared" si="97"/>
        <v>0</v>
      </c>
      <c r="I81" s="29">
        <f t="shared" si="97"/>
        <v>0</v>
      </c>
      <c r="J81" s="29">
        <f t="shared" si="97"/>
        <v>0</v>
      </c>
      <c r="K81" s="29">
        <f t="shared" si="97"/>
        <v>0</v>
      </c>
      <c r="L81" s="29">
        <f t="shared" si="97"/>
        <v>0</v>
      </c>
      <c r="M81" s="29">
        <f t="shared" si="97"/>
        <v>0</v>
      </c>
      <c r="N81" s="29">
        <f t="shared" si="97"/>
        <v>0</v>
      </c>
      <c r="O81" s="29">
        <f t="shared" si="97"/>
        <v>0</v>
      </c>
      <c r="P81" s="82">
        <f t="shared" ref="P81:W81" si="98">P80*$E$81</f>
        <v>0</v>
      </c>
      <c r="Q81" s="82">
        <f t="shared" si="98"/>
        <v>0</v>
      </c>
      <c r="R81" s="82">
        <f t="shared" si="98"/>
        <v>0</v>
      </c>
      <c r="S81" s="82">
        <f t="shared" si="98"/>
        <v>0</v>
      </c>
      <c r="T81" s="82">
        <f t="shared" si="98"/>
        <v>0</v>
      </c>
      <c r="U81" s="82">
        <f t="shared" si="98"/>
        <v>0</v>
      </c>
      <c r="V81" s="82">
        <f t="shared" si="98"/>
        <v>0</v>
      </c>
      <c r="W81" s="82">
        <f t="shared" si="98"/>
        <v>0</v>
      </c>
      <c r="X81" s="29">
        <f>SUM(G81:W81)</f>
        <v>0</v>
      </c>
    </row>
    <row r="82" spans="3:29" x14ac:dyDescent="0.35">
      <c r="C82" s="13"/>
      <c r="D82" s="24" t="s">
        <v>87</v>
      </c>
      <c r="E82" s="14"/>
    </row>
    <row r="83" spans="3:29" x14ac:dyDescent="0.35">
      <c r="C83" s="13"/>
      <c r="D83" s="24" t="s">
        <v>94</v>
      </c>
      <c r="E83" s="14"/>
      <c r="F83" s="14"/>
    </row>
    <row r="84" spans="3:29" x14ac:dyDescent="0.35">
      <c r="D84" s="23" t="s">
        <v>195</v>
      </c>
      <c r="E84" s="14"/>
      <c r="F84" s="66" t="e">
        <f>F86/F80</f>
        <v>#DIV/0!</v>
      </c>
      <c r="G84" s="66" t="e">
        <f t="shared" ref="G84:O84" si="99">G86/G80</f>
        <v>#DIV/0!</v>
      </c>
      <c r="H84" s="66" t="e">
        <f t="shared" si="99"/>
        <v>#DIV/0!</v>
      </c>
      <c r="I84" s="66" t="e">
        <f t="shared" si="99"/>
        <v>#DIV/0!</v>
      </c>
      <c r="J84" s="66" t="e">
        <f t="shared" si="99"/>
        <v>#DIV/0!</v>
      </c>
      <c r="K84" s="66" t="e">
        <f t="shared" si="99"/>
        <v>#DIV/0!</v>
      </c>
      <c r="L84" s="66" t="e">
        <f t="shared" si="99"/>
        <v>#DIV/0!</v>
      </c>
      <c r="M84" s="66" t="e">
        <f t="shared" si="99"/>
        <v>#DIV/0!</v>
      </c>
      <c r="N84" s="66" t="e">
        <f t="shared" si="99"/>
        <v>#DIV/0!</v>
      </c>
      <c r="O84" s="66" t="e">
        <f t="shared" si="99"/>
        <v>#DIV/0!</v>
      </c>
      <c r="P84" s="66" t="e">
        <f t="shared" ref="P84:W84" si="100">P86/P80</f>
        <v>#DIV/0!</v>
      </c>
      <c r="Q84" s="66" t="e">
        <f t="shared" si="100"/>
        <v>#DIV/0!</v>
      </c>
      <c r="R84" s="66" t="e">
        <f t="shared" si="100"/>
        <v>#DIV/0!</v>
      </c>
      <c r="S84" s="66" t="e">
        <f t="shared" si="100"/>
        <v>#DIV/0!</v>
      </c>
      <c r="T84" s="66" t="e">
        <f t="shared" si="100"/>
        <v>#DIV/0!</v>
      </c>
      <c r="U84" s="66" t="e">
        <f t="shared" si="100"/>
        <v>#DIV/0!</v>
      </c>
      <c r="V84" s="66" t="e">
        <f t="shared" si="100"/>
        <v>#DIV/0!</v>
      </c>
      <c r="W84" s="66" t="e">
        <f t="shared" si="100"/>
        <v>#DIV/0!</v>
      </c>
      <c r="X84" s="2" t="e">
        <f>SUM(G84:W84)</f>
        <v>#DIV/0!</v>
      </c>
    </row>
    <row r="85" spans="3:29" x14ac:dyDescent="0.35">
      <c r="C85" s="13"/>
      <c r="D85" s="20" t="s">
        <v>89</v>
      </c>
      <c r="E85" s="21"/>
      <c r="F85" s="29">
        <f>F86+F87</f>
        <v>0</v>
      </c>
      <c r="G85" s="29">
        <f t="shared" ref="G85:O85" si="101">G86+G87</f>
        <v>0</v>
      </c>
      <c r="H85" s="29">
        <f t="shared" si="101"/>
        <v>0</v>
      </c>
      <c r="I85" s="29">
        <f t="shared" si="101"/>
        <v>0</v>
      </c>
      <c r="J85" s="29">
        <f t="shared" si="101"/>
        <v>0</v>
      </c>
      <c r="K85" s="29">
        <f t="shared" si="101"/>
        <v>0</v>
      </c>
      <c r="L85" s="29">
        <f t="shared" si="101"/>
        <v>0</v>
      </c>
      <c r="M85" s="29">
        <f t="shared" si="101"/>
        <v>0</v>
      </c>
      <c r="N85" s="29">
        <f t="shared" si="101"/>
        <v>0</v>
      </c>
      <c r="O85" s="29">
        <f t="shared" si="101"/>
        <v>0</v>
      </c>
      <c r="P85" s="82">
        <f t="shared" ref="P85:W85" si="102">P86+P87</f>
        <v>0</v>
      </c>
      <c r="Q85" s="82">
        <f t="shared" si="102"/>
        <v>0</v>
      </c>
      <c r="R85" s="82">
        <f t="shared" si="102"/>
        <v>0</v>
      </c>
      <c r="S85" s="82">
        <f t="shared" si="102"/>
        <v>0</v>
      </c>
      <c r="T85" s="82">
        <f t="shared" si="102"/>
        <v>0</v>
      </c>
      <c r="U85" s="82">
        <f t="shared" si="102"/>
        <v>0</v>
      </c>
      <c r="V85" s="82">
        <f t="shared" si="102"/>
        <v>0</v>
      </c>
      <c r="W85" s="82">
        <f t="shared" si="102"/>
        <v>0</v>
      </c>
      <c r="X85" s="29">
        <f>SUM(G85:W85)</f>
        <v>0</v>
      </c>
    </row>
    <row r="86" spans="3:29" x14ac:dyDescent="0.35">
      <c r="C86" s="13"/>
      <c r="D86" s="60" t="s">
        <v>196</v>
      </c>
      <c r="E86" s="14"/>
      <c r="F86" s="29">
        <f>'ФинРез Кампус'!I351</f>
        <v>0</v>
      </c>
      <c r="G86" s="29">
        <f>'ФинРез Кампус'!J351</f>
        <v>0</v>
      </c>
      <c r="H86" s="29">
        <f>'ФинРез Кампус'!K351</f>
        <v>0</v>
      </c>
      <c r="I86" s="29">
        <f>'ФинРез Кампус'!L351</f>
        <v>0</v>
      </c>
      <c r="J86" s="29">
        <f>'ФинРез Кампус'!M351</f>
        <v>0</v>
      </c>
      <c r="K86" s="29">
        <f>'ФинРез Кампус'!N351</f>
        <v>0</v>
      </c>
      <c r="L86" s="29">
        <f>'ФинРез Кампус'!O351</f>
        <v>0</v>
      </c>
      <c r="M86" s="29">
        <f>'ФинРез Кампус'!P351</f>
        <v>0</v>
      </c>
      <c r="N86" s="29">
        <f>'ФинРез Кампус'!Q351</f>
        <v>0</v>
      </c>
      <c r="O86" s="29">
        <f>'ФинРез Кампус'!R351</f>
        <v>0</v>
      </c>
      <c r="P86" s="82">
        <f>'ФинРез Кампус'!S351</f>
        <v>0</v>
      </c>
      <c r="Q86" s="82">
        <f>'ФинРез Кампус'!T351</f>
        <v>0</v>
      </c>
      <c r="R86" s="82">
        <f>'ФинРез Кампус'!U351</f>
        <v>0</v>
      </c>
      <c r="S86" s="82">
        <f>'ФинРез Кампус'!V351</f>
        <v>0</v>
      </c>
      <c r="T86" s="82">
        <f>'ФинРез Кампус'!W351</f>
        <v>0</v>
      </c>
      <c r="U86" s="82">
        <f>'ФинРез Кампус'!X351</f>
        <v>0</v>
      </c>
      <c r="V86" s="82">
        <f>'ФинРез Кампус'!Y351</f>
        <v>0</v>
      </c>
      <c r="W86" s="82">
        <f>'ФинРез Кампус'!Z351</f>
        <v>0</v>
      </c>
      <c r="X86" s="29">
        <f>SUM(G86:W86)</f>
        <v>0</v>
      </c>
    </row>
    <row r="87" spans="3:29" x14ac:dyDescent="0.35">
      <c r="C87" s="13"/>
      <c r="D87" s="60" t="s">
        <v>197</v>
      </c>
      <c r="E87" s="14"/>
      <c r="F87" s="29">
        <f>'ФинРез Кампус'!I366</f>
        <v>0</v>
      </c>
      <c r="G87" s="29">
        <f>'ФинРез Кампус'!J366</f>
        <v>0</v>
      </c>
      <c r="H87" s="29">
        <f>'ФинРез Кампус'!K366</f>
        <v>0</v>
      </c>
      <c r="I87" s="29">
        <f>'ФинРез Кампус'!L366</f>
        <v>0</v>
      </c>
      <c r="J87" s="29">
        <f>'ФинРез Кампус'!M366</f>
        <v>0</v>
      </c>
      <c r="K87" s="29">
        <f>'ФинРез Кампус'!N366</f>
        <v>0</v>
      </c>
      <c r="L87" s="29">
        <f>'ФинРез Кампус'!O366</f>
        <v>0</v>
      </c>
      <c r="M87" s="29">
        <f>'ФинРез Кампус'!P366</f>
        <v>0</v>
      </c>
      <c r="N87" s="29">
        <f>'ФинРез Кампус'!Q366</f>
        <v>0</v>
      </c>
      <c r="O87" s="29">
        <f>'ФинРез Кампус'!R366</f>
        <v>0</v>
      </c>
      <c r="P87" s="82">
        <f>'ФинРез Кампус'!S366</f>
        <v>0</v>
      </c>
      <c r="Q87" s="82">
        <f>'ФинРез Кампус'!T366</f>
        <v>0</v>
      </c>
      <c r="R87" s="82">
        <f>'ФинРез Кампус'!U366</f>
        <v>0</v>
      </c>
      <c r="S87" s="82">
        <f>'ФинРез Кампус'!V366</f>
        <v>0</v>
      </c>
      <c r="T87" s="82">
        <f>'ФинРез Кампус'!W366</f>
        <v>0</v>
      </c>
      <c r="U87" s="82">
        <f>'ФинРез Кампус'!X366</f>
        <v>0</v>
      </c>
      <c r="V87" s="82">
        <f>'ФинРез Кампус'!Y366</f>
        <v>0</v>
      </c>
      <c r="W87" s="82">
        <f>'ФинРез Кампус'!Z366</f>
        <v>0</v>
      </c>
      <c r="X87" s="29">
        <f>SUM(G87:W87)</f>
        <v>0</v>
      </c>
      <c r="Y87" s="3"/>
      <c r="Z87" s="3"/>
    </row>
    <row r="88" spans="3:29" x14ac:dyDescent="0.35">
      <c r="C88" s="13"/>
      <c r="D88" s="22" t="s">
        <v>90</v>
      </c>
      <c r="E88" s="14"/>
      <c r="F88" s="14"/>
      <c r="Y88" s="3" t="e">
        <f>X92-X91</f>
        <v>#DIV/0!</v>
      </c>
    </row>
    <row r="89" spans="3:29" x14ac:dyDescent="0.35">
      <c r="D89" s="60" t="s">
        <v>193</v>
      </c>
      <c r="E89" s="14"/>
      <c r="F89" s="61" t="e">
        <f>'ФинРез Кампус'!I366/'ФинРез Кампус'!I7</f>
        <v>#DIV/0!</v>
      </c>
      <c r="G89" s="61" t="e">
        <f>'ФинРез Кампус'!J366/'ФинРез Кампус'!J7</f>
        <v>#DIV/0!</v>
      </c>
      <c r="H89" s="61" t="e">
        <f>'ФинРез Кампус'!K366/'ФинРез Кампус'!K7</f>
        <v>#DIV/0!</v>
      </c>
      <c r="I89" s="61" t="e">
        <f>'ФинРез Кампус'!L366/'ФинРез Кампус'!L7</f>
        <v>#DIV/0!</v>
      </c>
      <c r="J89" s="61" t="e">
        <f>'ФинРез Кампус'!M366/'ФинРез Кампус'!M7</f>
        <v>#DIV/0!</v>
      </c>
      <c r="K89" s="61" t="e">
        <f>'ФинРез Кампус'!N366/'ФинРез Кампус'!N7</f>
        <v>#DIV/0!</v>
      </c>
      <c r="L89" s="61" t="e">
        <f>'ФинРез Кампус'!O366/'ФинРез Кампус'!O7</f>
        <v>#DIV/0!</v>
      </c>
      <c r="M89" s="61" t="e">
        <f>'ФинРез Кампус'!P366/'ФинРез Кампус'!P7</f>
        <v>#DIV/0!</v>
      </c>
      <c r="N89" s="61" t="e">
        <f>'ФинРез Кампус'!Q366/'ФинРез Кампус'!Q7</f>
        <v>#DIV/0!</v>
      </c>
      <c r="O89" s="61" t="e">
        <f>'ФинРез Кампус'!R366/'ФинРез Кампус'!R7</f>
        <v>#DIV/0!</v>
      </c>
      <c r="P89" s="61">
        <f>'ФинРез Кампус'!S366/'ФинРез Кампус'!S7</f>
        <v>0</v>
      </c>
      <c r="Q89" s="61">
        <f>'ФинРез Кампус'!T366/'ФинРез Кампус'!T7</f>
        <v>0</v>
      </c>
      <c r="R89" s="61">
        <f>'ФинРез Кампус'!U366/'ФинРез Кампус'!U7</f>
        <v>0</v>
      </c>
      <c r="S89" s="61">
        <f>'ФинРез Кампус'!V366/'ФинРез Кампус'!V7</f>
        <v>0</v>
      </c>
      <c r="T89" s="61">
        <f>'ФинРез Кампус'!W366/'ФинРез Кампус'!W7</f>
        <v>0</v>
      </c>
      <c r="U89" s="61">
        <f>'ФинРез Кампус'!X366/'ФинРез Кампус'!X7</f>
        <v>0</v>
      </c>
      <c r="V89" s="61">
        <f>'ФинРез Кампус'!Y366/'ФинРез Кампус'!Y7</f>
        <v>0</v>
      </c>
      <c r="W89" s="61">
        <f>'ФинРез Кампус'!Z366/'ФинРез Кампус'!Z7</f>
        <v>0</v>
      </c>
      <c r="X89" s="59" t="e">
        <f>SUM(G89:W89)</f>
        <v>#DIV/0!</v>
      </c>
    </row>
    <row r="90" spans="3:29" x14ac:dyDescent="0.35">
      <c r="D90" s="60" t="s">
        <v>194</v>
      </c>
      <c r="E90" s="14"/>
      <c r="F90" s="86" t="e">
        <f t="shared" ref="F90:O90" si="103">ROUND(F89*(F$159+F$163),2)</f>
        <v>#DIV/0!</v>
      </c>
      <c r="G90" s="86" t="e">
        <f t="shared" si="103"/>
        <v>#DIV/0!</v>
      </c>
      <c r="H90" s="86" t="e">
        <f t="shared" si="103"/>
        <v>#DIV/0!</v>
      </c>
      <c r="I90" s="86" t="e">
        <f t="shared" si="103"/>
        <v>#DIV/0!</v>
      </c>
      <c r="J90" s="86" t="e">
        <f t="shared" si="103"/>
        <v>#DIV/0!</v>
      </c>
      <c r="K90" s="86" t="e">
        <f t="shared" si="103"/>
        <v>#DIV/0!</v>
      </c>
      <c r="L90" s="86" t="e">
        <f t="shared" si="103"/>
        <v>#DIV/0!</v>
      </c>
      <c r="M90" s="86" t="e">
        <f t="shared" si="103"/>
        <v>#DIV/0!</v>
      </c>
      <c r="N90" s="86" t="e">
        <f t="shared" si="103"/>
        <v>#DIV/0!</v>
      </c>
      <c r="O90" s="86" t="e">
        <f t="shared" si="103"/>
        <v>#DIV/0!</v>
      </c>
      <c r="P90" s="86">
        <f t="shared" ref="P90:W90" si="104">ROUND(P89*(P$159+P$163),2)</f>
        <v>0</v>
      </c>
      <c r="Q90" s="86">
        <f t="shared" si="104"/>
        <v>0</v>
      </c>
      <c r="R90" s="86">
        <f t="shared" si="104"/>
        <v>0</v>
      </c>
      <c r="S90" s="86">
        <f t="shared" si="104"/>
        <v>0</v>
      </c>
      <c r="T90" s="86">
        <f t="shared" si="104"/>
        <v>0</v>
      </c>
      <c r="U90" s="86">
        <f t="shared" si="104"/>
        <v>0</v>
      </c>
      <c r="V90" s="86">
        <f t="shared" si="104"/>
        <v>0</v>
      </c>
      <c r="W90" s="86">
        <f t="shared" si="104"/>
        <v>0</v>
      </c>
      <c r="X90" s="63" t="e">
        <f>SUM(G90:W90)</f>
        <v>#DIV/0!</v>
      </c>
    </row>
    <row r="91" spans="3:29" x14ac:dyDescent="0.35">
      <c r="C91" s="13"/>
      <c r="D91" s="20" t="s">
        <v>91</v>
      </c>
      <c r="E91" s="21"/>
      <c r="F91" s="29">
        <f t="shared" ref="F91:O91" si="105">F80-F85</f>
        <v>0</v>
      </c>
      <c r="G91" s="29">
        <f t="shared" si="105"/>
        <v>0</v>
      </c>
      <c r="H91" s="29">
        <f t="shared" si="105"/>
        <v>0</v>
      </c>
      <c r="I91" s="29">
        <f t="shared" si="105"/>
        <v>0</v>
      </c>
      <c r="J91" s="29">
        <f t="shared" si="105"/>
        <v>0</v>
      </c>
      <c r="K91" s="29">
        <f t="shared" si="105"/>
        <v>0</v>
      </c>
      <c r="L91" s="29">
        <f t="shared" si="105"/>
        <v>0</v>
      </c>
      <c r="M91" s="29">
        <f t="shared" si="105"/>
        <v>0</v>
      </c>
      <c r="N91" s="29">
        <f t="shared" si="105"/>
        <v>0</v>
      </c>
      <c r="O91" s="29">
        <f t="shared" si="105"/>
        <v>0</v>
      </c>
      <c r="P91" s="82">
        <f t="shared" ref="P91:W91" si="106">P80-P85</f>
        <v>0</v>
      </c>
      <c r="Q91" s="82">
        <f t="shared" si="106"/>
        <v>0</v>
      </c>
      <c r="R91" s="82">
        <f t="shared" si="106"/>
        <v>0</v>
      </c>
      <c r="S91" s="82">
        <f t="shared" si="106"/>
        <v>0</v>
      </c>
      <c r="T91" s="82">
        <f t="shared" si="106"/>
        <v>0</v>
      </c>
      <c r="U91" s="82">
        <f t="shared" si="106"/>
        <v>0</v>
      </c>
      <c r="V91" s="82">
        <f t="shared" si="106"/>
        <v>0</v>
      </c>
      <c r="W91" s="82">
        <f t="shared" si="106"/>
        <v>0</v>
      </c>
      <c r="X91" s="29">
        <f>SUM(G91:W91)</f>
        <v>0</v>
      </c>
      <c r="AA91" s="3"/>
      <c r="AB91" s="3"/>
      <c r="AC91" s="3"/>
    </row>
    <row r="92" spans="3:29" x14ac:dyDescent="0.35">
      <c r="C92" s="13"/>
      <c r="D92" s="22" t="s">
        <v>92</v>
      </c>
      <c r="E92" s="14"/>
      <c r="F92" s="29" t="e">
        <f>F81-(F81*F84+F87-F90)</f>
        <v>#DIV/0!</v>
      </c>
      <c r="G92" s="82" t="e">
        <f t="shared" ref="G92:O92" si="107">G81-(G81*G84+G87-G90)</f>
        <v>#DIV/0!</v>
      </c>
      <c r="H92" s="82" t="e">
        <f t="shared" si="107"/>
        <v>#DIV/0!</v>
      </c>
      <c r="I92" s="82" t="e">
        <f t="shared" si="107"/>
        <v>#DIV/0!</v>
      </c>
      <c r="J92" s="82" t="e">
        <f t="shared" si="107"/>
        <v>#DIV/0!</v>
      </c>
      <c r="K92" s="82" t="e">
        <f t="shared" si="107"/>
        <v>#DIV/0!</v>
      </c>
      <c r="L92" s="82" t="e">
        <f t="shared" si="107"/>
        <v>#DIV/0!</v>
      </c>
      <c r="M92" s="82" t="e">
        <f t="shared" si="107"/>
        <v>#DIV/0!</v>
      </c>
      <c r="N92" s="82" t="e">
        <f t="shared" si="107"/>
        <v>#DIV/0!</v>
      </c>
      <c r="O92" s="82" t="e">
        <f t="shared" si="107"/>
        <v>#DIV/0!</v>
      </c>
      <c r="P92" s="82" t="e">
        <f t="shared" ref="P92:W92" si="108">P81-(P81*P84+P87-P90)</f>
        <v>#DIV/0!</v>
      </c>
      <c r="Q92" s="82" t="e">
        <f t="shared" si="108"/>
        <v>#DIV/0!</v>
      </c>
      <c r="R92" s="82" t="e">
        <f t="shared" si="108"/>
        <v>#DIV/0!</v>
      </c>
      <c r="S92" s="82" t="e">
        <f t="shared" si="108"/>
        <v>#DIV/0!</v>
      </c>
      <c r="T92" s="82" t="e">
        <f t="shared" si="108"/>
        <v>#DIV/0!</v>
      </c>
      <c r="U92" s="82" t="e">
        <f t="shared" si="108"/>
        <v>#DIV/0!</v>
      </c>
      <c r="V92" s="82" t="e">
        <f t="shared" si="108"/>
        <v>#DIV/0!</v>
      </c>
      <c r="W92" s="82" t="e">
        <f t="shared" si="108"/>
        <v>#DIV/0!</v>
      </c>
      <c r="X92" s="29" t="e">
        <f>SUM(G92:W92)</f>
        <v>#DIV/0!</v>
      </c>
    </row>
    <row r="93" spans="3:29" x14ac:dyDescent="0.35">
      <c r="C93" s="10">
        <v>6</v>
      </c>
      <c r="D93" s="11" t="s">
        <v>202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79"/>
      <c r="Q93" s="79"/>
      <c r="R93" s="79"/>
      <c r="S93" s="79"/>
      <c r="T93" s="79"/>
      <c r="U93" s="79"/>
      <c r="V93" s="79"/>
      <c r="W93" s="79"/>
      <c r="X93" s="12"/>
    </row>
    <row r="94" spans="3:29" x14ac:dyDescent="0.35">
      <c r="C94" s="13"/>
      <c r="D94" s="20" t="s">
        <v>84</v>
      </c>
      <c r="E94" s="21"/>
      <c r="F94" s="29">
        <f>'ФинРез Кампус'!I420</f>
        <v>0</v>
      </c>
      <c r="G94" s="29">
        <f>'ФинРез Кампус'!J420</f>
        <v>0</v>
      </c>
      <c r="H94" s="29">
        <f>'ФинРез Кампус'!K420</f>
        <v>0</v>
      </c>
      <c r="I94" s="29">
        <f>'ФинРез Кампус'!L420</f>
        <v>0</v>
      </c>
      <c r="J94" s="29">
        <f>'ФинРез Кампус'!M420</f>
        <v>0</v>
      </c>
      <c r="K94" s="29">
        <f>'ФинРез Кампус'!N420</f>
        <v>0</v>
      </c>
      <c r="L94" s="29">
        <f>'ФинРез Кампус'!O420</f>
        <v>0</v>
      </c>
      <c r="M94" s="29">
        <f>'ФинРез Кампус'!P420</f>
        <v>0</v>
      </c>
      <c r="N94" s="29">
        <f>'ФинРез Кампус'!Q420</f>
        <v>0</v>
      </c>
      <c r="O94" s="29">
        <f>'ФинРез Кампус'!R420</f>
        <v>0</v>
      </c>
      <c r="P94" s="82">
        <f>'ФинРез Кампус'!S420</f>
        <v>112691.35019024136</v>
      </c>
      <c r="Q94" s="82">
        <f>'ФинРез Кампус'!T420</f>
        <v>234352.93185562594</v>
      </c>
      <c r="R94" s="82">
        <f>'ФинРез Кампус'!U420</f>
        <v>243680.17854347988</v>
      </c>
      <c r="S94" s="82">
        <f>'ФинРез Кампус'!V420</f>
        <v>253378.64964951036</v>
      </c>
      <c r="T94" s="82">
        <f>'ФинРез Кампус'!W420</f>
        <v>263463.11990556086</v>
      </c>
      <c r="U94" s="82">
        <f>'ФинРез Кампус'!X420</f>
        <v>273948.95207780215</v>
      </c>
      <c r="V94" s="82">
        <f>'ФинРез Кампус'!Y420</f>
        <v>284852.1203704988</v>
      </c>
      <c r="W94" s="82">
        <f>'ФинРез Кампус'!Z420</f>
        <v>296189.23476124468</v>
      </c>
      <c r="X94" s="29">
        <f>SUM(G94:W94)</f>
        <v>1962556.5373539641</v>
      </c>
    </row>
    <row r="95" spans="3:29" x14ac:dyDescent="0.35">
      <c r="C95" s="13"/>
      <c r="D95" s="22" t="s">
        <v>201</v>
      </c>
      <c r="E95" s="58">
        <v>1.5</v>
      </c>
      <c r="F95" s="29">
        <f t="shared" ref="F95:O95" si="109">F94*($E$95)</f>
        <v>0</v>
      </c>
      <c r="G95" s="29">
        <f t="shared" si="109"/>
        <v>0</v>
      </c>
      <c r="H95" s="29">
        <f t="shared" si="109"/>
        <v>0</v>
      </c>
      <c r="I95" s="29">
        <f t="shared" si="109"/>
        <v>0</v>
      </c>
      <c r="J95" s="29">
        <f t="shared" si="109"/>
        <v>0</v>
      </c>
      <c r="K95" s="29">
        <f t="shared" si="109"/>
        <v>0</v>
      </c>
      <c r="L95" s="29">
        <f t="shared" si="109"/>
        <v>0</v>
      </c>
      <c r="M95" s="29">
        <f t="shared" si="109"/>
        <v>0</v>
      </c>
      <c r="N95" s="29">
        <f t="shared" si="109"/>
        <v>0</v>
      </c>
      <c r="O95" s="29">
        <f t="shared" si="109"/>
        <v>0</v>
      </c>
      <c r="P95" s="82">
        <f t="shared" ref="P95:W95" si="110">P94*($E$95)</f>
        <v>169037.02528536203</v>
      </c>
      <c r="Q95" s="82">
        <f t="shared" si="110"/>
        <v>351529.39778343891</v>
      </c>
      <c r="R95" s="82">
        <f t="shared" si="110"/>
        <v>365520.26781521982</v>
      </c>
      <c r="S95" s="82">
        <f t="shared" si="110"/>
        <v>380067.97447426553</v>
      </c>
      <c r="T95" s="82">
        <f t="shared" si="110"/>
        <v>395194.67985834129</v>
      </c>
      <c r="U95" s="82">
        <f t="shared" si="110"/>
        <v>410923.42811670323</v>
      </c>
      <c r="V95" s="82">
        <f t="shared" si="110"/>
        <v>427278.18055574817</v>
      </c>
      <c r="W95" s="82">
        <f t="shared" si="110"/>
        <v>444283.85214186704</v>
      </c>
      <c r="X95" s="29">
        <f>SUM(G95:W95)</f>
        <v>2943834.8060309459</v>
      </c>
    </row>
    <row r="96" spans="3:29" x14ac:dyDescent="0.35">
      <c r="C96" s="13"/>
      <c r="D96" s="24" t="s">
        <v>94</v>
      </c>
      <c r="E96" s="14"/>
    </row>
    <row r="97" spans="3:28" x14ac:dyDescent="0.35">
      <c r="C97" s="13"/>
      <c r="D97" s="24" t="s">
        <v>95</v>
      </c>
      <c r="E97" s="14"/>
      <c r="F97" s="66"/>
    </row>
    <row r="98" spans="3:28" x14ac:dyDescent="0.35">
      <c r="C98" s="13"/>
      <c r="D98" s="23" t="s">
        <v>195</v>
      </c>
      <c r="E98" s="14"/>
      <c r="F98" s="66" t="e">
        <f>F100/F94</f>
        <v>#DIV/0!</v>
      </c>
      <c r="G98" s="66" t="e">
        <f t="shared" ref="G98:O98" si="111">G100/G94</f>
        <v>#DIV/0!</v>
      </c>
      <c r="H98" s="66" t="e">
        <f t="shared" si="111"/>
        <v>#DIV/0!</v>
      </c>
      <c r="I98" s="66" t="e">
        <f t="shared" si="111"/>
        <v>#DIV/0!</v>
      </c>
      <c r="J98" s="66" t="e">
        <f t="shared" si="111"/>
        <v>#DIV/0!</v>
      </c>
      <c r="K98" s="66" t="e">
        <f t="shared" si="111"/>
        <v>#DIV/0!</v>
      </c>
      <c r="L98" s="66" t="e">
        <f t="shared" si="111"/>
        <v>#DIV/0!</v>
      </c>
      <c r="M98" s="66" t="e">
        <f t="shared" si="111"/>
        <v>#DIV/0!</v>
      </c>
      <c r="N98" s="66" t="e">
        <f t="shared" si="111"/>
        <v>#DIV/0!</v>
      </c>
      <c r="O98" s="66" t="e">
        <f t="shared" si="111"/>
        <v>#DIV/0!</v>
      </c>
      <c r="P98" s="66">
        <f t="shared" ref="P98:W98" si="112">P100/P94</f>
        <v>0.29126213592233013</v>
      </c>
      <c r="Q98" s="66">
        <f t="shared" si="112"/>
        <v>0.29126213592233008</v>
      </c>
      <c r="R98" s="66">
        <f t="shared" si="112"/>
        <v>0.29126213592233008</v>
      </c>
      <c r="S98" s="66">
        <f t="shared" si="112"/>
        <v>0.29126213592233008</v>
      </c>
      <c r="T98" s="66">
        <f t="shared" si="112"/>
        <v>0.29126213592233013</v>
      </c>
      <c r="U98" s="66">
        <f t="shared" si="112"/>
        <v>0.29126213592233013</v>
      </c>
      <c r="V98" s="66">
        <f t="shared" si="112"/>
        <v>0.29126213592233002</v>
      </c>
      <c r="W98" s="66">
        <f t="shared" si="112"/>
        <v>0.29126213592233008</v>
      </c>
      <c r="X98" s="2" t="e">
        <f>SUM(G98:W98)</f>
        <v>#DIV/0!</v>
      </c>
    </row>
    <row r="99" spans="3:28" x14ac:dyDescent="0.35">
      <c r="D99" s="20" t="s">
        <v>89</v>
      </c>
      <c r="E99" s="21"/>
      <c r="F99" s="29">
        <f>F100+F101</f>
        <v>0</v>
      </c>
      <c r="G99" s="29">
        <f t="shared" ref="G99:O99" si="113">G100+G101</f>
        <v>0</v>
      </c>
      <c r="H99" s="29">
        <f t="shared" si="113"/>
        <v>0</v>
      </c>
      <c r="I99" s="29">
        <f t="shared" si="113"/>
        <v>0</v>
      </c>
      <c r="J99" s="29">
        <f t="shared" si="113"/>
        <v>0</v>
      </c>
      <c r="K99" s="29">
        <f t="shared" si="113"/>
        <v>0</v>
      </c>
      <c r="L99" s="29">
        <f t="shared" si="113"/>
        <v>0</v>
      </c>
      <c r="M99" s="29">
        <f t="shared" si="113"/>
        <v>0</v>
      </c>
      <c r="N99" s="29">
        <f t="shared" si="113"/>
        <v>0</v>
      </c>
      <c r="O99" s="29">
        <f t="shared" si="113"/>
        <v>0</v>
      </c>
      <c r="P99" s="82">
        <f t="shared" ref="P99:W99" si="114">P100+P101</f>
        <v>194743.82906793203</v>
      </c>
      <c r="Q99" s="82">
        <f t="shared" si="114"/>
        <v>423602.25399741606</v>
      </c>
      <c r="R99" s="82">
        <f t="shared" si="114"/>
        <v>434571.26635109843</v>
      </c>
      <c r="S99" s="82">
        <f t="shared" si="114"/>
        <v>446029.60241832101</v>
      </c>
      <c r="T99" s="82">
        <f t="shared" si="114"/>
        <v>352811.23727403948</v>
      </c>
      <c r="U99" s="82">
        <f t="shared" si="114"/>
        <v>470505.44193735003</v>
      </c>
      <c r="V99" s="82">
        <f t="shared" si="114"/>
        <v>483571.28071742819</v>
      </c>
      <c r="W99" s="82">
        <f t="shared" si="114"/>
        <v>497223.22253494471</v>
      </c>
      <c r="X99" s="29">
        <f>SUM(G99:W99)</f>
        <v>3303058.1342985299</v>
      </c>
    </row>
    <row r="100" spans="3:28" x14ac:dyDescent="0.35">
      <c r="D100" s="60" t="s">
        <v>196</v>
      </c>
      <c r="E100" s="28"/>
      <c r="F100" s="29">
        <f>'ФинРез Кампус'!I422</f>
        <v>0</v>
      </c>
      <c r="G100" s="29">
        <f>'ФинРез Кампус'!J422</f>
        <v>0</v>
      </c>
      <c r="H100" s="29">
        <f>'ФинРез Кампус'!K422</f>
        <v>0</v>
      </c>
      <c r="I100" s="29">
        <f>'ФинРез Кампус'!L422</f>
        <v>0</v>
      </c>
      <c r="J100" s="29">
        <f>'ФинРез Кампус'!M422</f>
        <v>0</v>
      </c>
      <c r="K100" s="29">
        <f>'ФинРез Кампус'!N422</f>
        <v>0</v>
      </c>
      <c r="L100" s="29">
        <f>'ФинРез Кампус'!O422</f>
        <v>0</v>
      </c>
      <c r="M100" s="29">
        <f>'ФинРез Кампус'!P422</f>
        <v>0</v>
      </c>
      <c r="N100" s="29">
        <f>'ФинРез Кампус'!Q422</f>
        <v>0</v>
      </c>
      <c r="O100" s="29">
        <f>'ФинРез Кампус'!R422</f>
        <v>0</v>
      </c>
      <c r="P100" s="82">
        <f>'ФинРез Кампус'!S422</f>
        <v>32822.723356380979</v>
      </c>
      <c r="Q100" s="82">
        <f>'ФинРез Кампус'!T422</f>
        <v>68258.135491929876</v>
      </c>
      <c r="R100" s="82">
        <f>'ФинРез Кампус'!U422</f>
        <v>70974.809284508694</v>
      </c>
      <c r="S100" s="82">
        <f>'ФинРез Кампус'!V422</f>
        <v>73799.606694032147</v>
      </c>
      <c r="T100" s="82">
        <f>'ФинРез Кампус'!W422</f>
        <v>76736.831040454636</v>
      </c>
      <c r="U100" s="82">
        <f>'ФинРез Кампус'!X422</f>
        <v>79790.956915864721</v>
      </c>
      <c r="V100" s="82">
        <f>'ФинРез Кампус'!Y422</f>
        <v>82966.637001116134</v>
      </c>
      <c r="W100" s="82">
        <f>'ФинРез Кампус'!Z422</f>
        <v>86268.709153760574</v>
      </c>
      <c r="X100" s="29">
        <f>SUM(G100:W100)</f>
        <v>571618.40893804771</v>
      </c>
    </row>
    <row r="101" spans="3:28" x14ac:dyDescent="0.35">
      <c r="D101" s="60" t="s">
        <v>197</v>
      </c>
      <c r="E101" s="28"/>
      <c r="F101" s="29">
        <f>'ФинРез Кампус'!I437</f>
        <v>0</v>
      </c>
      <c r="G101" s="29">
        <f>'ФинРез Кампус'!J437</f>
        <v>0</v>
      </c>
      <c r="H101" s="29">
        <f>'ФинРез Кампус'!K437</f>
        <v>0</v>
      </c>
      <c r="I101" s="29">
        <f>'ФинРез Кампус'!L437</f>
        <v>0</v>
      </c>
      <c r="J101" s="29">
        <f>'ФинРез Кампус'!M437</f>
        <v>0</v>
      </c>
      <c r="K101" s="29">
        <f>'ФинРез Кампус'!N437</f>
        <v>0</v>
      </c>
      <c r="L101" s="29">
        <f>'ФинРез Кампус'!O437</f>
        <v>0</v>
      </c>
      <c r="M101" s="29">
        <f>'ФинРез Кампус'!P437</f>
        <v>0</v>
      </c>
      <c r="N101" s="29">
        <f>'ФинРез Кампус'!Q437</f>
        <v>0</v>
      </c>
      <c r="O101" s="29">
        <f>'ФинРез Кампус'!R437</f>
        <v>0</v>
      </c>
      <c r="P101" s="82">
        <f>'ФинРез Кампус'!S437</f>
        <v>161921.10571155106</v>
      </c>
      <c r="Q101" s="82">
        <f>'ФинРез Кампус'!T437</f>
        <v>355344.11850548617</v>
      </c>
      <c r="R101" s="82">
        <f>'ФинРез Кампус'!U437</f>
        <v>363596.45706658973</v>
      </c>
      <c r="S101" s="82">
        <f>'ФинРез Кампус'!V437</f>
        <v>372229.99572428886</v>
      </c>
      <c r="T101" s="82">
        <f>'ФинРез Кампус'!W437</f>
        <v>276074.40623358486</v>
      </c>
      <c r="U101" s="82">
        <f>'ФинРез Кампус'!X437</f>
        <v>390714.48502148531</v>
      </c>
      <c r="V101" s="82">
        <f>'ФинРез Кампус'!Y437</f>
        <v>400604.64371631207</v>
      </c>
      <c r="W101" s="82">
        <f>'ФинРез Кампус'!Z437</f>
        <v>410954.51338118414</v>
      </c>
      <c r="X101" s="29">
        <f>SUM(G101:W101)</f>
        <v>2731439.7253604825</v>
      </c>
      <c r="Y101" s="3"/>
      <c r="Z101" s="3"/>
    </row>
    <row r="102" spans="3:28" x14ac:dyDescent="0.35">
      <c r="D102" s="22" t="s">
        <v>90</v>
      </c>
      <c r="E102" s="14"/>
      <c r="F102" s="14"/>
      <c r="Y102" s="3" t="e">
        <f>X106-X105</f>
        <v>#DIV/0!</v>
      </c>
    </row>
    <row r="103" spans="3:28" x14ac:dyDescent="0.35">
      <c r="C103" s="13"/>
      <c r="D103" s="60" t="s">
        <v>193</v>
      </c>
      <c r="E103" s="14"/>
      <c r="F103" s="61" t="e">
        <f>F101/'ФинРез Кампус'!I$7</f>
        <v>#DIV/0!</v>
      </c>
      <c r="G103" s="61" t="e">
        <f>G101/'ФинРез Кампус'!J7</f>
        <v>#DIV/0!</v>
      </c>
      <c r="H103" s="61" t="e">
        <f>H101/'ФинРез Кампус'!K7</f>
        <v>#DIV/0!</v>
      </c>
      <c r="I103" s="61" t="e">
        <f>I101/'ФинРез Кампус'!L7</f>
        <v>#DIV/0!</v>
      </c>
      <c r="J103" s="61" t="e">
        <f>J101/'ФинРез Кампус'!M7</f>
        <v>#DIV/0!</v>
      </c>
      <c r="K103" s="61" t="e">
        <f>K101/'ФинРез Кампус'!N7</f>
        <v>#DIV/0!</v>
      </c>
      <c r="L103" s="61" t="e">
        <f>L101/'ФинРез Кампус'!O7</f>
        <v>#DIV/0!</v>
      </c>
      <c r="M103" s="61" t="e">
        <f>M101/'ФинРез Кампус'!P7</f>
        <v>#DIV/0!</v>
      </c>
      <c r="N103" s="61" t="e">
        <f>N101/'ФинРез Кампус'!Q7</f>
        <v>#DIV/0!</v>
      </c>
      <c r="O103" s="61" t="e">
        <f>O101/'ФинРез Кампус'!R7</f>
        <v>#DIV/0!</v>
      </c>
      <c r="P103" s="61">
        <f>P101/'ФинРез Кампус'!S7</f>
        <v>1</v>
      </c>
      <c r="Q103" s="61">
        <f>Q101/'ФинРез Кампус'!T7</f>
        <v>1</v>
      </c>
      <c r="R103" s="61">
        <f>R101/'ФинРез Кампус'!U7</f>
        <v>1</v>
      </c>
      <c r="S103" s="61">
        <f>S101/'ФинРез Кампус'!V7</f>
        <v>1</v>
      </c>
      <c r="T103" s="61">
        <f>T101/'ФинРез Кампус'!W7</f>
        <v>1</v>
      </c>
      <c r="U103" s="61">
        <f>U101/'ФинРез Кампус'!X7</f>
        <v>1</v>
      </c>
      <c r="V103" s="61">
        <f>V101/'ФинРез Кампус'!Y7</f>
        <v>1</v>
      </c>
      <c r="W103" s="61">
        <f>W101/'ФинРез Кампус'!Z7</f>
        <v>1</v>
      </c>
      <c r="X103" s="2" t="e">
        <f>SUM(G103:W103)</f>
        <v>#DIV/0!</v>
      </c>
    </row>
    <row r="104" spans="3:28" x14ac:dyDescent="0.35">
      <c r="C104" s="13"/>
      <c r="D104" s="60" t="s">
        <v>194</v>
      </c>
      <c r="E104" s="14"/>
      <c r="F104" s="62" t="e">
        <f t="shared" ref="F104:O104" si="115">ROUND(F103*(F$159+F$163),2)</f>
        <v>#DIV/0!</v>
      </c>
      <c r="G104" s="86" t="e">
        <f t="shared" si="115"/>
        <v>#DIV/0!</v>
      </c>
      <c r="H104" s="86" t="e">
        <f t="shared" si="115"/>
        <v>#DIV/0!</v>
      </c>
      <c r="I104" s="86" t="e">
        <f t="shared" si="115"/>
        <v>#DIV/0!</v>
      </c>
      <c r="J104" s="86" t="e">
        <f t="shared" si="115"/>
        <v>#DIV/0!</v>
      </c>
      <c r="K104" s="86" t="e">
        <f t="shared" si="115"/>
        <v>#DIV/0!</v>
      </c>
      <c r="L104" s="86" t="e">
        <f t="shared" si="115"/>
        <v>#DIV/0!</v>
      </c>
      <c r="M104" s="86" t="e">
        <f t="shared" si="115"/>
        <v>#DIV/0!</v>
      </c>
      <c r="N104" s="86" t="e">
        <f t="shared" si="115"/>
        <v>#DIV/0!</v>
      </c>
      <c r="O104" s="86" t="e">
        <f t="shared" si="115"/>
        <v>#DIV/0!</v>
      </c>
      <c r="P104" s="86">
        <f t="shared" ref="P104:W104" si="116">ROUND(P103*(P$159+P$163),2)</f>
        <v>-3034.89</v>
      </c>
      <c r="Q104" s="86">
        <f t="shared" si="116"/>
        <v>-3034.89</v>
      </c>
      <c r="R104" s="86">
        <f t="shared" si="116"/>
        <v>-3034.89</v>
      </c>
      <c r="S104" s="86">
        <f t="shared" si="116"/>
        <v>-3034.89</v>
      </c>
      <c r="T104" s="86">
        <f t="shared" si="116"/>
        <v>-3034.89</v>
      </c>
      <c r="U104" s="86">
        <f t="shared" si="116"/>
        <v>-3034.89</v>
      </c>
      <c r="V104" s="86">
        <f t="shared" si="116"/>
        <v>-3034.89</v>
      </c>
      <c r="W104" s="86">
        <f t="shared" si="116"/>
        <v>-3034.89</v>
      </c>
      <c r="X104" s="63" t="e">
        <f>SUM(G104:W104)</f>
        <v>#DIV/0!</v>
      </c>
    </row>
    <row r="105" spans="3:28" x14ac:dyDescent="0.35">
      <c r="C105" s="13"/>
      <c r="D105" s="20" t="s">
        <v>91</v>
      </c>
      <c r="E105" s="21"/>
      <c r="F105" s="29">
        <f t="shared" ref="F105:O105" si="117">F94-F99</f>
        <v>0</v>
      </c>
      <c r="G105" s="29">
        <f t="shared" si="117"/>
        <v>0</v>
      </c>
      <c r="H105" s="29">
        <f t="shared" si="117"/>
        <v>0</v>
      </c>
      <c r="I105" s="29">
        <f t="shared" si="117"/>
        <v>0</v>
      </c>
      <c r="J105" s="29">
        <f t="shared" si="117"/>
        <v>0</v>
      </c>
      <c r="K105" s="29">
        <f t="shared" si="117"/>
        <v>0</v>
      </c>
      <c r="L105" s="29">
        <f t="shared" si="117"/>
        <v>0</v>
      </c>
      <c r="M105" s="29">
        <f t="shared" si="117"/>
        <v>0</v>
      </c>
      <c r="N105" s="29">
        <f t="shared" si="117"/>
        <v>0</v>
      </c>
      <c r="O105" s="29">
        <f t="shared" si="117"/>
        <v>0</v>
      </c>
      <c r="P105" s="82">
        <f t="shared" ref="P105:W105" si="118">P94-P99</f>
        <v>-82052.478877690679</v>
      </c>
      <c r="Q105" s="82">
        <f t="shared" si="118"/>
        <v>-189249.32214179012</v>
      </c>
      <c r="R105" s="82">
        <f t="shared" si="118"/>
        <v>-190891.08780761855</v>
      </c>
      <c r="S105" s="82">
        <f t="shared" si="118"/>
        <v>-192650.95276881065</v>
      </c>
      <c r="T105" s="82">
        <f t="shared" si="118"/>
        <v>-89348.117368478619</v>
      </c>
      <c r="U105" s="82">
        <f t="shared" si="118"/>
        <v>-196556.48985954787</v>
      </c>
      <c r="V105" s="82">
        <f t="shared" si="118"/>
        <v>-198719.16034692939</v>
      </c>
      <c r="W105" s="82">
        <f t="shared" si="118"/>
        <v>-201033.98777370004</v>
      </c>
      <c r="X105" s="29">
        <f>SUM(G105:W105)</f>
        <v>-1340501.5969445659</v>
      </c>
      <c r="AA105" s="3"/>
      <c r="AB105" s="3"/>
    </row>
    <row r="106" spans="3:28" x14ac:dyDescent="0.35">
      <c r="C106" s="13"/>
      <c r="D106" s="22" t="s">
        <v>92</v>
      </c>
      <c r="E106" s="14"/>
      <c r="F106" s="29" t="e">
        <f>F95-(F95*F98+F101-F104)</f>
        <v>#DIV/0!</v>
      </c>
      <c r="G106" s="29" t="e">
        <f t="shared" ref="G106:O106" si="119">G95-(G95*G98+G101-G104)</f>
        <v>#DIV/0!</v>
      </c>
      <c r="H106" s="29" t="e">
        <f t="shared" si="119"/>
        <v>#DIV/0!</v>
      </c>
      <c r="I106" s="29" t="e">
        <f t="shared" si="119"/>
        <v>#DIV/0!</v>
      </c>
      <c r="J106" s="29" t="e">
        <f t="shared" si="119"/>
        <v>#DIV/0!</v>
      </c>
      <c r="K106" s="29" t="e">
        <f t="shared" si="119"/>
        <v>#DIV/0!</v>
      </c>
      <c r="L106" s="29" t="e">
        <f t="shared" si="119"/>
        <v>#DIV/0!</v>
      </c>
      <c r="M106" s="29" t="e">
        <f t="shared" si="119"/>
        <v>#DIV/0!</v>
      </c>
      <c r="N106" s="29" t="e">
        <f t="shared" si="119"/>
        <v>#DIV/0!</v>
      </c>
      <c r="O106" s="29" t="e">
        <f t="shared" si="119"/>
        <v>#DIV/0!</v>
      </c>
      <c r="P106" s="82">
        <f t="shared" ref="P106:W106" si="120">P95-(P95*P98+P101-P104)</f>
        <v>-45153.055460760515</v>
      </c>
      <c r="Q106" s="82">
        <f t="shared" si="120"/>
        <v>-109236.81395994208</v>
      </c>
      <c r="R106" s="82">
        <f t="shared" si="120"/>
        <v>-107573.29317813297</v>
      </c>
      <c r="S106" s="82">
        <f t="shared" si="120"/>
        <v>-105896.32129107154</v>
      </c>
      <c r="T106" s="82">
        <f t="shared" si="120"/>
        <v>980.13706407445716</v>
      </c>
      <c r="U106" s="82">
        <f t="shared" si="120"/>
        <v>-102512.38227857917</v>
      </c>
      <c r="V106" s="82">
        <f t="shared" si="120"/>
        <v>-100811.30866223807</v>
      </c>
      <c r="W106" s="82">
        <f t="shared" si="120"/>
        <v>-99108.614969957969</v>
      </c>
      <c r="X106" s="29" t="e">
        <f>SUM(G106:W106)</f>
        <v>#DIV/0!</v>
      </c>
    </row>
    <row r="107" spans="3:28" x14ac:dyDescent="0.35">
      <c r="C107" s="10">
        <v>7</v>
      </c>
      <c r="D107" s="11" t="s">
        <v>96</v>
      </c>
      <c r="E107" s="12" t="s">
        <v>10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79"/>
      <c r="Q107" s="79"/>
      <c r="R107" s="79"/>
      <c r="S107" s="79"/>
      <c r="T107" s="79"/>
      <c r="U107" s="79"/>
      <c r="V107" s="79"/>
      <c r="W107" s="79"/>
      <c r="X107" s="12"/>
    </row>
    <row r="108" spans="3:28" x14ac:dyDescent="0.35">
      <c r="C108" s="13"/>
      <c r="D108" s="20" t="s">
        <v>84</v>
      </c>
      <c r="E108" s="21"/>
      <c r="F108" s="29">
        <f>'ФинРез Кампус'!I491</f>
        <v>0</v>
      </c>
      <c r="G108" s="29">
        <f>'ФинРез Кампус'!J491</f>
        <v>0</v>
      </c>
      <c r="H108" s="29">
        <f>'ФинРез Кампус'!K491</f>
        <v>0</v>
      </c>
      <c r="I108" s="29">
        <f>'ФинРез Кампус'!L491</f>
        <v>0</v>
      </c>
      <c r="J108" s="29">
        <f>'ФинРез Кампус'!M491</f>
        <v>0</v>
      </c>
      <c r="K108" s="29">
        <f>'ФинРез Кампус'!N491</f>
        <v>0</v>
      </c>
      <c r="L108" s="29">
        <f>'ФинРез Кампус'!O491</f>
        <v>0</v>
      </c>
      <c r="M108" s="29">
        <f>'ФинРез Кампус'!P491</f>
        <v>0</v>
      </c>
      <c r="N108" s="29">
        <f>'ФинРез Кампус'!Q491</f>
        <v>0</v>
      </c>
      <c r="O108" s="29">
        <f>'ФинРез Кампус'!R491</f>
        <v>0</v>
      </c>
      <c r="P108" s="82">
        <f>'ФинРез Кампус'!S491</f>
        <v>0</v>
      </c>
      <c r="Q108" s="82">
        <f>'ФинРез Кампус'!T491</f>
        <v>0</v>
      </c>
      <c r="R108" s="82">
        <f>'ФинРез Кампус'!U491</f>
        <v>0</v>
      </c>
      <c r="S108" s="82">
        <f>'ФинРез Кампус'!V491</f>
        <v>0</v>
      </c>
      <c r="T108" s="82">
        <f>'ФинРез Кампус'!W491</f>
        <v>0</v>
      </c>
      <c r="U108" s="82">
        <f>'ФинРез Кампус'!X491</f>
        <v>0</v>
      </c>
      <c r="V108" s="82">
        <f>'ФинРез Кампус'!Y491</f>
        <v>0</v>
      </c>
      <c r="W108" s="82">
        <f>'ФинРез Кампус'!Z491</f>
        <v>0</v>
      </c>
      <c r="X108" s="29">
        <f>SUM(G108:W108)</f>
        <v>0</v>
      </c>
    </row>
    <row r="109" spans="3:28" x14ac:dyDescent="0.35">
      <c r="C109" s="13"/>
      <c r="D109" s="22" t="s">
        <v>201</v>
      </c>
      <c r="E109" s="58">
        <v>1.05</v>
      </c>
      <c r="F109" s="29">
        <f t="shared" ref="F109:O109" si="121">F108*($E$109)</f>
        <v>0</v>
      </c>
      <c r="G109" s="29">
        <f t="shared" si="121"/>
        <v>0</v>
      </c>
      <c r="H109" s="29">
        <f t="shared" si="121"/>
        <v>0</v>
      </c>
      <c r="I109" s="29">
        <f t="shared" si="121"/>
        <v>0</v>
      </c>
      <c r="J109" s="29">
        <f t="shared" si="121"/>
        <v>0</v>
      </c>
      <c r="K109" s="29">
        <f t="shared" si="121"/>
        <v>0</v>
      </c>
      <c r="L109" s="29">
        <f t="shared" si="121"/>
        <v>0</v>
      </c>
      <c r="M109" s="29">
        <f t="shared" si="121"/>
        <v>0</v>
      </c>
      <c r="N109" s="29">
        <f t="shared" si="121"/>
        <v>0</v>
      </c>
      <c r="O109" s="29">
        <f t="shared" si="121"/>
        <v>0</v>
      </c>
      <c r="P109" s="82">
        <f t="shared" ref="P109:W109" si="122">P108*($E$109)</f>
        <v>0</v>
      </c>
      <c r="Q109" s="82">
        <f t="shared" si="122"/>
        <v>0</v>
      </c>
      <c r="R109" s="82">
        <f t="shared" si="122"/>
        <v>0</v>
      </c>
      <c r="S109" s="82">
        <f t="shared" si="122"/>
        <v>0</v>
      </c>
      <c r="T109" s="82">
        <f t="shared" si="122"/>
        <v>0</v>
      </c>
      <c r="U109" s="82">
        <f t="shared" si="122"/>
        <v>0</v>
      </c>
      <c r="V109" s="82">
        <f t="shared" si="122"/>
        <v>0</v>
      </c>
      <c r="W109" s="82">
        <f t="shared" si="122"/>
        <v>0</v>
      </c>
      <c r="X109" s="29">
        <f>SUM(G109:W109)</f>
        <v>0</v>
      </c>
    </row>
    <row r="110" spans="3:28" x14ac:dyDescent="0.35">
      <c r="C110" s="13"/>
      <c r="D110" s="24" t="s">
        <v>94</v>
      </c>
      <c r="E110" s="14"/>
    </row>
    <row r="111" spans="3:28" x14ac:dyDescent="0.35">
      <c r="C111" s="13"/>
      <c r="D111" s="24" t="s">
        <v>95</v>
      </c>
      <c r="E111" s="14"/>
      <c r="F111" s="66"/>
    </row>
    <row r="112" spans="3:28" x14ac:dyDescent="0.35">
      <c r="C112" s="13"/>
      <c r="D112" s="23" t="s">
        <v>195</v>
      </c>
      <c r="E112" s="14"/>
      <c r="F112" s="66" t="e">
        <f>F114/F108</f>
        <v>#DIV/0!</v>
      </c>
      <c r="G112" s="66" t="e">
        <f t="shared" ref="G112:O112" si="123">G114/G108</f>
        <v>#DIV/0!</v>
      </c>
      <c r="H112" s="66" t="e">
        <f t="shared" si="123"/>
        <v>#DIV/0!</v>
      </c>
      <c r="I112" s="66" t="e">
        <f t="shared" si="123"/>
        <v>#DIV/0!</v>
      </c>
      <c r="J112" s="66" t="e">
        <f t="shared" si="123"/>
        <v>#DIV/0!</v>
      </c>
      <c r="K112" s="66" t="e">
        <f t="shared" si="123"/>
        <v>#DIV/0!</v>
      </c>
      <c r="L112" s="66" t="e">
        <f t="shared" si="123"/>
        <v>#DIV/0!</v>
      </c>
      <c r="M112" s="66" t="e">
        <f t="shared" si="123"/>
        <v>#DIV/0!</v>
      </c>
      <c r="N112" s="66" t="e">
        <f t="shared" si="123"/>
        <v>#DIV/0!</v>
      </c>
      <c r="O112" s="66" t="e">
        <f t="shared" si="123"/>
        <v>#DIV/0!</v>
      </c>
      <c r="P112" s="66" t="e">
        <f t="shared" ref="P112:W112" si="124">P114/P108</f>
        <v>#DIV/0!</v>
      </c>
      <c r="Q112" s="66" t="e">
        <f t="shared" si="124"/>
        <v>#DIV/0!</v>
      </c>
      <c r="R112" s="66" t="e">
        <f t="shared" si="124"/>
        <v>#DIV/0!</v>
      </c>
      <c r="S112" s="66" t="e">
        <f t="shared" si="124"/>
        <v>#DIV/0!</v>
      </c>
      <c r="T112" s="66" t="e">
        <f t="shared" si="124"/>
        <v>#DIV/0!</v>
      </c>
      <c r="U112" s="66" t="e">
        <f t="shared" si="124"/>
        <v>#DIV/0!</v>
      </c>
      <c r="V112" s="66" t="e">
        <f t="shared" si="124"/>
        <v>#DIV/0!</v>
      </c>
      <c r="W112" s="66" t="e">
        <f t="shared" si="124"/>
        <v>#DIV/0!</v>
      </c>
      <c r="X112" s="2" t="e">
        <f>SUM(G112:W112)</f>
        <v>#DIV/0!</v>
      </c>
    </row>
    <row r="113" spans="3:28" x14ac:dyDescent="0.35">
      <c r="D113" s="20" t="s">
        <v>89</v>
      </c>
      <c r="E113" s="21"/>
      <c r="F113" s="29">
        <f>F114+F115</f>
        <v>0</v>
      </c>
      <c r="G113" s="29">
        <f t="shared" ref="G113:O113" si="125">G114+G115</f>
        <v>0</v>
      </c>
      <c r="H113" s="29">
        <f t="shared" si="125"/>
        <v>0</v>
      </c>
      <c r="I113" s="29">
        <f t="shared" si="125"/>
        <v>0</v>
      </c>
      <c r="J113" s="29">
        <f t="shared" si="125"/>
        <v>0</v>
      </c>
      <c r="K113" s="29">
        <f t="shared" si="125"/>
        <v>0</v>
      </c>
      <c r="L113" s="29">
        <f t="shared" si="125"/>
        <v>0</v>
      </c>
      <c r="M113" s="29">
        <f t="shared" si="125"/>
        <v>0</v>
      </c>
      <c r="N113" s="29">
        <f t="shared" si="125"/>
        <v>0</v>
      </c>
      <c r="O113" s="29">
        <f t="shared" si="125"/>
        <v>0</v>
      </c>
      <c r="P113" s="82">
        <f t="shared" ref="P113:W113" si="126">P114+P115</f>
        <v>0</v>
      </c>
      <c r="Q113" s="82">
        <f t="shared" si="126"/>
        <v>0</v>
      </c>
      <c r="R113" s="82">
        <f t="shared" si="126"/>
        <v>0</v>
      </c>
      <c r="S113" s="82">
        <f t="shared" si="126"/>
        <v>0</v>
      </c>
      <c r="T113" s="82">
        <f t="shared" si="126"/>
        <v>0</v>
      </c>
      <c r="U113" s="82">
        <f t="shared" si="126"/>
        <v>0</v>
      </c>
      <c r="V113" s="82">
        <f t="shared" si="126"/>
        <v>0</v>
      </c>
      <c r="W113" s="82">
        <f t="shared" si="126"/>
        <v>0</v>
      </c>
      <c r="X113" s="29">
        <f>SUM(G113:W113)</f>
        <v>0</v>
      </c>
    </row>
    <row r="114" spans="3:28" x14ac:dyDescent="0.35">
      <c r="D114" s="60" t="s">
        <v>196</v>
      </c>
      <c r="E114" s="28"/>
      <c r="F114" s="29">
        <f>'ФинРез Кампус'!I493</f>
        <v>0</v>
      </c>
      <c r="G114" s="29">
        <f>'ФинРез Кампус'!J493</f>
        <v>0</v>
      </c>
      <c r="H114" s="29">
        <f>'ФинРез Кампус'!K493</f>
        <v>0</v>
      </c>
      <c r="I114" s="29">
        <f>'ФинРез Кампус'!L493</f>
        <v>0</v>
      </c>
      <c r="J114" s="29">
        <f>'ФинРез Кампус'!M493</f>
        <v>0</v>
      </c>
      <c r="K114" s="29">
        <f>'ФинРез Кампус'!N493</f>
        <v>0</v>
      </c>
      <c r="L114" s="29">
        <f>'ФинРез Кампус'!O493</f>
        <v>0</v>
      </c>
      <c r="M114" s="29">
        <f>'ФинРез Кампус'!P493</f>
        <v>0</v>
      </c>
      <c r="N114" s="29">
        <f>'ФинРез Кампус'!Q493</f>
        <v>0</v>
      </c>
      <c r="O114" s="29">
        <f>'ФинРез Кампус'!R493</f>
        <v>0</v>
      </c>
      <c r="P114" s="82">
        <f>'ФинРез Кампус'!S493</f>
        <v>0</v>
      </c>
      <c r="Q114" s="82">
        <f>'ФинРез Кампус'!T493</f>
        <v>0</v>
      </c>
      <c r="R114" s="82">
        <f>'ФинРез Кампус'!U493</f>
        <v>0</v>
      </c>
      <c r="S114" s="82">
        <f>'ФинРез Кампус'!V493</f>
        <v>0</v>
      </c>
      <c r="T114" s="82">
        <f>'ФинРез Кампус'!W493</f>
        <v>0</v>
      </c>
      <c r="U114" s="82">
        <f>'ФинРез Кампус'!X493</f>
        <v>0</v>
      </c>
      <c r="V114" s="82">
        <f>'ФинРез Кампус'!Y493</f>
        <v>0</v>
      </c>
      <c r="W114" s="82">
        <f>'ФинРез Кампус'!Z493</f>
        <v>0</v>
      </c>
      <c r="X114" s="29">
        <f>SUM(G114:W114)</f>
        <v>0</v>
      </c>
    </row>
    <row r="115" spans="3:28" x14ac:dyDescent="0.35">
      <c r="D115" s="60" t="s">
        <v>197</v>
      </c>
      <c r="E115" s="28"/>
      <c r="F115" s="29">
        <f>'ФинРез Кампус'!I508</f>
        <v>0</v>
      </c>
      <c r="G115" s="29">
        <f>'ФинРез Кампус'!J508</f>
        <v>0</v>
      </c>
      <c r="H115" s="29">
        <f>'ФинРез Кампус'!K508</f>
        <v>0</v>
      </c>
      <c r="I115" s="29">
        <f>'ФинРез Кампус'!L508</f>
        <v>0</v>
      </c>
      <c r="J115" s="29">
        <f>'ФинРез Кампус'!M508</f>
        <v>0</v>
      </c>
      <c r="K115" s="29">
        <f>'ФинРез Кампус'!N508</f>
        <v>0</v>
      </c>
      <c r="L115" s="29">
        <f>'ФинРез Кампус'!O508</f>
        <v>0</v>
      </c>
      <c r="M115" s="29">
        <f>'ФинРез Кампус'!P508</f>
        <v>0</v>
      </c>
      <c r="N115" s="29">
        <f>'ФинРез Кампус'!Q508</f>
        <v>0</v>
      </c>
      <c r="O115" s="29">
        <f>'ФинРез Кампус'!R508</f>
        <v>0</v>
      </c>
      <c r="P115" s="82">
        <f>'ФинРез Кампус'!S508</f>
        <v>0</v>
      </c>
      <c r="Q115" s="82">
        <f>'ФинРез Кампус'!T508</f>
        <v>0</v>
      </c>
      <c r="R115" s="82">
        <f>'ФинРез Кампус'!U508</f>
        <v>0</v>
      </c>
      <c r="S115" s="82">
        <f>'ФинРез Кампус'!V508</f>
        <v>0</v>
      </c>
      <c r="T115" s="82">
        <f>'ФинРез Кампус'!W508</f>
        <v>0</v>
      </c>
      <c r="U115" s="82">
        <f>'ФинРез Кампус'!X508</f>
        <v>0</v>
      </c>
      <c r="V115" s="82">
        <f>'ФинРез Кампус'!Y508</f>
        <v>0</v>
      </c>
      <c r="W115" s="82">
        <f>'ФинРез Кампус'!Z508</f>
        <v>0</v>
      </c>
      <c r="X115" s="29">
        <f>SUM(G115:W115)</f>
        <v>0</v>
      </c>
      <c r="Y115" s="3"/>
      <c r="Z115" s="3"/>
    </row>
    <row r="116" spans="3:28" x14ac:dyDescent="0.35">
      <c r="D116" s="22" t="s">
        <v>90</v>
      </c>
      <c r="E116" s="14"/>
      <c r="Y116" s="3" t="e">
        <f>X120-X119</f>
        <v>#DIV/0!</v>
      </c>
    </row>
    <row r="117" spans="3:28" x14ac:dyDescent="0.35">
      <c r="C117" s="13"/>
      <c r="D117" s="60" t="s">
        <v>193</v>
      </c>
      <c r="E117" s="14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</row>
    <row r="118" spans="3:28" x14ac:dyDescent="0.35">
      <c r="C118" s="13"/>
      <c r="D118" s="60" t="s">
        <v>194</v>
      </c>
      <c r="E118" s="14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86"/>
      <c r="Q118" s="86"/>
      <c r="R118" s="86"/>
      <c r="S118" s="86"/>
      <c r="T118" s="86"/>
      <c r="U118" s="86"/>
      <c r="V118" s="86"/>
      <c r="W118" s="86"/>
      <c r="X118" s="63"/>
    </row>
    <row r="119" spans="3:28" x14ac:dyDescent="0.35">
      <c r="C119" s="13"/>
      <c r="D119" s="20" t="s">
        <v>91</v>
      </c>
      <c r="E119" s="21"/>
      <c r="F119" s="29">
        <f>F108-F113</f>
        <v>0</v>
      </c>
      <c r="G119" s="29">
        <f t="shared" ref="G119:O119" si="127">G108-G113</f>
        <v>0</v>
      </c>
      <c r="H119" s="29">
        <f t="shared" si="127"/>
        <v>0</v>
      </c>
      <c r="I119" s="29">
        <f t="shared" si="127"/>
        <v>0</v>
      </c>
      <c r="J119" s="29">
        <f t="shared" si="127"/>
        <v>0</v>
      </c>
      <c r="K119" s="29">
        <f t="shared" si="127"/>
        <v>0</v>
      </c>
      <c r="L119" s="29">
        <f t="shared" si="127"/>
        <v>0</v>
      </c>
      <c r="M119" s="29">
        <f t="shared" si="127"/>
        <v>0</v>
      </c>
      <c r="N119" s="29">
        <f t="shared" si="127"/>
        <v>0</v>
      </c>
      <c r="O119" s="29">
        <f t="shared" si="127"/>
        <v>0</v>
      </c>
      <c r="P119" s="82">
        <f t="shared" ref="P119:W119" si="128">P108-P113</f>
        <v>0</v>
      </c>
      <c r="Q119" s="82">
        <f t="shared" si="128"/>
        <v>0</v>
      </c>
      <c r="R119" s="82">
        <f t="shared" si="128"/>
        <v>0</v>
      </c>
      <c r="S119" s="82">
        <f t="shared" si="128"/>
        <v>0</v>
      </c>
      <c r="T119" s="82">
        <f t="shared" si="128"/>
        <v>0</v>
      </c>
      <c r="U119" s="82">
        <f t="shared" si="128"/>
        <v>0</v>
      </c>
      <c r="V119" s="82">
        <f t="shared" si="128"/>
        <v>0</v>
      </c>
      <c r="W119" s="82">
        <f t="shared" si="128"/>
        <v>0</v>
      </c>
      <c r="X119" s="29">
        <f>SUM(G119:W119)</f>
        <v>0</v>
      </c>
      <c r="AA119" s="3"/>
      <c r="AB119" s="3"/>
    </row>
    <row r="120" spans="3:28" x14ac:dyDescent="0.35">
      <c r="C120" s="13"/>
      <c r="D120" s="22" t="s">
        <v>92</v>
      </c>
      <c r="E120" s="14"/>
      <c r="F120" s="29" t="e">
        <f>F109-(F109*F112+F115)</f>
        <v>#DIV/0!</v>
      </c>
      <c r="G120" s="29" t="e">
        <f t="shared" ref="G120:O120" si="129">G109-(G109*G112+G115)</f>
        <v>#DIV/0!</v>
      </c>
      <c r="H120" s="29" t="e">
        <f t="shared" si="129"/>
        <v>#DIV/0!</v>
      </c>
      <c r="I120" s="29" t="e">
        <f t="shared" si="129"/>
        <v>#DIV/0!</v>
      </c>
      <c r="J120" s="29" t="e">
        <f t="shared" si="129"/>
        <v>#DIV/0!</v>
      </c>
      <c r="K120" s="29" t="e">
        <f t="shared" si="129"/>
        <v>#DIV/0!</v>
      </c>
      <c r="L120" s="29" t="e">
        <f t="shared" si="129"/>
        <v>#DIV/0!</v>
      </c>
      <c r="M120" s="29" t="e">
        <f t="shared" si="129"/>
        <v>#DIV/0!</v>
      </c>
      <c r="N120" s="29" t="e">
        <f t="shared" si="129"/>
        <v>#DIV/0!</v>
      </c>
      <c r="O120" s="29" t="e">
        <f t="shared" si="129"/>
        <v>#DIV/0!</v>
      </c>
      <c r="P120" s="82" t="e">
        <f t="shared" ref="P120:W120" si="130">P109-(P109*P112+P115)</f>
        <v>#DIV/0!</v>
      </c>
      <c r="Q120" s="82" t="e">
        <f t="shared" si="130"/>
        <v>#DIV/0!</v>
      </c>
      <c r="R120" s="82" t="e">
        <f t="shared" si="130"/>
        <v>#DIV/0!</v>
      </c>
      <c r="S120" s="82" t="e">
        <f t="shared" si="130"/>
        <v>#DIV/0!</v>
      </c>
      <c r="T120" s="82" t="e">
        <f t="shared" si="130"/>
        <v>#DIV/0!</v>
      </c>
      <c r="U120" s="82" t="e">
        <f t="shared" si="130"/>
        <v>#DIV/0!</v>
      </c>
      <c r="V120" s="82" t="e">
        <f t="shared" si="130"/>
        <v>#DIV/0!</v>
      </c>
      <c r="W120" s="82" t="e">
        <f t="shared" si="130"/>
        <v>#DIV/0!</v>
      </c>
      <c r="X120" s="29" t="e">
        <f>SUM(G120:W120)</f>
        <v>#DIV/0!</v>
      </c>
    </row>
    <row r="121" spans="3:28" x14ac:dyDescent="0.35">
      <c r="C121" s="10">
        <v>8</v>
      </c>
      <c r="D121" s="11" t="s">
        <v>203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79"/>
      <c r="Q121" s="79"/>
      <c r="R121" s="79"/>
      <c r="S121" s="79"/>
      <c r="T121" s="79"/>
      <c r="U121" s="79"/>
      <c r="V121" s="79"/>
      <c r="W121" s="79"/>
      <c r="X121" s="12"/>
    </row>
    <row r="122" spans="3:28" x14ac:dyDescent="0.35">
      <c r="C122" s="13"/>
      <c r="D122" s="20" t="s">
        <v>84</v>
      </c>
      <c r="E122" s="21"/>
      <c r="F122" s="29">
        <f>'ФинРез Кампус'!I561</f>
        <v>0</v>
      </c>
      <c r="G122" s="29">
        <f>'ФинРез Кампус'!J561</f>
        <v>0</v>
      </c>
      <c r="H122" s="29">
        <f>'ФинРез Кампус'!K561</f>
        <v>0</v>
      </c>
      <c r="I122" s="29">
        <f>'ФинРез Кампус'!L561</f>
        <v>0</v>
      </c>
      <c r="J122" s="29">
        <f>'ФинРез Кампус'!M561</f>
        <v>0</v>
      </c>
      <c r="K122" s="29">
        <f>'ФинРез Кампус'!N561</f>
        <v>0</v>
      </c>
      <c r="L122" s="29">
        <f>'ФинРез Кампус'!O561</f>
        <v>0</v>
      </c>
      <c r="M122" s="29">
        <f>'ФинРез Кампус'!P561</f>
        <v>0</v>
      </c>
      <c r="N122" s="29">
        <f>'ФинРез Кампус'!Q561</f>
        <v>0</v>
      </c>
      <c r="O122" s="29">
        <f>'ФинРез Кампус'!R561</f>
        <v>0</v>
      </c>
      <c r="P122" s="82">
        <f>'ФинРез Кампус'!S561</f>
        <v>0</v>
      </c>
      <c r="Q122" s="82">
        <f>'ФинРез Кампус'!T561</f>
        <v>0</v>
      </c>
      <c r="R122" s="82">
        <f>'ФинРез Кампус'!U561</f>
        <v>0</v>
      </c>
      <c r="S122" s="82">
        <f>'ФинРез Кампус'!V561</f>
        <v>0</v>
      </c>
      <c r="T122" s="82">
        <f>'ФинРез Кампус'!W561</f>
        <v>0</v>
      </c>
      <c r="U122" s="82">
        <f>'ФинРез Кампус'!X561</f>
        <v>0</v>
      </c>
      <c r="V122" s="82">
        <f>'ФинРез Кампус'!Y561</f>
        <v>0</v>
      </c>
      <c r="W122" s="82">
        <f>'ФинРез Кампус'!Z561</f>
        <v>0</v>
      </c>
      <c r="X122" s="29">
        <f>SUM(G122:W122)</f>
        <v>0</v>
      </c>
    </row>
    <row r="123" spans="3:28" x14ac:dyDescent="0.35">
      <c r="C123" s="13"/>
      <c r="D123" s="22" t="s">
        <v>201</v>
      </c>
      <c r="E123" s="58">
        <v>1.5</v>
      </c>
      <c r="F123" s="29">
        <f t="shared" ref="F123:O123" si="131">F122*($E$123)</f>
        <v>0</v>
      </c>
      <c r="G123" s="29">
        <f t="shared" si="131"/>
        <v>0</v>
      </c>
      <c r="H123" s="29">
        <f t="shared" si="131"/>
        <v>0</v>
      </c>
      <c r="I123" s="29">
        <f t="shared" si="131"/>
        <v>0</v>
      </c>
      <c r="J123" s="29">
        <f t="shared" si="131"/>
        <v>0</v>
      </c>
      <c r="K123" s="29">
        <f t="shared" si="131"/>
        <v>0</v>
      </c>
      <c r="L123" s="29">
        <f t="shared" si="131"/>
        <v>0</v>
      </c>
      <c r="M123" s="29">
        <f t="shared" si="131"/>
        <v>0</v>
      </c>
      <c r="N123" s="29">
        <f t="shared" si="131"/>
        <v>0</v>
      </c>
      <c r="O123" s="29">
        <f t="shared" si="131"/>
        <v>0</v>
      </c>
      <c r="P123" s="82">
        <f t="shared" ref="P123:W123" si="132">P122*($E$123)</f>
        <v>0</v>
      </c>
      <c r="Q123" s="82">
        <f t="shared" si="132"/>
        <v>0</v>
      </c>
      <c r="R123" s="82">
        <f t="shared" si="132"/>
        <v>0</v>
      </c>
      <c r="S123" s="82">
        <f t="shared" si="132"/>
        <v>0</v>
      </c>
      <c r="T123" s="82">
        <f t="shared" si="132"/>
        <v>0</v>
      </c>
      <c r="U123" s="82">
        <f t="shared" si="132"/>
        <v>0</v>
      </c>
      <c r="V123" s="82">
        <f t="shared" si="132"/>
        <v>0</v>
      </c>
      <c r="W123" s="82">
        <f t="shared" si="132"/>
        <v>0</v>
      </c>
      <c r="X123" s="29">
        <f>SUM(G123:W123)</f>
        <v>0</v>
      </c>
    </row>
    <row r="124" spans="3:28" x14ac:dyDescent="0.35">
      <c r="C124" s="13"/>
      <c r="D124" s="24" t="s">
        <v>94</v>
      </c>
      <c r="E124" s="14"/>
    </row>
    <row r="125" spans="3:28" x14ac:dyDescent="0.35">
      <c r="C125" s="13"/>
      <c r="D125" s="24" t="s">
        <v>95</v>
      </c>
      <c r="E125" s="14"/>
      <c r="F125" s="66"/>
    </row>
    <row r="126" spans="3:28" x14ac:dyDescent="0.35">
      <c r="C126" s="13"/>
      <c r="D126" s="23" t="s">
        <v>195</v>
      </c>
      <c r="E126" s="14"/>
      <c r="F126" s="66" t="e">
        <f>F128/F122</f>
        <v>#DIV/0!</v>
      </c>
      <c r="G126" s="66" t="e">
        <f t="shared" ref="G126:O126" si="133">G128/G122</f>
        <v>#DIV/0!</v>
      </c>
      <c r="H126" s="66" t="e">
        <f t="shared" si="133"/>
        <v>#DIV/0!</v>
      </c>
      <c r="I126" s="66" t="e">
        <f t="shared" si="133"/>
        <v>#DIV/0!</v>
      </c>
      <c r="J126" s="66" t="e">
        <f t="shared" si="133"/>
        <v>#DIV/0!</v>
      </c>
      <c r="K126" s="66" t="e">
        <f t="shared" si="133"/>
        <v>#DIV/0!</v>
      </c>
      <c r="L126" s="66" t="e">
        <f t="shared" si="133"/>
        <v>#DIV/0!</v>
      </c>
      <c r="M126" s="66" t="e">
        <f t="shared" si="133"/>
        <v>#DIV/0!</v>
      </c>
      <c r="N126" s="66" t="e">
        <f t="shared" si="133"/>
        <v>#DIV/0!</v>
      </c>
      <c r="O126" s="66" t="e">
        <f t="shared" si="133"/>
        <v>#DIV/0!</v>
      </c>
      <c r="P126" s="66" t="e">
        <f t="shared" ref="P126:W126" si="134">P128/P122</f>
        <v>#DIV/0!</v>
      </c>
      <c r="Q126" s="66" t="e">
        <f t="shared" si="134"/>
        <v>#DIV/0!</v>
      </c>
      <c r="R126" s="66" t="e">
        <f t="shared" si="134"/>
        <v>#DIV/0!</v>
      </c>
      <c r="S126" s="66" t="e">
        <f t="shared" si="134"/>
        <v>#DIV/0!</v>
      </c>
      <c r="T126" s="66" t="e">
        <f t="shared" si="134"/>
        <v>#DIV/0!</v>
      </c>
      <c r="U126" s="66" t="e">
        <f t="shared" si="134"/>
        <v>#DIV/0!</v>
      </c>
      <c r="V126" s="66" t="e">
        <f t="shared" si="134"/>
        <v>#DIV/0!</v>
      </c>
      <c r="W126" s="66" t="e">
        <f t="shared" si="134"/>
        <v>#DIV/0!</v>
      </c>
      <c r="X126" s="2" t="e">
        <f>SUM(G126:W126)</f>
        <v>#DIV/0!</v>
      </c>
    </row>
    <row r="127" spans="3:28" x14ac:dyDescent="0.35">
      <c r="D127" s="20" t="s">
        <v>89</v>
      </c>
      <c r="E127" s="21"/>
      <c r="F127" s="29">
        <f>F128+F129</f>
        <v>0</v>
      </c>
      <c r="G127" s="29">
        <f t="shared" ref="G127:O127" si="135">G128+G129</f>
        <v>0</v>
      </c>
      <c r="H127" s="29">
        <f t="shared" si="135"/>
        <v>0</v>
      </c>
      <c r="I127" s="29">
        <f t="shared" si="135"/>
        <v>0</v>
      </c>
      <c r="J127" s="29">
        <f t="shared" si="135"/>
        <v>0</v>
      </c>
      <c r="K127" s="29">
        <f t="shared" si="135"/>
        <v>0</v>
      </c>
      <c r="L127" s="29">
        <f t="shared" si="135"/>
        <v>0</v>
      </c>
      <c r="M127" s="29">
        <f t="shared" si="135"/>
        <v>0</v>
      </c>
      <c r="N127" s="29">
        <f t="shared" si="135"/>
        <v>0</v>
      </c>
      <c r="O127" s="29">
        <f t="shared" si="135"/>
        <v>0</v>
      </c>
      <c r="P127" s="82">
        <f t="shared" ref="P127:W127" si="136">P128+P129</f>
        <v>0</v>
      </c>
      <c r="Q127" s="82">
        <f t="shared" si="136"/>
        <v>0</v>
      </c>
      <c r="R127" s="82">
        <f t="shared" si="136"/>
        <v>0</v>
      </c>
      <c r="S127" s="82">
        <f t="shared" si="136"/>
        <v>0</v>
      </c>
      <c r="T127" s="82">
        <f t="shared" si="136"/>
        <v>0</v>
      </c>
      <c r="U127" s="82">
        <f t="shared" si="136"/>
        <v>0</v>
      </c>
      <c r="V127" s="82">
        <f t="shared" si="136"/>
        <v>0</v>
      </c>
      <c r="W127" s="82">
        <f t="shared" si="136"/>
        <v>0</v>
      </c>
      <c r="X127" s="29">
        <f>SUM(G127:W127)</f>
        <v>0</v>
      </c>
    </row>
    <row r="128" spans="3:28" x14ac:dyDescent="0.35">
      <c r="D128" s="60" t="s">
        <v>196</v>
      </c>
      <c r="E128" s="28"/>
      <c r="F128" s="29">
        <f>'ФинРез Кампус'!I563</f>
        <v>0</v>
      </c>
      <c r="G128" s="29">
        <f>'ФинРез Кампус'!J563</f>
        <v>0</v>
      </c>
      <c r="H128" s="29">
        <f>'ФинРез Кампус'!K563</f>
        <v>0</v>
      </c>
      <c r="I128" s="29">
        <f>'ФинРез Кампус'!L563</f>
        <v>0</v>
      </c>
      <c r="J128" s="29">
        <f>'ФинРез Кампус'!M563</f>
        <v>0</v>
      </c>
      <c r="K128" s="29">
        <f>'ФинРез Кампус'!N563</f>
        <v>0</v>
      </c>
      <c r="L128" s="29">
        <f>'ФинРез Кампус'!O563</f>
        <v>0</v>
      </c>
      <c r="M128" s="29">
        <f>'ФинРез Кампус'!P563</f>
        <v>0</v>
      </c>
      <c r="N128" s="29">
        <f>'ФинРез Кампус'!Q563</f>
        <v>0</v>
      </c>
      <c r="O128" s="29">
        <f>'ФинРез Кампус'!R563</f>
        <v>0</v>
      </c>
      <c r="P128" s="82">
        <f>'ФинРез Кампус'!S563</f>
        <v>0</v>
      </c>
      <c r="Q128" s="82">
        <f>'ФинРез Кампус'!T563</f>
        <v>0</v>
      </c>
      <c r="R128" s="82">
        <f>'ФинРез Кампус'!U563</f>
        <v>0</v>
      </c>
      <c r="S128" s="82">
        <f>'ФинРез Кампус'!V563</f>
        <v>0</v>
      </c>
      <c r="T128" s="82">
        <f>'ФинРез Кампус'!W563</f>
        <v>0</v>
      </c>
      <c r="U128" s="82">
        <f>'ФинРез Кампус'!X563</f>
        <v>0</v>
      </c>
      <c r="V128" s="82">
        <f>'ФинРез Кампус'!Y563</f>
        <v>0</v>
      </c>
      <c r="W128" s="82">
        <f>'ФинРез Кампус'!Z563</f>
        <v>0</v>
      </c>
      <c r="X128" s="29">
        <f>SUM(G128:W128)</f>
        <v>0</v>
      </c>
    </row>
    <row r="129" spans="3:25" x14ac:dyDescent="0.35">
      <c r="D129" s="60" t="s">
        <v>197</v>
      </c>
      <c r="E129" s="28"/>
      <c r="F129" s="29">
        <f>'ФинРез Кампус'!I578</f>
        <v>0</v>
      </c>
      <c r="G129" s="29">
        <f>'ФинРез Кампус'!J578</f>
        <v>0</v>
      </c>
      <c r="H129" s="29">
        <f>'ФинРез Кампус'!K578</f>
        <v>0</v>
      </c>
      <c r="I129" s="29">
        <f>'ФинРез Кампус'!L578</f>
        <v>0</v>
      </c>
      <c r="J129" s="29">
        <f>'ФинРез Кампус'!M578</f>
        <v>0</v>
      </c>
      <c r="K129" s="29">
        <f>'ФинРез Кампус'!N578</f>
        <v>0</v>
      </c>
      <c r="L129" s="29">
        <f>'ФинРез Кампус'!O578</f>
        <v>0</v>
      </c>
      <c r="M129" s="29">
        <f>'ФинРез Кампус'!P578</f>
        <v>0</v>
      </c>
      <c r="N129" s="29">
        <f>'ФинРез Кампус'!Q578</f>
        <v>0</v>
      </c>
      <c r="O129" s="29">
        <f>'ФинРез Кампус'!R578</f>
        <v>0</v>
      </c>
      <c r="P129" s="82">
        <f>'ФинРез Кампус'!S578</f>
        <v>0</v>
      </c>
      <c r="Q129" s="82">
        <f>'ФинРез Кампус'!T578</f>
        <v>0</v>
      </c>
      <c r="R129" s="82">
        <f>'ФинРез Кампус'!U578</f>
        <v>0</v>
      </c>
      <c r="S129" s="82">
        <f>'ФинРез Кампус'!V578</f>
        <v>0</v>
      </c>
      <c r="T129" s="82">
        <f>'ФинРез Кампус'!W578</f>
        <v>0</v>
      </c>
      <c r="U129" s="82">
        <f>'ФинРез Кампус'!X578</f>
        <v>0</v>
      </c>
      <c r="V129" s="82">
        <f>'ФинРез Кампус'!Y578</f>
        <v>0</v>
      </c>
      <c r="W129" s="82">
        <f>'ФинРез Кампус'!Z578</f>
        <v>0</v>
      </c>
      <c r="X129" s="29">
        <f>SUM(G129:W129)</f>
        <v>0</v>
      </c>
      <c r="Y129" s="3"/>
    </row>
    <row r="130" spans="3:25" x14ac:dyDescent="0.35">
      <c r="D130" s="22" t="s">
        <v>90</v>
      </c>
      <c r="E130" s="14"/>
      <c r="F130" s="14"/>
      <c r="Y130" s="3" t="e">
        <f>X134-X133</f>
        <v>#DIV/0!</v>
      </c>
    </row>
    <row r="131" spans="3:25" x14ac:dyDescent="0.35">
      <c r="C131" s="13"/>
      <c r="D131" s="60" t="s">
        <v>193</v>
      </c>
      <c r="E131" s="14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</row>
    <row r="132" spans="3:25" x14ac:dyDescent="0.35">
      <c r="C132" s="13"/>
      <c r="D132" s="60" t="s">
        <v>194</v>
      </c>
      <c r="E132" s="14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86"/>
      <c r="Q132" s="86"/>
      <c r="R132" s="86"/>
      <c r="S132" s="86"/>
      <c r="T132" s="86"/>
      <c r="U132" s="86"/>
      <c r="V132" s="86"/>
      <c r="W132" s="86"/>
      <c r="X132" s="63"/>
    </row>
    <row r="133" spans="3:25" x14ac:dyDescent="0.35">
      <c r="C133" s="13"/>
      <c r="D133" s="20" t="s">
        <v>91</v>
      </c>
      <c r="E133" s="21"/>
      <c r="F133" s="29">
        <f>F122-F127</f>
        <v>0</v>
      </c>
      <c r="G133" s="29">
        <f t="shared" ref="G133:O133" si="137">G122-G127</f>
        <v>0</v>
      </c>
      <c r="H133" s="29">
        <f t="shared" si="137"/>
        <v>0</v>
      </c>
      <c r="I133" s="29">
        <f t="shared" si="137"/>
        <v>0</v>
      </c>
      <c r="J133" s="29">
        <f t="shared" si="137"/>
        <v>0</v>
      </c>
      <c r="K133" s="29">
        <f t="shared" si="137"/>
        <v>0</v>
      </c>
      <c r="L133" s="29">
        <f t="shared" si="137"/>
        <v>0</v>
      </c>
      <c r="M133" s="29">
        <f t="shared" si="137"/>
        <v>0</v>
      </c>
      <c r="N133" s="29">
        <f t="shared" si="137"/>
        <v>0</v>
      </c>
      <c r="O133" s="29">
        <f t="shared" si="137"/>
        <v>0</v>
      </c>
      <c r="P133" s="82">
        <f t="shared" ref="P133:W133" si="138">P122-P127</f>
        <v>0</v>
      </c>
      <c r="Q133" s="82">
        <f t="shared" si="138"/>
        <v>0</v>
      </c>
      <c r="R133" s="82">
        <f t="shared" si="138"/>
        <v>0</v>
      </c>
      <c r="S133" s="82">
        <f t="shared" si="138"/>
        <v>0</v>
      </c>
      <c r="T133" s="82">
        <f t="shared" si="138"/>
        <v>0</v>
      </c>
      <c r="U133" s="82">
        <f t="shared" si="138"/>
        <v>0</v>
      </c>
      <c r="V133" s="82">
        <f t="shared" si="138"/>
        <v>0</v>
      </c>
      <c r="W133" s="82">
        <f t="shared" si="138"/>
        <v>0</v>
      </c>
      <c r="X133" s="29">
        <f>SUM(G133:W133)</f>
        <v>0</v>
      </c>
    </row>
    <row r="134" spans="3:25" x14ac:dyDescent="0.35">
      <c r="C134" s="13"/>
      <c r="D134" s="22" t="s">
        <v>92</v>
      </c>
      <c r="E134" s="14"/>
      <c r="F134" s="29" t="e">
        <f>F123-(F123*F126+F129)</f>
        <v>#DIV/0!</v>
      </c>
      <c r="G134" s="29" t="e">
        <f t="shared" ref="G134:O134" si="139">G123-(G123*G126+G129)</f>
        <v>#DIV/0!</v>
      </c>
      <c r="H134" s="29" t="e">
        <f t="shared" si="139"/>
        <v>#DIV/0!</v>
      </c>
      <c r="I134" s="29" t="e">
        <f t="shared" si="139"/>
        <v>#DIV/0!</v>
      </c>
      <c r="J134" s="29" t="e">
        <f t="shared" si="139"/>
        <v>#DIV/0!</v>
      </c>
      <c r="K134" s="29" t="e">
        <f t="shared" si="139"/>
        <v>#DIV/0!</v>
      </c>
      <c r="L134" s="29" t="e">
        <f t="shared" si="139"/>
        <v>#DIV/0!</v>
      </c>
      <c r="M134" s="29" t="e">
        <f t="shared" si="139"/>
        <v>#DIV/0!</v>
      </c>
      <c r="N134" s="29" t="e">
        <f t="shared" si="139"/>
        <v>#DIV/0!</v>
      </c>
      <c r="O134" s="29" t="e">
        <f t="shared" si="139"/>
        <v>#DIV/0!</v>
      </c>
      <c r="P134" s="82" t="e">
        <f t="shared" ref="P134:W134" si="140">P123-(P123*P126+P129)</f>
        <v>#DIV/0!</v>
      </c>
      <c r="Q134" s="82" t="e">
        <f t="shared" si="140"/>
        <v>#DIV/0!</v>
      </c>
      <c r="R134" s="82" t="e">
        <f t="shared" si="140"/>
        <v>#DIV/0!</v>
      </c>
      <c r="S134" s="82" t="e">
        <f t="shared" si="140"/>
        <v>#DIV/0!</v>
      </c>
      <c r="T134" s="82" t="e">
        <f t="shared" si="140"/>
        <v>#DIV/0!</v>
      </c>
      <c r="U134" s="82" t="e">
        <f t="shared" si="140"/>
        <v>#DIV/0!</v>
      </c>
      <c r="V134" s="82" t="e">
        <f t="shared" si="140"/>
        <v>#DIV/0!</v>
      </c>
      <c r="W134" s="82" t="e">
        <f t="shared" si="140"/>
        <v>#DIV/0!</v>
      </c>
      <c r="X134" s="29" t="e">
        <f>SUM(G134:W134)</f>
        <v>#DIV/0!</v>
      </c>
    </row>
    <row r="135" spans="3:25" x14ac:dyDescent="0.35">
      <c r="C135" s="10">
        <v>9</v>
      </c>
      <c r="D135" s="11" t="s">
        <v>204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79"/>
      <c r="Q135" s="79"/>
      <c r="R135" s="79"/>
      <c r="S135" s="79"/>
      <c r="T135" s="79"/>
      <c r="U135" s="79"/>
      <c r="V135" s="79"/>
      <c r="W135" s="79"/>
      <c r="X135" s="12"/>
    </row>
    <row r="136" spans="3:25" x14ac:dyDescent="0.35">
      <c r="C136" s="13"/>
      <c r="D136" s="20" t="s">
        <v>84</v>
      </c>
      <c r="E136" s="21"/>
      <c r="F136" s="29">
        <f>'ФинРез Кампус'!I631</f>
        <v>0</v>
      </c>
      <c r="G136" s="29">
        <f>'ФинРез Кампус'!J631</f>
        <v>0</v>
      </c>
      <c r="H136" s="29">
        <f>'ФинРез Кампус'!K631</f>
        <v>0</v>
      </c>
      <c r="I136" s="29">
        <f>'ФинРез Кампус'!L631</f>
        <v>0</v>
      </c>
      <c r="J136" s="29">
        <f>'ФинРез Кампус'!M631</f>
        <v>0</v>
      </c>
      <c r="K136" s="29">
        <f>'ФинРез Кампус'!N631</f>
        <v>0</v>
      </c>
      <c r="L136" s="29">
        <f>'ФинРез Кампус'!O631</f>
        <v>0</v>
      </c>
      <c r="M136" s="29">
        <f>'ФинРез Кампус'!P631</f>
        <v>0</v>
      </c>
      <c r="N136" s="29">
        <f>'ФинРез Кампус'!Q631</f>
        <v>0</v>
      </c>
      <c r="O136" s="29">
        <f>'ФинРез Кампус'!R631</f>
        <v>0</v>
      </c>
      <c r="P136" s="82">
        <f>'ФинРез Кампус'!S631</f>
        <v>0</v>
      </c>
      <c r="Q136" s="82">
        <f>'ФинРез Кампус'!T631</f>
        <v>0</v>
      </c>
      <c r="R136" s="82">
        <f>'ФинРез Кампус'!U631</f>
        <v>0</v>
      </c>
      <c r="S136" s="82">
        <f>'ФинРез Кампус'!V631</f>
        <v>0</v>
      </c>
      <c r="T136" s="82">
        <f>'ФинРез Кампус'!W631</f>
        <v>0</v>
      </c>
      <c r="U136" s="82">
        <f>'ФинРез Кампус'!X631</f>
        <v>0</v>
      </c>
      <c r="V136" s="82">
        <f>'ФинРез Кампус'!Y631</f>
        <v>0</v>
      </c>
      <c r="W136" s="82">
        <f>'ФинРез Кампус'!Z631</f>
        <v>0</v>
      </c>
      <c r="X136" s="29">
        <f>SUM(G136:W136)</f>
        <v>0</v>
      </c>
    </row>
    <row r="137" spans="3:25" x14ac:dyDescent="0.35">
      <c r="C137" s="13"/>
      <c r="D137" s="22" t="s">
        <v>201</v>
      </c>
      <c r="E137" s="58">
        <v>1.05</v>
      </c>
      <c r="F137" s="29">
        <f t="shared" ref="F137:O137" si="141">F136*($E$137)</f>
        <v>0</v>
      </c>
      <c r="G137" s="29">
        <f t="shared" si="141"/>
        <v>0</v>
      </c>
      <c r="H137" s="29">
        <f t="shared" si="141"/>
        <v>0</v>
      </c>
      <c r="I137" s="29">
        <f t="shared" si="141"/>
        <v>0</v>
      </c>
      <c r="J137" s="29">
        <f t="shared" si="141"/>
        <v>0</v>
      </c>
      <c r="K137" s="29">
        <f t="shared" si="141"/>
        <v>0</v>
      </c>
      <c r="L137" s="29">
        <f t="shared" si="141"/>
        <v>0</v>
      </c>
      <c r="M137" s="29">
        <f t="shared" si="141"/>
        <v>0</v>
      </c>
      <c r="N137" s="29">
        <f t="shared" si="141"/>
        <v>0</v>
      </c>
      <c r="O137" s="29">
        <f t="shared" si="141"/>
        <v>0</v>
      </c>
      <c r="P137" s="82">
        <f t="shared" ref="P137:W137" si="142">P136*($E$137)</f>
        <v>0</v>
      </c>
      <c r="Q137" s="82">
        <f t="shared" si="142"/>
        <v>0</v>
      </c>
      <c r="R137" s="82">
        <f t="shared" si="142"/>
        <v>0</v>
      </c>
      <c r="S137" s="82">
        <f t="shared" si="142"/>
        <v>0</v>
      </c>
      <c r="T137" s="82">
        <f t="shared" si="142"/>
        <v>0</v>
      </c>
      <c r="U137" s="82">
        <f t="shared" si="142"/>
        <v>0</v>
      </c>
      <c r="V137" s="82">
        <f t="shared" si="142"/>
        <v>0</v>
      </c>
      <c r="W137" s="82">
        <f t="shared" si="142"/>
        <v>0</v>
      </c>
      <c r="X137" s="29">
        <f>SUM(G137:W137)</f>
        <v>0</v>
      </c>
    </row>
    <row r="138" spans="3:25" x14ac:dyDescent="0.35">
      <c r="C138" s="13"/>
      <c r="D138" s="24" t="s">
        <v>94</v>
      </c>
      <c r="E138" s="14"/>
    </row>
    <row r="139" spans="3:25" x14ac:dyDescent="0.35">
      <c r="C139" s="13"/>
      <c r="D139" s="24" t="s">
        <v>95</v>
      </c>
      <c r="E139" s="14"/>
      <c r="F139" s="66"/>
    </row>
    <row r="140" spans="3:25" x14ac:dyDescent="0.35">
      <c r="C140" s="13"/>
      <c r="D140" s="23" t="s">
        <v>195</v>
      </c>
      <c r="E140" s="14"/>
      <c r="F140" s="66" t="e">
        <f>F142/F136</f>
        <v>#DIV/0!</v>
      </c>
      <c r="G140" s="66" t="e">
        <f t="shared" ref="G140:O140" si="143">G142/G136</f>
        <v>#DIV/0!</v>
      </c>
      <c r="H140" s="66" t="e">
        <f t="shared" si="143"/>
        <v>#DIV/0!</v>
      </c>
      <c r="I140" s="66" t="e">
        <f t="shared" si="143"/>
        <v>#DIV/0!</v>
      </c>
      <c r="J140" s="66" t="e">
        <f t="shared" si="143"/>
        <v>#DIV/0!</v>
      </c>
      <c r="K140" s="66" t="e">
        <f t="shared" si="143"/>
        <v>#DIV/0!</v>
      </c>
      <c r="L140" s="66" t="e">
        <f t="shared" si="143"/>
        <v>#DIV/0!</v>
      </c>
      <c r="M140" s="66" t="e">
        <f t="shared" si="143"/>
        <v>#DIV/0!</v>
      </c>
      <c r="N140" s="66" t="e">
        <f t="shared" si="143"/>
        <v>#DIV/0!</v>
      </c>
      <c r="O140" s="66" t="e">
        <f t="shared" si="143"/>
        <v>#DIV/0!</v>
      </c>
      <c r="P140" s="66" t="e">
        <f t="shared" ref="P140:W140" si="144">P142/P136</f>
        <v>#DIV/0!</v>
      </c>
      <c r="Q140" s="66" t="e">
        <f t="shared" si="144"/>
        <v>#DIV/0!</v>
      </c>
      <c r="R140" s="66" t="e">
        <f t="shared" si="144"/>
        <v>#DIV/0!</v>
      </c>
      <c r="S140" s="66" t="e">
        <f t="shared" si="144"/>
        <v>#DIV/0!</v>
      </c>
      <c r="T140" s="66" t="e">
        <f t="shared" si="144"/>
        <v>#DIV/0!</v>
      </c>
      <c r="U140" s="66" t="e">
        <f t="shared" si="144"/>
        <v>#DIV/0!</v>
      </c>
      <c r="V140" s="66" t="e">
        <f t="shared" si="144"/>
        <v>#DIV/0!</v>
      </c>
      <c r="W140" s="66" t="e">
        <f t="shared" si="144"/>
        <v>#DIV/0!</v>
      </c>
      <c r="X140" s="2" t="e">
        <f>SUM(G140:W140)</f>
        <v>#DIV/0!</v>
      </c>
    </row>
    <row r="141" spans="3:25" x14ac:dyDescent="0.35">
      <c r="D141" s="20" t="s">
        <v>89</v>
      </c>
      <c r="E141" s="21"/>
      <c r="F141" s="29">
        <f>F142+F143</f>
        <v>0</v>
      </c>
      <c r="G141" s="29">
        <f t="shared" ref="G141:O141" si="145">G142+G143</f>
        <v>0</v>
      </c>
      <c r="H141" s="29">
        <f t="shared" si="145"/>
        <v>0</v>
      </c>
      <c r="I141" s="29">
        <f t="shared" si="145"/>
        <v>0</v>
      </c>
      <c r="J141" s="29">
        <f t="shared" si="145"/>
        <v>0</v>
      </c>
      <c r="K141" s="29">
        <f t="shared" si="145"/>
        <v>0</v>
      </c>
      <c r="L141" s="29">
        <f t="shared" si="145"/>
        <v>0</v>
      </c>
      <c r="M141" s="29">
        <f t="shared" si="145"/>
        <v>0</v>
      </c>
      <c r="N141" s="29">
        <f t="shared" si="145"/>
        <v>0</v>
      </c>
      <c r="O141" s="29">
        <f t="shared" si="145"/>
        <v>0</v>
      </c>
      <c r="P141" s="82">
        <f t="shared" ref="P141:W141" si="146">P142+P143</f>
        <v>0</v>
      </c>
      <c r="Q141" s="82">
        <f t="shared" si="146"/>
        <v>0</v>
      </c>
      <c r="R141" s="82">
        <f t="shared" si="146"/>
        <v>0</v>
      </c>
      <c r="S141" s="82">
        <f t="shared" si="146"/>
        <v>0</v>
      </c>
      <c r="T141" s="82">
        <f t="shared" si="146"/>
        <v>0</v>
      </c>
      <c r="U141" s="82">
        <f t="shared" si="146"/>
        <v>0</v>
      </c>
      <c r="V141" s="82">
        <f t="shared" si="146"/>
        <v>0</v>
      </c>
      <c r="W141" s="82">
        <f t="shared" si="146"/>
        <v>0</v>
      </c>
      <c r="X141" s="29">
        <f>SUM(G141:W141)</f>
        <v>0</v>
      </c>
    </row>
    <row r="142" spans="3:25" x14ac:dyDescent="0.35">
      <c r="D142" s="60" t="s">
        <v>196</v>
      </c>
      <c r="E142" s="28"/>
      <c r="F142" s="29">
        <f>'ФинРез Кампус'!I633</f>
        <v>0</v>
      </c>
      <c r="G142" s="29">
        <f>'ФинРез Кампус'!J633</f>
        <v>0</v>
      </c>
      <c r="H142" s="29">
        <f>'ФинРез Кампус'!K633</f>
        <v>0</v>
      </c>
      <c r="I142" s="29">
        <f>'ФинРез Кампус'!L633</f>
        <v>0</v>
      </c>
      <c r="J142" s="29">
        <f>'ФинРез Кампус'!M633</f>
        <v>0</v>
      </c>
      <c r="K142" s="29">
        <f>'ФинРез Кампус'!N633</f>
        <v>0</v>
      </c>
      <c r="L142" s="29">
        <f>'ФинРез Кампус'!O633</f>
        <v>0</v>
      </c>
      <c r="M142" s="29">
        <f>'ФинРез Кампус'!P633</f>
        <v>0</v>
      </c>
      <c r="N142" s="29">
        <f>'ФинРез Кампус'!Q633</f>
        <v>0</v>
      </c>
      <c r="O142" s="29">
        <f>'ФинРез Кампус'!R633</f>
        <v>0</v>
      </c>
      <c r="P142" s="82">
        <f>'ФинРез Кампус'!S633</f>
        <v>0</v>
      </c>
      <c r="Q142" s="82">
        <f>'ФинРез Кампус'!T633</f>
        <v>0</v>
      </c>
      <c r="R142" s="82">
        <f>'ФинРез Кампус'!U633</f>
        <v>0</v>
      </c>
      <c r="S142" s="82">
        <f>'ФинРез Кампус'!V633</f>
        <v>0</v>
      </c>
      <c r="T142" s="82">
        <f>'ФинРез Кампус'!W633</f>
        <v>0</v>
      </c>
      <c r="U142" s="82">
        <f>'ФинРез Кампус'!X633</f>
        <v>0</v>
      </c>
      <c r="V142" s="82">
        <f>'ФинРез Кампус'!Y633</f>
        <v>0</v>
      </c>
      <c r="W142" s="82">
        <f>'ФинРез Кампус'!Z633</f>
        <v>0</v>
      </c>
      <c r="X142" s="29">
        <f>SUM(G142:W142)</f>
        <v>0</v>
      </c>
    </row>
    <row r="143" spans="3:25" x14ac:dyDescent="0.35">
      <c r="D143" s="60" t="s">
        <v>197</v>
      </c>
      <c r="E143" s="28"/>
      <c r="F143" s="29">
        <f>'ФинРез Кампус'!I648</f>
        <v>0</v>
      </c>
      <c r="G143" s="29">
        <f>'ФинРез Кампус'!J648</f>
        <v>0</v>
      </c>
      <c r="H143" s="29">
        <f>'ФинРез Кампус'!K648</f>
        <v>0</v>
      </c>
      <c r="I143" s="29">
        <f>'ФинРез Кампус'!L648</f>
        <v>0</v>
      </c>
      <c r="J143" s="29">
        <f>'ФинРез Кампус'!M648</f>
        <v>0</v>
      </c>
      <c r="K143" s="29">
        <f>'ФинРез Кампус'!N648</f>
        <v>0</v>
      </c>
      <c r="L143" s="29">
        <f>'ФинРез Кампус'!O648</f>
        <v>0</v>
      </c>
      <c r="M143" s="29">
        <f>'ФинРез Кампус'!P648</f>
        <v>0</v>
      </c>
      <c r="N143" s="29">
        <f>'ФинРез Кампус'!Q648</f>
        <v>0</v>
      </c>
      <c r="O143" s="29">
        <f>'ФинРез Кампус'!R648</f>
        <v>0</v>
      </c>
      <c r="P143" s="82">
        <f>'ФинРез Кампус'!S648</f>
        <v>0</v>
      </c>
      <c r="Q143" s="82">
        <f>'ФинРез Кампус'!T648</f>
        <v>0</v>
      </c>
      <c r="R143" s="82">
        <f>'ФинРез Кампус'!U648</f>
        <v>0</v>
      </c>
      <c r="S143" s="82">
        <f>'ФинРез Кампус'!V648</f>
        <v>0</v>
      </c>
      <c r="T143" s="82">
        <f>'ФинРез Кампус'!W648</f>
        <v>0</v>
      </c>
      <c r="U143" s="82">
        <f>'ФинРез Кампус'!X648</f>
        <v>0</v>
      </c>
      <c r="V143" s="82">
        <f>'ФинРез Кампус'!Y648</f>
        <v>0</v>
      </c>
      <c r="W143" s="82">
        <f>'ФинРез Кампус'!Z648</f>
        <v>0</v>
      </c>
      <c r="X143" s="29">
        <f>SUM(G143:W143)</f>
        <v>0</v>
      </c>
    </row>
    <row r="144" spans="3:25" x14ac:dyDescent="0.35">
      <c r="D144" s="22" t="s">
        <v>90</v>
      </c>
      <c r="E144" s="14"/>
      <c r="F144" s="14"/>
      <c r="Y144" s="3" t="e">
        <f>X148-X147</f>
        <v>#DIV/0!</v>
      </c>
    </row>
    <row r="145" spans="1:44" x14ac:dyDescent="0.35">
      <c r="C145" s="13"/>
      <c r="D145" s="60" t="s">
        <v>193</v>
      </c>
      <c r="E145" s="14"/>
      <c r="F145" s="61" t="e">
        <f>F143/'ФинРез Кампус'!I$7</f>
        <v>#DIV/0!</v>
      </c>
      <c r="G145" s="61" t="e">
        <f>G143/'ФинРез Кампус'!J$7</f>
        <v>#DIV/0!</v>
      </c>
      <c r="H145" s="61" t="e">
        <f>H143/'ФинРез Кампус'!K$7</f>
        <v>#DIV/0!</v>
      </c>
      <c r="I145" s="61" t="e">
        <f>I143/'ФинРез Кампус'!L$7</f>
        <v>#DIV/0!</v>
      </c>
      <c r="J145" s="61" t="e">
        <f>J143/'ФинРез Кампус'!M$7</f>
        <v>#DIV/0!</v>
      </c>
      <c r="K145" s="61" t="e">
        <f>K143/'ФинРез Кампус'!N$7</f>
        <v>#DIV/0!</v>
      </c>
      <c r="L145" s="61" t="e">
        <f>L143/'ФинРез Кампус'!O$7</f>
        <v>#DIV/0!</v>
      </c>
      <c r="M145" s="61" t="e">
        <f>M143/'ФинРез Кампус'!P$7</f>
        <v>#DIV/0!</v>
      </c>
      <c r="N145" s="61" t="e">
        <f>N143/'ФинРез Кампус'!Q$7</f>
        <v>#DIV/0!</v>
      </c>
      <c r="O145" s="61" t="e">
        <f>O143/'ФинРез Кампус'!R$7</f>
        <v>#DIV/0!</v>
      </c>
      <c r="P145" s="61">
        <f>P143/'ФинРез Кампус'!S$7</f>
        <v>0</v>
      </c>
      <c r="Q145" s="61">
        <f>Q143/'ФинРез Кампус'!T$7</f>
        <v>0</v>
      </c>
      <c r="R145" s="61">
        <f>R143/'ФинРез Кампус'!U$7</f>
        <v>0</v>
      </c>
      <c r="S145" s="61">
        <f>S143/'ФинРез Кампус'!V$7</f>
        <v>0</v>
      </c>
      <c r="T145" s="61">
        <f>T143/'ФинРез Кампус'!W$7</f>
        <v>0</v>
      </c>
      <c r="U145" s="61">
        <f>U143/'ФинРез Кампус'!X$7</f>
        <v>0</v>
      </c>
      <c r="V145" s="61">
        <f>V143/'ФинРез Кампус'!Y$7</f>
        <v>0</v>
      </c>
      <c r="W145" s="61">
        <f>W143/'ФинРез Кампус'!Z$7</f>
        <v>0</v>
      </c>
      <c r="X145" s="2" t="e">
        <f>SUM(G145:W145)</f>
        <v>#DIV/0!</v>
      </c>
    </row>
    <row r="146" spans="1:44" x14ac:dyDescent="0.35">
      <c r="C146" s="13"/>
      <c r="D146" s="60" t="s">
        <v>194</v>
      </c>
      <c r="E146" s="14"/>
      <c r="F146" s="86" t="e">
        <f t="shared" ref="F146:O146" si="147">ROUND(F145*(F$159+F$163),2)</f>
        <v>#DIV/0!</v>
      </c>
      <c r="G146" s="86" t="e">
        <f t="shared" si="147"/>
        <v>#DIV/0!</v>
      </c>
      <c r="H146" s="86" t="e">
        <f t="shared" si="147"/>
        <v>#DIV/0!</v>
      </c>
      <c r="I146" s="86" t="e">
        <f t="shared" si="147"/>
        <v>#DIV/0!</v>
      </c>
      <c r="J146" s="86" t="e">
        <f t="shared" si="147"/>
        <v>#DIV/0!</v>
      </c>
      <c r="K146" s="86" t="e">
        <f t="shared" si="147"/>
        <v>#DIV/0!</v>
      </c>
      <c r="L146" s="86" t="e">
        <f t="shared" si="147"/>
        <v>#DIV/0!</v>
      </c>
      <c r="M146" s="86" t="e">
        <f t="shared" si="147"/>
        <v>#DIV/0!</v>
      </c>
      <c r="N146" s="86" t="e">
        <f t="shared" si="147"/>
        <v>#DIV/0!</v>
      </c>
      <c r="O146" s="86" t="e">
        <f t="shared" si="147"/>
        <v>#DIV/0!</v>
      </c>
      <c r="P146" s="86">
        <f t="shared" ref="P146:W146" si="148">ROUND(P145*(P$159+P$163),2)</f>
        <v>0</v>
      </c>
      <c r="Q146" s="86">
        <f t="shared" si="148"/>
        <v>0</v>
      </c>
      <c r="R146" s="86">
        <f t="shared" si="148"/>
        <v>0</v>
      </c>
      <c r="S146" s="86">
        <f t="shared" si="148"/>
        <v>0</v>
      </c>
      <c r="T146" s="86">
        <f t="shared" si="148"/>
        <v>0</v>
      </c>
      <c r="U146" s="86">
        <f t="shared" si="148"/>
        <v>0</v>
      </c>
      <c r="V146" s="86">
        <f t="shared" si="148"/>
        <v>0</v>
      </c>
      <c r="W146" s="86">
        <f t="shared" si="148"/>
        <v>0</v>
      </c>
      <c r="X146" s="63" t="e">
        <f>SUM(G146:W146)</f>
        <v>#DIV/0!</v>
      </c>
    </row>
    <row r="147" spans="1:44" x14ac:dyDescent="0.35">
      <c r="C147" s="13"/>
      <c r="D147" s="20" t="s">
        <v>91</v>
      </c>
      <c r="E147" s="21"/>
      <c r="F147" s="29">
        <f>F136-F141</f>
        <v>0</v>
      </c>
      <c r="G147" s="29">
        <f t="shared" ref="G147:O147" si="149">G136-G141</f>
        <v>0</v>
      </c>
      <c r="H147" s="29">
        <f t="shared" si="149"/>
        <v>0</v>
      </c>
      <c r="I147" s="29">
        <f t="shared" si="149"/>
        <v>0</v>
      </c>
      <c r="J147" s="29">
        <f t="shared" si="149"/>
        <v>0</v>
      </c>
      <c r="K147" s="29">
        <f t="shared" si="149"/>
        <v>0</v>
      </c>
      <c r="L147" s="29">
        <f t="shared" si="149"/>
        <v>0</v>
      </c>
      <c r="M147" s="29">
        <f t="shared" si="149"/>
        <v>0</v>
      </c>
      <c r="N147" s="29">
        <f t="shared" si="149"/>
        <v>0</v>
      </c>
      <c r="O147" s="29">
        <f t="shared" si="149"/>
        <v>0</v>
      </c>
      <c r="P147" s="82">
        <f t="shared" ref="P147:W147" si="150">P136-P141</f>
        <v>0</v>
      </c>
      <c r="Q147" s="82">
        <f t="shared" si="150"/>
        <v>0</v>
      </c>
      <c r="R147" s="82">
        <f t="shared" si="150"/>
        <v>0</v>
      </c>
      <c r="S147" s="82">
        <f t="shared" si="150"/>
        <v>0</v>
      </c>
      <c r="T147" s="82">
        <f t="shared" si="150"/>
        <v>0</v>
      </c>
      <c r="U147" s="82">
        <f t="shared" si="150"/>
        <v>0</v>
      </c>
      <c r="V147" s="82">
        <f t="shared" si="150"/>
        <v>0</v>
      </c>
      <c r="W147" s="82">
        <f t="shared" si="150"/>
        <v>0</v>
      </c>
      <c r="X147" s="29">
        <f>SUM(G147:W147)</f>
        <v>0</v>
      </c>
    </row>
    <row r="148" spans="1:44" x14ac:dyDescent="0.35">
      <c r="C148" s="13"/>
      <c r="D148" s="22" t="s">
        <v>92</v>
      </c>
      <c r="E148" s="14"/>
      <c r="F148" s="29" t="e">
        <f>F137-(F137*F140+F143-F146)</f>
        <v>#DIV/0!</v>
      </c>
      <c r="G148" s="29" t="e">
        <f t="shared" ref="G148:O148" si="151">G137-(G137*G140+G143-G146)</f>
        <v>#DIV/0!</v>
      </c>
      <c r="H148" s="29" t="e">
        <f t="shared" si="151"/>
        <v>#DIV/0!</v>
      </c>
      <c r="I148" s="29" t="e">
        <f t="shared" si="151"/>
        <v>#DIV/0!</v>
      </c>
      <c r="J148" s="29" t="e">
        <f t="shared" si="151"/>
        <v>#DIV/0!</v>
      </c>
      <c r="K148" s="29" t="e">
        <f t="shared" si="151"/>
        <v>#DIV/0!</v>
      </c>
      <c r="L148" s="29" t="e">
        <f t="shared" si="151"/>
        <v>#DIV/0!</v>
      </c>
      <c r="M148" s="29" t="e">
        <f t="shared" si="151"/>
        <v>#DIV/0!</v>
      </c>
      <c r="N148" s="29" t="e">
        <f t="shared" si="151"/>
        <v>#DIV/0!</v>
      </c>
      <c r="O148" s="29" t="e">
        <f t="shared" si="151"/>
        <v>#DIV/0!</v>
      </c>
      <c r="P148" s="82" t="e">
        <f t="shared" ref="P148:W148" si="152">P137-(P137*P140+P143-P146)</f>
        <v>#DIV/0!</v>
      </c>
      <c r="Q148" s="82" t="e">
        <f t="shared" si="152"/>
        <v>#DIV/0!</v>
      </c>
      <c r="R148" s="82" t="e">
        <f t="shared" si="152"/>
        <v>#DIV/0!</v>
      </c>
      <c r="S148" s="82" t="e">
        <f t="shared" si="152"/>
        <v>#DIV/0!</v>
      </c>
      <c r="T148" s="82" t="e">
        <f t="shared" si="152"/>
        <v>#DIV/0!</v>
      </c>
      <c r="U148" s="82" t="e">
        <f t="shared" si="152"/>
        <v>#DIV/0!</v>
      </c>
      <c r="V148" s="82" t="e">
        <f t="shared" si="152"/>
        <v>#DIV/0!</v>
      </c>
      <c r="W148" s="82" t="e">
        <f t="shared" si="152"/>
        <v>#DIV/0!</v>
      </c>
      <c r="X148" s="29" t="e">
        <f>SUM(G148:W148)</f>
        <v>#DIV/0!</v>
      </c>
    </row>
    <row r="149" spans="1:44" x14ac:dyDescent="0.35">
      <c r="C149" s="10">
        <v>10</v>
      </c>
      <c r="D149" s="11" t="s">
        <v>205</v>
      </c>
      <c r="E149" s="11"/>
      <c r="F149" s="67" t="s">
        <v>206</v>
      </c>
      <c r="G149" s="67" t="s">
        <v>207</v>
      </c>
      <c r="H149" s="12"/>
      <c r="I149" s="12"/>
      <c r="J149" s="12"/>
      <c r="K149" s="12"/>
      <c r="L149" s="12"/>
      <c r="M149" s="12"/>
      <c r="N149" s="12"/>
      <c r="O149" s="12"/>
      <c r="P149" s="79"/>
      <c r="Q149" s="79"/>
      <c r="R149" s="79"/>
      <c r="S149" s="79"/>
      <c r="T149" s="79"/>
      <c r="U149" s="79"/>
      <c r="V149" s="79"/>
      <c r="W149" s="79"/>
      <c r="X149" s="12"/>
    </row>
    <row r="150" spans="1:44" x14ac:dyDescent="0.35">
      <c r="C150" s="68"/>
      <c r="D150" s="20" t="str">
        <f>D9</f>
        <v>ОБРАЗОВАНИЕ</v>
      </c>
      <c r="E150" s="66"/>
      <c r="F150" s="69">
        <f>CORREL(F7:O7,F33:O33)</f>
        <v>0.99254675805512793</v>
      </c>
      <c r="G150" s="70">
        <f>ROUND(X42/$X$150,4)</f>
        <v>0.91849999999999998</v>
      </c>
      <c r="X150" s="102">
        <f>SUM(ABS(X105),ABS(X91),ABS(X77),ABS(X63),ABS(X42),ABS(X119),ABS(X133),ABS(X147))</f>
        <v>31586091.183625333</v>
      </c>
    </row>
    <row r="151" spans="1:44" x14ac:dyDescent="0.35">
      <c r="C151" s="13"/>
      <c r="D151" s="20" t="str">
        <f>D46</f>
        <v>НАУКА</v>
      </c>
      <c r="E151" s="14"/>
      <c r="F151" s="71">
        <f>CORREL(F7:O7,F47:O47)</f>
        <v>0.87951488664574573</v>
      </c>
      <c r="G151" s="70">
        <f>ROUND(X63/$X$150,4)</f>
        <v>2.6700000000000002E-2</v>
      </c>
      <c r="H151" s="74"/>
    </row>
    <row r="152" spans="1:44" x14ac:dyDescent="0.35">
      <c r="C152" s="13"/>
      <c r="D152" s="20" t="str">
        <f>D65</f>
        <v>АРЕНДА</v>
      </c>
      <c r="E152" s="14"/>
      <c r="F152" s="69" t="e">
        <f>CORREL(F7:O7,F67:O67)</f>
        <v>#DIV/0!</v>
      </c>
      <c r="G152" s="70">
        <f>ROUND(X77/$X$150,4)</f>
        <v>1.24E-2</v>
      </c>
      <c r="H152" s="74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</row>
    <row r="153" spans="1:44" x14ac:dyDescent="0.35">
      <c r="C153" s="13"/>
      <c r="D153" s="20" t="str">
        <f>D79</f>
        <v>ОБЩЕЖИТИЯ</v>
      </c>
      <c r="E153" s="14"/>
      <c r="F153" s="71" t="e">
        <f>CORREL(F7:O7,F80:O80)</f>
        <v>#DIV/0!</v>
      </c>
      <c r="G153" s="70">
        <f>ROUND(X91/$X$150,4)</f>
        <v>0</v>
      </c>
      <c r="H153" s="74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</row>
    <row r="154" spans="1:44" s="74" customFormat="1" x14ac:dyDescent="0.35">
      <c r="A154" s="73"/>
      <c r="C154" s="13"/>
      <c r="D154" s="20" t="s">
        <v>202</v>
      </c>
      <c r="E154" s="14"/>
      <c r="F154" s="71" t="e">
        <f>CORREL(F94:O94,F7:O7)</f>
        <v>#DIV/0!</v>
      </c>
      <c r="G154" s="70">
        <f>ROUND(X105/$X$150,4)</f>
        <v>-4.24E-2</v>
      </c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spans="1:44" x14ac:dyDescent="0.35">
      <c r="C155" s="13"/>
      <c r="D155" s="20" t="str">
        <f>D107</f>
        <v>МЕРОПРИЯТИЯ</v>
      </c>
      <c r="E155" s="14"/>
      <c r="F155" s="69" t="e">
        <f>CORREL(F7:O7,F108:O108)</f>
        <v>#DIV/0!</v>
      </c>
      <c r="G155" s="70">
        <f>ROUND(X119/$X$150,4)</f>
        <v>0</v>
      </c>
      <c r="H155" s="74"/>
    </row>
    <row r="156" spans="1:44" s="74" customFormat="1" x14ac:dyDescent="0.35">
      <c r="A156" s="73"/>
      <c r="C156" s="2"/>
      <c r="D156" s="20" t="s">
        <v>203</v>
      </c>
      <c r="E156" s="2"/>
      <c r="F156" s="71" t="e">
        <f>CORREL(F122:O122,F7:O7)</f>
        <v>#DIV/0!</v>
      </c>
      <c r="G156" s="70">
        <f>ROUND(X133/$X$150,4)</f>
        <v>0</v>
      </c>
      <c r="I156" s="2"/>
      <c r="J156" s="2"/>
      <c r="K156" s="2"/>
      <c r="L156" s="2"/>
      <c r="M156" s="2"/>
      <c r="N156" s="2"/>
      <c r="O156" s="2"/>
      <c r="X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spans="1:44" s="74" customFormat="1" x14ac:dyDescent="0.35">
      <c r="A157" s="73"/>
      <c r="C157" s="2"/>
      <c r="D157" s="20" t="s">
        <v>204</v>
      </c>
      <c r="E157" s="2"/>
      <c r="F157" s="69" t="e">
        <f>CORREL(F136:O136,F7:O7)</f>
        <v>#DIV/0!</v>
      </c>
      <c r="G157" s="70">
        <f>ROUND(X147/$X$150,4)</f>
        <v>0</v>
      </c>
      <c r="I157" s="2"/>
      <c r="J157" s="2"/>
      <c r="K157" s="2"/>
      <c r="L157" s="2"/>
      <c r="M157" s="2"/>
      <c r="N157" s="2"/>
      <c r="O157" s="2"/>
      <c r="X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spans="1:44" s="74" customFormat="1" x14ac:dyDescent="0.35">
      <c r="A158" s="73"/>
      <c r="C158" s="77">
        <v>11</v>
      </c>
      <c r="D158" s="78" t="s">
        <v>217</v>
      </c>
      <c r="E158" s="78"/>
      <c r="F158" s="87"/>
      <c r="G158" s="87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</row>
    <row r="159" spans="1:44" s="74" customFormat="1" x14ac:dyDescent="0.35">
      <c r="A159" s="73"/>
      <c r="C159" s="2"/>
      <c r="D159" s="2" t="str">
        <f>'ФинРез и инд-ры ВУЗ'!D59</f>
        <v>Налог на землю</v>
      </c>
      <c r="E159" s="2"/>
      <c r="F159" s="75">
        <f>'ФинРез и инд-ры ВУЗ'!EG59</f>
        <v>-1827.9960000000428</v>
      </c>
      <c r="G159" s="75">
        <f>'ФинРез и инд-ры ВУЗ'!EH59</f>
        <v>-3843.3940000000002</v>
      </c>
      <c r="H159" s="75">
        <f>'ФинРез и инд-ры ВУЗ'!EI59</f>
        <v>-3034.8940000000002</v>
      </c>
      <c r="I159" s="75">
        <f>'ФинРез и инд-ры ВУЗ'!EJ59</f>
        <v>-3034.8940000000002</v>
      </c>
      <c r="J159" s="75">
        <f>'ФинРез и инд-ры ВУЗ'!EK59</f>
        <v>-3034.8940000000002</v>
      </c>
      <c r="K159" s="75">
        <f>'ФинРез и инд-ры ВУЗ'!EL59</f>
        <v>-3034.8940000000002</v>
      </c>
      <c r="L159" s="75">
        <f>'ФинРез и инд-ры ВУЗ'!EM59</f>
        <v>-3034.8940000000002</v>
      </c>
      <c r="M159" s="75">
        <f>'ФинРез и инд-ры ВУЗ'!EN59</f>
        <v>-3034.8940000000002</v>
      </c>
      <c r="N159" s="75">
        <f>'ФинРез и инд-ры ВУЗ'!EO59</f>
        <v>-3034.8940000000002</v>
      </c>
      <c r="O159" s="75">
        <f>'ФинРез и инд-ры ВУЗ'!EP59</f>
        <v>-3034.8940000000002</v>
      </c>
      <c r="P159" s="75">
        <f>'ФинРез и инд-ры ВУЗ'!EQ59</f>
        <v>-3034.8940000000002</v>
      </c>
      <c r="Q159" s="75">
        <f>'ФинРез и инд-ры ВУЗ'!ER59</f>
        <v>-3034.8940000000002</v>
      </c>
      <c r="R159" s="75">
        <f>'ФинРез и инд-ры ВУЗ'!ES59</f>
        <v>-3034.8940000000002</v>
      </c>
      <c r="S159" s="75">
        <f>'ФинРез и инд-ры ВУЗ'!ET59</f>
        <v>-3034.8940000000002</v>
      </c>
      <c r="T159" s="75">
        <f>'ФинРез и инд-ры ВУЗ'!EU59</f>
        <v>-3034.8940000000002</v>
      </c>
      <c r="U159" s="75">
        <f>'ФинРез и инд-ры ВУЗ'!EV59</f>
        <v>-3034.8940000000002</v>
      </c>
      <c r="V159" s="75">
        <f>'ФинРез и инд-ры ВУЗ'!EW59</f>
        <v>-3034.8940000000002</v>
      </c>
      <c r="W159" s="75">
        <f>'ФинРез и инд-ры ВУЗ'!EX59</f>
        <v>-3034.8940000000002</v>
      </c>
      <c r="X159" s="75">
        <f t="shared" ref="X159:X188" si="153">SUM(G159:W159)</f>
        <v>-52401.698000000004</v>
      </c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spans="1:44" s="74" customFormat="1" x14ac:dyDescent="0.35">
      <c r="A160" s="73"/>
      <c r="D160" s="91" t="str">
        <f>'ФинРез и инд-ры ВУЗ'!D60</f>
        <v>в том числе по уровням бюджета: 
федеральный бюджет</v>
      </c>
      <c r="F160" s="75">
        <f>'ФинРез и инд-ры ВУЗ'!EG60</f>
        <v>0</v>
      </c>
      <c r="G160" s="75">
        <f>'ФинРез и инд-ры ВУЗ'!EH60</f>
        <v>0</v>
      </c>
      <c r="H160" s="75">
        <f>'ФинРез и инд-ры ВУЗ'!EI60</f>
        <v>0</v>
      </c>
      <c r="I160" s="75">
        <f>'ФинРез и инд-ры ВУЗ'!EJ60</f>
        <v>0</v>
      </c>
      <c r="J160" s="75">
        <f>'ФинРез и инд-ры ВУЗ'!EK60</f>
        <v>0</v>
      </c>
      <c r="K160" s="75">
        <f>'ФинРез и инд-ры ВУЗ'!EL60</f>
        <v>0</v>
      </c>
      <c r="L160" s="75">
        <f>'ФинРез и инд-ры ВУЗ'!EM60</f>
        <v>0</v>
      </c>
      <c r="M160" s="75">
        <f>'ФинРез и инд-ры ВУЗ'!EN60</f>
        <v>0</v>
      </c>
      <c r="N160" s="75">
        <f>'ФинРез и инд-ры ВУЗ'!EO60</f>
        <v>0</v>
      </c>
      <c r="O160" s="75">
        <f>'ФинРез и инд-ры ВУЗ'!EP60</f>
        <v>0</v>
      </c>
      <c r="P160" s="75">
        <f>'ФинРез и инд-ры ВУЗ'!EQ60</f>
        <v>0</v>
      </c>
      <c r="Q160" s="75">
        <f>'ФинРез и инд-ры ВУЗ'!ER60</f>
        <v>0</v>
      </c>
      <c r="R160" s="75">
        <f>'ФинРез и инд-ры ВУЗ'!ES60</f>
        <v>0</v>
      </c>
      <c r="S160" s="75">
        <f>'ФинРез и инд-ры ВУЗ'!ET60</f>
        <v>0</v>
      </c>
      <c r="T160" s="75">
        <f>'ФинРез и инд-ры ВУЗ'!EU60</f>
        <v>0</v>
      </c>
      <c r="U160" s="75">
        <f>'ФинРез и инд-ры ВУЗ'!EV60</f>
        <v>0</v>
      </c>
      <c r="V160" s="75">
        <f>'ФинРез и инд-ры ВУЗ'!EW60</f>
        <v>0</v>
      </c>
      <c r="W160" s="75">
        <f>'ФинРез и инд-ры ВУЗ'!EX60</f>
        <v>0</v>
      </c>
      <c r="X160" s="75">
        <f t="shared" si="153"/>
        <v>0</v>
      </c>
    </row>
    <row r="161" spans="1:44" s="74" customFormat="1" x14ac:dyDescent="0.35">
      <c r="A161" s="73"/>
      <c r="D161" s="91" t="str">
        <f>'ФинРез и инд-ры ВУЗ'!D61</f>
        <v>региональный бюджет</v>
      </c>
      <c r="F161" s="75">
        <f>'ФинРез и инд-ры ВУЗ'!EG61</f>
        <v>0</v>
      </c>
      <c r="G161" s="75">
        <f>'ФинРез и инд-ры ВУЗ'!EH61</f>
        <v>0</v>
      </c>
      <c r="H161" s="75">
        <f>'ФинРез и инд-ры ВУЗ'!EI61</f>
        <v>0</v>
      </c>
      <c r="I161" s="75">
        <f>'ФинРез и инд-ры ВУЗ'!EJ61</f>
        <v>0</v>
      </c>
      <c r="J161" s="75">
        <f>'ФинРез и инд-ры ВУЗ'!EK61</f>
        <v>0</v>
      </c>
      <c r="K161" s="75">
        <f>'ФинРез и инд-ры ВУЗ'!EL61</f>
        <v>0</v>
      </c>
      <c r="L161" s="75">
        <f>'ФинРез и инд-ры ВУЗ'!EM61</f>
        <v>0</v>
      </c>
      <c r="M161" s="75">
        <f>'ФинРез и инд-ры ВУЗ'!EN61</f>
        <v>0</v>
      </c>
      <c r="N161" s="75">
        <f>'ФинРез и инд-ры ВУЗ'!EO61</f>
        <v>0</v>
      </c>
      <c r="O161" s="75">
        <f>'ФинРез и инд-ры ВУЗ'!EP61</f>
        <v>0</v>
      </c>
      <c r="P161" s="75">
        <f>'ФинРез и инд-ры ВУЗ'!EQ61</f>
        <v>0</v>
      </c>
      <c r="Q161" s="75">
        <f>'ФинРез и инд-ры ВУЗ'!ER61</f>
        <v>0</v>
      </c>
      <c r="R161" s="75">
        <f>'ФинРез и инд-ры ВУЗ'!ES61</f>
        <v>0</v>
      </c>
      <c r="S161" s="75">
        <f>'ФинРез и инд-ры ВУЗ'!ET61</f>
        <v>0</v>
      </c>
      <c r="T161" s="75">
        <f>'ФинРез и инд-ры ВУЗ'!EU61</f>
        <v>0</v>
      </c>
      <c r="U161" s="75">
        <f>'ФинРез и инд-ры ВУЗ'!EV61</f>
        <v>0</v>
      </c>
      <c r="V161" s="75">
        <f>'ФинРез и инд-ры ВУЗ'!EW61</f>
        <v>0</v>
      </c>
      <c r="W161" s="75">
        <f>'ФинРез и инд-ры ВУЗ'!EX61</f>
        <v>0</v>
      </c>
      <c r="X161" s="75">
        <f t="shared" si="153"/>
        <v>0</v>
      </c>
    </row>
    <row r="162" spans="1:44" x14ac:dyDescent="0.35">
      <c r="C162" s="74"/>
      <c r="D162" s="91" t="str">
        <f>'ФинРез и инд-ры ВУЗ'!D62</f>
        <v>местный бюджет</v>
      </c>
      <c r="E162" s="74"/>
      <c r="F162" s="75">
        <f>'ФинРез и инд-ры ВУЗ'!EG62</f>
        <v>-1827.9960000000428</v>
      </c>
      <c r="G162" s="75">
        <f>'ФинРез и инд-ры ВУЗ'!EH62</f>
        <v>-3843.3940000000002</v>
      </c>
      <c r="H162" s="75">
        <f>'ФинРез и инд-ры ВУЗ'!EI62</f>
        <v>-3034.8940000000002</v>
      </c>
      <c r="I162" s="75">
        <f>'ФинРез и инд-ры ВУЗ'!EJ62</f>
        <v>-3034.8940000000002</v>
      </c>
      <c r="J162" s="75">
        <f>'ФинРез и инд-ры ВУЗ'!EK62</f>
        <v>-3034.8940000000002</v>
      </c>
      <c r="K162" s="75">
        <f>'ФинРез и инд-ры ВУЗ'!EL62</f>
        <v>-3034.8940000000002</v>
      </c>
      <c r="L162" s="75">
        <f>'ФинРез и инд-ры ВУЗ'!EM62</f>
        <v>-3034.8940000000002</v>
      </c>
      <c r="M162" s="75">
        <f>'ФинРез и инд-ры ВУЗ'!EN62</f>
        <v>-3034.8940000000002</v>
      </c>
      <c r="N162" s="75">
        <f>'ФинРез и инд-ры ВУЗ'!EO62</f>
        <v>-3034.8940000000002</v>
      </c>
      <c r="O162" s="75">
        <f>'ФинРез и инд-ры ВУЗ'!EP62</f>
        <v>-3034.8940000000002</v>
      </c>
      <c r="P162" s="75">
        <f>'ФинРез и инд-ры ВУЗ'!EQ62</f>
        <v>-3034.8940000000002</v>
      </c>
      <c r="Q162" s="75">
        <f>'ФинРез и инд-ры ВУЗ'!ER62</f>
        <v>-3034.8940000000002</v>
      </c>
      <c r="R162" s="75">
        <f>'ФинРез и инд-ры ВУЗ'!ES62</f>
        <v>-3034.8940000000002</v>
      </c>
      <c r="S162" s="75">
        <f>'ФинРез и инд-ры ВУЗ'!ET62</f>
        <v>-3034.8940000000002</v>
      </c>
      <c r="T162" s="75">
        <f>'ФинРез и инд-ры ВУЗ'!EU62</f>
        <v>-3034.8940000000002</v>
      </c>
      <c r="U162" s="75">
        <f>'ФинРез и инд-ры ВУЗ'!EV62</f>
        <v>-3034.8940000000002</v>
      </c>
      <c r="V162" s="75">
        <f>'ФинРез и инд-ры ВУЗ'!EW62</f>
        <v>-3034.8940000000002</v>
      </c>
      <c r="W162" s="75">
        <f>'ФинРез и инд-ры ВУЗ'!EX62</f>
        <v>-3034.8940000000002</v>
      </c>
      <c r="X162" s="75">
        <f t="shared" si="153"/>
        <v>-52401.698000000004</v>
      </c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</row>
    <row r="163" spans="1:44" x14ac:dyDescent="0.35">
      <c r="C163" s="74"/>
      <c r="D163" s="74" t="str">
        <f>'ФинРез и инд-ры ВУЗ'!D63</f>
        <v>Налог на имущество</v>
      </c>
      <c r="E163" s="74"/>
      <c r="F163" s="75">
        <f>'ФинРез и инд-ры ВУЗ'!EG63</f>
        <v>0</v>
      </c>
      <c r="G163" s="75">
        <f>'ФинРез и инд-ры ВУЗ'!EH63</f>
        <v>0</v>
      </c>
      <c r="H163" s="75">
        <f>'ФинРез и инд-ры ВУЗ'!EI63</f>
        <v>0</v>
      </c>
      <c r="I163" s="75">
        <f>'ФинРез и инд-ры ВУЗ'!EJ63</f>
        <v>0</v>
      </c>
      <c r="J163" s="75">
        <f>'ФинРез и инд-ры ВУЗ'!EK63</f>
        <v>0</v>
      </c>
      <c r="K163" s="75">
        <f>'ФинРез и инд-ры ВУЗ'!EL63</f>
        <v>0</v>
      </c>
      <c r="L163" s="75">
        <f>'ФинРез и инд-ры ВУЗ'!EM63</f>
        <v>0</v>
      </c>
      <c r="M163" s="75">
        <f>'ФинРез и инд-ры ВУЗ'!EN63</f>
        <v>0</v>
      </c>
      <c r="N163" s="75">
        <f>'ФинРез и инд-ры ВУЗ'!EO63</f>
        <v>0</v>
      </c>
      <c r="O163" s="75">
        <f>'ФинРез и инд-ры ВУЗ'!EP63</f>
        <v>0</v>
      </c>
      <c r="P163" s="75">
        <f>'ФинРез и инд-ры ВУЗ'!EQ63</f>
        <v>0</v>
      </c>
      <c r="Q163" s="75">
        <f>'ФинРез и инд-ры ВУЗ'!ER63</f>
        <v>0</v>
      </c>
      <c r="R163" s="75">
        <f>'ФинРез и инд-ры ВУЗ'!ES63</f>
        <v>0</v>
      </c>
      <c r="S163" s="75">
        <f>'ФинРез и инд-ры ВУЗ'!ET63</f>
        <v>0</v>
      </c>
      <c r="T163" s="75">
        <f>'ФинРез и инд-ры ВУЗ'!EU63</f>
        <v>0</v>
      </c>
      <c r="U163" s="75">
        <f>'ФинРез и инд-ры ВУЗ'!EV63</f>
        <v>0</v>
      </c>
      <c r="V163" s="75">
        <f>'ФинРез и инд-ры ВУЗ'!EW63</f>
        <v>0</v>
      </c>
      <c r="W163" s="75">
        <f>'ФинРез и инд-ры ВУЗ'!EX63</f>
        <v>0</v>
      </c>
      <c r="X163" s="75">
        <f t="shared" si="153"/>
        <v>0</v>
      </c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</row>
    <row r="164" spans="1:44" s="74" customFormat="1" x14ac:dyDescent="0.35">
      <c r="A164" s="73"/>
      <c r="D164" s="91" t="str">
        <f>'ФинРез и инд-ры ВУЗ'!D64</f>
        <v>в том числе по уровням бюджета: 
федеральный бюджет</v>
      </c>
      <c r="F164" s="75">
        <f>'ФинРез и инд-ры ВУЗ'!EG64</f>
        <v>0</v>
      </c>
      <c r="G164" s="75">
        <f>'ФинРез и инд-ры ВУЗ'!EH64</f>
        <v>0</v>
      </c>
      <c r="H164" s="75">
        <f>'ФинРез и инд-ры ВУЗ'!EI64</f>
        <v>0</v>
      </c>
      <c r="I164" s="75">
        <f>'ФинРез и инд-ры ВУЗ'!EJ64</f>
        <v>0</v>
      </c>
      <c r="J164" s="75">
        <f>'ФинРез и инд-ры ВУЗ'!EK64</f>
        <v>0</v>
      </c>
      <c r="K164" s="75">
        <f>'ФинРез и инд-ры ВУЗ'!EL64</f>
        <v>0</v>
      </c>
      <c r="L164" s="75">
        <f>'ФинРез и инд-ры ВУЗ'!EM64</f>
        <v>0</v>
      </c>
      <c r="M164" s="75">
        <f>'ФинРез и инд-ры ВУЗ'!EN64</f>
        <v>0</v>
      </c>
      <c r="N164" s="75">
        <f>'ФинРез и инд-ры ВУЗ'!EO64</f>
        <v>0</v>
      </c>
      <c r="O164" s="75">
        <f>'ФинРез и инд-ры ВУЗ'!EP64</f>
        <v>0</v>
      </c>
      <c r="P164" s="75">
        <f>'ФинРез и инд-ры ВУЗ'!EQ64</f>
        <v>0</v>
      </c>
      <c r="Q164" s="75">
        <f>'ФинРез и инд-ры ВУЗ'!ER64</f>
        <v>0</v>
      </c>
      <c r="R164" s="75">
        <f>'ФинРез и инд-ры ВУЗ'!ES64</f>
        <v>0</v>
      </c>
      <c r="S164" s="75">
        <f>'ФинРез и инд-ры ВУЗ'!ET64</f>
        <v>0</v>
      </c>
      <c r="T164" s="75">
        <f>'ФинРез и инд-ры ВУЗ'!EU64</f>
        <v>0</v>
      </c>
      <c r="U164" s="75">
        <f>'ФинРез и инд-ры ВУЗ'!EV64</f>
        <v>0</v>
      </c>
      <c r="V164" s="75">
        <f>'ФинРез и инд-ры ВУЗ'!EW64</f>
        <v>0</v>
      </c>
      <c r="W164" s="75">
        <f>'ФинРез и инд-ры ВУЗ'!EX64</f>
        <v>0</v>
      </c>
      <c r="X164" s="75">
        <f t="shared" si="153"/>
        <v>0</v>
      </c>
    </row>
    <row r="165" spans="1:44" s="74" customFormat="1" x14ac:dyDescent="0.35">
      <c r="A165" s="73"/>
      <c r="D165" s="91" t="str">
        <f>'ФинРез и инд-ры ВУЗ'!D65</f>
        <v>региональный бюджет</v>
      </c>
      <c r="F165" s="75">
        <f>'ФинРез и инд-ры ВУЗ'!EG65</f>
        <v>0</v>
      </c>
      <c r="G165" s="75">
        <f>'ФинРез и инд-ры ВУЗ'!EH65</f>
        <v>0</v>
      </c>
      <c r="H165" s="75">
        <f>'ФинРез и инд-ры ВУЗ'!EI65</f>
        <v>0</v>
      </c>
      <c r="I165" s="75">
        <f>'ФинРез и инд-ры ВУЗ'!EJ65</f>
        <v>0</v>
      </c>
      <c r="J165" s="75">
        <f>'ФинРез и инд-ры ВУЗ'!EK65</f>
        <v>0</v>
      </c>
      <c r="K165" s="75">
        <f>'ФинРез и инд-ры ВУЗ'!EL65</f>
        <v>0</v>
      </c>
      <c r="L165" s="75">
        <f>'ФинРез и инд-ры ВУЗ'!EM65</f>
        <v>0</v>
      </c>
      <c r="M165" s="75">
        <f>'ФинРез и инд-ры ВУЗ'!EN65</f>
        <v>0</v>
      </c>
      <c r="N165" s="75">
        <f>'ФинРез и инд-ры ВУЗ'!EO65</f>
        <v>0</v>
      </c>
      <c r="O165" s="75">
        <f>'ФинРез и инд-ры ВУЗ'!EP65</f>
        <v>0</v>
      </c>
      <c r="P165" s="75">
        <f>'ФинРез и инд-ры ВУЗ'!EQ65</f>
        <v>0</v>
      </c>
      <c r="Q165" s="75">
        <f>'ФинРез и инд-ры ВУЗ'!ER65</f>
        <v>0</v>
      </c>
      <c r="R165" s="75">
        <f>'ФинРез и инд-ры ВУЗ'!ES65</f>
        <v>0</v>
      </c>
      <c r="S165" s="75">
        <f>'ФинРез и инд-ры ВУЗ'!ET65</f>
        <v>0</v>
      </c>
      <c r="T165" s="75">
        <f>'ФинРез и инд-ры ВУЗ'!EU65</f>
        <v>0</v>
      </c>
      <c r="U165" s="75">
        <f>'ФинРез и инд-ры ВУЗ'!EV65</f>
        <v>0</v>
      </c>
      <c r="V165" s="75">
        <f>'ФинРез и инд-ры ВУЗ'!EW65</f>
        <v>0</v>
      </c>
      <c r="W165" s="75">
        <f>'ФинРез и инд-ры ВУЗ'!EX65</f>
        <v>0</v>
      </c>
      <c r="X165" s="75">
        <f t="shared" si="153"/>
        <v>0</v>
      </c>
    </row>
    <row r="166" spans="1:44" s="74" customFormat="1" x14ac:dyDescent="0.35">
      <c r="A166" s="73"/>
      <c r="C166" s="2"/>
      <c r="D166" s="91" t="str">
        <f>'ФинРез и инд-ры ВУЗ'!D66</f>
        <v>местный бюджет</v>
      </c>
      <c r="E166" s="2"/>
      <c r="F166" s="75">
        <f>'ФинРез и инд-ры ВУЗ'!EG66</f>
        <v>0</v>
      </c>
      <c r="G166" s="75">
        <f>'ФинРез и инд-ры ВУЗ'!EH66</f>
        <v>0</v>
      </c>
      <c r="H166" s="75">
        <f>'ФинРез и инд-ры ВУЗ'!EI66</f>
        <v>0</v>
      </c>
      <c r="I166" s="75">
        <f>'ФинРез и инд-ры ВУЗ'!EJ66</f>
        <v>0</v>
      </c>
      <c r="J166" s="75">
        <f>'ФинРез и инд-ры ВУЗ'!EK66</f>
        <v>0</v>
      </c>
      <c r="K166" s="75">
        <f>'ФинРез и инд-ры ВУЗ'!EL66</f>
        <v>0</v>
      </c>
      <c r="L166" s="75">
        <f>'ФинРез и инд-ры ВУЗ'!EM66</f>
        <v>0</v>
      </c>
      <c r="M166" s="75">
        <f>'ФинРез и инд-ры ВУЗ'!EN66</f>
        <v>0</v>
      </c>
      <c r="N166" s="75">
        <f>'ФинРез и инд-ры ВУЗ'!EO66</f>
        <v>0</v>
      </c>
      <c r="O166" s="75">
        <f>'ФинРез и инд-ры ВУЗ'!EP66</f>
        <v>0</v>
      </c>
      <c r="P166" s="75">
        <f>'ФинРез и инд-ры ВУЗ'!EQ66</f>
        <v>0</v>
      </c>
      <c r="Q166" s="75">
        <f>'ФинРез и инд-ры ВУЗ'!ER66</f>
        <v>0</v>
      </c>
      <c r="R166" s="75">
        <f>'ФинРез и инд-ры ВУЗ'!ES66</f>
        <v>0</v>
      </c>
      <c r="S166" s="75">
        <f>'ФинРез и инд-ры ВУЗ'!ET66</f>
        <v>0</v>
      </c>
      <c r="T166" s="75">
        <f>'ФинРез и инд-ры ВУЗ'!EU66</f>
        <v>0</v>
      </c>
      <c r="U166" s="75">
        <f>'ФинРез и инд-ры ВУЗ'!EV66</f>
        <v>0</v>
      </c>
      <c r="V166" s="75">
        <f>'ФинРез и инд-ры ВУЗ'!EW66</f>
        <v>0</v>
      </c>
      <c r="W166" s="75">
        <f>'ФинРез и инд-ры ВУЗ'!EX66</f>
        <v>0</v>
      </c>
      <c r="X166" s="75">
        <f t="shared" si="153"/>
        <v>0</v>
      </c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spans="1:44" s="74" customFormat="1" x14ac:dyDescent="0.35">
      <c r="A167" s="73"/>
      <c r="C167" s="2"/>
      <c r="D167" s="74" t="str">
        <f>'ФинРез и инд-ры ВУЗ'!D67</f>
        <v>НДС</v>
      </c>
      <c r="E167" s="2"/>
      <c r="F167" s="75">
        <f>'ФинРез и инд-ры ВУЗ'!EG67</f>
        <v>-2146.0393285942919</v>
      </c>
      <c r="G167" s="75">
        <f>'ФинРез и инд-ры ВУЗ'!EH67</f>
        <v>-804.20953669761366</v>
      </c>
      <c r="H167" s="75">
        <f>'ФинРез и инд-ры ВУЗ'!EI67</f>
        <v>-717.87722645589383</v>
      </c>
      <c r="I167" s="75">
        <f>'ФинРез и инд-ры ВУЗ'!EJ67</f>
        <v>-546.18211359415727</v>
      </c>
      <c r="J167" s="75">
        <f>'ФинРез и инд-ры ВУЗ'!EK67</f>
        <v>-274.95462934940588</v>
      </c>
      <c r="K167" s="75">
        <f>'ФинРез и инд-ры ВУЗ'!EL67</f>
        <v>111.83291482661298</v>
      </c>
      <c r="L167" s="75">
        <f>'ФинРез и инд-ры ВУЗ'!EM67</f>
        <v>632.41534620411403</v>
      </c>
      <c r="M167" s="75">
        <f>'ФинРез и инд-ры ВУЗ'!EN67</f>
        <v>1307.5265003776731</v>
      </c>
      <c r="N167" s="75">
        <f>'ФинРез и инд-ры ВУЗ'!EO67</f>
        <v>2160.7292315794766</v>
      </c>
      <c r="O167" s="75">
        <f>'ФинРез и инд-ры ВУЗ'!EP67</f>
        <v>3218.7885299023692</v>
      </c>
      <c r="P167" s="75">
        <f>'ФинРез и инд-ры ВУЗ'!EQ67</f>
        <v>120607.18889181071</v>
      </c>
      <c r="Q167" s="75">
        <f>'ФинРез и инд-ры ВУЗ'!ER67</f>
        <v>297667.12680975348</v>
      </c>
      <c r="R167" s="75">
        <f>'ФинРез и инд-ры ВУЗ'!ES67</f>
        <v>304679.21430894331</v>
      </c>
      <c r="S167" s="75">
        <f>'ФинРез и инд-ры ВУЗ'!ET67</f>
        <v>310315.82927207544</v>
      </c>
      <c r="T167" s="75">
        <f>'ФинРез и инд-ры ВУЗ'!EU67</f>
        <v>265556.67237894482</v>
      </c>
      <c r="U167" s="75">
        <f>'ФинРез и инд-ры ВУЗ'!EV67</f>
        <v>322353.97278477321</v>
      </c>
      <c r="V167" s="75">
        <f>'ФинРез и инд-ры ВУЗ'!EW67</f>
        <v>328779.14189430728</v>
      </c>
      <c r="W167" s="75">
        <f>'ФинРез и инд-ры ВУЗ'!EX67</f>
        <v>335491.74555268232</v>
      </c>
      <c r="X167" s="75">
        <f t="shared" si="153"/>
        <v>2290538.9609100837</v>
      </c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spans="1:44" s="74" customFormat="1" x14ac:dyDescent="0.35">
      <c r="A168" s="73"/>
      <c r="D168" s="91" t="str">
        <f>'ФинРез и инд-ры ВУЗ'!D68</f>
        <v>в том числе по уровням бюджета: 
федеральный бюджет</v>
      </c>
      <c r="F168" s="75">
        <f>'ФинРез и инд-ры ВУЗ'!EG68</f>
        <v>-2146.0393285942919</v>
      </c>
      <c r="G168" s="75">
        <f>'ФинРез и инд-ры ВУЗ'!EH68</f>
        <v>-804.20953669761366</v>
      </c>
      <c r="H168" s="75">
        <f>'ФинРез и инд-ры ВУЗ'!EI68</f>
        <v>-717.87722645589383</v>
      </c>
      <c r="I168" s="75">
        <f>'ФинРез и инд-ры ВУЗ'!EJ68</f>
        <v>-546.18211359415727</v>
      </c>
      <c r="J168" s="75">
        <f>'ФинРез и инд-ры ВУЗ'!EK68</f>
        <v>-274.95462934940588</v>
      </c>
      <c r="K168" s="75">
        <f>'ФинРез и инд-ры ВУЗ'!EL68</f>
        <v>111.83291482661298</v>
      </c>
      <c r="L168" s="75">
        <f>'ФинРез и инд-ры ВУЗ'!EM68</f>
        <v>632.41534620411403</v>
      </c>
      <c r="M168" s="75">
        <f>'ФинРез и инд-ры ВУЗ'!EN68</f>
        <v>1307.5265003776731</v>
      </c>
      <c r="N168" s="75">
        <f>'ФинРез и инд-ры ВУЗ'!EO68</f>
        <v>2160.7292315794766</v>
      </c>
      <c r="O168" s="75">
        <f>'ФинРез и инд-ры ВУЗ'!EP68</f>
        <v>3218.7885299023692</v>
      </c>
      <c r="P168" s="75">
        <f>'ФинРез и инд-ры ВУЗ'!EQ68</f>
        <v>120607.18889181071</v>
      </c>
      <c r="Q168" s="75">
        <f>'ФинРез и инд-ры ВУЗ'!ER68</f>
        <v>297667.12680975348</v>
      </c>
      <c r="R168" s="75">
        <f>'ФинРез и инд-ры ВУЗ'!ES68</f>
        <v>304679.21430894331</v>
      </c>
      <c r="S168" s="75">
        <f>'ФинРез и инд-ры ВУЗ'!ET68</f>
        <v>310315.82927207544</v>
      </c>
      <c r="T168" s="75">
        <f>'ФинРез и инд-ры ВУЗ'!EU68</f>
        <v>265556.67237894482</v>
      </c>
      <c r="U168" s="75">
        <f>'ФинРез и инд-ры ВУЗ'!EV68</f>
        <v>322353.97278477321</v>
      </c>
      <c r="V168" s="75">
        <f>'ФинРез и инд-ры ВУЗ'!EW68</f>
        <v>328779.14189430728</v>
      </c>
      <c r="W168" s="75">
        <f>'ФинРез и инд-ры ВУЗ'!EX68</f>
        <v>335491.74555268232</v>
      </c>
      <c r="X168" s="75">
        <f t="shared" si="153"/>
        <v>2290538.9609100837</v>
      </c>
    </row>
    <row r="169" spans="1:44" s="74" customFormat="1" x14ac:dyDescent="0.35">
      <c r="A169" s="73"/>
      <c r="D169" s="91" t="str">
        <f>'ФинРез и инд-ры ВУЗ'!D69</f>
        <v>региональный бюджет</v>
      </c>
      <c r="F169" s="75">
        <f>'ФинРез и инд-ры ВУЗ'!EG69</f>
        <v>0</v>
      </c>
      <c r="G169" s="75">
        <f>'ФинРез и инд-ры ВУЗ'!EH69</f>
        <v>0</v>
      </c>
      <c r="H169" s="75">
        <f>'ФинРез и инд-ры ВУЗ'!EI69</f>
        <v>0</v>
      </c>
      <c r="I169" s="75">
        <f>'ФинРез и инд-ры ВУЗ'!EJ69</f>
        <v>0</v>
      </c>
      <c r="J169" s="75">
        <f>'ФинРез и инд-ры ВУЗ'!EK69</f>
        <v>0</v>
      </c>
      <c r="K169" s="75">
        <f>'ФинРез и инд-ры ВУЗ'!EL69</f>
        <v>0</v>
      </c>
      <c r="L169" s="75">
        <f>'ФинРез и инд-ры ВУЗ'!EM69</f>
        <v>0</v>
      </c>
      <c r="M169" s="75">
        <f>'ФинРез и инд-ры ВУЗ'!EN69</f>
        <v>0</v>
      </c>
      <c r="N169" s="75">
        <f>'ФинРез и инд-ры ВУЗ'!EO69</f>
        <v>0</v>
      </c>
      <c r="O169" s="75">
        <f>'ФинРез и инд-ры ВУЗ'!EP69</f>
        <v>0</v>
      </c>
      <c r="P169" s="75">
        <f>'ФинРез и инд-ры ВУЗ'!EQ69</f>
        <v>0</v>
      </c>
      <c r="Q169" s="75">
        <f>'ФинРез и инд-ры ВУЗ'!ER69</f>
        <v>0</v>
      </c>
      <c r="R169" s="75">
        <f>'ФинРез и инд-ры ВУЗ'!ES69</f>
        <v>0</v>
      </c>
      <c r="S169" s="75">
        <f>'ФинРез и инд-ры ВУЗ'!ET69</f>
        <v>0</v>
      </c>
      <c r="T169" s="75">
        <f>'ФинРез и инд-ры ВУЗ'!EU69</f>
        <v>0</v>
      </c>
      <c r="U169" s="75">
        <f>'ФинРез и инд-ры ВУЗ'!EV69</f>
        <v>0</v>
      </c>
      <c r="V169" s="75">
        <f>'ФинРез и инд-ры ВУЗ'!EW69</f>
        <v>0</v>
      </c>
      <c r="W169" s="75">
        <f>'ФинРез и инд-ры ВУЗ'!EX69</f>
        <v>0</v>
      </c>
      <c r="X169" s="75">
        <f t="shared" si="153"/>
        <v>0</v>
      </c>
    </row>
    <row r="170" spans="1:44" s="74" customFormat="1" x14ac:dyDescent="0.35">
      <c r="A170" s="73"/>
      <c r="D170" s="91" t="str">
        <f>'ФинРез и инд-ры ВУЗ'!D70</f>
        <v>местный бюджет</v>
      </c>
      <c r="F170" s="75">
        <f>'ФинРез и инд-ры ВУЗ'!EG70</f>
        <v>0</v>
      </c>
      <c r="G170" s="75">
        <f>'ФинРез и инд-ры ВУЗ'!EH70</f>
        <v>0</v>
      </c>
      <c r="H170" s="75">
        <f>'ФинРез и инд-ры ВУЗ'!EI70</f>
        <v>0</v>
      </c>
      <c r="I170" s="75">
        <f>'ФинРез и инд-ры ВУЗ'!EJ70</f>
        <v>0</v>
      </c>
      <c r="J170" s="75">
        <f>'ФинРез и инд-ры ВУЗ'!EK70</f>
        <v>0</v>
      </c>
      <c r="K170" s="75">
        <f>'ФинРез и инд-ры ВУЗ'!EL70</f>
        <v>0</v>
      </c>
      <c r="L170" s="75">
        <f>'ФинРез и инд-ры ВУЗ'!EM70</f>
        <v>0</v>
      </c>
      <c r="M170" s="75">
        <f>'ФинРез и инд-ры ВУЗ'!EN70</f>
        <v>0</v>
      </c>
      <c r="N170" s="75">
        <f>'ФинРез и инд-ры ВУЗ'!EO70</f>
        <v>0</v>
      </c>
      <c r="O170" s="75">
        <f>'ФинРез и инд-ры ВУЗ'!EP70</f>
        <v>0</v>
      </c>
      <c r="P170" s="75">
        <f>'ФинРез и инд-ры ВУЗ'!EQ70</f>
        <v>0</v>
      </c>
      <c r="Q170" s="75">
        <f>'ФинРез и инд-ры ВУЗ'!ER70</f>
        <v>0</v>
      </c>
      <c r="R170" s="75">
        <f>'ФинРез и инд-ры ВУЗ'!ES70</f>
        <v>0</v>
      </c>
      <c r="S170" s="75">
        <f>'ФинРез и инд-ры ВУЗ'!ET70</f>
        <v>0</v>
      </c>
      <c r="T170" s="75">
        <f>'ФинРез и инд-ры ВУЗ'!EU70</f>
        <v>0</v>
      </c>
      <c r="U170" s="75">
        <f>'ФинРез и инд-ры ВУЗ'!EV70</f>
        <v>0</v>
      </c>
      <c r="V170" s="75">
        <f>'ФинРез и инд-ры ВУЗ'!EW70</f>
        <v>0</v>
      </c>
      <c r="W170" s="75">
        <f>'ФинРез и инд-ры ВУЗ'!EX70</f>
        <v>0</v>
      </c>
      <c r="X170" s="75">
        <f t="shared" si="153"/>
        <v>0</v>
      </c>
    </row>
    <row r="171" spans="1:44" s="74" customFormat="1" x14ac:dyDescent="0.35">
      <c r="A171" s="73"/>
      <c r="D171" s="74" t="str">
        <f>'ФинРез и инд-ры ВУЗ'!D71</f>
        <v>Налог на прибыль</v>
      </c>
      <c r="F171" s="75">
        <f>'ФинРез и инд-ры ВУЗ'!EG71</f>
        <v>0</v>
      </c>
      <c r="G171" s="75">
        <f>'ФинРез и инд-ры ВУЗ'!EH71</f>
        <v>0</v>
      </c>
      <c r="H171" s="75">
        <f>'ФинРез и инд-ры ВУЗ'!EI71</f>
        <v>0</v>
      </c>
      <c r="I171" s="75">
        <f>'ФинРез и инд-ры ВУЗ'!EJ71</f>
        <v>0</v>
      </c>
      <c r="J171" s="75">
        <f>'ФинРез и инд-ры ВУЗ'!EK71</f>
        <v>0</v>
      </c>
      <c r="K171" s="75">
        <f>'ФинРез и инд-ры ВУЗ'!EL71</f>
        <v>0</v>
      </c>
      <c r="L171" s="75">
        <f>'ФинРез и инд-ры ВУЗ'!EM71</f>
        <v>0</v>
      </c>
      <c r="M171" s="75">
        <f>'ФинРез и инд-ры ВУЗ'!EN71</f>
        <v>0</v>
      </c>
      <c r="N171" s="75">
        <f>'ФинРез и инд-ры ВУЗ'!EO71</f>
        <v>0</v>
      </c>
      <c r="O171" s="75">
        <f>'ФинРез и инд-ры ВУЗ'!EP71</f>
        <v>0</v>
      </c>
      <c r="P171" s="75">
        <f>'ФинРез и инд-ры ВУЗ'!EQ71</f>
        <v>1870.0979966664288</v>
      </c>
      <c r="Q171" s="75">
        <f>'ФинРез и инд-ры ВУЗ'!ER71</f>
        <v>1870.0979966664288</v>
      </c>
      <c r="R171" s="75">
        <f>'ФинРез и инд-ры ВУЗ'!ES71</f>
        <v>0</v>
      </c>
      <c r="S171" s="75">
        <f>'ФинРез и инд-ры ВУЗ'!ET71</f>
        <v>0</v>
      </c>
      <c r="T171" s="75">
        <f>'ФинРез и инд-ры ВУЗ'!EU71</f>
        <v>0</v>
      </c>
      <c r="U171" s="75">
        <f>'ФинРез и инд-ры ВУЗ'!EV71</f>
        <v>0</v>
      </c>
      <c r="V171" s="75">
        <f>'ФинРез и инд-ры ВУЗ'!EW71</f>
        <v>0</v>
      </c>
      <c r="W171" s="75">
        <f>'ФинРез и инд-ры ВУЗ'!EX71</f>
        <v>0</v>
      </c>
      <c r="X171" s="75">
        <f t="shared" si="153"/>
        <v>3740.1959933328576</v>
      </c>
    </row>
    <row r="172" spans="1:44" s="74" customFormat="1" x14ac:dyDescent="0.35">
      <c r="A172" s="73"/>
      <c r="D172" s="91" t="str">
        <f>'ФинРез и инд-ры ВУЗ'!D72</f>
        <v>в том числе по уровням бюджета: 
федеральный бюджет</v>
      </c>
      <c r="F172" s="75">
        <f>'ФинРез и инд-ры ВУЗ'!EG72</f>
        <v>0</v>
      </c>
      <c r="G172" s="75">
        <f>'ФинРез и инд-ры ВУЗ'!EH72</f>
        <v>0</v>
      </c>
      <c r="H172" s="75">
        <f>'ФинРез и инд-ры ВУЗ'!EI72</f>
        <v>0</v>
      </c>
      <c r="I172" s="75">
        <f>'ФинРез и инд-ры ВУЗ'!EJ72</f>
        <v>0</v>
      </c>
      <c r="J172" s="75">
        <f>'ФинРез и инд-ры ВУЗ'!EK72</f>
        <v>0</v>
      </c>
      <c r="K172" s="75">
        <f>'ФинРез и инд-ры ВУЗ'!EL72</f>
        <v>0</v>
      </c>
      <c r="L172" s="75">
        <f>'ФинРез и инд-ры ВУЗ'!EM72</f>
        <v>0</v>
      </c>
      <c r="M172" s="75">
        <f>'ФинРез и инд-ры ВУЗ'!EN72</f>
        <v>0</v>
      </c>
      <c r="N172" s="75">
        <f>'ФинРез и инд-ры ВУЗ'!EO72</f>
        <v>0</v>
      </c>
      <c r="O172" s="75">
        <f>'ФинРез и инд-ры ВУЗ'!EP72</f>
        <v>0</v>
      </c>
      <c r="P172" s="75">
        <f>'ФинРез и инд-ры ВУЗ'!EQ72</f>
        <v>598.43135893325723</v>
      </c>
      <c r="Q172" s="75">
        <f>'ФинРез и инд-ры ВУЗ'!ER72</f>
        <v>598.43135893325723</v>
      </c>
      <c r="R172" s="75">
        <f>'ФинРез и инд-ры ВУЗ'!ES72</f>
        <v>0</v>
      </c>
      <c r="S172" s="75">
        <f>'ФинРез и инд-ры ВУЗ'!ET72</f>
        <v>0</v>
      </c>
      <c r="T172" s="75">
        <f>'ФинРез и инд-ры ВУЗ'!EU72</f>
        <v>0</v>
      </c>
      <c r="U172" s="75">
        <f>'ФинРез и инд-ры ВУЗ'!EV72</f>
        <v>0</v>
      </c>
      <c r="V172" s="75">
        <f>'ФинРез и инд-ры ВУЗ'!EW72</f>
        <v>0</v>
      </c>
      <c r="W172" s="75">
        <f>'ФинРез и инд-ры ВУЗ'!EX72</f>
        <v>0</v>
      </c>
      <c r="X172" s="75">
        <f t="shared" si="153"/>
        <v>1196.8627178665145</v>
      </c>
    </row>
    <row r="173" spans="1:44" s="74" customFormat="1" x14ac:dyDescent="0.35">
      <c r="A173" s="73"/>
      <c r="D173" s="91" t="str">
        <f>'ФинРез и инд-ры ВУЗ'!D73</f>
        <v>региональный бюджет</v>
      </c>
      <c r="F173" s="75">
        <f>'ФинРез и инд-ры ВУЗ'!EG73</f>
        <v>0</v>
      </c>
      <c r="G173" s="75">
        <f>'ФинРез и инд-ры ВУЗ'!EH73</f>
        <v>0</v>
      </c>
      <c r="H173" s="75">
        <f>'ФинРез и инд-ры ВУЗ'!EI73</f>
        <v>0</v>
      </c>
      <c r="I173" s="75">
        <f>'ФинРез и инд-ры ВУЗ'!EJ73</f>
        <v>0</v>
      </c>
      <c r="J173" s="75">
        <f>'ФинРез и инд-ры ВУЗ'!EK73</f>
        <v>0</v>
      </c>
      <c r="K173" s="75">
        <f>'ФинРез и инд-ры ВУЗ'!EL73</f>
        <v>0</v>
      </c>
      <c r="L173" s="75">
        <f>'ФинРез и инд-ры ВУЗ'!EM73</f>
        <v>0</v>
      </c>
      <c r="M173" s="75">
        <f>'ФинРез и инд-ры ВУЗ'!EN73</f>
        <v>0</v>
      </c>
      <c r="N173" s="75">
        <f>'ФинРез и инд-ры ВУЗ'!EO73</f>
        <v>0</v>
      </c>
      <c r="O173" s="75">
        <f>'ФинРез и инд-ры ВУЗ'!EP73</f>
        <v>0</v>
      </c>
      <c r="P173" s="75">
        <f>'ФинРез и инд-ры ВУЗ'!EQ73</f>
        <v>1271.6666377331717</v>
      </c>
      <c r="Q173" s="75">
        <f>'ФинРез и инд-ры ВУЗ'!ER73</f>
        <v>1271.6666377331717</v>
      </c>
      <c r="R173" s="75">
        <f>'ФинРез и инд-ры ВУЗ'!ES73</f>
        <v>0</v>
      </c>
      <c r="S173" s="75">
        <f>'ФинРез и инд-ры ВУЗ'!ET73</f>
        <v>0</v>
      </c>
      <c r="T173" s="75">
        <f>'ФинРез и инд-ры ВУЗ'!EU73</f>
        <v>0</v>
      </c>
      <c r="U173" s="75">
        <f>'ФинРез и инд-ры ВУЗ'!EV73</f>
        <v>0</v>
      </c>
      <c r="V173" s="75">
        <f>'ФинРез и инд-ры ВУЗ'!EW73</f>
        <v>0</v>
      </c>
      <c r="W173" s="75">
        <f>'ФинРез и инд-ры ВУЗ'!EX73</f>
        <v>0</v>
      </c>
      <c r="X173" s="75">
        <f t="shared" si="153"/>
        <v>2543.3332754663434</v>
      </c>
    </row>
    <row r="174" spans="1:44" s="74" customFormat="1" x14ac:dyDescent="0.35">
      <c r="A174" s="73"/>
      <c r="D174" s="91" t="str">
        <f>'ФинРез и инд-ры ВУЗ'!D74</f>
        <v>местный бюджет</v>
      </c>
      <c r="F174" s="75">
        <f>'ФинРез и инд-ры ВУЗ'!EG74</f>
        <v>0</v>
      </c>
      <c r="G174" s="75">
        <f>'ФинРез и инд-ры ВУЗ'!EH74</f>
        <v>0</v>
      </c>
      <c r="H174" s="75">
        <f>'ФинРез и инд-ры ВУЗ'!EI74</f>
        <v>0</v>
      </c>
      <c r="I174" s="75">
        <f>'ФинРез и инд-ры ВУЗ'!EJ74</f>
        <v>0</v>
      </c>
      <c r="J174" s="75">
        <f>'ФинРез и инд-ры ВУЗ'!EK74</f>
        <v>0</v>
      </c>
      <c r="K174" s="75">
        <f>'ФинРез и инд-ры ВУЗ'!EL74</f>
        <v>0</v>
      </c>
      <c r="L174" s="75">
        <f>'ФинРез и инд-ры ВУЗ'!EM74</f>
        <v>0</v>
      </c>
      <c r="M174" s="75">
        <f>'ФинРез и инд-ры ВУЗ'!EN74</f>
        <v>0</v>
      </c>
      <c r="N174" s="75">
        <f>'ФинРез и инд-ры ВУЗ'!EO74</f>
        <v>0</v>
      </c>
      <c r="O174" s="75">
        <f>'ФинРез и инд-ры ВУЗ'!EP74</f>
        <v>0</v>
      </c>
      <c r="P174" s="75">
        <f>'ФинРез и инд-ры ВУЗ'!EQ74</f>
        <v>0</v>
      </c>
      <c r="Q174" s="75">
        <f>'ФинРез и инд-ры ВУЗ'!ER74</f>
        <v>0</v>
      </c>
      <c r="R174" s="75">
        <f>'ФинРез и инд-ры ВУЗ'!ES74</f>
        <v>0</v>
      </c>
      <c r="S174" s="75">
        <f>'ФинРез и инд-ры ВУЗ'!ET74</f>
        <v>0</v>
      </c>
      <c r="T174" s="75">
        <f>'ФинРез и инд-ры ВУЗ'!EU74</f>
        <v>0</v>
      </c>
      <c r="U174" s="75">
        <f>'ФинРез и инд-ры ВУЗ'!EV74</f>
        <v>0</v>
      </c>
      <c r="V174" s="75">
        <f>'ФинРез и инд-ры ВУЗ'!EW74</f>
        <v>0</v>
      </c>
      <c r="W174" s="75">
        <f>'ФинРез и инд-ры ВУЗ'!EX74</f>
        <v>0</v>
      </c>
      <c r="X174" s="75">
        <f t="shared" si="153"/>
        <v>0</v>
      </c>
    </row>
    <row r="175" spans="1:44" x14ac:dyDescent="0.35">
      <c r="C175" s="74"/>
      <c r="D175" s="74" t="str">
        <f>'ФинРез и инд-ры ВУЗ'!D75</f>
        <v>Налог на доходы физических лиц</v>
      </c>
      <c r="E175" s="74"/>
      <c r="F175" s="75">
        <f>'ФинРез и инд-ры ВУЗ'!EG75</f>
        <v>41345.821712031495</v>
      </c>
      <c r="G175" s="75">
        <f>'ФинРез и инд-ры ВУЗ'!EH75</f>
        <v>67772.710989742307</v>
      </c>
      <c r="H175" s="75">
        <f>'ФинРез и инд-ры ВУЗ'!EI75</f>
        <v>81157.114780618576</v>
      </c>
      <c r="I175" s="75">
        <f>'ФинРез и инд-ры ВУЗ'!EJ75</f>
        <v>93644.988262328319</v>
      </c>
      <c r="J175" s="75">
        <f>'ФинРез и инд-ры ВУЗ'!EK75</f>
        <v>102251.61893381807</v>
      </c>
      <c r="K175" s="75">
        <f>'ФинРез и инд-ры ВУЗ'!EL75</f>
        <v>109179.72719459259</v>
      </c>
      <c r="L175" s="75">
        <f>'ФинРез и инд-ры ВУЗ'!EM75</f>
        <v>116401.58329278813</v>
      </c>
      <c r="M175" s="75">
        <f>'ФинРез и инд-ры ВУЗ'!EN75</f>
        <v>124075.27075497131</v>
      </c>
      <c r="N175" s="75">
        <f>'ФинРез и инд-ры ВУЗ'!EO75</f>
        <v>132227.35421068221</v>
      </c>
      <c r="O175" s="75">
        <f>'ФинРез и инд-ры ВУЗ'!EP75</f>
        <v>140885.87649860326</v>
      </c>
      <c r="P175" s="75">
        <f>'ФинРез и инд-ры ВУЗ'!EQ75</f>
        <v>158499.34760788362</v>
      </c>
      <c r="Q175" s="75">
        <f>'ФинРез и инд-ры ВУЗ'!ER75</f>
        <v>177616.50111609604</v>
      </c>
      <c r="R175" s="75">
        <f>'ФинРез и инд-ры ВУЗ'!ES75</f>
        <v>189748.32185118808</v>
      </c>
      <c r="S175" s="75">
        <f>'ФинРез и инд-ры ВУЗ'!ET75</f>
        <v>201742.32462491048</v>
      </c>
      <c r="T175" s="75">
        <f>'ФинРез и инд-ры ВУЗ'!EU75</f>
        <v>214013.04880197719</v>
      </c>
      <c r="U175" s="75">
        <f>'ФинРез и инд-ры ВУЗ'!EV75</f>
        <v>227396.12028864864</v>
      </c>
      <c r="V175" s="75">
        <f>'ФинРез и инд-ры ВУЗ'!EW75</f>
        <v>240915.0653554392</v>
      </c>
      <c r="W175" s="75">
        <f>'ФинРез и инд-ры ВУЗ'!EX75</f>
        <v>255673.99142796127</v>
      </c>
      <c r="X175" s="75">
        <f t="shared" si="153"/>
        <v>2633200.9659922495</v>
      </c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</row>
    <row r="176" spans="1:44" x14ac:dyDescent="0.35">
      <c r="C176" s="74"/>
      <c r="D176" s="91" t="str">
        <f>'ФинРез и инд-ры ВУЗ'!D76</f>
        <v>в том числе по уровням бюджета: 
федеральный бюджет</v>
      </c>
      <c r="E176" s="74"/>
      <c r="F176" s="75">
        <f>'ФинРез и инд-ры ВУЗ'!EG76</f>
        <v>0</v>
      </c>
      <c r="G176" s="75">
        <f>'ФинРез и инд-ры ВУЗ'!EH76</f>
        <v>0</v>
      </c>
      <c r="H176" s="75">
        <f>'ФинРез и инд-ры ВУЗ'!EI76</f>
        <v>0</v>
      </c>
      <c r="I176" s="75">
        <f>'ФинРез и инд-ры ВУЗ'!EJ76</f>
        <v>0</v>
      </c>
      <c r="J176" s="75">
        <f>'ФинРез и инд-ры ВУЗ'!EK76</f>
        <v>0</v>
      </c>
      <c r="K176" s="75">
        <f>'ФинРез и инд-ры ВУЗ'!EL76</f>
        <v>0</v>
      </c>
      <c r="L176" s="75">
        <f>'ФинРез и инд-ры ВУЗ'!EM76</f>
        <v>0</v>
      </c>
      <c r="M176" s="75">
        <f>'ФинРез и инд-ры ВУЗ'!EN76</f>
        <v>0</v>
      </c>
      <c r="N176" s="75">
        <f>'ФинРез и инд-ры ВУЗ'!EO76</f>
        <v>0</v>
      </c>
      <c r="O176" s="75">
        <f>'ФинРез и инд-ры ВУЗ'!EP76</f>
        <v>0</v>
      </c>
      <c r="P176" s="75">
        <f>'ФинРез и инд-ры ВУЗ'!EQ76</f>
        <v>0</v>
      </c>
      <c r="Q176" s="75">
        <f>'ФинРез и инд-ры ВУЗ'!ER76</f>
        <v>0</v>
      </c>
      <c r="R176" s="75">
        <f>'ФинРез и инд-ры ВУЗ'!ES76</f>
        <v>0</v>
      </c>
      <c r="S176" s="75">
        <f>'ФинРез и инд-ры ВУЗ'!ET76</f>
        <v>0</v>
      </c>
      <c r="T176" s="75">
        <f>'ФинРез и инд-ры ВУЗ'!EU76</f>
        <v>0</v>
      </c>
      <c r="U176" s="75">
        <f>'ФинРез и инд-ры ВУЗ'!EV76</f>
        <v>0</v>
      </c>
      <c r="V176" s="75">
        <f>'ФинРез и инд-ры ВУЗ'!EW76</f>
        <v>0</v>
      </c>
      <c r="W176" s="75">
        <f>'ФинРез и инд-ры ВУЗ'!EX76</f>
        <v>0</v>
      </c>
      <c r="X176" s="75">
        <f t="shared" si="153"/>
        <v>0</v>
      </c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</row>
    <row r="177" spans="1:44" x14ac:dyDescent="0.35">
      <c r="C177" s="74"/>
      <c r="D177" s="91" t="str">
        <f>'ФинРез и инд-ры ВУЗ'!D77</f>
        <v>региональный бюджет</v>
      </c>
      <c r="E177" s="74"/>
      <c r="F177" s="75">
        <f>'ФинРез и инд-ры ВУЗ'!EG77</f>
        <v>35143.948455226724</v>
      </c>
      <c r="G177" s="75">
        <f>'ФинРез и инд-ры ВУЗ'!EH77</f>
        <v>57606.804341280949</v>
      </c>
      <c r="H177" s="75">
        <f>'ФинРез и инд-ры ВУЗ'!EI77</f>
        <v>68983.547563525848</v>
      </c>
      <c r="I177" s="75">
        <f>'ФинРез и инд-ры ВУЗ'!EJ77</f>
        <v>79598.240022979211</v>
      </c>
      <c r="J177" s="75">
        <f>'ФинРез и инд-ры ВУЗ'!EK77</f>
        <v>86913.876093745464</v>
      </c>
      <c r="K177" s="75">
        <f>'ФинРез и инд-ры ВУЗ'!EL77</f>
        <v>92802.768115403829</v>
      </c>
      <c r="L177" s="75">
        <f>'ФинРез и инд-ры ВУЗ'!EM77</f>
        <v>98941.345798870083</v>
      </c>
      <c r="M177" s="75">
        <f>'ФинРез и инд-ры ВУЗ'!EN77</f>
        <v>105463.98014172562</v>
      </c>
      <c r="N177" s="75">
        <f>'ФинРез и инд-ры ВУЗ'!EO77</f>
        <v>112393.25107907993</v>
      </c>
      <c r="O177" s="75">
        <f>'ФинРез и инд-ры ВУЗ'!EP77</f>
        <v>119752.99502381287</v>
      </c>
      <c r="P177" s="75">
        <f>'ФинРез и инд-ры ВУЗ'!EQ77</f>
        <v>134724.44546670117</v>
      </c>
      <c r="Q177" s="75">
        <f>'ФинРез и инд-ры ВУЗ'!ER77</f>
        <v>150974.02594868164</v>
      </c>
      <c r="R177" s="75">
        <f>'ФинРез и инд-ры ВУЗ'!ES77</f>
        <v>161286.07357350993</v>
      </c>
      <c r="S177" s="75">
        <f>'ФинРез и инд-ры ВУЗ'!ET77</f>
        <v>171480.97593117389</v>
      </c>
      <c r="T177" s="75">
        <f>'ФинРез и инд-ры ВУЗ'!EU77</f>
        <v>181911.09148168075</v>
      </c>
      <c r="U177" s="75">
        <f>'ФинРез и инд-ры ВУЗ'!EV77</f>
        <v>193286.70224535116</v>
      </c>
      <c r="V177" s="75">
        <f>'ФинРез и инд-ры ВУЗ'!EW77</f>
        <v>204777.80555212335</v>
      </c>
      <c r="W177" s="75">
        <f>'ФинРез и инд-ры ВУЗ'!EX77</f>
        <v>217322.89271376724</v>
      </c>
      <c r="X177" s="75">
        <f t="shared" si="153"/>
        <v>2238220.821093413</v>
      </c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</row>
    <row r="178" spans="1:44" s="74" customFormat="1" x14ac:dyDescent="0.35">
      <c r="A178" s="73"/>
      <c r="D178" s="91" t="str">
        <f>'ФинРез и инд-ры ВУЗ'!D78</f>
        <v>местный бюджет</v>
      </c>
      <c r="F178" s="75">
        <f>'ФинРез и инд-ры ВУЗ'!EG78</f>
        <v>6201.8732568047708</v>
      </c>
      <c r="G178" s="75">
        <f>'ФинРез и инд-ры ВУЗ'!EH78</f>
        <v>10165.906648461358</v>
      </c>
      <c r="H178" s="75">
        <f>'ФинРез и инд-ры ВУЗ'!EI78</f>
        <v>12173.567217092728</v>
      </c>
      <c r="I178" s="75">
        <f>'ФинРез и инд-ры ВУЗ'!EJ78</f>
        <v>14046.748239349108</v>
      </c>
      <c r="J178" s="75">
        <f>'ФинРез и инд-ры ВУЗ'!EK78</f>
        <v>15337.742840072606</v>
      </c>
      <c r="K178" s="75">
        <f>'ФинРез и инд-ры ВУЗ'!EL78</f>
        <v>16376.95907918876</v>
      </c>
      <c r="L178" s="75">
        <f>'ФинРез и инд-ры ВУЗ'!EM78</f>
        <v>17460.237493918044</v>
      </c>
      <c r="M178" s="75">
        <f>'ФинРез и инд-ры ВУЗ'!EN78</f>
        <v>18611.290613245685</v>
      </c>
      <c r="N178" s="75">
        <f>'ФинРез и инд-ры ВУЗ'!EO78</f>
        <v>19834.103131602285</v>
      </c>
      <c r="O178" s="75">
        <f>'ФинРез и инд-ры ВУЗ'!EP78</f>
        <v>21132.881474790396</v>
      </c>
      <c r="P178" s="75">
        <f>'ФинРез и инд-ры ВУЗ'!EQ78</f>
        <v>23774.902141182451</v>
      </c>
      <c r="Q178" s="75">
        <f>'ФинРез и инд-ры ВУЗ'!ER78</f>
        <v>26642.475167414406</v>
      </c>
      <c r="R178" s="75">
        <f>'ФинРез и инд-ры ВУЗ'!ES78</f>
        <v>28462.248277678154</v>
      </c>
      <c r="S178" s="75">
        <f>'ФинРез и инд-ры ВУЗ'!ET78</f>
        <v>30261.348693736596</v>
      </c>
      <c r="T178" s="75">
        <f>'ФинРез и инд-ры ВУЗ'!EU78</f>
        <v>32101.957320296438</v>
      </c>
      <c r="U178" s="75">
        <f>'ФинРез и инд-ры ВУЗ'!EV78</f>
        <v>34109.418043297483</v>
      </c>
      <c r="V178" s="75">
        <f>'ФинРез и инд-ры ВУЗ'!EW78</f>
        <v>36137.259803315857</v>
      </c>
      <c r="W178" s="75">
        <f>'ФинРез и инд-ры ВУЗ'!EX78</f>
        <v>38351.098714194028</v>
      </c>
      <c r="X178" s="75">
        <f t="shared" si="153"/>
        <v>394980.14489883638</v>
      </c>
    </row>
    <row r="179" spans="1:44" s="74" customFormat="1" x14ac:dyDescent="0.35">
      <c r="A179" s="73"/>
      <c r="C179" s="2"/>
      <c r="D179" s="74" t="str">
        <f>'ФинРез и инд-ры ВУЗ'!D79</f>
        <v>Страховые взносы</v>
      </c>
      <c r="E179" s="2"/>
      <c r="F179" s="75">
        <f>'ФинРез и инд-ры ВУЗ'!EG79</f>
        <v>85130.481091418304</v>
      </c>
      <c r="G179" s="75">
        <f>'ФинРез и инд-ры ВУЗ'!EH79</f>
        <v>184137.3209783975</v>
      </c>
      <c r="H179" s="75">
        <f>'ФинРез и инд-ры ВУЗ'!EI79</f>
        <v>210806.28628417943</v>
      </c>
      <c r="I179" s="75">
        <f>'ФинРез и инд-ры ВУЗ'!EJ79</f>
        <v>239642.6429233239</v>
      </c>
      <c r="J179" s="75">
        <f>'ФинРез и инд-ры ВУЗ'!EK79</f>
        <v>256386.37131359335</v>
      </c>
      <c r="K179" s="75">
        <f>'ФинРез и инд-ры ВУЗ'!EL79</f>
        <v>269588.55443422683</v>
      </c>
      <c r="L179" s="75">
        <f>'ФинРез и инд-ры ВУЗ'!EM79</f>
        <v>283268.09632289642</v>
      </c>
      <c r="M179" s="75">
        <f>'ФинРез и инд-ры ВУЗ'!EN79</f>
        <v>297739.74775846675</v>
      </c>
      <c r="N179" s="75">
        <f>'ФинРез и инд-ры ВУЗ'!EO79</f>
        <v>313049.31628404558</v>
      </c>
      <c r="O179" s="75">
        <f>'ФинРез и инд-ры ВУЗ'!EP79</f>
        <v>329245.16296339175</v>
      </c>
      <c r="P179" s="75">
        <f>'ФинРез и инд-ры ВУЗ'!EQ79</f>
        <v>363576.49938733317</v>
      </c>
      <c r="Q179" s="75">
        <f>'ФинРез и инд-ры ВУЗ'!ER79</f>
        <v>400811.99214411527</v>
      </c>
      <c r="R179" s="75">
        <f>'ФинРез и инд-ры ВУЗ'!ES79</f>
        <v>423598.7769323648</v>
      </c>
      <c r="S179" s="75">
        <f>'ФинРез и инд-ры ВУЗ'!ET79</f>
        <v>445915.96792116901</v>
      </c>
      <c r="T179" s="75">
        <f>'ФинРез и инд-ры ВУЗ'!EU79</f>
        <v>468598.2945475569</v>
      </c>
      <c r="U179" s="75">
        <f>'ФинРез и инд-ры ВУЗ'!EV79</f>
        <v>493339.5349493362</v>
      </c>
      <c r="V179" s="75">
        <f>'ФинРез и инд-ры ВУЗ'!EW79</f>
        <v>518133.35175894853</v>
      </c>
      <c r="W179" s="75">
        <f>'ФинРез и инд-ры ВУЗ'!EX79</f>
        <v>545220.31990022399</v>
      </c>
      <c r="X179" s="75">
        <f t="shared" si="153"/>
        <v>6043058.2368035698</v>
      </c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spans="1:44" s="74" customFormat="1" x14ac:dyDescent="0.35">
      <c r="A180" s="73"/>
      <c r="C180" s="2"/>
      <c r="D180" s="74" t="str">
        <f>'ФинРез и инд-ры ВУЗ'!D80</f>
        <v>Прочие налоги, отчисления</v>
      </c>
      <c r="E180" s="2"/>
      <c r="F180" s="75">
        <f>'ФинРез и инд-ры ВУЗ'!EG80</f>
        <v>0</v>
      </c>
      <c r="G180" s="75">
        <f>'ФинРез и инд-ры ВУЗ'!EH80</f>
        <v>0</v>
      </c>
      <c r="H180" s="75">
        <f>'ФинРез и инд-ры ВУЗ'!EI80</f>
        <v>0</v>
      </c>
      <c r="I180" s="75">
        <f>'ФинРез и инд-ры ВУЗ'!EJ80</f>
        <v>0</v>
      </c>
      <c r="J180" s="75">
        <f>'ФинРез и инд-ры ВУЗ'!EK80</f>
        <v>0</v>
      </c>
      <c r="K180" s="75">
        <f>'ФинРез и инд-ры ВУЗ'!EL80</f>
        <v>0</v>
      </c>
      <c r="L180" s="75">
        <f>'ФинРез и инд-ры ВУЗ'!EM80</f>
        <v>0</v>
      </c>
      <c r="M180" s="75">
        <f>'ФинРез и инд-ры ВУЗ'!EN80</f>
        <v>0</v>
      </c>
      <c r="N180" s="75">
        <f>'ФинРез и инд-ры ВУЗ'!EO80</f>
        <v>0</v>
      </c>
      <c r="O180" s="75">
        <f>'ФинРез и инд-ры ВУЗ'!EP80</f>
        <v>0</v>
      </c>
      <c r="P180" s="75">
        <f>'ФинРез и инд-ры ВУЗ'!EQ80</f>
        <v>0</v>
      </c>
      <c r="Q180" s="75">
        <f>'ФинРез и инд-ры ВУЗ'!ER80</f>
        <v>0</v>
      </c>
      <c r="R180" s="75">
        <f>'ФинРез и инд-ры ВУЗ'!ES80</f>
        <v>0</v>
      </c>
      <c r="S180" s="75">
        <f>'ФинРез и инд-ры ВУЗ'!ET80</f>
        <v>0</v>
      </c>
      <c r="T180" s="75">
        <f>'ФинРез и инд-ры ВУЗ'!EU80</f>
        <v>0</v>
      </c>
      <c r="U180" s="75">
        <f>'ФинРез и инд-ры ВУЗ'!EV80</f>
        <v>0</v>
      </c>
      <c r="V180" s="75">
        <f>'ФинРез и инд-ры ВУЗ'!EW80</f>
        <v>0</v>
      </c>
      <c r="W180" s="75">
        <f>'ФинРез и инд-ры ВУЗ'!EX80</f>
        <v>0</v>
      </c>
      <c r="X180" s="75">
        <f t="shared" si="153"/>
        <v>0</v>
      </c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spans="1:44" x14ac:dyDescent="0.35">
      <c r="D181" s="81" t="s">
        <v>215</v>
      </c>
      <c r="F181" s="82">
        <f>SUM(F182:F184)</f>
        <v>122502.26747485547</v>
      </c>
      <c r="G181" s="82">
        <f t="shared" ref="G181:O181" si="154">SUM(G182:G184)</f>
        <v>247262.42843144221</v>
      </c>
      <c r="H181" s="82">
        <f t="shared" si="154"/>
        <v>288210.62983834208</v>
      </c>
      <c r="I181" s="82">
        <f t="shared" si="154"/>
        <v>329706.55507205811</v>
      </c>
      <c r="J181" s="82">
        <f t="shared" si="154"/>
        <v>355328.14161806204</v>
      </c>
      <c r="K181" s="82">
        <f t="shared" si="154"/>
        <v>375845.22054364602</v>
      </c>
      <c r="L181" s="82">
        <f t="shared" si="154"/>
        <v>397267.20096188865</v>
      </c>
      <c r="M181" s="82">
        <f t="shared" si="154"/>
        <v>420087.65101381578</v>
      </c>
      <c r="N181" s="82">
        <f t="shared" si="154"/>
        <v>444402.50572630728</v>
      </c>
      <c r="O181" s="82">
        <f t="shared" si="154"/>
        <v>470314.93399189739</v>
      </c>
      <c r="P181" s="82">
        <f t="shared" ref="P181:W181" si="155">SUM(P182:P184)</f>
        <v>641518.23988369398</v>
      </c>
      <c r="Q181" s="82">
        <f t="shared" si="155"/>
        <v>874930.82406663115</v>
      </c>
      <c r="R181" s="82">
        <f t="shared" si="155"/>
        <v>914991.41909249627</v>
      </c>
      <c r="S181" s="82">
        <f t="shared" si="155"/>
        <v>954939.22781815496</v>
      </c>
      <c r="T181" s="82">
        <f t="shared" si="155"/>
        <v>945133.12172847893</v>
      </c>
      <c r="U181" s="82">
        <f t="shared" si="155"/>
        <v>1040054.7340227581</v>
      </c>
      <c r="V181" s="82">
        <f t="shared" si="155"/>
        <v>1084792.6650086949</v>
      </c>
      <c r="W181" s="82">
        <f t="shared" si="155"/>
        <v>1133351.1628808675</v>
      </c>
      <c r="X181" s="82">
        <f t="shared" si="153"/>
        <v>10918136.661699235</v>
      </c>
    </row>
    <row r="182" spans="1:44" s="74" customFormat="1" x14ac:dyDescent="0.35">
      <c r="A182" s="73"/>
      <c r="D182" s="92" t="s">
        <v>208</v>
      </c>
      <c r="F182" s="93">
        <f>F160+F164+F168+F172+F176+F179+F180</f>
        <v>82984.441762824019</v>
      </c>
      <c r="G182" s="93">
        <f t="shared" ref="G182:O182" si="156">G160+G164+G168+G172+G176+G179+G180</f>
        <v>183333.1114416999</v>
      </c>
      <c r="H182" s="93">
        <f t="shared" si="156"/>
        <v>210088.40905772353</v>
      </c>
      <c r="I182" s="93">
        <f t="shared" si="156"/>
        <v>239096.46080972976</v>
      </c>
      <c r="J182" s="93">
        <f t="shared" si="156"/>
        <v>256111.41668424394</v>
      </c>
      <c r="K182" s="93">
        <f t="shared" si="156"/>
        <v>269700.38734905346</v>
      </c>
      <c r="L182" s="93">
        <f t="shared" si="156"/>
        <v>283900.51166910055</v>
      </c>
      <c r="M182" s="93">
        <f t="shared" si="156"/>
        <v>299047.27425884444</v>
      </c>
      <c r="N182" s="93">
        <f t="shared" si="156"/>
        <v>315210.04551562504</v>
      </c>
      <c r="O182" s="93">
        <f t="shared" si="156"/>
        <v>332463.95149329409</v>
      </c>
      <c r="P182" s="93">
        <f t="shared" ref="P182:W182" si="157">P160+P164+P168+P172+P176+P179+P180</f>
        <v>484782.11963807716</v>
      </c>
      <c r="Q182" s="93">
        <f t="shared" si="157"/>
        <v>699077.55031280196</v>
      </c>
      <c r="R182" s="93">
        <f t="shared" si="157"/>
        <v>728277.99124130816</v>
      </c>
      <c r="S182" s="93">
        <f t="shared" si="157"/>
        <v>756231.79719324445</v>
      </c>
      <c r="T182" s="93">
        <f t="shared" si="157"/>
        <v>734154.96692650171</v>
      </c>
      <c r="U182" s="93">
        <f t="shared" si="157"/>
        <v>815693.50773410941</v>
      </c>
      <c r="V182" s="93">
        <f t="shared" si="157"/>
        <v>846912.49365325575</v>
      </c>
      <c r="W182" s="93">
        <f t="shared" si="157"/>
        <v>880712.0654529063</v>
      </c>
      <c r="X182" s="75">
        <f t="shared" si="153"/>
        <v>8334794.0604315195</v>
      </c>
    </row>
    <row r="183" spans="1:44" s="74" customFormat="1" x14ac:dyDescent="0.35">
      <c r="A183" s="73"/>
      <c r="D183" s="92" t="s">
        <v>209</v>
      </c>
      <c r="F183" s="93">
        <f>F161+F165+F169+F173+F177</f>
        <v>35143.948455226724</v>
      </c>
      <c r="G183" s="93">
        <f t="shared" ref="G183:O183" si="158">G161+G165+G169+G173+G177</f>
        <v>57606.804341280949</v>
      </c>
      <c r="H183" s="93">
        <f t="shared" si="158"/>
        <v>68983.547563525848</v>
      </c>
      <c r="I183" s="93">
        <f t="shared" si="158"/>
        <v>79598.240022979211</v>
      </c>
      <c r="J183" s="93">
        <f t="shared" si="158"/>
        <v>86913.876093745464</v>
      </c>
      <c r="K183" s="93">
        <f t="shared" si="158"/>
        <v>92802.768115403829</v>
      </c>
      <c r="L183" s="93">
        <f t="shared" si="158"/>
        <v>98941.345798870083</v>
      </c>
      <c r="M183" s="93">
        <f t="shared" si="158"/>
        <v>105463.98014172562</v>
      </c>
      <c r="N183" s="93">
        <f t="shared" si="158"/>
        <v>112393.25107907993</v>
      </c>
      <c r="O183" s="93">
        <f t="shared" si="158"/>
        <v>119752.99502381287</v>
      </c>
      <c r="P183" s="93">
        <f t="shared" ref="P183:W183" si="159">P161+P165+P169+P173+P177</f>
        <v>135996.11210443435</v>
      </c>
      <c r="Q183" s="93">
        <f t="shared" si="159"/>
        <v>152245.69258641481</v>
      </c>
      <c r="R183" s="93">
        <f t="shared" si="159"/>
        <v>161286.07357350993</v>
      </c>
      <c r="S183" s="93">
        <f t="shared" si="159"/>
        <v>171480.97593117389</v>
      </c>
      <c r="T183" s="93">
        <f t="shared" si="159"/>
        <v>181911.09148168075</v>
      </c>
      <c r="U183" s="93">
        <f t="shared" si="159"/>
        <v>193286.70224535116</v>
      </c>
      <c r="V183" s="93">
        <f t="shared" si="159"/>
        <v>204777.80555212335</v>
      </c>
      <c r="W183" s="93">
        <f t="shared" si="159"/>
        <v>217322.89271376724</v>
      </c>
      <c r="X183" s="75">
        <f t="shared" si="153"/>
        <v>2240764.1543688793</v>
      </c>
    </row>
    <row r="184" spans="1:44" s="74" customFormat="1" x14ac:dyDescent="0.35">
      <c r="A184" s="73"/>
      <c r="D184" s="92" t="s">
        <v>210</v>
      </c>
      <c r="F184" s="93">
        <f>F162+F166+F170+F174+F178</f>
        <v>4373.8772568047279</v>
      </c>
      <c r="G184" s="93">
        <f t="shared" ref="G184:O184" si="160">G162+G166+G170+G174+G178</f>
        <v>6322.5126484613575</v>
      </c>
      <c r="H184" s="93">
        <f t="shared" si="160"/>
        <v>9138.673217092728</v>
      </c>
      <c r="I184" s="93">
        <f t="shared" si="160"/>
        <v>11011.854239349108</v>
      </c>
      <c r="J184" s="93">
        <f t="shared" si="160"/>
        <v>12302.848840072606</v>
      </c>
      <c r="K184" s="93">
        <f t="shared" si="160"/>
        <v>13342.06507918876</v>
      </c>
      <c r="L184" s="93">
        <f t="shared" si="160"/>
        <v>14425.343493918044</v>
      </c>
      <c r="M184" s="93">
        <f t="shared" si="160"/>
        <v>15576.396613245684</v>
      </c>
      <c r="N184" s="93">
        <f t="shared" si="160"/>
        <v>16799.209131602285</v>
      </c>
      <c r="O184" s="93">
        <f t="shared" si="160"/>
        <v>18097.987474790396</v>
      </c>
      <c r="P184" s="93">
        <f t="shared" ref="P184:W184" si="161">P162+P166+P170+P174+P178</f>
        <v>20740.00814118245</v>
      </c>
      <c r="Q184" s="93">
        <f t="shared" si="161"/>
        <v>23607.581167414406</v>
      </c>
      <c r="R184" s="93">
        <f t="shared" si="161"/>
        <v>25427.354277678154</v>
      </c>
      <c r="S184" s="93">
        <f t="shared" si="161"/>
        <v>27226.454693736596</v>
      </c>
      <c r="T184" s="93">
        <f t="shared" si="161"/>
        <v>29067.063320296438</v>
      </c>
      <c r="U184" s="93">
        <f t="shared" si="161"/>
        <v>31074.524043297482</v>
      </c>
      <c r="V184" s="93">
        <f t="shared" si="161"/>
        <v>33102.365803315857</v>
      </c>
      <c r="W184" s="93">
        <f t="shared" si="161"/>
        <v>35316.204714194027</v>
      </c>
      <c r="X184" s="75">
        <f t="shared" si="153"/>
        <v>342578.44689883641</v>
      </c>
    </row>
    <row r="185" spans="1:44" x14ac:dyDescent="0.35">
      <c r="D185" s="81" t="s">
        <v>216</v>
      </c>
      <c r="F185" s="82" t="e">
        <f t="shared" ref="F185:O185" si="162">F146+F132+F118+F104+F90+F58+F41</f>
        <v>#DIV/0!</v>
      </c>
      <c r="G185" s="82" t="e">
        <f t="shared" si="162"/>
        <v>#DIV/0!</v>
      </c>
      <c r="H185" s="82" t="e">
        <f t="shared" si="162"/>
        <v>#DIV/0!</v>
      </c>
      <c r="I185" s="82" t="e">
        <f t="shared" si="162"/>
        <v>#DIV/0!</v>
      </c>
      <c r="J185" s="82" t="e">
        <f t="shared" si="162"/>
        <v>#DIV/0!</v>
      </c>
      <c r="K185" s="82" t="e">
        <f t="shared" si="162"/>
        <v>#DIV/0!</v>
      </c>
      <c r="L185" s="82" t="e">
        <f t="shared" si="162"/>
        <v>#DIV/0!</v>
      </c>
      <c r="M185" s="82" t="e">
        <f t="shared" si="162"/>
        <v>#DIV/0!</v>
      </c>
      <c r="N185" s="82" t="e">
        <f t="shared" si="162"/>
        <v>#DIV/0!</v>
      </c>
      <c r="O185" s="82" t="e">
        <f t="shared" si="162"/>
        <v>#DIV/0!</v>
      </c>
      <c r="P185" s="82">
        <f t="shared" ref="P185:W185" si="163">P146+P132+P118+P104+P90+P58+P41</f>
        <v>-3034.89</v>
      </c>
      <c r="Q185" s="82">
        <f t="shared" si="163"/>
        <v>-3034.89</v>
      </c>
      <c r="R185" s="82">
        <f t="shared" si="163"/>
        <v>-3034.89</v>
      </c>
      <c r="S185" s="82">
        <f t="shared" si="163"/>
        <v>-3034.89</v>
      </c>
      <c r="T185" s="82">
        <f t="shared" si="163"/>
        <v>-3034.89</v>
      </c>
      <c r="U185" s="82">
        <f t="shared" si="163"/>
        <v>-3034.89</v>
      </c>
      <c r="V185" s="82">
        <f t="shared" si="163"/>
        <v>-3034.89</v>
      </c>
      <c r="W185" s="82">
        <f t="shared" si="163"/>
        <v>-3034.89</v>
      </c>
      <c r="X185" s="82" t="e">
        <f t="shared" si="153"/>
        <v>#DIV/0!</v>
      </c>
    </row>
    <row r="186" spans="1:44" x14ac:dyDescent="0.35">
      <c r="C186" s="74"/>
      <c r="D186" s="92" t="s">
        <v>208</v>
      </c>
      <c r="E186" s="74"/>
      <c r="F186" s="75">
        <v>0</v>
      </c>
      <c r="G186" s="75">
        <v>0</v>
      </c>
      <c r="H186" s="75">
        <v>0</v>
      </c>
      <c r="I186" s="75">
        <v>0</v>
      </c>
      <c r="J186" s="75">
        <v>0</v>
      </c>
      <c r="K186" s="75">
        <v>0</v>
      </c>
      <c r="L186" s="75">
        <v>0</v>
      </c>
      <c r="M186" s="75">
        <v>0</v>
      </c>
      <c r="N186" s="75">
        <v>0</v>
      </c>
      <c r="O186" s="75">
        <v>0</v>
      </c>
      <c r="P186" s="75">
        <v>1</v>
      </c>
      <c r="Q186" s="75">
        <v>2</v>
      </c>
      <c r="R186" s="75">
        <v>3</v>
      </c>
      <c r="S186" s="75">
        <v>4</v>
      </c>
      <c r="T186" s="75">
        <v>5</v>
      </c>
      <c r="U186" s="75">
        <v>6</v>
      </c>
      <c r="V186" s="75">
        <v>7</v>
      </c>
      <c r="W186" s="75">
        <v>8</v>
      </c>
      <c r="X186" s="75">
        <f t="shared" si="153"/>
        <v>36</v>
      </c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</row>
    <row r="187" spans="1:44" x14ac:dyDescent="0.35">
      <c r="C187" s="74"/>
      <c r="D187" s="92" t="s">
        <v>209</v>
      </c>
      <c r="E187" s="74"/>
      <c r="F187" s="93" t="e">
        <f>F185-F188</f>
        <v>#DIV/0!</v>
      </c>
      <c r="G187" s="93" t="e">
        <f t="shared" ref="G187:O187" si="164">G185-G188</f>
        <v>#DIV/0!</v>
      </c>
      <c r="H187" s="93" t="e">
        <f t="shared" si="164"/>
        <v>#DIV/0!</v>
      </c>
      <c r="I187" s="93" t="e">
        <f t="shared" si="164"/>
        <v>#DIV/0!</v>
      </c>
      <c r="J187" s="93" t="e">
        <f t="shared" si="164"/>
        <v>#DIV/0!</v>
      </c>
      <c r="K187" s="93" t="e">
        <f t="shared" si="164"/>
        <v>#DIV/0!</v>
      </c>
      <c r="L187" s="93" t="e">
        <f t="shared" si="164"/>
        <v>#DIV/0!</v>
      </c>
      <c r="M187" s="93" t="e">
        <f t="shared" si="164"/>
        <v>#DIV/0!</v>
      </c>
      <c r="N187" s="93" t="e">
        <f t="shared" si="164"/>
        <v>#DIV/0!</v>
      </c>
      <c r="O187" s="93" t="e">
        <f t="shared" si="164"/>
        <v>#DIV/0!</v>
      </c>
      <c r="P187" s="93">
        <f t="shared" ref="P187:W187" si="165">P185-P188</f>
        <v>4.0000000003601599E-3</v>
      </c>
      <c r="Q187" s="93">
        <f t="shared" si="165"/>
        <v>4.0000000003601599E-3</v>
      </c>
      <c r="R187" s="93">
        <f t="shared" si="165"/>
        <v>4.0000000003601599E-3</v>
      </c>
      <c r="S187" s="93">
        <f t="shared" si="165"/>
        <v>4.0000000003601599E-3</v>
      </c>
      <c r="T187" s="93">
        <f t="shared" si="165"/>
        <v>4.0000000003601599E-3</v>
      </c>
      <c r="U187" s="93">
        <f t="shared" si="165"/>
        <v>4.0000000003601599E-3</v>
      </c>
      <c r="V187" s="93">
        <f t="shared" si="165"/>
        <v>4.0000000003601599E-3</v>
      </c>
      <c r="W187" s="93">
        <f t="shared" si="165"/>
        <v>4.0000000003601599E-3</v>
      </c>
      <c r="X187" s="75" t="e">
        <f t="shared" si="153"/>
        <v>#DIV/0!</v>
      </c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</row>
    <row r="188" spans="1:44" x14ac:dyDescent="0.35">
      <c r="C188" s="74"/>
      <c r="D188" s="92" t="s">
        <v>210</v>
      </c>
      <c r="E188" s="74"/>
      <c r="F188" s="93">
        <f>F162</f>
        <v>-1827.9960000000428</v>
      </c>
      <c r="G188" s="93">
        <f t="shared" ref="G188:O188" si="166">G162</f>
        <v>-3843.3940000000002</v>
      </c>
      <c r="H188" s="93">
        <f t="shared" si="166"/>
        <v>-3034.8940000000002</v>
      </c>
      <c r="I188" s="93">
        <f t="shared" si="166"/>
        <v>-3034.8940000000002</v>
      </c>
      <c r="J188" s="93">
        <f t="shared" si="166"/>
        <v>-3034.8940000000002</v>
      </c>
      <c r="K188" s="93">
        <f t="shared" si="166"/>
        <v>-3034.8940000000002</v>
      </c>
      <c r="L188" s="93">
        <f t="shared" si="166"/>
        <v>-3034.8940000000002</v>
      </c>
      <c r="M188" s="93">
        <f t="shared" si="166"/>
        <v>-3034.8940000000002</v>
      </c>
      <c r="N188" s="93">
        <f t="shared" si="166"/>
        <v>-3034.8940000000002</v>
      </c>
      <c r="O188" s="93">
        <f t="shared" si="166"/>
        <v>-3034.8940000000002</v>
      </c>
      <c r="P188" s="93">
        <f t="shared" ref="P188:W188" si="167">P162</f>
        <v>-3034.8940000000002</v>
      </c>
      <c r="Q188" s="93">
        <f t="shared" si="167"/>
        <v>-3034.8940000000002</v>
      </c>
      <c r="R188" s="93">
        <f t="shared" si="167"/>
        <v>-3034.8940000000002</v>
      </c>
      <c r="S188" s="93">
        <f t="shared" si="167"/>
        <v>-3034.8940000000002</v>
      </c>
      <c r="T188" s="93">
        <f t="shared" si="167"/>
        <v>-3034.8940000000002</v>
      </c>
      <c r="U188" s="93">
        <f t="shared" si="167"/>
        <v>-3034.8940000000002</v>
      </c>
      <c r="V188" s="93">
        <f t="shared" si="167"/>
        <v>-3034.8940000000002</v>
      </c>
      <c r="W188" s="93">
        <f t="shared" si="167"/>
        <v>-3034.8940000000002</v>
      </c>
      <c r="X188" s="75">
        <f t="shared" si="153"/>
        <v>-52401.698000000004</v>
      </c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</row>
    <row r="189" spans="1:44" x14ac:dyDescent="0.35">
      <c r="C189" s="77">
        <v>12</v>
      </c>
      <c r="D189" s="78" t="s">
        <v>218</v>
      </c>
      <c r="E189" s="78"/>
      <c r="F189" s="87"/>
      <c r="G189" s="87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</row>
    <row r="190" spans="1:44" s="74" customFormat="1" x14ac:dyDescent="0.35">
      <c r="A190" s="73"/>
      <c r="C190" s="2"/>
      <c r="D190" s="2" t="s">
        <v>219</v>
      </c>
      <c r="E190" s="2"/>
      <c r="F190" s="89">
        <f>'ФинРез и инд-ры ВУЗ'!BU36/('ФинРез и инд-ры ВУЗ'!BU36+'ФинРез и инд-ры ВУЗ'!BU34)</f>
        <v>0.51982549685242663</v>
      </c>
      <c r="G190" s="89">
        <f>'ФинРез и инд-ры ВУЗ'!BV36/('ФинРез и инд-ры ВУЗ'!BV36+'ФинРез и инд-ры ВУЗ'!BV34)</f>
        <v>0.48872057084107962</v>
      </c>
      <c r="H190" s="89">
        <f>'ФинРез и инд-ры ВУЗ'!BW36/('ФинРез и инд-ры ВУЗ'!BW36+'ФинРез и инд-ры ВУЗ'!BW34)</f>
        <v>0.44685017485213563</v>
      </c>
      <c r="I190" s="89">
        <f>'ФинРез и инд-ры ВУЗ'!BX36/('ФинРез и инд-ры ВУЗ'!BX36+'ФинРез и инд-ры ВУЗ'!BX34)</f>
        <v>0.45328289980119252</v>
      </c>
      <c r="J190" s="89">
        <f>'ФинРез и инд-ры ВУЗ'!BY36/('ФинРез и инд-ры ВУЗ'!BY36+'ФинРез и инд-ры ВУЗ'!BY34)</f>
        <v>0.46069392714566193</v>
      </c>
      <c r="K190" s="89">
        <f>'ФинРез и инд-ры ВУЗ'!BZ36/('ФинРез и инд-ры ВУЗ'!BZ36+'ФинРез и инд-ры ВУЗ'!BZ34)</f>
        <v>0.59385341378977585</v>
      </c>
      <c r="L190" s="89">
        <f>'ФинРез и инд-ры ВУЗ'!CA36/('ФинРез и инд-ры ВУЗ'!CA36+'ФинРез и инд-ры ВУЗ'!CA34)</f>
        <v>0.59586605851041474</v>
      </c>
      <c r="M190" s="89">
        <f>'ФинРез и инд-ры ВУЗ'!CB36/('ФинРез и инд-ры ВУЗ'!CB36+'ФинРез и инд-ры ВУЗ'!CB34)</f>
        <v>0.54526672786604746</v>
      </c>
      <c r="N190" s="89">
        <f>'ФинРез и инд-ры ВУЗ'!CC36/('ФинРез и инд-ры ВУЗ'!CC36+'ФинРез и инд-ры ВУЗ'!CC34)</f>
        <v>0.54252874970492637</v>
      </c>
      <c r="O190" s="89">
        <f>'ФинРез и инд-ры ВУЗ'!CD36/('ФинРез и инд-ры ВУЗ'!CD36+'ФинРез и инд-ры ВУЗ'!CD34)</f>
        <v>0.45674353371008236</v>
      </c>
      <c r="P190" s="89">
        <f>'ФинРез и инд-ры ВУЗ'!CE36/('ФинРез и инд-ры ВУЗ'!CE36+'ФинРез и инд-ры ВУЗ'!CE34)</f>
        <v>0.43189211581549203</v>
      </c>
      <c r="Q190" s="89">
        <f>'ФинРез и инд-ры ВУЗ'!CF36/('ФинРез и инд-ры ВУЗ'!CF36+'ФинРез и инд-ры ВУЗ'!CF34)</f>
        <v>0.42685808270474868</v>
      </c>
      <c r="R190" s="89">
        <f>'ФинРез и инд-ры ВУЗ'!CG36/('ФинРез и инд-ры ВУЗ'!CG36+'ФинРез и инд-ры ВУЗ'!CG34)</f>
        <v>0.43113706477582125</v>
      </c>
      <c r="S190" s="89">
        <f>'ФинРез и инд-ры ВУЗ'!CH36/('ФинРез и инд-ры ВУЗ'!CH36+'ФинРез и инд-ры ВУЗ'!CH34)</f>
        <v>0.43592112217200274</v>
      </c>
      <c r="T190" s="89">
        <f>'ФинРез и инд-ры ВУЗ'!CI36/('ФинРез и инд-ры ВУЗ'!CI36+'ФинРез и инд-ры ВУЗ'!CI34)</f>
        <v>0.44969741980693612</v>
      </c>
      <c r="U190" s="89">
        <f>'ФинРез и инд-ры ВУЗ'!CJ36/('ФинРез и инд-ры ВУЗ'!CJ36+'ФинРез и инд-ры ВУЗ'!CJ34)</f>
        <v>0.44566189974001963</v>
      </c>
      <c r="V190" s="89">
        <f>'ФинРез и инд-ры ВУЗ'!CK36/('ФинРез и инд-ры ВУЗ'!CK36+'ФинРез и инд-ры ВУЗ'!CK34)</f>
        <v>0.45063592724277107</v>
      </c>
      <c r="W190" s="89">
        <f>'ФинРез и инд-ры ВУЗ'!CL36/('ФинРез и инд-ры ВУЗ'!CL36+'ФинРез и инд-ры ВУЗ'!CL34)</f>
        <v>0.45551494321142988</v>
      </c>
      <c r="X190" s="2">
        <f>SUM(G190:W190)</f>
        <v>8.1111246316905383</v>
      </c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spans="1:44" s="74" customFormat="1" x14ac:dyDescent="0.35">
      <c r="A191" s="73"/>
      <c r="C191" s="2"/>
      <c r="D191" s="2" t="s">
        <v>220</v>
      </c>
      <c r="E191" s="2"/>
      <c r="F191" s="75">
        <f>'ФинРез и инд-ры ВУЗ'!BU59+'ФинРез и инд-ры ВУЗ'!BU63</f>
        <v>189463.50599999996</v>
      </c>
      <c r="G191" s="75">
        <f>'ФинРез и инд-ры ВУЗ'!BV59+'ФинРез и инд-ры ВУЗ'!BV63</f>
        <v>186595.80600000001</v>
      </c>
      <c r="H191" s="75">
        <f>'ФинРез и инд-ры ВУЗ'!BW59+'ФинРез и инд-ры ВУЗ'!BW63</f>
        <v>186554.77600000001</v>
      </c>
      <c r="I191" s="75">
        <f>'ФинРез и инд-ры ВУЗ'!BX59+'ФинРез и инд-ры ВУЗ'!BX63</f>
        <v>185705.24600000001</v>
      </c>
      <c r="J191" s="75">
        <f>'ФинРез и инд-ры ВУЗ'!BY59+'ФинРез и инд-ры ВУЗ'!BY63</f>
        <v>184855.71600000001</v>
      </c>
      <c r="K191" s="75">
        <f>'ФинРез и инд-ры ВУЗ'!BZ59+'ФинРез и инд-ры ВУЗ'!BZ63</f>
        <v>184006.18600000002</v>
      </c>
      <c r="L191" s="75">
        <f>'ФинРез и инд-ры ВУЗ'!CA59+'ФинРез и инд-ры ВУЗ'!CA63</f>
        <v>183156.65600000002</v>
      </c>
      <c r="M191" s="75">
        <f>'ФинРез и инд-ры ВУЗ'!CB59+'ФинРез и инд-ры ВУЗ'!CB63</f>
        <v>182307.12600000002</v>
      </c>
      <c r="N191" s="75">
        <f>'ФинРез и инд-ры ВУЗ'!CC59+'ФинРез и инд-ры ВУЗ'!CC63</f>
        <v>181457.59599999999</v>
      </c>
      <c r="O191" s="75">
        <f>'ФинРез и инд-ры ВУЗ'!CD59+'ФинРез и инд-ры ВУЗ'!CD63</f>
        <v>180608.06599999999</v>
      </c>
      <c r="P191" s="75">
        <f>'ФинРез и инд-ры ВУЗ'!CE59+'ФинРез и инд-ры ВУЗ'!CE63</f>
        <v>179773.88090121653</v>
      </c>
      <c r="Q191" s="75">
        <f>'ФинРез и инд-ры ВУЗ'!CF59+'ФинРез и инд-ры ВУЗ'!CF63</f>
        <v>178954.76187259285</v>
      </c>
      <c r="R191" s="75">
        <f>'ФинРез и инд-ры ВУЗ'!CG59+'ФинРез и инд-ры ВУЗ'!CG63</f>
        <v>178150.43518871255</v>
      </c>
      <c r="S191" s="75">
        <f>'ФинРез и инд-ры ВУЗ'!CH59+'ФинРез и инд-ры ВУЗ'!CH63</f>
        <v>177360.63213539275</v>
      </c>
      <c r="T191" s="75">
        <f>'ФинРез и инд-ры ВУЗ'!CI59+'ФинРез и инд-ры ВУЗ'!CI63</f>
        <v>176585.08891704469</v>
      </c>
      <c r="U191" s="75">
        <f>'ФинРез и инд-ры ВУЗ'!CJ59+'ФинРез и инд-ры ВУЗ'!CJ63</f>
        <v>175823.54656576773</v>
      </c>
      <c r="V191" s="75">
        <f>'ФинРез и инд-ры ВУЗ'!CK59+'ФинРез и инд-ры ВУЗ'!CK63</f>
        <v>175075.75085214403</v>
      </c>
      <c r="W191" s="75">
        <f>'ФинРез и инд-ры ВУЗ'!CL59+'ФинРез и инд-ры ВУЗ'!CL63</f>
        <v>174341.45219770173</v>
      </c>
      <c r="X191" s="75">
        <f>SUM(G191:W191)</f>
        <v>3071312.7226305725</v>
      </c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spans="1:44" s="74" customFormat="1" x14ac:dyDescent="0.35">
      <c r="A192" s="73"/>
      <c r="C192" s="2"/>
      <c r="D192" s="2" t="s">
        <v>100</v>
      </c>
      <c r="E192" s="2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75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spans="1:44" s="74" customFormat="1" x14ac:dyDescent="0.35">
      <c r="A193" s="73"/>
      <c r="C193" s="2"/>
      <c r="D193" s="2" t="s">
        <v>221</v>
      </c>
      <c r="E193" s="2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75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spans="1:44" x14ac:dyDescent="0.35">
      <c r="C194" s="74"/>
      <c r="D194" s="81" t="s">
        <v>222</v>
      </c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</row>
    <row r="195" spans="1:44" s="74" customFormat="1" x14ac:dyDescent="0.35">
      <c r="A195" s="73"/>
      <c r="D195" s="94" t="s">
        <v>220</v>
      </c>
      <c r="E195" s="94"/>
      <c r="F195" s="95">
        <f>ROUND(F191*F190/1000,2)</f>
        <v>98.49</v>
      </c>
      <c r="G195" s="100">
        <f t="shared" ref="G195:O195" si="168">ROUND(G191*G190/1000,2)</f>
        <v>91.19</v>
      </c>
      <c r="H195" s="100">
        <f t="shared" si="168"/>
        <v>83.36</v>
      </c>
      <c r="I195" s="100">
        <f t="shared" si="168"/>
        <v>84.18</v>
      </c>
      <c r="J195" s="95">
        <f t="shared" si="168"/>
        <v>85.16</v>
      </c>
      <c r="K195" s="95">
        <f t="shared" si="168"/>
        <v>109.27</v>
      </c>
      <c r="L195" s="95">
        <f t="shared" si="168"/>
        <v>109.14</v>
      </c>
      <c r="M195" s="95">
        <f t="shared" si="168"/>
        <v>99.41</v>
      </c>
      <c r="N195" s="95">
        <f t="shared" si="168"/>
        <v>98.45</v>
      </c>
      <c r="O195" s="95">
        <f t="shared" si="168"/>
        <v>82.49</v>
      </c>
      <c r="P195" s="95">
        <f t="shared" ref="P195:W195" si="169">ROUND(P191*P190/1000,2)</f>
        <v>77.64</v>
      </c>
      <c r="Q195" s="95">
        <f t="shared" si="169"/>
        <v>76.39</v>
      </c>
      <c r="R195" s="95">
        <f t="shared" si="169"/>
        <v>76.81</v>
      </c>
      <c r="S195" s="95">
        <f t="shared" si="169"/>
        <v>77.319999999999993</v>
      </c>
      <c r="T195" s="95">
        <f t="shared" si="169"/>
        <v>79.41</v>
      </c>
      <c r="U195" s="95">
        <f t="shared" si="169"/>
        <v>78.36</v>
      </c>
      <c r="V195" s="95">
        <f t="shared" si="169"/>
        <v>78.900000000000006</v>
      </c>
      <c r="W195" s="95">
        <f t="shared" si="169"/>
        <v>79.42</v>
      </c>
      <c r="X195" s="96">
        <f>SUM(G195:W195)</f>
        <v>1466.9</v>
      </c>
    </row>
    <row r="196" spans="1:44" s="74" customFormat="1" x14ac:dyDescent="0.35">
      <c r="A196" s="73"/>
      <c r="D196" s="94" t="s">
        <v>100</v>
      </c>
      <c r="E196" s="94"/>
      <c r="F196" s="95">
        <f>ROUND(F192/1000,2)</f>
        <v>0</v>
      </c>
      <c r="G196" s="100">
        <f t="shared" ref="G196:O196" si="170">ROUND(G192/1000,2)</f>
        <v>0</v>
      </c>
      <c r="H196" s="100">
        <f t="shared" si="170"/>
        <v>0</v>
      </c>
      <c r="I196" s="100">
        <f t="shared" si="170"/>
        <v>0</v>
      </c>
      <c r="J196" s="95">
        <f t="shared" si="170"/>
        <v>0</v>
      </c>
      <c r="K196" s="95">
        <f t="shared" si="170"/>
        <v>0</v>
      </c>
      <c r="L196" s="95">
        <f t="shared" si="170"/>
        <v>0</v>
      </c>
      <c r="M196" s="95">
        <f t="shared" si="170"/>
        <v>0</v>
      </c>
      <c r="N196" s="95">
        <f t="shared" si="170"/>
        <v>0</v>
      </c>
      <c r="O196" s="95">
        <f t="shared" si="170"/>
        <v>0</v>
      </c>
      <c r="P196" s="95">
        <f t="shared" ref="P196:W196" si="171">ROUND(P192/1000,2)</f>
        <v>0</v>
      </c>
      <c r="Q196" s="95">
        <f t="shared" si="171"/>
        <v>0</v>
      </c>
      <c r="R196" s="95">
        <f t="shared" si="171"/>
        <v>0</v>
      </c>
      <c r="S196" s="95">
        <f t="shared" si="171"/>
        <v>0</v>
      </c>
      <c r="T196" s="95">
        <f t="shared" si="171"/>
        <v>0</v>
      </c>
      <c r="U196" s="95">
        <f t="shared" si="171"/>
        <v>0</v>
      </c>
      <c r="V196" s="95">
        <f t="shared" si="171"/>
        <v>0</v>
      </c>
      <c r="W196" s="95">
        <f t="shared" si="171"/>
        <v>0</v>
      </c>
      <c r="X196" s="96">
        <f>SUM(G196:W196)</f>
        <v>0</v>
      </c>
    </row>
    <row r="197" spans="1:44" x14ac:dyDescent="0.35">
      <c r="C197" s="74"/>
      <c r="D197" s="94" t="s">
        <v>221</v>
      </c>
      <c r="E197" s="94"/>
      <c r="F197" s="95">
        <f>ROUND(F193/1000,2)</f>
        <v>0</v>
      </c>
      <c r="G197" s="100">
        <f t="shared" ref="G197:O197" si="172">ROUND(G193/1000,2)</f>
        <v>0</v>
      </c>
      <c r="H197" s="100">
        <f t="shared" si="172"/>
        <v>0</v>
      </c>
      <c r="I197" s="100">
        <f t="shared" si="172"/>
        <v>0</v>
      </c>
      <c r="J197" s="95">
        <f t="shared" si="172"/>
        <v>0</v>
      </c>
      <c r="K197" s="95">
        <f t="shared" si="172"/>
        <v>0</v>
      </c>
      <c r="L197" s="95">
        <f t="shared" si="172"/>
        <v>0</v>
      </c>
      <c r="M197" s="95">
        <f t="shared" si="172"/>
        <v>0</v>
      </c>
      <c r="N197" s="95">
        <f t="shared" si="172"/>
        <v>0</v>
      </c>
      <c r="O197" s="95">
        <f t="shared" si="172"/>
        <v>0</v>
      </c>
      <c r="P197" s="95">
        <f t="shared" ref="P197:W197" si="173">ROUND(P193/1000,2)</f>
        <v>0</v>
      </c>
      <c r="Q197" s="95">
        <f t="shared" si="173"/>
        <v>0</v>
      </c>
      <c r="R197" s="95">
        <f t="shared" si="173"/>
        <v>0</v>
      </c>
      <c r="S197" s="95">
        <f t="shared" si="173"/>
        <v>0</v>
      </c>
      <c r="T197" s="95">
        <f t="shared" si="173"/>
        <v>0</v>
      </c>
      <c r="U197" s="95">
        <f t="shared" si="173"/>
        <v>0</v>
      </c>
      <c r="V197" s="95">
        <f t="shared" si="173"/>
        <v>0</v>
      </c>
      <c r="W197" s="95">
        <f t="shared" si="173"/>
        <v>0</v>
      </c>
      <c r="X197" s="96">
        <f>SUM(G197:W197)</f>
        <v>0</v>
      </c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</row>
    <row r="198" spans="1:44" x14ac:dyDescent="0.35">
      <c r="D198" s="97" t="s">
        <v>242</v>
      </c>
      <c r="E198" s="97"/>
      <c r="F198" s="98">
        <f>SUM(F195:F197)</f>
        <v>98.49</v>
      </c>
      <c r="G198" s="101">
        <f t="shared" ref="G198:O198" si="174">SUM(G195:G197)</f>
        <v>91.19</v>
      </c>
      <c r="H198" s="101">
        <f t="shared" si="174"/>
        <v>83.36</v>
      </c>
      <c r="I198" s="101">
        <f t="shared" si="174"/>
        <v>84.18</v>
      </c>
      <c r="J198" s="98">
        <f t="shared" si="174"/>
        <v>85.16</v>
      </c>
      <c r="K198" s="98">
        <f t="shared" si="174"/>
        <v>109.27</v>
      </c>
      <c r="L198" s="98">
        <f t="shared" si="174"/>
        <v>109.14</v>
      </c>
      <c r="M198" s="98">
        <f t="shared" si="174"/>
        <v>99.41</v>
      </c>
      <c r="N198" s="98">
        <f t="shared" si="174"/>
        <v>98.45</v>
      </c>
      <c r="O198" s="98">
        <f t="shared" si="174"/>
        <v>82.49</v>
      </c>
      <c r="P198" s="98">
        <f t="shared" ref="P198:W198" si="175">SUM(P195:P197)</f>
        <v>77.64</v>
      </c>
      <c r="Q198" s="98">
        <f t="shared" si="175"/>
        <v>76.39</v>
      </c>
      <c r="R198" s="98">
        <f t="shared" si="175"/>
        <v>76.81</v>
      </c>
      <c r="S198" s="98">
        <f t="shared" si="175"/>
        <v>77.319999999999993</v>
      </c>
      <c r="T198" s="98">
        <f t="shared" si="175"/>
        <v>79.41</v>
      </c>
      <c r="U198" s="98">
        <f t="shared" si="175"/>
        <v>78.36</v>
      </c>
      <c r="V198" s="98">
        <f t="shared" si="175"/>
        <v>78.900000000000006</v>
      </c>
      <c r="W198" s="98">
        <f t="shared" si="175"/>
        <v>79.42</v>
      </c>
      <c r="X198" s="99">
        <f>SUM(G198:W198)</f>
        <v>1466.9</v>
      </c>
    </row>
    <row r="199" spans="1:44" s="74" customFormat="1" x14ac:dyDescent="0.35">
      <c r="A199" s="73"/>
      <c r="C199" s="77">
        <v>13</v>
      </c>
      <c r="D199" s="78" t="s">
        <v>223</v>
      </c>
      <c r="E199" s="78" t="s">
        <v>10</v>
      </c>
      <c r="F199" s="87"/>
      <c r="G199" s="87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</row>
    <row r="200" spans="1:44" x14ac:dyDescent="0.35">
      <c r="D200" s="91" t="s">
        <v>239</v>
      </c>
      <c r="F200" s="75" t="e">
        <f t="shared" ref="F200:O200" si="176">F8</f>
        <v>#DIV/0!</v>
      </c>
      <c r="G200" s="75" t="e">
        <f t="shared" si="176"/>
        <v>#DIV/0!</v>
      </c>
      <c r="H200" s="75" t="e">
        <f t="shared" si="176"/>
        <v>#DIV/0!</v>
      </c>
      <c r="I200" s="75" t="e">
        <f t="shared" si="176"/>
        <v>#DIV/0!</v>
      </c>
      <c r="J200" s="75" t="e">
        <f t="shared" si="176"/>
        <v>#DIV/0!</v>
      </c>
      <c r="K200" s="75" t="e">
        <f t="shared" si="176"/>
        <v>#DIV/0!</v>
      </c>
      <c r="L200" s="75" t="e">
        <f t="shared" si="176"/>
        <v>#DIV/0!</v>
      </c>
      <c r="M200" s="75" t="e">
        <f t="shared" si="176"/>
        <v>#DIV/0!</v>
      </c>
      <c r="N200" s="75" t="e">
        <f t="shared" si="176"/>
        <v>#DIV/0!</v>
      </c>
      <c r="O200" s="75" t="e">
        <f t="shared" si="176"/>
        <v>#DIV/0!</v>
      </c>
      <c r="P200" s="75" t="e">
        <f t="shared" ref="P200:W200" si="177">P8</f>
        <v>#DIV/0!</v>
      </c>
      <c r="Q200" s="75" t="e">
        <f t="shared" si="177"/>
        <v>#DIV/0!</v>
      </c>
      <c r="R200" s="75" t="e">
        <f t="shared" si="177"/>
        <v>#DIV/0!</v>
      </c>
      <c r="S200" s="75" t="e">
        <f t="shared" si="177"/>
        <v>#DIV/0!</v>
      </c>
      <c r="T200" s="75" t="e">
        <f t="shared" si="177"/>
        <v>#DIV/0!</v>
      </c>
      <c r="U200" s="75" t="e">
        <f t="shared" si="177"/>
        <v>#DIV/0!</v>
      </c>
      <c r="V200" s="75" t="e">
        <f t="shared" si="177"/>
        <v>#DIV/0!</v>
      </c>
      <c r="W200" s="75" t="e">
        <f t="shared" si="177"/>
        <v>#DIV/0!</v>
      </c>
      <c r="X200" s="96" t="e">
        <f>SUM(G200:W200)</f>
        <v>#DIV/0!</v>
      </c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</row>
    <row r="201" spans="1:44" x14ac:dyDescent="0.35">
      <c r="D201" s="91" t="s">
        <v>240</v>
      </c>
      <c r="E201" s="74"/>
      <c r="F201" s="142">
        <f>IF('ФинРез и инд-ры ВУЗ'!EG57&gt;0,'ФинРез и инд-ры ВУЗ'!EG57,0)*-1</f>
        <v>0</v>
      </c>
      <c r="G201" s="142">
        <f>IF('ФинРез и инд-ры ВУЗ'!EH57&gt;0,'ФинРез и инд-ры ВУЗ'!EH57,0)*-1</f>
        <v>0</v>
      </c>
      <c r="H201" s="142">
        <f>IF('ФинРез и инд-ры ВУЗ'!EI57&gt;0,'ФинРез и инд-ры ВУЗ'!EI57,0)*-1</f>
        <v>-1144983.0996780619</v>
      </c>
      <c r="I201" s="142">
        <f>IF('ФинРез и инд-ры ВУЗ'!EJ57&gt;0,'ФинРез и инд-ры ВУЗ'!EJ57,0)*-1</f>
        <v>-597970.70610864111</v>
      </c>
      <c r="J201" s="142">
        <f ca="1">IF('ФинРез и инд-ры ВУЗ'!EK57&gt;0,'ФинРез и инд-ры ВУЗ'!EK57,0)*-1</f>
        <v>-124377.90687059727</v>
      </c>
      <c r="K201" s="142">
        <f>IF('ФинРез и инд-ры ВУЗ'!EL57&gt;0,'ФинРез и инд-ры ВУЗ'!EL57,0)*-1</f>
        <v>-6779486.3227326218</v>
      </c>
      <c r="L201" s="142">
        <f>IF('ФинРез и инд-ры ВУЗ'!EM57&gt;0,'ФинРез и инд-ры ВУЗ'!EM57,0)*-1</f>
        <v>-7050665.7756419256</v>
      </c>
      <c r="M201" s="142">
        <f>IF('ФинРез и инд-ры ВУЗ'!EN57&gt;0,'ФинРез и инд-ры ВУЗ'!EN57,0)*-1</f>
        <v>-5872068.1618221197</v>
      </c>
      <c r="N201" s="142">
        <f>IF('ФинРез и инд-ры ВУЗ'!EO57&gt;0,'ФинРез и инд-ры ВУЗ'!EO57,0)*-1</f>
        <v>-6395475.4784589373</v>
      </c>
      <c r="O201" s="142">
        <f>IF('ФинРез и инд-ры ВУЗ'!EP57&gt;0,'ФинРез и инд-ры ВУЗ'!EP57,0)*-1</f>
        <v>-2547131.1473770491</v>
      </c>
      <c r="P201" s="142">
        <f>IF('ФинРез и инд-ры ВУЗ'!EQ57&gt;0,'ФинРез и инд-ры ВУЗ'!EQ57,0)*-1</f>
        <v>-1715163.9344262294</v>
      </c>
      <c r="Q201" s="142">
        <f>IF('ФинРез и инд-ры ВУЗ'!ER57&gt;0,'ФинРез и инд-ры ВУЗ'!ER57,0)*-1</f>
        <v>0</v>
      </c>
      <c r="R201" s="142">
        <f>IF('ФинРез и инд-ры ВУЗ'!ES57&gt;0,'ФинРез и инд-ры ВУЗ'!ES57,0)*-1</f>
        <v>0</v>
      </c>
      <c r="S201" s="142">
        <f>IF('ФинРез и инд-ры ВУЗ'!ET57&gt;0,'ФинРез и инд-ры ВУЗ'!ET57,0)*-1</f>
        <v>0</v>
      </c>
      <c r="T201" s="142">
        <f>IF('ФинРез и инд-ры ВУЗ'!EU57&gt;0,'ФинРез и инд-ры ВУЗ'!EU57,0)*-1</f>
        <v>0</v>
      </c>
      <c r="U201" s="142">
        <f>IF('ФинРез и инд-ры ВУЗ'!EV57&gt;0,'ФинРез и инд-ры ВУЗ'!EV57,0)*-1</f>
        <v>0</v>
      </c>
      <c r="V201" s="142">
        <f>IF('ФинРез и инд-ры ВУЗ'!EW57&gt;0,'ФинРез и инд-ры ВУЗ'!EW57,0)*-1</f>
        <v>0</v>
      </c>
      <c r="W201" s="142">
        <f>IF('ФинРез и инд-ры ВУЗ'!EX57&gt;0,'ФинРез и инд-ры ВУЗ'!EX57,0)*-1</f>
        <v>0</v>
      </c>
      <c r="X201" s="96">
        <f ca="1">SUM(G201:W201)</f>
        <v>-32227322.53311618</v>
      </c>
    </row>
    <row r="202" spans="1:44" x14ac:dyDescent="0.35">
      <c r="D202" s="97" t="s">
        <v>241</v>
      </c>
      <c r="E202" s="97"/>
      <c r="F202" s="82" t="e">
        <f>IF(F200+F201&gt;0,0,F200+F201)</f>
        <v>#DIV/0!</v>
      </c>
      <c r="G202" s="82" t="e">
        <f t="shared" ref="G202:O202" si="178">IF(G200+G201&gt;0,0,G200+G201)</f>
        <v>#DIV/0!</v>
      </c>
      <c r="H202" s="82" t="e">
        <f t="shared" si="178"/>
        <v>#DIV/0!</v>
      </c>
      <c r="I202" s="82" t="e">
        <f t="shared" si="178"/>
        <v>#DIV/0!</v>
      </c>
      <c r="J202" s="82" t="e">
        <f t="shared" ca="1" si="178"/>
        <v>#DIV/0!</v>
      </c>
      <c r="K202" s="82" t="e">
        <f t="shared" si="178"/>
        <v>#DIV/0!</v>
      </c>
      <c r="L202" s="82" t="e">
        <f t="shared" si="178"/>
        <v>#DIV/0!</v>
      </c>
      <c r="M202" s="82" t="e">
        <f t="shared" si="178"/>
        <v>#DIV/0!</v>
      </c>
      <c r="N202" s="82" t="e">
        <f t="shared" si="178"/>
        <v>#DIV/0!</v>
      </c>
      <c r="O202" s="82" t="e">
        <f t="shared" si="178"/>
        <v>#DIV/0!</v>
      </c>
      <c r="P202" s="82" t="e">
        <f t="shared" ref="P202:W202" si="179">IF(P200+P201&gt;0,0,P200+P201)</f>
        <v>#DIV/0!</v>
      </c>
      <c r="Q202" s="82" t="e">
        <f t="shared" si="179"/>
        <v>#DIV/0!</v>
      </c>
      <c r="R202" s="82" t="e">
        <f t="shared" si="179"/>
        <v>#DIV/0!</v>
      </c>
      <c r="S202" s="82" t="e">
        <f t="shared" si="179"/>
        <v>#DIV/0!</v>
      </c>
      <c r="T202" s="82" t="e">
        <f t="shared" si="179"/>
        <v>#DIV/0!</v>
      </c>
      <c r="U202" s="82" t="e">
        <f t="shared" si="179"/>
        <v>#DIV/0!</v>
      </c>
      <c r="V202" s="82" t="e">
        <f t="shared" si="179"/>
        <v>#DIV/0!</v>
      </c>
      <c r="W202" s="82" t="e">
        <f t="shared" si="179"/>
        <v>#DIV/0!</v>
      </c>
      <c r="X202" s="82" t="e">
        <f>SUM(G202:W202)</f>
        <v>#DIV/0!</v>
      </c>
    </row>
    <row r="203" spans="1:44" s="74" customFormat="1" x14ac:dyDescent="0.35">
      <c r="A203" s="73"/>
      <c r="C203" s="77">
        <v>14</v>
      </c>
      <c r="D203" s="78" t="s">
        <v>223</v>
      </c>
      <c r="E203" s="78" t="s">
        <v>10</v>
      </c>
      <c r="F203" s="87"/>
      <c r="G203" s="87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</row>
    <row r="204" spans="1:44" s="74" customFormat="1" x14ac:dyDescent="0.35">
      <c r="A204" s="73"/>
      <c r="D204" s="201" t="s">
        <v>246</v>
      </c>
      <c r="E204" s="197"/>
      <c r="F204" s="198">
        <f t="shared" ref="F204:O204" si="180">F206-F207-F208</f>
        <v>367624.03427516902</v>
      </c>
      <c r="G204" s="198">
        <f t="shared" si="180"/>
        <v>822670.36654959992</v>
      </c>
      <c r="H204" s="198">
        <f t="shared" si="180"/>
        <v>1183604.4626819617</v>
      </c>
      <c r="I204" s="198">
        <f t="shared" si="180"/>
        <v>1514961.5764757693</v>
      </c>
      <c r="J204" s="198">
        <f t="shared" si="180"/>
        <v>1682624.2445298363</v>
      </c>
      <c r="K204" s="198">
        <f t="shared" si="180"/>
        <v>1723206.7308323714</v>
      </c>
      <c r="L204" s="198">
        <f t="shared" si="180"/>
        <v>1752876.1074156519</v>
      </c>
      <c r="M204" s="198">
        <f t="shared" si="180"/>
        <v>1780166.9375051199</v>
      </c>
      <c r="N204" s="198">
        <f t="shared" si="180"/>
        <v>1807710.8127756682</v>
      </c>
      <c r="O204" s="198">
        <f t="shared" si="180"/>
        <v>1835906.3556555933</v>
      </c>
      <c r="P204" s="198">
        <f t="shared" ref="P204:W204" si="181">P206-P207-P208</f>
        <v>2466974.9078635061</v>
      </c>
      <c r="Q204" s="198">
        <f t="shared" si="181"/>
        <v>3218666.5301789385</v>
      </c>
      <c r="R204" s="198">
        <f t="shared" si="181"/>
        <v>3276808.5433725007</v>
      </c>
      <c r="S204" s="198">
        <f t="shared" si="181"/>
        <v>3328281.440064427</v>
      </c>
      <c r="T204" s="198">
        <f t="shared" si="181"/>
        <v>3193215.6033752495</v>
      </c>
      <c r="U204" s="198">
        <f t="shared" si="181"/>
        <v>3435289.1935119745</v>
      </c>
      <c r="V204" s="198">
        <f t="shared" si="181"/>
        <v>3487184.5603511049</v>
      </c>
      <c r="W204" s="198">
        <f t="shared" si="181"/>
        <v>3545142.8299411614</v>
      </c>
      <c r="X204" s="199">
        <f>SUM(G204:W204)</f>
        <v>40055291.203080431</v>
      </c>
    </row>
    <row r="205" spans="1:44" s="74" customFormat="1" x14ac:dyDescent="0.35">
      <c r="A205" s="73"/>
      <c r="D205" s="202" t="s">
        <v>251</v>
      </c>
      <c r="E205" s="197"/>
      <c r="F205" s="198">
        <f>F204</f>
        <v>367624.03427516902</v>
      </c>
      <c r="G205" s="198">
        <f>F205+G204</f>
        <v>1190294.4008247689</v>
      </c>
      <c r="H205" s="198">
        <f t="shared" ref="H205:O205" si="182">G205+H204</f>
        <v>2373898.8635067306</v>
      </c>
      <c r="I205" s="198">
        <f t="shared" si="182"/>
        <v>3888860.4399824999</v>
      </c>
      <c r="J205" s="198">
        <f t="shared" si="182"/>
        <v>5571484.6845123358</v>
      </c>
      <c r="K205" s="198">
        <f t="shared" si="182"/>
        <v>7294691.4153447077</v>
      </c>
      <c r="L205" s="198">
        <f t="shared" si="182"/>
        <v>9047567.5227603596</v>
      </c>
      <c r="M205" s="198">
        <f t="shared" si="182"/>
        <v>10827734.46026548</v>
      </c>
      <c r="N205" s="198">
        <f t="shared" si="182"/>
        <v>12635445.273041148</v>
      </c>
      <c r="O205" s="198">
        <f t="shared" si="182"/>
        <v>14471351.628696742</v>
      </c>
      <c r="P205" s="198">
        <f t="shared" ref="P205" si="183">O205+P204</f>
        <v>16938326.536560249</v>
      </c>
      <c r="Q205" s="198">
        <f t="shared" ref="Q205" si="184">P205+Q204</f>
        <v>20156993.066739187</v>
      </c>
      <c r="R205" s="198">
        <f t="shared" ref="R205" si="185">Q205+R204</f>
        <v>23433801.610111687</v>
      </c>
      <c r="S205" s="198">
        <f t="shared" ref="S205" si="186">R205+S204</f>
        <v>26762083.050176114</v>
      </c>
      <c r="T205" s="198">
        <f t="shared" ref="T205" si="187">S205+T204</f>
        <v>29955298.653551362</v>
      </c>
      <c r="U205" s="198">
        <f t="shared" ref="U205" si="188">T205+U204</f>
        <v>33390587.847063337</v>
      </c>
      <c r="V205" s="198">
        <f t="shared" ref="V205" si="189">U205+V204</f>
        <v>36877772.407414444</v>
      </c>
      <c r="W205" s="198">
        <f t="shared" ref="W205" si="190">V205+W204</f>
        <v>40422915.237355605</v>
      </c>
      <c r="X205" s="199">
        <f>W205</f>
        <v>40422915.237355605</v>
      </c>
    </row>
    <row r="206" spans="1:44" s="74" customFormat="1" x14ac:dyDescent="0.35">
      <c r="A206" s="73"/>
      <c r="D206" s="91" t="s">
        <v>249</v>
      </c>
      <c r="F206" s="75">
        <f>'ФинРез и инд-ры ВУЗ'!EG10</f>
        <v>774741.9846559302</v>
      </c>
      <c r="G206" s="75">
        <f>'ФинРез и инд-ры ВУЗ'!EH10</f>
        <v>1780531.5335092605</v>
      </c>
      <c r="H206" s="75">
        <f>'ФинРез и инд-ры ВУЗ'!EI10</f>
        <v>2269875.5370896156</v>
      </c>
      <c r="I206" s="75">
        <f>'ФинРез и инд-ры ВУЗ'!EJ10</f>
        <v>2747585.972461293</v>
      </c>
      <c r="J206" s="75">
        <f>'ФинРез и инд-ры ВУЗ'!EK10</f>
        <v>2996662.3799472833</v>
      </c>
      <c r="K206" s="75">
        <f>'ФинРез и инд-ры ВУЗ'!EL10</f>
        <v>3101795.7360387198</v>
      </c>
      <c r="L206" s="75">
        <f>'ФинРез и инд-ры ВУЗ'!EM10</f>
        <v>3198314.9415625082</v>
      </c>
      <c r="M206" s="75">
        <f>'ФинРез и инд-ры ВУЗ'!EN10</f>
        <v>3296255.3535170583</v>
      </c>
      <c r="N206" s="75">
        <f>'ФинРез и инд-ры ВУЗ'!EO10</f>
        <v>3398467.0508551197</v>
      </c>
      <c r="O206" s="75">
        <f>'ФинРез и инд-ры ВУЗ'!EP10</f>
        <v>3505579.3046594025</v>
      </c>
      <c r="P206" s="75">
        <f>'ФинРез и инд-ры ВУЗ'!EQ10</f>
        <v>4411760.3620546777</v>
      </c>
      <c r="Q206" s="75">
        <f>'ФинРез и инд-ры ВУЗ'!ER10</f>
        <v>5476698.7044807542</v>
      </c>
      <c r="R206" s="75">
        <f>'ФинРез и инд-ры ВУЗ'!ES10</f>
        <v>5645799.0595209394</v>
      </c>
      <c r="S206" s="75">
        <f>'ФинРез и инд-ры ВУЗ'!ET10</f>
        <v>5805900.4176989431</v>
      </c>
      <c r="T206" s="75">
        <f>'ФинРез и инд-ры ВУЗ'!EU10</f>
        <v>5675912.0716186892</v>
      </c>
      <c r="U206" s="75">
        <f>'ФинРез и инд-ры ВУЗ'!EV10</f>
        <v>6143140.1990161873</v>
      </c>
      <c r="V206" s="75">
        <f>'ФинРез и инд-ры ВУЗ'!EW10</f>
        <v>6315121.0265912358</v>
      </c>
      <c r="W206" s="75">
        <f>'ФинРез и инд-ры ВУЗ'!EX10</f>
        <v>6503951.5166388815</v>
      </c>
      <c r="X206" s="96">
        <f>SUM(G206:W206)</f>
        <v>72273351.167260572</v>
      </c>
    </row>
    <row r="207" spans="1:44" s="74" customFormat="1" x14ac:dyDescent="0.35">
      <c r="A207" s="73"/>
      <c r="D207" s="91" t="s">
        <v>247</v>
      </c>
      <c r="F207" s="75">
        <f>'ФинРез и инд-ры ВУЗ'!EG11</f>
        <v>407117.95038076118</v>
      </c>
      <c r="G207" s="75">
        <f>'ФинРез и инд-ры ВУЗ'!EH11</f>
        <v>957861.16695966059</v>
      </c>
      <c r="H207" s="75">
        <f>'ФинРез и инд-ры ВУЗ'!EI11</f>
        <v>1086271.0744076539</v>
      </c>
      <c r="I207" s="75">
        <f>'ФинРез и инд-ры ВУЗ'!EJ11</f>
        <v>1232624.3959855237</v>
      </c>
      <c r="J207" s="75">
        <f>'ФинРез и инд-ры ВУЗ'!EK11</f>
        <v>1314038.135417447</v>
      </c>
      <c r="K207" s="75">
        <f>'ФинРез и инд-ры ВУЗ'!EL11</f>
        <v>1378589.0052063484</v>
      </c>
      <c r="L207" s="75">
        <f>'ФинРез и инд-ры ВУЗ'!EM11</f>
        <v>1445438.8341468563</v>
      </c>
      <c r="M207" s="75">
        <f>'ФинРез и инд-ры ВУЗ'!EN11</f>
        <v>1516088.4160119384</v>
      </c>
      <c r="N207" s="75">
        <f>'ФинРез и инд-ры ВУЗ'!EO11</f>
        <v>1590756.2380794515</v>
      </c>
      <c r="O207" s="75">
        <f>'ФинРез и инд-ры ВУЗ'!EP11</f>
        <v>1669672.9490038091</v>
      </c>
      <c r="P207" s="75">
        <f>'ФинРез и инд-ры ВУЗ'!EQ11</f>
        <v>1782864.3484796206</v>
      </c>
      <c r="Q207" s="75">
        <f>'ФинРез и инд-ры ВУЗ'!ER11</f>
        <v>1902688.0557963294</v>
      </c>
      <c r="R207" s="75">
        <f>'ФинРез и инд-ры ВУЗ'!ES11</f>
        <v>2005394.0590818487</v>
      </c>
      <c r="S207" s="75">
        <f>'ФинРез и инд-ры ВУЗ'!ET11</f>
        <v>2105388.9819102273</v>
      </c>
      <c r="T207" s="75">
        <f>'ФинРез и инд-ры ВУЗ'!EU11</f>
        <v>2206622.0620098547</v>
      </c>
      <c r="U207" s="75">
        <f>'ФинРез и инд-ры ВУЗ'!EV11</f>
        <v>2317136.5204827273</v>
      </c>
      <c r="V207" s="75">
        <f>'ФинРез и инд-ры ВУЗ'!EW11</f>
        <v>2427331.8225238188</v>
      </c>
      <c r="W207" s="75">
        <f>'ФинРез и инд-ры ВУЗ'!EX11</f>
        <v>2547854.173316536</v>
      </c>
      <c r="X207" s="96">
        <f>SUM(G207:W207)</f>
        <v>29486620.238819651</v>
      </c>
    </row>
    <row r="208" spans="1:44" s="74" customFormat="1" x14ac:dyDescent="0.35">
      <c r="A208" s="73"/>
      <c r="D208" s="91" t="s">
        <v>125</v>
      </c>
      <c r="F208" s="75"/>
      <c r="G208" s="75">
        <f>'ФинРез и инд-ры ВУЗ'!EH12</f>
        <v>0</v>
      </c>
      <c r="H208" s="75">
        <f>'ФинРез и инд-ры ВУЗ'!EI12</f>
        <v>0</v>
      </c>
      <c r="I208" s="75">
        <f>'ФинРез и инд-ры ВУЗ'!EJ12</f>
        <v>0</v>
      </c>
      <c r="J208" s="75">
        <f>'ФинРез и инд-ры ВУЗ'!EK12</f>
        <v>0</v>
      </c>
      <c r="K208" s="75">
        <f>'ФинРез и инд-ры ВУЗ'!EL12</f>
        <v>0</v>
      </c>
      <c r="L208" s="75">
        <f>'ФинРез и инд-ры ВУЗ'!EM12</f>
        <v>0</v>
      </c>
      <c r="M208" s="75">
        <f>'ФинРез и инд-ры ВУЗ'!EN12</f>
        <v>0</v>
      </c>
      <c r="N208" s="75">
        <f>'ФинРез и инд-ры ВУЗ'!EO12</f>
        <v>0</v>
      </c>
      <c r="O208" s="75">
        <f>'ФинРез и инд-ры ВУЗ'!EP12</f>
        <v>0</v>
      </c>
      <c r="P208" s="75">
        <f>'ФинРез и инд-ры ВУЗ'!EQ12</f>
        <v>161921.10571155106</v>
      </c>
      <c r="Q208" s="75">
        <f>'ФинРез и инд-ры ВУЗ'!ER12</f>
        <v>355344.11850548617</v>
      </c>
      <c r="R208" s="75">
        <f>'ФинРез и инд-ры ВУЗ'!ES12</f>
        <v>363596.45706658973</v>
      </c>
      <c r="S208" s="75">
        <f>'ФинРез и инд-ры ВУЗ'!ET12</f>
        <v>372229.99572428886</v>
      </c>
      <c r="T208" s="75">
        <f>'ФинРез и инд-ры ВУЗ'!EU12</f>
        <v>276074.40623358486</v>
      </c>
      <c r="U208" s="75">
        <f>'ФинРез и инд-ры ВУЗ'!EV12</f>
        <v>390714.48502148531</v>
      </c>
      <c r="V208" s="75">
        <f>'ФинРез и инд-ры ВУЗ'!EW12</f>
        <v>400604.64371631207</v>
      </c>
      <c r="W208" s="75">
        <f>'ФинРез и инд-ры ВУЗ'!EX12</f>
        <v>410954.51338118414</v>
      </c>
      <c r="X208" s="96">
        <f>SUM(G208:W208)</f>
        <v>2731439.7253604825</v>
      </c>
    </row>
    <row r="209" spans="1:44" s="74" customFormat="1" x14ac:dyDescent="0.35">
      <c r="A209" s="73"/>
      <c r="D209" s="193" t="s">
        <v>248</v>
      </c>
      <c r="F209" s="75">
        <f>'ФинРез и инд-ры ВУЗ'!EG59+'ФинРез и инд-ры ВУЗ'!EG63</f>
        <v>-1827.9960000000428</v>
      </c>
      <c r="G209" s="75">
        <f>'ФинРез и инд-ры ВУЗ'!EH59+'ФинРез и инд-ры ВУЗ'!EH63</f>
        <v>-3843.3940000000002</v>
      </c>
      <c r="H209" s="75">
        <f>'ФинРез и инд-ры ВУЗ'!EI59+'ФинРез и инд-ры ВУЗ'!EI63</f>
        <v>-3034.8940000000002</v>
      </c>
      <c r="I209" s="75">
        <f>'ФинРез и инд-ры ВУЗ'!EJ59+'ФинРез и инд-ры ВУЗ'!EJ63</f>
        <v>-3034.8940000000002</v>
      </c>
      <c r="J209" s="75">
        <f>'ФинРез и инд-ры ВУЗ'!EK59+'ФинРез и инд-ры ВУЗ'!EK63</f>
        <v>-3034.8940000000002</v>
      </c>
      <c r="K209" s="75">
        <f>'ФинРез и инд-ры ВУЗ'!EL59+'ФинРез и инд-ры ВУЗ'!EL63</f>
        <v>-3034.8940000000002</v>
      </c>
      <c r="L209" s="75">
        <f>'ФинРез и инд-ры ВУЗ'!EM59+'ФинРез и инд-ры ВУЗ'!EM63</f>
        <v>-3034.8940000000002</v>
      </c>
      <c r="M209" s="75">
        <f>'ФинРез и инд-ры ВУЗ'!EN59+'ФинРез и инд-ры ВУЗ'!EN63</f>
        <v>-3034.8940000000002</v>
      </c>
      <c r="N209" s="75">
        <f>'ФинРез и инд-ры ВУЗ'!EO59+'ФинРез и инд-ры ВУЗ'!EO63</f>
        <v>-3034.8940000000002</v>
      </c>
      <c r="O209" s="75">
        <f>'ФинРез и инд-ры ВУЗ'!EP59+'ФинРез и инд-ры ВУЗ'!EP63</f>
        <v>-3034.8940000000002</v>
      </c>
      <c r="P209" s="75">
        <f>'ФинРез и инд-ры ВУЗ'!EQ59+'ФинРез и инд-ры ВУЗ'!EQ63</f>
        <v>-3034.8940000000002</v>
      </c>
      <c r="Q209" s="75">
        <f>'ФинРез и инд-ры ВУЗ'!ER59+'ФинРез и инд-ры ВУЗ'!ER63</f>
        <v>-3034.8940000000002</v>
      </c>
      <c r="R209" s="75">
        <f>'ФинРез и инд-ры ВУЗ'!ES59+'ФинРез и инд-ры ВУЗ'!ES63</f>
        <v>-3034.8940000000002</v>
      </c>
      <c r="S209" s="75">
        <f>'ФинРез и инд-ры ВУЗ'!ET59+'ФинРез и инд-ры ВУЗ'!ET63</f>
        <v>-3034.8940000000002</v>
      </c>
      <c r="T209" s="75">
        <f>'ФинРез и инд-ры ВУЗ'!EU59+'ФинРез и инд-ры ВУЗ'!EU63</f>
        <v>-3034.8940000000002</v>
      </c>
      <c r="U209" s="75">
        <f>'ФинРез и инд-ры ВУЗ'!EV59+'ФинРез и инд-ры ВУЗ'!EV63</f>
        <v>-3034.8940000000002</v>
      </c>
      <c r="V209" s="75">
        <f>'ФинРез и инд-ры ВУЗ'!EW59+'ФинРез и инд-ры ВУЗ'!EW63</f>
        <v>-3034.8940000000002</v>
      </c>
      <c r="W209" s="75">
        <f>'ФинРез и инд-ры ВУЗ'!EX59+'ФинРез и инд-ры ВУЗ'!EX63</f>
        <v>-3034.8940000000002</v>
      </c>
      <c r="X209" s="96">
        <f>SUM(G209:W209)</f>
        <v>-52401.698000000004</v>
      </c>
    </row>
    <row r="210" spans="1:44" s="74" customFormat="1" x14ac:dyDescent="0.35">
      <c r="A210" s="73"/>
      <c r="D210" s="194" t="s">
        <v>240</v>
      </c>
      <c r="E210" s="26"/>
      <c r="F210" s="195">
        <f>IF('ФинРез и инд-ры ВУЗ'!EG57&gt;0,'ФинРез и инд-ры ВУЗ'!EG57,0)*-1</f>
        <v>0</v>
      </c>
      <c r="G210" s="195">
        <f>IF('ФинРез и инд-ры ВУЗ'!EH57&gt;0,'ФинРез и инд-ры ВУЗ'!EH57,0)*-1</f>
        <v>0</v>
      </c>
      <c r="H210" s="195">
        <f>IF('ФинРез и инд-ры ВУЗ'!EI57&gt;0,'ФинРез и инд-ры ВУЗ'!EI57,0)*-1</f>
        <v>-1144983.0996780619</v>
      </c>
      <c r="I210" s="195">
        <f>IF('ФинРез и инд-ры ВУЗ'!EJ57&gt;0,'ФинРез и инд-ры ВУЗ'!EJ57,0)*-1</f>
        <v>-597970.70610864111</v>
      </c>
      <c r="J210" s="195">
        <f ca="1">IF('ФинРез и инд-ры ВУЗ'!EK57&gt;0,'ФинРез и инд-ры ВУЗ'!EK57,0)*-1</f>
        <v>-124377.90687059727</v>
      </c>
      <c r="K210" s="195">
        <f>IF('ФинРез и инд-ры ВУЗ'!EL57&gt;0,'ФинРез и инд-ры ВУЗ'!EL57,0)*-1</f>
        <v>-6779486.3227326218</v>
      </c>
      <c r="L210" s="195">
        <f>IF('ФинРез и инд-ры ВУЗ'!EM57&gt;0,'ФинРез и инд-ры ВУЗ'!EM57,0)*-1</f>
        <v>-7050665.7756419256</v>
      </c>
      <c r="M210" s="195">
        <f>IF('ФинРез и инд-ры ВУЗ'!EN57&gt;0,'ФинРез и инд-ры ВУЗ'!EN57,0)*-1</f>
        <v>-5872068.1618221197</v>
      </c>
      <c r="N210" s="195">
        <f>IF('ФинРез и инд-ры ВУЗ'!EO57&gt;0,'ФинРез и инд-ры ВУЗ'!EO57,0)*-1</f>
        <v>-6395475.4784589373</v>
      </c>
      <c r="O210" s="195">
        <f>IF('ФинРез и инд-ры ВУЗ'!EP57&gt;0,'ФинРез и инд-ры ВУЗ'!EP57,0)*-1</f>
        <v>-2547131.1473770491</v>
      </c>
      <c r="P210" s="195">
        <f>IF('ФинРез и инд-ры ВУЗ'!EQ57&gt;0,'ФинРез и инд-ры ВУЗ'!EQ57,0)*-1</f>
        <v>-1715163.9344262294</v>
      </c>
      <c r="Q210" s="195">
        <f>IF('ФинРез и инд-ры ВУЗ'!ER57&gt;0,'ФинРез и инд-ры ВУЗ'!ER57,0)*-1</f>
        <v>0</v>
      </c>
      <c r="R210" s="195">
        <f>IF('ФинРез и инд-ры ВУЗ'!ES57&gt;0,'ФинРез и инд-ры ВУЗ'!ES57,0)*-1</f>
        <v>0</v>
      </c>
      <c r="S210" s="195">
        <f>IF('ФинРез и инд-ры ВУЗ'!ET57&gt;0,'ФинРез и инд-ры ВУЗ'!ET57,0)*-1</f>
        <v>0</v>
      </c>
      <c r="T210" s="195">
        <f>IF('ФинРез и инд-ры ВУЗ'!EU57&gt;0,'ФинРез и инд-ры ВУЗ'!EU57,0)*-1</f>
        <v>0</v>
      </c>
      <c r="U210" s="195">
        <f>IF('ФинРез и инд-ры ВУЗ'!EV57&gt;0,'ФинРез и инд-ры ВУЗ'!EV57,0)*-1</f>
        <v>0</v>
      </c>
      <c r="V210" s="195">
        <f>IF('ФинРез и инд-ры ВУЗ'!EW57&gt;0,'ФинРез и инд-ры ВУЗ'!EW57,0)*-1</f>
        <v>0</v>
      </c>
      <c r="W210" s="195">
        <f>IF('ФинРез и инд-ры ВУЗ'!EX57&gt;0,'ФинРез и инд-ры ВУЗ'!EX57,0)*-1</f>
        <v>0</v>
      </c>
      <c r="X210" s="196">
        <f ca="1">SUM(G210:W210)</f>
        <v>-32227322.53311618</v>
      </c>
    </row>
    <row r="211" spans="1:44" s="74" customFormat="1" x14ac:dyDescent="0.35">
      <c r="A211" s="73"/>
      <c r="D211" s="200" t="s">
        <v>251</v>
      </c>
      <c r="E211" s="26"/>
      <c r="F211" s="195">
        <f>F210</f>
        <v>0</v>
      </c>
      <c r="G211" s="195">
        <f>F211+G210</f>
        <v>0</v>
      </c>
      <c r="H211" s="195">
        <f t="shared" ref="H211:O211" si="191">G211+H210</f>
        <v>-1144983.0996780619</v>
      </c>
      <c r="I211" s="195">
        <f t="shared" si="191"/>
        <v>-1742953.805786703</v>
      </c>
      <c r="J211" s="195">
        <f t="shared" ca="1" si="191"/>
        <v>-1867331.7126573003</v>
      </c>
      <c r="K211" s="195">
        <f t="shared" ca="1" si="191"/>
        <v>-8646818.0353899226</v>
      </c>
      <c r="L211" s="195">
        <f t="shared" ca="1" si="191"/>
        <v>-15697483.811031848</v>
      </c>
      <c r="M211" s="195">
        <f t="shared" ca="1" si="191"/>
        <v>-21569551.972853966</v>
      </c>
      <c r="N211" s="195">
        <f t="shared" ca="1" si="191"/>
        <v>-27965027.451312903</v>
      </c>
      <c r="O211" s="195">
        <f t="shared" ca="1" si="191"/>
        <v>-30512158.598689951</v>
      </c>
      <c r="P211" s="195">
        <f t="shared" ref="P211" ca="1" si="192">O211+P210</f>
        <v>-32227322.53311618</v>
      </c>
      <c r="Q211" s="195">
        <f t="shared" ref="Q211" ca="1" si="193">P211+Q210</f>
        <v>-32227322.53311618</v>
      </c>
      <c r="R211" s="195">
        <f t="shared" ref="R211" ca="1" si="194">Q211+R210</f>
        <v>-32227322.53311618</v>
      </c>
      <c r="S211" s="195">
        <f t="shared" ref="S211" ca="1" si="195">R211+S210</f>
        <v>-32227322.53311618</v>
      </c>
      <c r="T211" s="195">
        <f t="shared" ref="T211" ca="1" si="196">S211+T210</f>
        <v>-32227322.53311618</v>
      </c>
      <c r="U211" s="195">
        <f t="shared" ref="U211" ca="1" si="197">T211+U210</f>
        <v>-32227322.53311618</v>
      </c>
      <c r="V211" s="195">
        <f t="shared" ref="V211" ca="1" si="198">U211+V210</f>
        <v>-32227322.53311618</v>
      </c>
      <c r="W211" s="195">
        <f t="shared" ref="W211" ca="1" si="199">V211+W210</f>
        <v>-32227322.53311618</v>
      </c>
      <c r="X211" s="196">
        <f ca="1">W211</f>
        <v>-32227322.53311618</v>
      </c>
    </row>
    <row r="212" spans="1:44" s="74" customFormat="1" x14ac:dyDescent="0.35">
      <c r="A212" s="73"/>
      <c r="D212" s="97" t="s">
        <v>250</v>
      </c>
      <c r="E212" s="97"/>
      <c r="F212" s="82">
        <f t="shared" ref="F212:O212" si="200">IF(F204+F210&gt;0,0,F204+F210)</f>
        <v>0</v>
      </c>
      <c r="G212" s="82">
        <f t="shared" si="200"/>
        <v>0</v>
      </c>
      <c r="H212" s="82">
        <f t="shared" si="200"/>
        <v>0</v>
      </c>
      <c r="I212" s="82">
        <f t="shared" si="200"/>
        <v>0</v>
      </c>
      <c r="J212" s="82">
        <f t="shared" ca="1" si="200"/>
        <v>0</v>
      </c>
      <c r="K212" s="82">
        <f t="shared" si="200"/>
        <v>-5056279.5919002499</v>
      </c>
      <c r="L212" s="82">
        <f t="shared" si="200"/>
        <v>-5297789.6682262737</v>
      </c>
      <c r="M212" s="82">
        <f t="shared" si="200"/>
        <v>-4091901.2243169998</v>
      </c>
      <c r="N212" s="82">
        <f t="shared" si="200"/>
        <v>-4587764.6656832695</v>
      </c>
      <c r="O212" s="82">
        <f t="shared" si="200"/>
        <v>-711224.79172145575</v>
      </c>
      <c r="P212" s="82">
        <f t="shared" ref="P212:W212" si="201">IF(P204+P210&gt;0,0,P204+P210)</f>
        <v>0</v>
      </c>
      <c r="Q212" s="82">
        <f t="shared" si="201"/>
        <v>0</v>
      </c>
      <c r="R212" s="82">
        <f t="shared" si="201"/>
        <v>0</v>
      </c>
      <c r="S212" s="82">
        <f t="shared" si="201"/>
        <v>0</v>
      </c>
      <c r="T212" s="82">
        <f t="shared" si="201"/>
        <v>0</v>
      </c>
      <c r="U212" s="82">
        <f t="shared" si="201"/>
        <v>0</v>
      </c>
      <c r="V212" s="82">
        <f t="shared" si="201"/>
        <v>0</v>
      </c>
      <c r="W212" s="82">
        <f t="shared" si="201"/>
        <v>0</v>
      </c>
      <c r="X212" s="82">
        <f ca="1">SUM(G212:W212)</f>
        <v>-19744959.941848248</v>
      </c>
    </row>
    <row r="213" spans="1:44" x14ac:dyDescent="0.35">
      <c r="D213" s="203" t="s">
        <v>252</v>
      </c>
      <c r="E213" s="203"/>
      <c r="F213" s="204" t="e">
        <f>F8+F210</f>
        <v>#DIV/0!</v>
      </c>
      <c r="G213" s="204" t="e">
        <f t="shared" ref="G213:O213" si="202">F213+G8+G210</f>
        <v>#DIV/0!</v>
      </c>
      <c r="H213" s="204" t="e">
        <f t="shared" si="202"/>
        <v>#DIV/0!</v>
      </c>
      <c r="I213" s="204" t="e">
        <f t="shared" si="202"/>
        <v>#DIV/0!</v>
      </c>
      <c r="J213" s="204" t="e">
        <f t="shared" ca="1" si="202"/>
        <v>#DIV/0!</v>
      </c>
      <c r="K213" s="204" t="e">
        <f t="shared" ca="1" si="202"/>
        <v>#DIV/0!</v>
      </c>
      <c r="L213" s="204" t="e">
        <f t="shared" ca="1" si="202"/>
        <v>#DIV/0!</v>
      </c>
      <c r="M213" s="204" t="e">
        <f t="shared" ca="1" si="202"/>
        <v>#DIV/0!</v>
      </c>
      <c r="N213" s="204" t="e">
        <f t="shared" ca="1" si="202"/>
        <v>#DIV/0!</v>
      </c>
      <c r="O213" s="204" t="e">
        <f t="shared" ca="1" si="202"/>
        <v>#DIV/0!</v>
      </c>
      <c r="P213" s="204" t="e">
        <f t="shared" ref="P213" ca="1" si="203">O213+P8+P210</f>
        <v>#DIV/0!</v>
      </c>
      <c r="Q213" s="204" t="e">
        <f t="shared" ref="Q213" ca="1" si="204">P213+Q8+Q210</f>
        <v>#DIV/0!</v>
      </c>
      <c r="R213" s="204" t="e">
        <f t="shared" ref="R213" ca="1" si="205">Q213+R8+R210</f>
        <v>#DIV/0!</v>
      </c>
      <c r="S213" s="204" t="e">
        <f t="shared" ref="S213" ca="1" si="206">R213+S8+S210</f>
        <v>#DIV/0!</v>
      </c>
      <c r="T213" s="204" t="e">
        <f t="shared" ref="T213" ca="1" si="207">S213+T8+T210</f>
        <v>#DIV/0!</v>
      </c>
      <c r="U213" s="204" t="e">
        <f t="shared" ref="U213" ca="1" si="208">T213+U8+U210</f>
        <v>#DIV/0!</v>
      </c>
      <c r="V213" s="204" t="e">
        <f t="shared" ref="V213" ca="1" si="209">U213+V8+V210</f>
        <v>#DIV/0!</v>
      </c>
      <c r="W213" s="204" t="e">
        <f t="shared" ref="W213" ca="1" si="210">V213+W8+W210</f>
        <v>#DIV/0!</v>
      </c>
      <c r="X213" s="75" t="e">
        <f ca="1">W213</f>
        <v>#DIV/0!</v>
      </c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</row>
    <row r="214" spans="1:44" x14ac:dyDescent="0.35">
      <c r="D214" s="208" t="s">
        <v>264</v>
      </c>
    </row>
    <row r="215" spans="1:44" x14ac:dyDescent="0.35">
      <c r="D215" s="91" t="s">
        <v>253</v>
      </c>
      <c r="F215" s="75">
        <f>F206/1000</f>
        <v>774.7419846559302</v>
      </c>
      <c r="G215" s="75">
        <f t="shared" ref="G215:O215" si="211">G206/1000</f>
        <v>1780.5315335092605</v>
      </c>
      <c r="H215" s="75">
        <f t="shared" si="211"/>
        <v>2269.8755370896156</v>
      </c>
      <c r="I215" s="75">
        <f t="shared" si="211"/>
        <v>2747.5859724612928</v>
      </c>
      <c r="J215" s="75">
        <f t="shared" si="211"/>
        <v>2996.6623799472832</v>
      </c>
      <c r="K215" s="75">
        <f t="shared" si="211"/>
        <v>3101.79573603872</v>
      </c>
      <c r="L215" s="75">
        <f t="shared" si="211"/>
        <v>3198.314941562508</v>
      </c>
      <c r="M215" s="75">
        <f t="shared" si="211"/>
        <v>3296.2553535170582</v>
      </c>
      <c r="N215" s="75">
        <f t="shared" si="211"/>
        <v>3398.4670508551199</v>
      </c>
      <c r="O215" s="75">
        <f t="shared" si="211"/>
        <v>3505.5793046594026</v>
      </c>
      <c r="P215" s="75">
        <f t="shared" ref="P215:W215" si="212">P206/1000</f>
        <v>4411.7603620546779</v>
      </c>
      <c r="Q215" s="75">
        <f t="shared" si="212"/>
        <v>5476.6987044807538</v>
      </c>
      <c r="R215" s="75">
        <f t="shared" si="212"/>
        <v>5645.7990595209394</v>
      </c>
      <c r="S215" s="75">
        <f t="shared" si="212"/>
        <v>5805.9004176989429</v>
      </c>
      <c r="T215" s="75">
        <f t="shared" si="212"/>
        <v>5675.912071618689</v>
      </c>
      <c r="U215" s="75">
        <f t="shared" si="212"/>
        <v>6143.1401990161876</v>
      </c>
      <c r="V215" s="75">
        <f t="shared" si="212"/>
        <v>6315.1210265912359</v>
      </c>
      <c r="W215" s="75">
        <f t="shared" si="212"/>
        <v>6503.9515166388819</v>
      </c>
      <c r="X215" s="75">
        <f>X206/1000</f>
        <v>72273.351167260567</v>
      </c>
    </row>
    <row r="216" spans="1:44" x14ac:dyDescent="0.35">
      <c r="D216" s="91" t="s">
        <v>254</v>
      </c>
      <c r="F216" s="75">
        <f>F217+F218</f>
        <v>407.11795038076116</v>
      </c>
      <c r="G216" s="75">
        <f t="shared" ref="G216:X216" si="213">G217+G218</f>
        <v>957.86116695966064</v>
      </c>
      <c r="H216" s="75">
        <f t="shared" si="213"/>
        <v>1086.2710744076539</v>
      </c>
      <c r="I216" s="75">
        <f t="shared" si="213"/>
        <v>1232.6243959855237</v>
      </c>
      <c r="J216" s="75">
        <f t="shared" si="213"/>
        <v>1314.0381354174469</v>
      </c>
      <c r="K216" s="75">
        <f t="shared" si="213"/>
        <v>1378.5890052063485</v>
      </c>
      <c r="L216" s="75">
        <f t="shared" si="213"/>
        <v>1445.4388341468564</v>
      </c>
      <c r="M216" s="75">
        <f t="shared" si="213"/>
        <v>1516.0884160119383</v>
      </c>
      <c r="N216" s="75">
        <f t="shared" si="213"/>
        <v>1590.7562380794516</v>
      </c>
      <c r="O216" s="75">
        <f t="shared" si="213"/>
        <v>1669.6729490038092</v>
      </c>
      <c r="P216" s="75">
        <f t="shared" ref="P216:W216" si="214">P217+P218</f>
        <v>1944.7854541911718</v>
      </c>
      <c r="Q216" s="75">
        <f t="shared" si="214"/>
        <v>2258.0321743018153</v>
      </c>
      <c r="R216" s="75">
        <f t="shared" si="214"/>
        <v>2368.9905161484385</v>
      </c>
      <c r="S216" s="75">
        <f t="shared" si="214"/>
        <v>2477.6189776345163</v>
      </c>
      <c r="T216" s="75">
        <f t="shared" si="214"/>
        <v>2482.6964682434395</v>
      </c>
      <c r="U216" s="75">
        <f t="shared" si="214"/>
        <v>2707.8510055042129</v>
      </c>
      <c r="V216" s="75">
        <f t="shared" si="214"/>
        <v>2827.9364662401313</v>
      </c>
      <c r="W216" s="75">
        <f t="shared" si="214"/>
        <v>2958.8086866977201</v>
      </c>
      <c r="X216" s="75">
        <f t="shared" si="213"/>
        <v>32218.059964180135</v>
      </c>
    </row>
    <row r="217" spans="1:44" x14ac:dyDescent="0.35">
      <c r="D217" s="207" t="s">
        <v>255</v>
      </c>
      <c r="F217" s="75">
        <f>F207/1000</f>
        <v>407.11795038076116</v>
      </c>
      <c r="G217" s="75">
        <f t="shared" ref="G217:X217" si="215">G207/1000</f>
        <v>957.86116695966064</v>
      </c>
      <c r="H217" s="75">
        <f t="shared" si="215"/>
        <v>1086.2710744076539</v>
      </c>
      <c r="I217" s="75">
        <f t="shared" si="215"/>
        <v>1232.6243959855237</v>
      </c>
      <c r="J217" s="75">
        <f t="shared" si="215"/>
        <v>1314.0381354174469</v>
      </c>
      <c r="K217" s="75">
        <f t="shared" si="215"/>
        <v>1378.5890052063485</v>
      </c>
      <c r="L217" s="75">
        <f t="shared" si="215"/>
        <v>1445.4388341468564</v>
      </c>
      <c r="M217" s="75">
        <f t="shared" si="215"/>
        <v>1516.0884160119383</v>
      </c>
      <c r="N217" s="75">
        <f t="shared" si="215"/>
        <v>1590.7562380794516</v>
      </c>
      <c r="O217" s="75">
        <f t="shared" si="215"/>
        <v>1669.6729490038092</v>
      </c>
      <c r="P217" s="75">
        <f t="shared" ref="P217:W217" si="216">P207/1000</f>
        <v>1782.8643484796207</v>
      </c>
      <c r="Q217" s="75">
        <f t="shared" si="216"/>
        <v>1902.6880557963293</v>
      </c>
      <c r="R217" s="75">
        <f t="shared" si="216"/>
        <v>2005.3940590818488</v>
      </c>
      <c r="S217" s="75">
        <f t="shared" si="216"/>
        <v>2105.3889819102274</v>
      </c>
      <c r="T217" s="75">
        <f t="shared" si="216"/>
        <v>2206.6220620098547</v>
      </c>
      <c r="U217" s="75">
        <f t="shared" si="216"/>
        <v>2317.1365204827275</v>
      </c>
      <c r="V217" s="75">
        <f t="shared" si="216"/>
        <v>2427.331822523819</v>
      </c>
      <c r="W217" s="75">
        <f t="shared" si="216"/>
        <v>2547.8541733165362</v>
      </c>
      <c r="X217" s="75">
        <f t="shared" si="215"/>
        <v>29486.620238819651</v>
      </c>
    </row>
    <row r="218" spans="1:44" x14ac:dyDescent="0.4">
      <c r="D218" s="207" t="s">
        <v>256</v>
      </c>
      <c r="F218" s="75">
        <f t="shared" ref="F218:X219" si="217">F208/1000</f>
        <v>0</v>
      </c>
      <c r="G218" s="75">
        <f t="shared" si="217"/>
        <v>0</v>
      </c>
      <c r="H218" s="75">
        <f t="shared" si="217"/>
        <v>0</v>
      </c>
      <c r="I218" s="75">
        <f t="shared" si="217"/>
        <v>0</v>
      </c>
      <c r="J218" s="75">
        <f t="shared" si="217"/>
        <v>0</v>
      </c>
      <c r="K218" s="75">
        <f t="shared" si="217"/>
        <v>0</v>
      </c>
      <c r="L218" s="75">
        <f t="shared" si="217"/>
        <v>0</v>
      </c>
      <c r="M218" s="75">
        <f t="shared" si="217"/>
        <v>0</v>
      </c>
      <c r="N218" s="75">
        <f t="shared" si="217"/>
        <v>0</v>
      </c>
      <c r="O218" s="75">
        <f t="shared" si="217"/>
        <v>0</v>
      </c>
      <c r="P218" s="75">
        <f t="shared" ref="P218:W218" si="218">P208/1000</f>
        <v>161.92110571155106</v>
      </c>
      <c r="Q218" s="75">
        <f t="shared" si="218"/>
        <v>355.34411850548616</v>
      </c>
      <c r="R218" s="75">
        <f t="shared" si="218"/>
        <v>363.59645706658972</v>
      </c>
      <c r="S218" s="75">
        <f t="shared" si="218"/>
        <v>372.22999572428887</v>
      </c>
      <c r="T218" s="75">
        <f t="shared" si="218"/>
        <v>276.07440623358485</v>
      </c>
      <c r="U218" s="75">
        <f t="shared" si="218"/>
        <v>390.7144850214853</v>
      </c>
      <c r="V218" s="75">
        <f t="shared" si="218"/>
        <v>400.60464371631207</v>
      </c>
      <c r="W218" s="75">
        <f t="shared" si="218"/>
        <v>410.95451338118414</v>
      </c>
      <c r="X218" s="75">
        <f t="shared" si="217"/>
        <v>2731.4397253604825</v>
      </c>
    </row>
    <row r="219" spans="1:44" x14ac:dyDescent="0.35">
      <c r="D219" s="193" t="s">
        <v>257</v>
      </c>
      <c r="F219" s="75">
        <f t="shared" si="217"/>
        <v>-1.8279960000000428</v>
      </c>
      <c r="G219" s="75">
        <f t="shared" si="217"/>
        <v>-3.8433940000000004</v>
      </c>
      <c r="H219" s="75">
        <f t="shared" si="217"/>
        <v>-3.0348940000000004</v>
      </c>
      <c r="I219" s="75">
        <f t="shared" si="217"/>
        <v>-3.0348940000000004</v>
      </c>
      <c r="J219" s="75">
        <f t="shared" si="217"/>
        <v>-3.0348940000000004</v>
      </c>
      <c r="K219" s="75">
        <f t="shared" si="217"/>
        <v>-3.0348940000000004</v>
      </c>
      <c r="L219" s="75">
        <f t="shared" si="217"/>
        <v>-3.0348940000000004</v>
      </c>
      <c r="M219" s="75">
        <f t="shared" si="217"/>
        <v>-3.0348940000000004</v>
      </c>
      <c r="N219" s="75">
        <f t="shared" si="217"/>
        <v>-3.0348940000000004</v>
      </c>
      <c r="O219" s="75">
        <f t="shared" si="217"/>
        <v>-3.0348940000000004</v>
      </c>
      <c r="P219" s="75">
        <f t="shared" ref="P219:W219" si="219">P209/1000</f>
        <v>-3.0348940000000004</v>
      </c>
      <c r="Q219" s="75">
        <f t="shared" si="219"/>
        <v>-3.0348940000000004</v>
      </c>
      <c r="R219" s="75">
        <f t="shared" si="219"/>
        <v>-3.0348940000000004</v>
      </c>
      <c r="S219" s="75">
        <f t="shared" si="219"/>
        <v>-3.0348940000000004</v>
      </c>
      <c r="T219" s="75">
        <f t="shared" si="219"/>
        <v>-3.0348940000000004</v>
      </c>
      <c r="U219" s="75">
        <f t="shared" si="219"/>
        <v>-3.0348940000000004</v>
      </c>
      <c r="V219" s="75">
        <f t="shared" si="219"/>
        <v>-3.0348940000000004</v>
      </c>
      <c r="W219" s="75">
        <f t="shared" si="219"/>
        <v>-3.0348940000000004</v>
      </c>
      <c r="X219" s="75">
        <f t="shared" si="217"/>
        <v>-52.401698000000003</v>
      </c>
    </row>
    <row r="220" spans="1:44" x14ac:dyDescent="0.35">
      <c r="D220" s="201" t="s">
        <v>259</v>
      </c>
      <c r="F220" s="75">
        <f>F204/1000</f>
        <v>367.62403427516904</v>
      </c>
      <c r="G220" s="75">
        <f t="shared" ref="G220:X220" si="220">G204/1000</f>
        <v>822.67036654959986</v>
      </c>
      <c r="H220" s="75">
        <f t="shared" si="220"/>
        <v>1183.6044626819616</v>
      </c>
      <c r="I220" s="75">
        <f t="shared" si="220"/>
        <v>1514.9615764757693</v>
      </c>
      <c r="J220" s="75">
        <f t="shared" si="220"/>
        <v>1682.6242445298362</v>
      </c>
      <c r="K220" s="75">
        <f t="shared" si="220"/>
        <v>1723.2067308323715</v>
      </c>
      <c r="L220" s="75">
        <f t="shared" si="220"/>
        <v>1752.8761074156519</v>
      </c>
      <c r="M220" s="75">
        <f t="shared" si="220"/>
        <v>1780.1669375051199</v>
      </c>
      <c r="N220" s="75">
        <f t="shared" si="220"/>
        <v>1807.7108127756683</v>
      </c>
      <c r="O220" s="75">
        <f t="shared" si="220"/>
        <v>1835.9063556555934</v>
      </c>
      <c r="P220" s="75">
        <f t="shared" ref="P220:W220" si="221">P204/1000</f>
        <v>2466.9749078635059</v>
      </c>
      <c r="Q220" s="75">
        <f t="shared" si="221"/>
        <v>3218.6665301789385</v>
      </c>
      <c r="R220" s="75">
        <f t="shared" si="221"/>
        <v>3276.8085433725005</v>
      </c>
      <c r="S220" s="75">
        <f t="shared" si="221"/>
        <v>3328.281440064427</v>
      </c>
      <c r="T220" s="75">
        <f t="shared" si="221"/>
        <v>3193.2156033752494</v>
      </c>
      <c r="U220" s="75">
        <f t="shared" si="221"/>
        <v>3435.2891935119746</v>
      </c>
      <c r="V220" s="75">
        <f t="shared" si="221"/>
        <v>3487.1845603511051</v>
      </c>
      <c r="W220" s="75">
        <f t="shared" si="221"/>
        <v>3545.1428299411614</v>
      </c>
      <c r="X220" s="75">
        <f t="shared" si="220"/>
        <v>40055.291203080429</v>
      </c>
    </row>
    <row r="221" spans="1:44" x14ac:dyDescent="0.35">
      <c r="D221" s="91" t="s">
        <v>258</v>
      </c>
      <c r="F221" s="75" t="e">
        <f>F222-F220</f>
        <v>#DIV/0!</v>
      </c>
      <c r="G221" s="75" t="e">
        <f t="shared" ref="G221:O221" si="222">G222-G220</f>
        <v>#DIV/0!</v>
      </c>
      <c r="H221" s="75" t="e">
        <f t="shared" si="222"/>
        <v>#DIV/0!</v>
      </c>
      <c r="I221" s="75" t="e">
        <f t="shared" si="222"/>
        <v>#DIV/0!</v>
      </c>
      <c r="J221" s="75" t="e">
        <f t="shared" si="222"/>
        <v>#DIV/0!</v>
      </c>
      <c r="K221" s="75" t="e">
        <f t="shared" si="222"/>
        <v>#DIV/0!</v>
      </c>
      <c r="L221" s="75" t="e">
        <f t="shared" si="222"/>
        <v>#DIV/0!</v>
      </c>
      <c r="M221" s="75" t="e">
        <f t="shared" si="222"/>
        <v>#DIV/0!</v>
      </c>
      <c r="N221" s="75" t="e">
        <f t="shared" si="222"/>
        <v>#DIV/0!</v>
      </c>
      <c r="O221" s="75" t="e">
        <f t="shared" si="222"/>
        <v>#DIV/0!</v>
      </c>
      <c r="P221" s="75" t="e">
        <f t="shared" ref="P221:W221" si="223">P222-P220</f>
        <v>#DIV/0!</v>
      </c>
      <c r="Q221" s="75" t="e">
        <f t="shared" si="223"/>
        <v>#DIV/0!</v>
      </c>
      <c r="R221" s="75" t="e">
        <f t="shared" si="223"/>
        <v>#DIV/0!</v>
      </c>
      <c r="S221" s="75" t="e">
        <f t="shared" si="223"/>
        <v>#DIV/0!</v>
      </c>
      <c r="T221" s="75" t="e">
        <f t="shared" si="223"/>
        <v>#DIV/0!</v>
      </c>
      <c r="U221" s="75" t="e">
        <f t="shared" si="223"/>
        <v>#DIV/0!</v>
      </c>
      <c r="V221" s="75" t="e">
        <f t="shared" si="223"/>
        <v>#DIV/0!</v>
      </c>
      <c r="W221" s="75" t="e">
        <f t="shared" si="223"/>
        <v>#DIV/0!</v>
      </c>
      <c r="X221" s="75" t="e">
        <f>X222-X220</f>
        <v>#DIV/0!</v>
      </c>
    </row>
    <row r="222" spans="1:44" x14ac:dyDescent="0.35">
      <c r="D222" s="201" t="s">
        <v>260</v>
      </c>
      <c r="F222" s="75" t="e">
        <f>F200/1000</f>
        <v>#DIV/0!</v>
      </c>
      <c r="G222" s="75" t="e">
        <f t="shared" ref="G222:O222" si="224">G200/1000</f>
        <v>#DIV/0!</v>
      </c>
      <c r="H222" s="75" t="e">
        <f t="shared" si="224"/>
        <v>#DIV/0!</v>
      </c>
      <c r="I222" s="75" t="e">
        <f t="shared" si="224"/>
        <v>#DIV/0!</v>
      </c>
      <c r="J222" s="75" t="e">
        <f t="shared" si="224"/>
        <v>#DIV/0!</v>
      </c>
      <c r="K222" s="75" t="e">
        <f t="shared" si="224"/>
        <v>#DIV/0!</v>
      </c>
      <c r="L222" s="75" t="e">
        <f t="shared" si="224"/>
        <v>#DIV/0!</v>
      </c>
      <c r="M222" s="75" t="e">
        <f t="shared" si="224"/>
        <v>#DIV/0!</v>
      </c>
      <c r="N222" s="75" t="e">
        <f t="shared" si="224"/>
        <v>#DIV/0!</v>
      </c>
      <c r="O222" s="75" t="e">
        <f t="shared" si="224"/>
        <v>#DIV/0!</v>
      </c>
      <c r="P222" s="75" t="e">
        <f t="shared" ref="P222:W222" si="225">P200/1000</f>
        <v>#DIV/0!</v>
      </c>
      <c r="Q222" s="75" t="e">
        <f t="shared" si="225"/>
        <v>#DIV/0!</v>
      </c>
      <c r="R222" s="75" t="e">
        <f t="shared" si="225"/>
        <v>#DIV/0!</v>
      </c>
      <c r="S222" s="75" t="e">
        <f t="shared" si="225"/>
        <v>#DIV/0!</v>
      </c>
      <c r="T222" s="75" t="e">
        <f t="shared" si="225"/>
        <v>#DIV/0!</v>
      </c>
      <c r="U222" s="75" t="e">
        <f t="shared" si="225"/>
        <v>#DIV/0!</v>
      </c>
      <c r="V222" s="75" t="e">
        <f t="shared" si="225"/>
        <v>#DIV/0!</v>
      </c>
      <c r="W222" s="75" t="e">
        <f t="shared" si="225"/>
        <v>#DIV/0!</v>
      </c>
      <c r="X222" s="75" t="e">
        <f>X200/1000</f>
        <v>#DIV/0!</v>
      </c>
    </row>
    <row r="223" spans="1:44" ht="29" x14ac:dyDescent="0.35">
      <c r="D223" s="206" t="s">
        <v>261</v>
      </c>
      <c r="F223" s="75" t="e">
        <f>F222</f>
        <v>#DIV/0!</v>
      </c>
      <c r="G223" s="75" t="e">
        <f>F223+G222</f>
        <v>#DIV/0!</v>
      </c>
      <c r="H223" s="75" t="e">
        <f t="shared" ref="H223:O223" si="226">G223+H222</f>
        <v>#DIV/0!</v>
      </c>
      <c r="I223" s="75" t="e">
        <f t="shared" si="226"/>
        <v>#DIV/0!</v>
      </c>
      <c r="J223" s="75" t="e">
        <f t="shared" si="226"/>
        <v>#DIV/0!</v>
      </c>
      <c r="K223" s="75" t="e">
        <f t="shared" si="226"/>
        <v>#DIV/0!</v>
      </c>
      <c r="L223" s="75" t="e">
        <f t="shared" si="226"/>
        <v>#DIV/0!</v>
      </c>
      <c r="M223" s="75" t="e">
        <f t="shared" si="226"/>
        <v>#DIV/0!</v>
      </c>
      <c r="N223" s="75" t="e">
        <f t="shared" si="226"/>
        <v>#DIV/0!</v>
      </c>
      <c r="O223" s="75" t="e">
        <f t="shared" si="226"/>
        <v>#DIV/0!</v>
      </c>
      <c r="P223" s="75" t="e">
        <f t="shared" ref="P223" si="227">O223+P222</f>
        <v>#DIV/0!</v>
      </c>
      <c r="Q223" s="75" t="e">
        <f t="shared" ref="Q223" si="228">P223+Q222</f>
        <v>#DIV/0!</v>
      </c>
      <c r="R223" s="75" t="e">
        <f t="shared" ref="R223" si="229">Q223+R222</f>
        <v>#DIV/0!</v>
      </c>
      <c r="S223" s="75" t="e">
        <f t="shared" ref="S223" si="230">R223+S222</f>
        <v>#DIV/0!</v>
      </c>
      <c r="T223" s="75" t="e">
        <f t="shared" ref="T223" si="231">S223+T222</f>
        <v>#DIV/0!</v>
      </c>
      <c r="U223" s="75" t="e">
        <f t="shared" ref="U223" si="232">T223+U222</f>
        <v>#DIV/0!</v>
      </c>
      <c r="V223" s="75" t="e">
        <f t="shared" ref="V223" si="233">U223+V222</f>
        <v>#DIV/0!</v>
      </c>
      <c r="W223" s="75" t="e">
        <f t="shared" ref="W223" si="234">V223+W222</f>
        <v>#DIV/0!</v>
      </c>
      <c r="X223" s="75" t="e">
        <f>W223</f>
        <v>#DIV/0!</v>
      </c>
    </row>
    <row r="224" spans="1:44" ht="17.5" customHeight="1" x14ac:dyDescent="0.35">
      <c r="D224" s="203" t="s">
        <v>262</v>
      </c>
      <c r="F224" s="75">
        <f>F210/1000</f>
        <v>0</v>
      </c>
      <c r="G224" s="75">
        <f t="shared" ref="G224:O224" si="235">G210/1000</f>
        <v>0</v>
      </c>
      <c r="H224" s="75">
        <f t="shared" si="235"/>
        <v>-1144.983099678062</v>
      </c>
      <c r="I224" s="75">
        <f t="shared" si="235"/>
        <v>-597.97070610864114</v>
      </c>
      <c r="J224" s="75">
        <f t="shared" ca="1" si="235"/>
        <v>-124.37790687059727</v>
      </c>
      <c r="K224" s="75">
        <f t="shared" si="235"/>
        <v>-6779.4863227326214</v>
      </c>
      <c r="L224" s="75">
        <f t="shared" si="235"/>
        <v>-7050.6657756419254</v>
      </c>
      <c r="M224" s="75">
        <f t="shared" si="235"/>
        <v>-5872.0681618221197</v>
      </c>
      <c r="N224" s="75">
        <f t="shared" si="235"/>
        <v>-6395.4754784589377</v>
      </c>
      <c r="O224" s="75">
        <f t="shared" si="235"/>
        <v>-2547.1311473770493</v>
      </c>
      <c r="P224" s="75">
        <f t="shared" ref="P224:W224" si="236">P210/1000</f>
        <v>-1715.1639344262294</v>
      </c>
      <c r="Q224" s="75">
        <f t="shared" si="236"/>
        <v>0</v>
      </c>
      <c r="R224" s="75">
        <f t="shared" si="236"/>
        <v>0</v>
      </c>
      <c r="S224" s="75">
        <f t="shared" si="236"/>
        <v>0</v>
      </c>
      <c r="T224" s="75">
        <f t="shared" si="236"/>
        <v>0</v>
      </c>
      <c r="U224" s="75">
        <f t="shared" si="236"/>
        <v>0</v>
      </c>
      <c r="V224" s="75">
        <f t="shared" si="236"/>
        <v>0</v>
      </c>
      <c r="W224" s="75">
        <f t="shared" si="236"/>
        <v>0</v>
      </c>
      <c r="X224" s="75">
        <f ca="1">SUM(G224:W224)</f>
        <v>-32227.322533116188</v>
      </c>
    </row>
    <row r="225" spans="4:24" ht="29" x14ac:dyDescent="0.35">
      <c r="D225" s="205" t="s">
        <v>263</v>
      </c>
      <c r="F225" s="75" t="e">
        <f>F223+F224</f>
        <v>#DIV/0!</v>
      </c>
      <c r="G225" s="75" t="e">
        <f t="shared" ref="G225:O225" si="237">F225+G222+G224</f>
        <v>#DIV/0!</v>
      </c>
      <c r="H225" s="75" t="e">
        <f t="shared" si="237"/>
        <v>#DIV/0!</v>
      </c>
      <c r="I225" s="75" t="e">
        <f t="shared" si="237"/>
        <v>#DIV/0!</v>
      </c>
      <c r="J225" s="75" t="e">
        <f t="shared" ca="1" si="237"/>
        <v>#DIV/0!</v>
      </c>
      <c r="K225" s="75" t="e">
        <f t="shared" ca="1" si="237"/>
        <v>#DIV/0!</v>
      </c>
      <c r="L225" s="75" t="e">
        <f t="shared" ca="1" si="237"/>
        <v>#DIV/0!</v>
      </c>
      <c r="M225" s="75" t="e">
        <f t="shared" ca="1" si="237"/>
        <v>#DIV/0!</v>
      </c>
      <c r="N225" s="75" t="e">
        <f t="shared" ca="1" si="237"/>
        <v>#DIV/0!</v>
      </c>
      <c r="O225" s="75" t="e">
        <f t="shared" ca="1" si="237"/>
        <v>#DIV/0!</v>
      </c>
      <c r="P225" s="75" t="e">
        <f t="shared" ref="P225" ca="1" si="238">O225+P222+P224</f>
        <v>#DIV/0!</v>
      </c>
      <c r="Q225" s="75" t="e">
        <f t="shared" ref="Q225" ca="1" si="239">P225+Q222+Q224</f>
        <v>#DIV/0!</v>
      </c>
      <c r="R225" s="75" t="e">
        <f t="shared" ref="R225" ca="1" si="240">Q225+R222+R224</f>
        <v>#DIV/0!</v>
      </c>
      <c r="S225" s="75" t="e">
        <f t="shared" ref="S225" ca="1" si="241">R225+S222+S224</f>
        <v>#DIV/0!</v>
      </c>
      <c r="T225" s="75" t="e">
        <f t="shared" ref="T225" ca="1" si="242">S225+T222+T224</f>
        <v>#DIV/0!</v>
      </c>
      <c r="U225" s="75" t="e">
        <f t="shared" ref="U225" ca="1" si="243">T225+U222+U224</f>
        <v>#DIV/0!</v>
      </c>
      <c r="V225" s="75" t="e">
        <f t="shared" ref="V225" ca="1" si="244">U225+V222+V224</f>
        <v>#DIV/0!</v>
      </c>
      <c r="W225" s="75" t="e">
        <f t="shared" ref="W225" ca="1" si="245">V225+W222+W224</f>
        <v>#DIV/0!</v>
      </c>
      <c r="X225" s="75" t="e">
        <f ca="1">W225</f>
        <v>#DIV/0!</v>
      </c>
    </row>
  </sheetData>
  <mergeCells count="5">
    <mergeCell ref="C5:C6"/>
    <mergeCell ref="D5:D6"/>
    <mergeCell ref="E5:E6"/>
    <mergeCell ref="X5:X6"/>
    <mergeCell ref="AA9:AG9"/>
  </mergeCells>
  <conditionalFormatting sqref="Z15:Z27 AA15:AA25">
    <cfRule type="colorScale" priority="5">
      <colorScale>
        <cfvo type="min"/>
        <cfvo type="max"/>
        <color rgb="FFF75F63"/>
        <color rgb="FFFDD7D3"/>
      </colorScale>
    </cfRule>
  </conditionalFormatting>
  <conditionalFormatting sqref="AA26:AA29 AN30:AO30 Z28:Z29">
    <cfRule type="colorScale" priority="6">
      <colorScale>
        <cfvo type="min"/>
        <cfvo type="max"/>
        <color theme="7" tint="0.79998168889431442"/>
        <color rgb="FF00B050"/>
      </colorScale>
    </cfRule>
  </conditionalFormatting>
  <conditionalFormatting sqref="AA30:AE30">
    <cfRule type="colorScale" priority="8">
      <colorScale>
        <cfvo type="min"/>
        <cfvo type="max"/>
        <color rgb="FFF8696B"/>
        <color rgb="FFFCFCFF"/>
      </colorScale>
    </cfRule>
  </conditionalFormatting>
  <conditionalFormatting sqref="AF30:AK30">
    <cfRule type="colorScale" priority="9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"/>
  <sheetViews>
    <sheetView workbookViewId="0">
      <selection activeCell="D8" sqref="D8"/>
    </sheetView>
  </sheetViews>
  <sheetFormatPr defaultRowHeight="14.5" x14ac:dyDescent="0.35"/>
  <cols>
    <col min="1" max="1" width="5.26953125" customWidth="1"/>
    <col min="2" max="3" width="7.54296875" bestFit="1" customWidth="1"/>
    <col min="4" max="16" width="8.26953125" bestFit="1" customWidth="1"/>
  </cols>
  <sheetData>
    <row r="1" spans="1:30" ht="21" x14ac:dyDescent="0.5">
      <c r="A1" s="415" t="s">
        <v>232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</row>
    <row r="3" spans="1:30" ht="21" x14ac:dyDescent="0.5">
      <c r="A3" s="416" t="s">
        <v>11</v>
      </c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</row>
    <row r="4" spans="1:30" ht="21" x14ac:dyDescent="0.5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</row>
    <row r="5" spans="1:30" x14ac:dyDescent="0.35">
      <c r="D5" s="417" t="s">
        <v>238</v>
      </c>
      <c r="E5" s="417"/>
      <c r="F5" s="417"/>
      <c r="G5" s="417"/>
      <c r="H5" s="417"/>
      <c r="I5" s="417"/>
      <c r="J5" s="417"/>
      <c r="K5" s="417"/>
      <c r="L5" s="417"/>
      <c r="M5" s="417"/>
      <c r="N5" s="417"/>
      <c r="O5" s="417"/>
      <c r="P5" s="417"/>
    </row>
    <row r="6" spans="1:30" ht="15" thickBot="1" x14ac:dyDescent="0.4">
      <c r="D6" s="145">
        <f>ROUND('Анализ чувствительности '!AE13,2)</f>
        <v>1146.45</v>
      </c>
      <c r="E6" s="145">
        <f>ROUND('Анализ чувствительности '!AF13,2)</f>
        <v>1171.93</v>
      </c>
      <c r="F6" s="145">
        <f>ROUND('Анализ чувствительности '!AG13,2)</f>
        <v>1197.4100000000001</v>
      </c>
      <c r="G6" s="145">
        <f>ROUND('Анализ чувствительности '!AH13,2)</f>
        <v>1222.8800000000001</v>
      </c>
      <c r="H6" s="145">
        <f>ROUND('Анализ чувствительности '!AI13,2)</f>
        <v>1248.3599999999999</v>
      </c>
      <c r="I6" s="145">
        <f>ROUND('Анализ чувствительности '!AJ13,2)</f>
        <v>1273.8399999999999</v>
      </c>
      <c r="J6" s="145">
        <f>ROUND('Анализ чувствительности '!AK13,2)</f>
        <v>1299.31</v>
      </c>
      <c r="K6" s="145">
        <f>ROUND('Анализ чувствительности '!AL13,2)</f>
        <v>1324.79</v>
      </c>
      <c r="L6" s="145">
        <f>ROUND('Анализ чувствительности '!AM13,2)</f>
        <v>1350.27</v>
      </c>
      <c r="M6" s="145">
        <f>ROUND('Анализ чувствительности '!AN13,2)</f>
        <v>1375.74</v>
      </c>
      <c r="N6" s="145">
        <f>ROUND('Анализ чувствительности '!AO13,2)</f>
        <v>1401.22</v>
      </c>
      <c r="O6" s="145">
        <f>ROUND('Анализ чувствительности '!AP13,2)</f>
        <v>1426.7</v>
      </c>
      <c r="P6" s="145">
        <f>ROUND('Анализ чувствительности '!AQ13,2)</f>
        <v>1452.17</v>
      </c>
    </row>
    <row r="7" spans="1:30" ht="15" thickBot="1" x14ac:dyDescent="0.4">
      <c r="D7" s="118">
        <f>'Анализ чувствительности '!AE14</f>
        <v>0.9</v>
      </c>
      <c r="E7" s="119">
        <f>'Анализ чувствительности '!AF14</f>
        <v>0.92</v>
      </c>
      <c r="F7" s="119">
        <f>'Анализ чувствительности '!AG14</f>
        <v>0.94</v>
      </c>
      <c r="G7" s="119">
        <f>'Анализ чувствительности '!AH14</f>
        <v>0.96</v>
      </c>
      <c r="H7" s="119">
        <f>'Анализ чувствительности '!AI14</f>
        <v>0.98</v>
      </c>
      <c r="I7" s="120">
        <f>'Анализ чувствительности '!AJ14</f>
        <v>1</v>
      </c>
      <c r="J7" s="119">
        <f>'Анализ чувствительности '!AK14</f>
        <v>1.02</v>
      </c>
      <c r="K7" s="119">
        <f>'Анализ чувствительности '!AL14</f>
        <v>1.04</v>
      </c>
      <c r="L7" s="119">
        <f>'Анализ чувствительности '!AM14</f>
        <v>1.06</v>
      </c>
      <c r="M7" s="119">
        <f>'Анализ чувствительности '!AN14</f>
        <v>1.08</v>
      </c>
      <c r="N7" s="119">
        <f>'Анализ чувствительности '!AO14</f>
        <v>1.1000000000000001</v>
      </c>
      <c r="O7" s="119">
        <f>'Анализ чувствительности '!AP14</f>
        <v>1.1200000000000001</v>
      </c>
      <c r="P7" s="121">
        <f>'Анализ чувствительности '!AQ14</f>
        <v>1.1399999999999999</v>
      </c>
    </row>
    <row r="8" spans="1:30" x14ac:dyDescent="0.35">
      <c r="A8" s="414" t="s">
        <v>233</v>
      </c>
      <c r="B8" s="122">
        <f>'Анализ чувствительности '!AC15</f>
        <v>2036</v>
      </c>
      <c r="C8" s="123">
        <f>'Анализ чувствительности '!AD15</f>
        <v>0.9</v>
      </c>
      <c r="D8" s="127" t="e">
        <f>'Анализ чувствительности '!AE15</f>
        <v>#DIV/0!</v>
      </c>
      <c r="E8" s="127" t="e">
        <f>'Анализ чувствительности '!AF15</f>
        <v>#DIV/0!</v>
      </c>
      <c r="F8" s="127" t="e">
        <f>'Анализ чувствительности '!AG15</f>
        <v>#DIV/0!</v>
      </c>
      <c r="G8" s="127" t="e">
        <f>'Анализ чувствительности '!AH15</f>
        <v>#DIV/0!</v>
      </c>
      <c r="H8" s="127" t="e">
        <f>'Анализ чувствительности '!AI15</f>
        <v>#DIV/0!</v>
      </c>
      <c r="I8" s="128" t="e">
        <f>'Анализ чувствительности '!AJ15</f>
        <v>#DIV/0!</v>
      </c>
      <c r="J8" s="127" t="e">
        <f>'Анализ чувствительности '!AK15</f>
        <v>#DIV/0!</v>
      </c>
      <c r="K8" s="127" t="e">
        <f>'Анализ чувствительности '!AL15</f>
        <v>#DIV/0!</v>
      </c>
      <c r="L8" s="127" t="e">
        <f>'Анализ чувствительности '!AM15</f>
        <v>#DIV/0!</v>
      </c>
      <c r="M8" s="127" t="e">
        <f>'Анализ чувствительности '!AN15</f>
        <v>#DIV/0!</v>
      </c>
      <c r="N8" s="127" t="e">
        <f>'Анализ чувствительности '!AO15</f>
        <v>#DIV/0!</v>
      </c>
      <c r="O8" s="127" t="e">
        <f>'Анализ чувствительности '!AP15</f>
        <v>#DIV/0!</v>
      </c>
      <c r="P8" s="129" t="e">
        <f>'Анализ чувствительности '!AQ15</f>
        <v>#DIV/0!</v>
      </c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</row>
    <row r="9" spans="1:30" x14ac:dyDescent="0.35">
      <c r="A9" s="414"/>
      <c r="B9" s="122">
        <f>'Анализ чувствительности '!AC16</f>
        <v>2081</v>
      </c>
      <c r="C9" s="125">
        <f>'Анализ чувствительности '!AD16</f>
        <v>0.92</v>
      </c>
      <c r="D9" s="127" t="e">
        <f>'Анализ чувствительности '!AE16</f>
        <v>#DIV/0!</v>
      </c>
      <c r="E9" s="127" t="e">
        <f>'Анализ чувствительности '!AF16</f>
        <v>#DIV/0!</v>
      </c>
      <c r="F9" s="127" t="e">
        <f>'Анализ чувствительности '!AG16</f>
        <v>#DIV/0!</v>
      </c>
      <c r="G9" s="127" t="e">
        <f>'Анализ чувствительности '!AH16</f>
        <v>#DIV/0!</v>
      </c>
      <c r="H9" s="127" t="e">
        <f>'Анализ чувствительности '!AI16</f>
        <v>#DIV/0!</v>
      </c>
      <c r="I9" s="128" t="e">
        <f>'Анализ чувствительности '!AJ16</f>
        <v>#DIV/0!</v>
      </c>
      <c r="J9" s="127" t="e">
        <f>'Анализ чувствительности '!AK16</f>
        <v>#DIV/0!</v>
      </c>
      <c r="K9" s="127" t="e">
        <f>'Анализ чувствительности '!AL16</f>
        <v>#DIV/0!</v>
      </c>
      <c r="L9" s="127" t="e">
        <f>'Анализ чувствительности '!AM16</f>
        <v>#DIV/0!</v>
      </c>
      <c r="M9" s="127" t="e">
        <f>'Анализ чувствительности '!AN16</f>
        <v>#DIV/0!</v>
      </c>
      <c r="N9" s="127" t="e">
        <f>'Анализ чувствительности '!AO16</f>
        <v>#DIV/0!</v>
      </c>
      <c r="O9" s="127" t="e">
        <f>'Анализ чувствительности '!AP16</f>
        <v>#DIV/0!</v>
      </c>
      <c r="P9" s="129" t="e">
        <f>'Анализ чувствительности '!AQ16</f>
        <v>#DIV/0!</v>
      </c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</row>
    <row r="10" spans="1:30" x14ac:dyDescent="0.35">
      <c r="A10" s="414"/>
      <c r="B10" s="122">
        <f>'Анализ чувствительности '!AC17</f>
        <v>2126</v>
      </c>
      <c r="C10" s="125">
        <f>'Анализ чувствительности '!AD17</f>
        <v>0.94</v>
      </c>
      <c r="D10" s="127" t="e">
        <f>'Анализ чувствительности '!AE17</f>
        <v>#DIV/0!</v>
      </c>
      <c r="E10" s="127" t="e">
        <f>'Анализ чувствительности '!AF17</f>
        <v>#DIV/0!</v>
      </c>
      <c r="F10" s="127" t="e">
        <f>'Анализ чувствительности '!AG17</f>
        <v>#DIV/0!</v>
      </c>
      <c r="G10" s="127" t="e">
        <f>'Анализ чувствительности '!AH17</f>
        <v>#DIV/0!</v>
      </c>
      <c r="H10" s="127" t="e">
        <f>'Анализ чувствительности '!AI17</f>
        <v>#DIV/0!</v>
      </c>
      <c r="I10" s="128" t="e">
        <f>'Анализ чувствительности '!AJ17</f>
        <v>#DIV/0!</v>
      </c>
      <c r="J10" s="127" t="e">
        <f>'Анализ чувствительности '!AK17</f>
        <v>#DIV/0!</v>
      </c>
      <c r="K10" s="127" t="e">
        <f>'Анализ чувствительности '!AL17</f>
        <v>#DIV/0!</v>
      </c>
      <c r="L10" s="127" t="e">
        <f>'Анализ чувствительности '!AM17</f>
        <v>#DIV/0!</v>
      </c>
      <c r="M10" s="127" t="e">
        <f>'Анализ чувствительности '!AN17</f>
        <v>#DIV/0!</v>
      </c>
      <c r="N10" s="127" t="e">
        <f>'Анализ чувствительности '!AO17</f>
        <v>#DIV/0!</v>
      </c>
      <c r="O10" s="127" t="e">
        <f>'Анализ чувствительности '!AP17</f>
        <v>#DIV/0!</v>
      </c>
      <c r="P10" s="129" t="e">
        <f>'Анализ чувствительности '!AQ17</f>
        <v>#DIV/0!</v>
      </c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</row>
    <row r="11" spans="1:30" x14ac:dyDescent="0.35">
      <c r="A11" s="414"/>
      <c r="B11" s="122">
        <f>'Анализ чувствительности '!AC18</f>
        <v>2172</v>
      </c>
      <c r="C11" s="125">
        <f>'Анализ чувствительности '!AD18</f>
        <v>0.96</v>
      </c>
      <c r="D11" s="127" t="e">
        <f>'Анализ чувствительности '!AE18</f>
        <v>#DIV/0!</v>
      </c>
      <c r="E11" s="127" t="e">
        <f>'Анализ чувствительности '!AF18</f>
        <v>#DIV/0!</v>
      </c>
      <c r="F11" s="127" t="e">
        <f>'Анализ чувствительности '!AG18</f>
        <v>#DIV/0!</v>
      </c>
      <c r="G11" s="127" t="e">
        <f>'Анализ чувствительности '!AH18</f>
        <v>#DIV/0!</v>
      </c>
      <c r="H11" s="127" t="e">
        <f>'Анализ чувствительности '!AI18</f>
        <v>#DIV/0!</v>
      </c>
      <c r="I11" s="128" t="e">
        <f>'Анализ чувствительности '!AJ18</f>
        <v>#DIV/0!</v>
      </c>
      <c r="J11" s="127" t="e">
        <f>'Анализ чувствительности '!AK18</f>
        <v>#DIV/0!</v>
      </c>
      <c r="K11" s="127" t="e">
        <f>'Анализ чувствительности '!AL18</f>
        <v>#DIV/0!</v>
      </c>
      <c r="L11" s="127" t="e">
        <f>'Анализ чувствительности '!AM18</f>
        <v>#DIV/0!</v>
      </c>
      <c r="M11" s="127" t="e">
        <f>'Анализ чувствительности '!AN18</f>
        <v>#DIV/0!</v>
      </c>
      <c r="N11" s="127" t="e">
        <f>'Анализ чувствительности '!AO18</f>
        <v>#DIV/0!</v>
      </c>
      <c r="O11" s="127" t="e">
        <f>'Анализ чувствительности '!AP18</f>
        <v>#DIV/0!</v>
      </c>
      <c r="P11" s="129" t="e">
        <f>'Анализ чувствительности '!AQ18</f>
        <v>#DIV/0!</v>
      </c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</row>
    <row r="12" spans="1:30" ht="15" thickBot="1" x14ac:dyDescent="0.4">
      <c r="A12" s="414"/>
      <c r="B12" s="122">
        <f>'Анализ чувствительности '!AC19</f>
        <v>2217</v>
      </c>
      <c r="C12" s="125">
        <f>'Анализ чувствительности '!AD19</f>
        <v>0.98</v>
      </c>
      <c r="D12" s="127" t="e">
        <f>'Анализ чувствительности '!AE19</f>
        <v>#DIV/0!</v>
      </c>
      <c r="E12" s="127" t="e">
        <f>'Анализ чувствительности '!AF19</f>
        <v>#DIV/0!</v>
      </c>
      <c r="F12" s="127" t="e">
        <f>'Анализ чувствительности '!AG19</f>
        <v>#DIV/0!</v>
      </c>
      <c r="G12" s="127" t="e">
        <f>'Анализ чувствительности '!AH19</f>
        <v>#DIV/0!</v>
      </c>
      <c r="H12" s="127" t="e">
        <f>'Анализ чувствительности '!AI19</f>
        <v>#DIV/0!</v>
      </c>
      <c r="I12" s="128" t="e">
        <f>'Анализ чувствительности '!AJ19</f>
        <v>#DIV/0!</v>
      </c>
      <c r="J12" s="127" t="e">
        <f>'Анализ чувствительности '!AK19</f>
        <v>#DIV/0!</v>
      </c>
      <c r="K12" s="127" t="e">
        <f>'Анализ чувствительности '!AL19</f>
        <v>#DIV/0!</v>
      </c>
      <c r="L12" s="127" t="e">
        <f>'Анализ чувствительности '!AM19</f>
        <v>#DIV/0!</v>
      </c>
      <c r="M12" s="127" t="e">
        <f>'Анализ чувствительности '!AN19</f>
        <v>#DIV/0!</v>
      </c>
      <c r="N12" s="127" t="e">
        <f>'Анализ чувствительности '!AO19</f>
        <v>#DIV/0!</v>
      </c>
      <c r="O12" s="127" t="e">
        <f>'Анализ чувствительности '!AP19</f>
        <v>#DIV/0!</v>
      </c>
      <c r="P12" s="129" t="e">
        <f>'Анализ чувствительности '!AQ19</f>
        <v>#DIV/0!</v>
      </c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</row>
    <row r="13" spans="1:30" ht="15" thickBot="1" x14ac:dyDescent="0.4">
      <c r="A13" s="414"/>
      <c r="B13" s="130">
        <f>'Анализ чувствительности '!AC20</f>
        <v>2262</v>
      </c>
      <c r="C13" s="120">
        <f>'Анализ чувствительности '!AD20</f>
        <v>1</v>
      </c>
      <c r="D13" s="132" t="e">
        <f>'Анализ чувствительности '!AE20</f>
        <v>#DIV/0!</v>
      </c>
      <c r="E13" s="132" t="e">
        <f>'Анализ чувствительности '!AF20</f>
        <v>#DIV/0!</v>
      </c>
      <c r="F13" s="132" t="e">
        <f>'Анализ чувствительности '!AG20</f>
        <v>#DIV/0!</v>
      </c>
      <c r="G13" s="132" t="e">
        <f>'Анализ чувствительности '!AH20</f>
        <v>#DIV/0!</v>
      </c>
      <c r="H13" s="132" t="e">
        <f>'Анализ чувствительности '!AI20</f>
        <v>#DIV/0!</v>
      </c>
      <c r="I13" s="133" t="e">
        <f>'Анализ чувствительности '!AJ20</f>
        <v>#DIV/0!</v>
      </c>
      <c r="J13" s="132" t="e">
        <f>'Анализ чувствительности '!AK20</f>
        <v>#DIV/0!</v>
      </c>
      <c r="K13" s="132" t="e">
        <f>'Анализ чувствительности '!AL20</f>
        <v>#DIV/0!</v>
      </c>
      <c r="L13" s="132" t="e">
        <f>'Анализ чувствительности '!AM20</f>
        <v>#DIV/0!</v>
      </c>
      <c r="M13" s="132" t="e">
        <f>'Анализ чувствительности '!AN20</f>
        <v>#DIV/0!</v>
      </c>
      <c r="N13" s="132" t="e">
        <f>'Анализ чувствительности '!AO20</f>
        <v>#DIV/0!</v>
      </c>
      <c r="O13" s="132" t="e">
        <f>'Анализ чувствительности '!AP20</f>
        <v>#DIV/0!</v>
      </c>
      <c r="P13" s="134" t="e">
        <f>'Анализ чувствительности '!AQ20</f>
        <v>#DIV/0!</v>
      </c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</row>
    <row r="14" spans="1:30" x14ac:dyDescent="0.35">
      <c r="A14" s="414"/>
      <c r="B14" s="122">
        <f>'Анализ чувствительности '!AC21</f>
        <v>2307</v>
      </c>
      <c r="C14" s="125">
        <f>'Анализ чувствительности '!AD21</f>
        <v>1.02</v>
      </c>
      <c r="D14" s="127" t="e">
        <f>'Анализ чувствительности '!AE21</f>
        <v>#DIV/0!</v>
      </c>
      <c r="E14" s="127" t="e">
        <f>'Анализ чувствительности '!AF21</f>
        <v>#DIV/0!</v>
      </c>
      <c r="F14" s="127" t="e">
        <f>'Анализ чувствительности '!AG21</f>
        <v>#DIV/0!</v>
      </c>
      <c r="G14" s="127" t="e">
        <f>'Анализ чувствительности '!AH21</f>
        <v>#DIV/0!</v>
      </c>
      <c r="H14" s="127" t="e">
        <f>'Анализ чувствительности '!AI21</f>
        <v>#DIV/0!</v>
      </c>
      <c r="I14" s="128" t="e">
        <f>'Анализ чувствительности '!AJ21</f>
        <v>#DIV/0!</v>
      </c>
      <c r="J14" s="127" t="e">
        <f>'Анализ чувствительности '!AK21</f>
        <v>#DIV/0!</v>
      </c>
      <c r="K14" s="127" t="e">
        <f>'Анализ чувствительности '!AL21</f>
        <v>#DIV/0!</v>
      </c>
      <c r="L14" s="127" t="e">
        <f>'Анализ чувствительности '!AM21</f>
        <v>#DIV/0!</v>
      </c>
      <c r="M14" s="127" t="e">
        <f>'Анализ чувствительности '!AN21</f>
        <v>#DIV/0!</v>
      </c>
      <c r="N14" s="127" t="e">
        <f>'Анализ чувствительности '!AO21</f>
        <v>#DIV/0!</v>
      </c>
      <c r="O14" s="127" t="e">
        <f>'Анализ чувствительности '!AP21</f>
        <v>#DIV/0!</v>
      </c>
      <c r="P14" s="129" t="e">
        <f>'Анализ чувствительности '!AQ21</f>
        <v>#DIV/0!</v>
      </c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</row>
    <row r="15" spans="1:30" x14ac:dyDescent="0.35">
      <c r="A15" s="414"/>
      <c r="B15" s="122">
        <f>'Анализ чувствительности '!AC22</f>
        <v>2352</v>
      </c>
      <c r="C15" s="125">
        <f>'Анализ чувствительности '!AD22</f>
        <v>1.04</v>
      </c>
      <c r="D15" s="127" t="e">
        <f>'Анализ чувствительности '!AE22</f>
        <v>#DIV/0!</v>
      </c>
      <c r="E15" s="127" t="e">
        <f>'Анализ чувствительности '!AF22</f>
        <v>#DIV/0!</v>
      </c>
      <c r="F15" s="127" t="e">
        <f>'Анализ чувствительности '!AG22</f>
        <v>#DIV/0!</v>
      </c>
      <c r="G15" s="127" t="e">
        <f>'Анализ чувствительности '!AH22</f>
        <v>#DIV/0!</v>
      </c>
      <c r="H15" s="127" t="e">
        <f>'Анализ чувствительности '!AI22</f>
        <v>#DIV/0!</v>
      </c>
      <c r="I15" s="128" t="e">
        <f>'Анализ чувствительности '!AJ22</f>
        <v>#DIV/0!</v>
      </c>
      <c r="J15" s="127" t="e">
        <f>'Анализ чувствительности '!AK22</f>
        <v>#DIV/0!</v>
      </c>
      <c r="K15" s="127" t="e">
        <f>'Анализ чувствительности '!AL22</f>
        <v>#DIV/0!</v>
      </c>
      <c r="L15" s="127" t="e">
        <f>'Анализ чувствительности '!AM22</f>
        <v>#DIV/0!</v>
      </c>
      <c r="M15" s="127" t="e">
        <f>'Анализ чувствительности '!AN22</f>
        <v>#DIV/0!</v>
      </c>
      <c r="N15" s="127" t="e">
        <f>'Анализ чувствительности '!AO22</f>
        <v>#DIV/0!</v>
      </c>
      <c r="O15" s="127" t="e">
        <f>'Анализ чувствительности '!AP22</f>
        <v>#DIV/0!</v>
      </c>
      <c r="P15" s="129" t="e">
        <f>'Анализ чувствительности '!AQ22</f>
        <v>#DIV/0!</v>
      </c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</row>
    <row r="16" spans="1:30" x14ac:dyDescent="0.35">
      <c r="A16" s="414"/>
      <c r="B16" s="122">
        <f>'Анализ чувствительности '!AC23</f>
        <v>2398</v>
      </c>
      <c r="C16" s="125">
        <f>'Анализ чувствительности '!AD23</f>
        <v>1.06</v>
      </c>
      <c r="D16" s="127" t="e">
        <f>'Анализ чувствительности '!AE23</f>
        <v>#DIV/0!</v>
      </c>
      <c r="E16" s="127" t="e">
        <f>'Анализ чувствительности '!AF23</f>
        <v>#DIV/0!</v>
      </c>
      <c r="F16" s="127" t="e">
        <f>'Анализ чувствительности '!AG23</f>
        <v>#DIV/0!</v>
      </c>
      <c r="G16" s="127" t="e">
        <f>'Анализ чувствительности '!AH23</f>
        <v>#DIV/0!</v>
      </c>
      <c r="H16" s="127" t="e">
        <f>'Анализ чувствительности '!AI23</f>
        <v>#DIV/0!</v>
      </c>
      <c r="I16" s="128" t="e">
        <f>'Анализ чувствительности '!AJ23</f>
        <v>#DIV/0!</v>
      </c>
      <c r="J16" s="127" t="e">
        <f>'Анализ чувствительности '!AK23</f>
        <v>#DIV/0!</v>
      </c>
      <c r="K16" s="127" t="e">
        <f>'Анализ чувствительности '!AL23</f>
        <v>#DIV/0!</v>
      </c>
      <c r="L16" s="127" t="e">
        <f>'Анализ чувствительности '!AM23</f>
        <v>#DIV/0!</v>
      </c>
      <c r="M16" s="127" t="e">
        <f>'Анализ чувствительности '!AN23</f>
        <v>#DIV/0!</v>
      </c>
      <c r="N16" s="127" t="e">
        <f>'Анализ чувствительности '!AO23</f>
        <v>#DIV/0!</v>
      </c>
      <c r="O16" s="127" t="e">
        <f>'Анализ чувствительности '!AP23</f>
        <v>#DIV/0!</v>
      </c>
      <c r="P16" s="129" t="e">
        <f>'Анализ чувствительности '!AQ23</f>
        <v>#DIV/0!</v>
      </c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</row>
    <row r="17" spans="1:30" x14ac:dyDescent="0.35">
      <c r="A17" s="414"/>
      <c r="B17" s="122">
        <f>'Анализ чувствительности '!AC24</f>
        <v>2443</v>
      </c>
      <c r="C17" s="125">
        <f>'Анализ чувствительности '!AD24</f>
        <v>1.08</v>
      </c>
      <c r="D17" s="127" t="e">
        <f>'Анализ чувствительности '!AE24</f>
        <v>#DIV/0!</v>
      </c>
      <c r="E17" s="127" t="e">
        <f>'Анализ чувствительности '!AF24</f>
        <v>#DIV/0!</v>
      </c>
      <c r="F17" s="127" t="e">
        <f>'Анализ чувствительности '!AG24</f>
        <v>#DIV/0!</v>
      </c>
      <c r="G17" s="127" t="e">
        <f>'Анализ чувствительности '!AH24</f>
        <v>#DIV/0!</v>
      </c>
      <c r="H17" s="127" t="e">
        <f>'Анализ чувствительности '!AI24</f>
        <v>#DIV/0!</v>
      </c>
      <c r="I17" s="128" t="e">
        <f>'Анализ чувствительности '!AJ24</f>
        <v>#DIV/0!</v>
      </c>
      <c r="J17" s="127" t="e">
        <f>'Анализ чувствительности '!AK24</f>
        <v>#DIV/0!</v>
      </c>
      <c r="K17" s="127" t="e">
        <f>'Анализ чувствительности '!AL24</f>
        <v>#DIV/0!</v>
      </c>
      <c r="L17" s="127" t="e">
        <f>'Анализ чувствительности '!AM24</f>
        <v>#DIV/0!</v>
      </c>
      <c r="M17" s="127" t="e">
        <f>'Анализ чувствительности '!AN24</f>
        <v>#DIV/0!</v>
      </c>
      <c r="N17" s="127" t="e">
        <f>'Анализ чувствительности '!AO24</f>
        <v>#DIV/0!</v>
      </c>
      <c r="O17" s="127" t="e">
        <f>'Анализ чувствительности '!AP24</f>
        <v>#DIV/0!</v>
      </c>
      <c r="P17" s="129" t="e">
        <f>'Анализ чувствительности '!AQ24</f>
        <v>#DIV/0!</v>
      </c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</row>
    <row r="18" spans="1:30" x14ac:dyDescent="0.35">
      <c r="A18" s="414"/>
      <c r="B18" s="122">
        <f>'Анализ чувствительности '!AC25</f>
        <v>2488</v>
      </c>
      <c r="C18" s="125">
        <f>'Анализ чувствительности '!AD25</f>
        <v>1.1000000000000001</v>
      </c>
      <c r="D18" s="127" t="e">
        <f>'Анализ чувствительности '!AE25</f>
        <v>#DIV/0!</v>
      </c>
      <c r="E18" s="127" t="e">
        <f>'Анализ чувствительности '!AF25</f>
        <v>#DIV/0!</v>
      </c>
      <c r="F18" s="127" t="e">
        <f>'Анализ чувствительности '!AG25</f>
        <v>#DIV/0!</v>
      </c>
      <c r="G18" s="127" t="e">
        <f>'Анализ чувствительности '!AH25</f>
        <v>#DIV/0!</v>
      </c>
      <c r="H18" s="127" t="e">
        <f>'Анализ чувствительности '!AI25</f>
        <v>#DIV/0!</v>
      </c>
      <c r="I18" s="128" t="e">
        <f>'Анализ чувствительности '!AJ25</f>
        <v>#DIV/0!</v>
      </c>
      <c r="J18" s="127" t="e">
        <f>'Анализ чувствительности '!AK25</f>
        <v>#DIV/0!</v>
      </c>
      <c r="K18" s="127" t="e">
        <f>'Анализ чувствительности '!AL25</f>
        <v>#DIV/0!</v>
      </c>
      <c r="L18" s="127" t="e">
        <f>'Анализ чувствительности '!AM25</f>
        <v>#DIV/0!</v>
      </c>
      <c r="M18" s="127" t="e">
        <f>'Анализ чувствительности '!AN25</f>
        <v>#DIV/0!</v>
      </c>
      <c r="N18" s="127" t="e">
        <f>'Анализ чувствительности '!AO25</f>
        <v>#DIV/0!</v>
      </c>
      <c r="O18" s="127" t="e">
        <f>'Анализ чувствительности '!AP25</f>
        <v>#DIV/0!</v>
      </c>
      <c r="P18" s="129" t="e">
        <f>'Анализ чувствительности '!AQ25</f>
        <v>#DIV/0!</v>
      </c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</row>
    <row r="19" spans="1:30" x14ac:dyDescent="0.35">
      <c r="A19" s="414"/>
      <c r="B19" s="122">
        <f>'Анализ чувствительности '!AC26</f>
        <v>2533</v>
      </c>
      <c r="C19" s="125">
        <f>'Анализ чувствительности '!AD26</f>
        <v>1.1200000000000001</v>
      </c>
      <c r="D19" s="127" t="e">
        <f>'Анализ чувствительности '!AE26</f>
        <v>#DIV/0!</v>
      </c>
      <c r="E19" s="127" t="e">
        <f>'Анализ чувствительности '!AF26</f>
        <v>#DIV/0!</v>
      </c>
      <c r="F19" s="127" t="e">
        <f>'Анализ чувствительности '!AG26</f>
        <v>#DIV/0!</v>
      </c>
      <c r="G19" s="127" t="e">
        <f>'Анализ чувствительности '!AH26</f>
        <v>#DIV/0!</v>
      </c>
      <c r="H19" s="127" t="e">
        <f>'Анализ чувствительности '!AI26</f>
        <v>#DIV/0!</v>
      </c>
      <c r="I19" s="128" t="e">
        <f>'Анализ чувствительности '!AJ26</f>
        <v>#DIV/0!</v>
      </c>
      <c r="J19" s="127" t="e">
        <f>'Анализ чувствительности '!AK26</f>
        <v>#DIV/0!</v>
      </c>
      <c r="K19" s="127" t="e">
        <f>'Анализ чувствительности '!AL26</f>
        <v>#DIV/0!</v>
      </c>
      <c r="L19" s="127" t="e">
        <f>'Анализ чувствительности '!AM26</f>
        <v>#DIV/0!</v>
      </c>
      <c r="M19" s="127" t="e">
        <f>'Анализ чувствительности '!AN26</f>
        <v>#DIV/0!</v>
      </c>
      <c r="N19" s="127" t="e">
        <f>'Анализ чувствительности '!AO26</f>
        <v>#DIV/0!</v>
      </c>
      <c r="O19" s="127" t="e">
        <f>'Анализ чувствительности '!AP26</f>
        <v>#DIV/0!</v>
      </c>
      <c r="P19" s="129" t="e">
        <f>'Анализ чувствительности '!AQ26</f>
        <v>#DIV/0!</v>
      </c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</row>
    <row r="20" spans="1:30" ht="15" thickBot="1" x14ac:dyDescent="0.4">
      <c r="A20" s="414"/>
      <c r="B20" s="122">
        <f>'Анализ чувствительности '!AC27</f>
        <v>2579</v>
      </c>
      <c r="C20" s="135">
        <f>'Анализ чувствительности '!AD27</f>
        <v>1.1399999999999999</v>
      </c>
      <c r="D20" s="137" t="e">
        <f>'Анализ чувствительности '!AE27</f>
        <v>#DIV/0!</v>
      </c>
      <c r="E20" s="137" t="e">
        <f>'Анализ чувствительности '!AF27</f>
        <v>#DIV/0!</v>
      </c>
      <c r="F20" s="137" t="e">
        <f>'Анализ чувствительности '!AG27</f>
        <v>#DIV/0!</v>
      </c>
      <c r="G20" s="137" t="e">
        <f>'Анализ чувствительности '!AH27</f>
        <v>#DIV/0!</v>
      </c>
      <c r="H20" s="137" t="e">
        <f>'Анализ чувствительности '!AI27</f>
        <v>#DIV/0!</v>
      </c>
      <c r="I20" s="138" t="e">
        <f>'Анализ чувствительности '!AJ27</f>
        <v>#DIV/0!</v>
      </c>
      <c r="J20" s="137" t="e">
        <f>'Анализ чувствительности '!AK27</f>
        <v>#DIV/0!</v>
      </c>
      <c r="K20" s="137" t="e">
        <f>'Анализ чувствительности '!AL27</f>
        <v>#DIV/0!</v>
      </c>
      <c r="L20" s="137" t="e">
        <f>'Анализ чувствительности '!AM27</f>
        <v>#DIV/0!</v>
      </c>
      <c r="M20" s="137" t="e">
        <f>'Анализ чувствительности '!AN27</f>
        <v>#DIV/0!</v>
      </c>
      <c r="N20" s="137" t="e">
        <f>'Анализ чувствительности '!AO27</f>
        <v>#DIV/0!</v>
      </c>
      <c r="O20" s="137" t="e">
        <f>'Анализ чувствительности '!AP27</f>
        <v>#DIV/0!</v>
      </c>
      <c r="P20" s="139" t="e">
        <f>'Анализ чувствительности '!AQ27</f>
        <v>#DIV/0!</v>
      </c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</row>
    <row r="24" spans="1:30" ht="21" x14ac:dyDescent="0.5">
      <c r="A24" s="416" t="s">
        <v>16</v>
      </c>
      <c r="B24" s="416"/>
      <c r="C24" s="416"/>
      <c r="D24" s="416"/>
      <c r="E24" s="416"/>
      <c r="F24" s="416"/>
      <c r="G24" s="416"/>
      <c r="H24" s="416"/>
      <c r="I24" s="416"/>
      <c r="J24" s="416"/>
      <c r="K24" s="416"/>
      <c r="L24" s="416"/>
      <c r="M24" s="416"/>
      <c r="N24" s="416"/>
      <c r="O24" s="416"/>
      <c r="P24" s="416"/>
    </row>
    <row r="25" spans="1:30" x14ac:dyDescent="0.35">
      <c r="C25" s="140"/>
    </row>
    <row r="26" spans="1:30" x14ac:dyDescent="0.35">
      <c r="D26" s="417" t="s">
        <v>237</v>
      </c>
      <c r="E26" s="417"/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</row>
    <row r="27" spans="1:30" ht="15" thickBot="1" x14ac:dyDescent="0.4">
      <c r="B27" s="108"/>
      <c r="D27" s="143">
        <f>'Анализ чувствительности '!AE49</f>
        <v>5.0199999999999996</v>
      </c>
      <c r="E27" s="143">
        <f>'Анализ чувствительности '!AF49</f>
        <v>5.13</v>
      </c>
      <c r="F27" s="143">
        <f>'Анализ чувствительности '!AG49</f>
        <v>5.24</v>
      </c>
      <c r="G27" s="143">
        <f>'Анализ чувствительности '!AH49</f>
        <v>5.35</v>
      </c>
      <c r="H27" s="143">
        <f>'Анализ чувствительности '!AI49</f>
        <v>5.46</v>
      </c>
      <c r="I27" s="143">
        <f>'Анализ чувствительности '!AJ49</f>
        <v>5.57</v>
      </c>
      <c r="J27" s="143">
        <f>'Анализ чувствительности '!AK49</f>
        <v>5.68</v>
      </c>
      <c r="K27" s="143">
        <f>'Анализ чувствительности '!AL49</f>
        <v>5.8</v>
      </c>
      <c r="L27" s="143">
        <f>'Анализ чувствительности '!AM49</f>
        <v>5.91</v>
      </c>
      <c r="M27" s="143">
        <f>'Анализ чувствительности '!AN49</f>
        <v>6.02</v>
      </c>
      <c r="N27" s="143">
        <f>'Анализ чувствительности '!AO49</f>
        <v>6.13</v>
      </c>
      <c r="O27" s="143">
        <f>'Анализ чувствительности '!AP49</f>
        <v>6.24</v>
      </c>
      <c r="P27" s="143">
        <f>'Анализ чувствительности '!AQ49</f>
        <v>6.35</v>
      </c>
    </row>
    <row r="28" spans="1:30" ht="15" thickBot="1" x14ac:dyDescent="0.4">
      <c r="D28" s="118">
        <f>'Анализ чувствительности '!AE50</f>
        <v>0.9</v>
      </c>
      <c r="E28" s="119">
        <f>'Анализ чувствительности '!AF50</f>
        <v>0.92</v>
      </c>
      <c r="F28" s="119">
        <f>'Анализ чувствительности '!AG50</f>
        <v>0.94</v>
      </c>
      <c r="G28" s="119">
        <f>'Анализ чувствительности '!AH50</f>
        <v>0.96</v>
      </c>
      <c r="H28" s="119">
        <f>'Анализ чувствительности '!AI50</f>
        <v>0.98</v>
      </c>
      <c r="I28" s="119">
        <f>'Анализ чувствительности '!AJ50</f>
        <v>1</v>
      </c>
      <c r="J28" s="119">
        <f>'Анализ чувствительности '!AK50</f>
        <v>1.02</v>
      </c>
      <c r="K28" s="119">
        <f>'Анализ чувствительности '!AL50</f>
        <v>1.04</v>
      </c>
      <c r="L28" s="119">
        <f>'Анализ чувствительности '!AM50</f>
        <v>1.06</v>
      </c>
      <c r="M28" s="119">
        <f>'Анализ чувствительности '!AN50</f>
        <v>1.08</v>
      </c>
      <c r="N28" s="119">
        <f>'Анализ чувствительности '!AO50</f>
        <v>1.1000000000000001</v>
      </c>
      <c r="O28" s="119">
        <f>'Анализ чувствительности '!AP50</f>
        <v>1.1200000000000001</v>
      </c>
      <c r="P28" s="121">
        <f>'Анализ чувствительности '!AQ50</f>
        <v>1.1399999999999999</v>
      </c>
    </row>
    <row r="29" spans="1:30" x14ac:dyDescent="0.35">
      <c r="A29" s="414" t="s">
        <v>234</v>
      </c>
      <c r="B29" s="122">
        <v>331</v>
      </c>
      <c r="C29" s="123">
        <v>0.9</v>
      </c>
      <c r="D29" s="126" t="e">
        <f>'Анализ чувствительности '!AE51</f>
        <v>#DIV/0!</v>
      </c>
      <c r="E29" s="127" t="e">
        <f>'Анализ чувствительности '!AF51</f>
        <v>#DIV/0!</v>
      </c>
      <c r="F29" s="127" t="e">
        <f>'Анализ чувствительности '!AG51</f>
        <v>#DIV/0!</v>
      </c>
      <c r="G29" s="127" t="e">
        <f>'Анализ чувствительности '!AH51</f>
        <v>#DIV/0!</v>
      </c>
      <c r="H29" s="127" t="e">
        <f>'Анализ чувствительности '!AI51</f>
        <v>#DIV/0!</v>
      </c>
      <c r="I29" s="128" t="e">
        <f>'Анализ чувствительности '!AJ51</f>
        <v>#DIV/0!</v>
      </c>
      <c r="J29" s="127" t="e">
        <f>'Анализ чувствительности '!AK51</f>
        <v>#DIV/0!</v>
      </c>
      <c r="K29" s="127" t="e">
        <f>'Анализ чувствительности '!AL51</f>
        <v>#DIV/0!</v>
      </c>
      <c r="L29" s="127" t="e">
        <f>'Анализ чувствительности '!AM51</f>
        <v>#DIV/0!</v>
      </c>
      <c r="M29" s="127" t="e">
        <f>'Анализ чувствительности '!AN51</f>
        <v>#DIV/0!</v>
      </c>
      <c r="N29" s="127" t="e">
        <f>'Анализ чувствительности '!AO51</f>
        <v>#DIV/0!</v>
      </c>
      <c r="O29" s="127" t="e">
        <f>'Анализ чувствительности '!AP51</f>
        <v>#DIV/0!</v>
      </c>
      <c r="P29" s="129" t="e">
        <f>'Анализ чувствительности '!AQ51</f>
        <v>#DIV/0!</v>
      </c>
    </row>
    <row r="30" spans="1:30" x14ac:dyDescent="0.35">
      <c r="A30" s="414"/>
      <c r="B30" s="122">
        <v>338</v>
      </c>
      <c r="C30" s="125">
        <v>0.92</v>
      </c>
      <c r="D30" s="126" t="e">
        <f>'Анализ чувствительности '!AE52</f>
        <v>#DIV/0!</v>
      </c>
      <c r="E30" s="127" t="e">
        <f>'Анализ чувствительности '!AF52</f>
        <v>#DIV/0!</v>
      </c>
      <c r="F30" s="127" t="e">
        <f>'Анализ чувствительности '!AG52</f>
        <v>#DIV/0!</v>
      </c>
      <c r="G30" s="127" t="e">
        <f>'Анализ чувствительности '!AH52</f>
        <v>#DIV/0!</v>
      </c>
      <c r="H30" s="127" t="e">
        <f>'Анализ чувствительности '!AI52</f>
        <v>#DIV/0!</v>
      </c>
      <c r="I30" s="128" t="e">
        <f>'Анализ чувствительности '!AJ52</f>
        <v>#DIV/0!</v>
      </c>
      <c r="J30" s="127" t="e">
        <f>'Анализ чувствительности '!AK52</f>
        <v>#DIV/0!</v>
      </c>
      <c r="K30" s="127" t="e">
        <f>'Анализ чувствительности '!AL52</f>
        <v>#DIV/0!</v>
      </c>
      <c r="L30" s="127" t="e">
        <f>'Анализ чувствительности '!AM52</f>
        <v>#DIV/0!</v>
      </c>
      <c r="M30" s="127" t="e">
        <f>'Анализ чувствительности '!AN52</f>
        <v>#DIV/0!</v>
      </c>
      <c r="N30" s="127" t="e">
        <f>'Анализ чувствительности '!AO52</f>
        <v>#DIV/0!</v>
      </c>
      <c r="O30" s="127" t="e">
        <f>'Анализ чувствительности '!AP52</f>
        <v>#DIV/0!</v>
      </c>
      <c r="P30" s="129" t="e">
        <f>'Анализ чувствительности '!AQ52</f>
        <v>#DIV/0!</v>
      </c>
    </row>
    <row r="31" spans="1:30" x14ac:dyDescent="0.35">
      <c r="A31" s="414"/>
      <c r="B31" s="122">
        <v>345</v>
      </c>
      <c r="C31" s="125">
        <v>0.94</v>
      </c>
      <c r="D31" s="126" t="e">
        <f>'Анализ чувствительности '!AE53</f>
        <v>#DIV/0!</v>
      </c>
      <c r="E31" s="127" t="e">
        <f>'Анализ чувствительности '!AF53</f>
        <v>#DIV/0!</v>
      </c>
      <c r="F31" s="127" t="e">
        <f>'Анализ чувствительности '!AG53</f>
        <v>#DIV/0!</v>
      </c>
      <c r="G31" s="127" t="e">
        <f>'Анализ чувствительности '!AH53</f>
        <v>#DIV/0!</v>
      </c>
      <c r="H31" s="127" t="e">
        <f>'Анализ чувствительности '!AI53</f>
        <v>#DIV/0!</v>
      </c>
      <c r="I31" s="128" t="e">
        <f>'Анализ чувствительности '!AJ53</f>
        <v>#DIV/0!</v>
      </c>
      <c r="J31" s="127" t="e">
        <f>'Анализ чувствительности '!AK53</f>
        <v>#DIV/0!</v>
      </c>
      <c r="K31" s="127" t="e">
        <f>'Анализ чувствительности '!AL53</f>
        <v>#DIV/0!</v>
      </c>
      <c r="L31" s="127" t="e">
        <f>'Анализ чувствительности '!AM53</f>
        <v>#DIV/0!</v>
      </c>
      <c r="M31" s="127" t="e">
        <f>'Анализ чувствительности '!AN53</f>
        <v>#DIV/0!</v>
      </c>
      <c r="N31" s="127" t="e">
        <f>'Анализ чувствительности '!AO53</f>
        <v>#DIV/0!</v>
      </c>
      <c r="O31" s="127" t="e">
        <f>'Анализ чувствительности '!AP53</f>
        <v>#DIV/0!</v>
      </c>
      <c r="P31" s="129" t="e">
        <f>'Анализ чувствительности '!AQ53</f>
        <v>#DIV/0!</v>
      </c>
    </row>
    <row r="32" spans="1:30" x14ac:dyDescent="0.35">
      <c r="A32" s="414"/>
      <c r="B32" s="122">
        <v>353</v>
      </c>
      <c r="C32" s="125">
        <v>0.96</v>
      </c>
      <c r="D32" s="126" t="e">
        <f>'Анализ чувствительности '!AE54</f>
        <v>#DIV/0!</v>
      </c>
      <c r="E32" s="127" t="e">
        <f>'Анализ чувствительности '!AF54</f>
        <v>#DIV/0!</v>
      </c>
      <c r="F32" s="127" t="e">
        <f>'Анализ чувствительности '!AG54</f>
        <v>#DIV/0!</v>
      </c>
      <c r="G32" s="127" t="e">
        <f>'Анализ чувствительности '!AH54</f>
        <v>#DIV/0!</v>
      </c>
      <c r="H32" s="127" t="e">
        <f>'Анализ чувствительности '!AI54</f>
        <v>#DIV/0!</v>
      </c>
      <c r="I32" s="128" t="e">
        <f>'Анализ чувствительности '!AJ54</f>
        <v>#DIV/0!</v>
      </c>
      <c r="J32" s="127" t="e">
        <f>'Анализ чувствительности '!AK54</f>
        <v>#DIV/0!</v>
      </c>
      <c r="K32" s="127" t="e">
        <f>'Анализ чувствительности '!AL54</f>
        <v>#DIV/0!</v>
      </c>
      <c r="L32" s="127" t="e">
        <f>'Анализ чувствительности '!AM54</f>
        <v>#DIV/0!</v>
      </c>
      <c r="M32" s="127" t="e">
        <f>'Анализ чувствительности '!AN54</f>
        <v>#DIV/0!</v>
      </c>
      <c r="N32" s="127" t="e">
        <f>'Анализ чувствительности '!AO54</f>
        <v>#DIV/0!</v>
      </c>
      <c r="O32" s="127" t="e">
        <f>'Анализ чувствительности '!AP54</f>
        <v>#DIV/0!</v>
      </c>
      <c r="P32" s="129" t="e">
        <f>'Анализ чувствительности '!AQ54</f>
        <v>#DIV/0!</v>
      </c>
    </row>
    <row r="33" spans="1:16" ht="15" thickBot="1" x14ac:dyDescent="0.4">
      <c r="A33" s="414"/>
      <c r="B33" s="122">
        <v>360</v>
      </c>
      <c r="C33" s="125">
        <v>0.98</v>
      </c>
      <c r="D33" s="126" t="e">
        <f>'Анализ чувствительности '!AE55</f>
        <v>#DIV/0!</v>
      </c>
      <c r="E33" s="127" t="e">
        <f>'Анализ чувствительности '!AF55</f>
        <v>#DIV/0!</v>
      </c>
      <c r="F33" s="127" t="e">
        <f>'Анализ чувствительности '!AG55</f>
        <v>#DIV/0!</v>
      </c>
      <c r="G33" s="127" t="e">
        <f>'Анализ чувствительности '!AH55</f>
        <v>#DIV/0!</v>
      </c>
      <c r="H33" s="127" t="e">
        <f>'Анализ чувствительности '!AI55</f>
        <v>#DIV/0!</v>
      </c>
      <c r="I33" s="128" t="e">
        <f>'Анализ чувствительности '!AJ55</f>
        <v>#DIV/0!</v>
      </c>
      <c r="J33" s="127" t="e">
        <f>'Анализ чувствительности '!AK55</f>
        <v>#DIV/0!</v>
      </c>
      <c r="K33" s="127" t="e">
        <f>'Анализ чувствительности '!AL55</f>
        <v>#DIV/0!</v>
      </c>
      <c r="L33" s="127" t="e">
        <f>'Анализ чувствительности '!AM55</f>
        <v>#DIV/0!</v>
      </c>
      <c r="M33" s="127" t="e">
        <f>'Анализ чувствительности '!AN55</f>
        <v>#DIV/0!</v>
      </c>
      <c r="N33" s="127" t="e">
        <f>'Анализ чувствительности '!AO55</f>
        <v>#DIV/0!</v>
      </c>
      <c r="O33" s="127" t="e">
        <f>'Анализ чувствительности '!AP55</f>
        <v>#DIV/0!</v>
      </c>
      <c r="P33" s="129" t="e">
        <f>'Анализ чувствительности '!AQ55</f>
        <v>#DIV/0!</v>
      </c>
    </row>
    <row r="34" spans="1:16" ht="15" thickBot="1" x14ac:dyDescent="0.4">
      <c r="A34" s="414"/>
      <c r="B34" s="130">
        <v>367</v>
      </c>
      <c r="C34" s="120">
        <v>1</v>
      </c>
      <c r="D34" s="131" t="e">
        <f>'Анализ чувствительности '!AE56</f>
        <v>#DIV/0!</v>
      </c>
      <c r="E34" s="132" t="e">
        <f>'Анализ чувствительности '!AF56</f>
        <v>#DIV/0!</v>
      </c>
      <c r="F34" s="132" t="e">
        <f>'Анализ чувствительности '!AG56</f>
        <v>#DIV/0!</v>
      </c>
      <c r="G34" s="132" t="e">
        <f>'Анализ чувствительности '!AH56</f>
        <v>#DIV/0!</v>
      </c>
      <c r="H34" s="132" t="e">
        <f>'Анализ чувствительности '!AI56</f>
        <v>#DIV/0!</v>
      </c>
      <c r="I34" s="133" t="e">
        <f>'Анализ чувствительности '!AJ56</f>
        <v>#DIV/0!</v>
      </c>
      <c r="J34" s="132" t="e">
        <f>'Анализ чувствительности '!AK56</f>
        <v>#DIV/0!</v>
      </c>
      <c r="K34" s="132" t="e">
        <f>'Анализ чувствительности '!AL56</f>
        <v>#DIV/0!</v>
      </c>
      <c r="L34" s="132" t="e">
        <f>'Анализ чувствительности '!AM56</f>
        <v>#DIV/0!</v>
      </c>
      <c r="M34" s="132" t="e">
        <f>'Анализ чувствительности '!AN56</f>
        <v>#DIV/0!</v>
      </c>
      <c r="N34" s="132" t="e">
        <f>'Анализ чувствительности '!AO56</f>
        <v>#DIV/0!</v>
      </c>
      <c r="O34" s="132" t="e">
        <f>'Анализ чувствительности '!AP56</f>
        <v>#DIV/0!</v>
      </c>
      <c r="P34" s="134" t="e">
        <f>'Анализ чувствительности '!AQ56</f>
        <v>#DIV/0!</v>
      </c>
    </row>
    <row r="35" spans="1:16" x14ac:dyDescent="0.35">
      <c r="A35" s="414"/>
      <c r="B35" s="122">
        <v>375</v>
      </c>
      <c r="C35" s="125">
        <v>1.02</v>
      </c>
      <c r="D35" s="126" t="e">
        <f>'Анализ чувствительности '!AE57</f>
        <v>#DIV/0!</v>
      </c>
      <c r="E35" s="127" t="e">
        <f>'Анализ чувствительности '!AF57</f>
        <v>#DIV/0!</v>
      </c>
      <c r="F35" s="127" t="e">
        <f>'Анализ чувствительности '!AG57</f>
        <v>#DIV/0!</v>
      </c>
      <c r="G35" s="127" t="e">
        <f>'Анализ чувствительности '!AH57</f>
        <v>#DIV/0!</v>
      </c>
      <c r="H35" s="127" t="e">
        <f>'Анализ чувствительности '!AI57</f>
        <v>#DIV/0!</v>
      </c>
      <c r="I35" s="128" t="e">
        <f>'Анализ чувствительности '!AJ57</f>
        <v>#DIV/0!</v>
      </c>
      <c r="J35" s="127" t="e">
        <f>'Анализ чувствительности '!AK57</f>
        <v>#DIV/0!</v>
      </c>
      <c r="K35" s="127" t="e">
        <f>'Анализ чувствительности '!AL57</f>
        <v>#DIV/0!</v>
      </c>
      <c r="L35" s="127" t="e">
        <f>'Анализ чувствительности '!AM57</f>
        <v>#DIV/0!</v>
      </c>
      <c r="M35" s="127" t="e">
        <f>'Анализ чувствительности '!AN57</f>
        <v>#DIV/0!</v>
      </c>
      <c r="N35" s="127" t="e">
        <f>'Анализ чувствительности '!AO57</f>
        <v>#DIV/0!</v>
      </c>
      <c r="O35" s="127" t="e">
        <f>'Анализ чувствительности '!AP57</f>
        <v>#DIV/0!</v>
      </c>
      <c r="P35" s="129" t="e">
        <f>'Анализ чувствительности '!AQ57</f>
        <v>#DIV/0!</v>
      </c>
    </row>
    <row r="36" spans="1:16" x14ac:dyDescent="0.35">
      <c r="A36" s="414"/>
      <c r="B36" s="122">
        <v>382</v>
      </c>
      <c r="C36" s="125">
        <v>1.04</v>
      </c>
      <c r="D36" s="126" t="e">
        <f>'Анализ чувствительности '!AE58</f>
        <v>#DIV/0!</v>
      </c>
      <c r="E36" s="127" t="e">
        <f>'Анализ чувствительности '!AF58</f>
        <v>#DIV/0!</v>
      </c>
      <c r="F36" s="127" t="e">
        <f>'Анализ чувствительности '!AG58</f>
        <v>#DIV/0!</v>
      </c>
      <c r="G36" s="127" t="e">
        <f>'Анализ чувствительности '!AH58</f>
        <v>#DIV/0!</v>
      </c>
      <c r="H36" s="127" t="e">
        <f>'Анализ чувствительности '!AI58</f>
        <v>#DIV/0!</v>
      </c>
      <c r="I36" s="128" t="e">
        <f>'Анализ чувствительности '!AJ58</f>
        <v>#DIV/0!</v>
      </c>
      <c r="J36" s="127" t="e">
        <f>'Анализ чувствительности '!AK58</f>
        <v>#DIV/0!</v>
      </c>
      <c r="K36" s="127" t="e">
        <f>'Анализ чувствительности '!AL58</f>
        <v>#DIV/0!</v>
      </c>
      <c r="L36" s="127" t="e">
        <f>'Анализ чувствительности '!AM58</f>
        <v>#DIV/0!</v>
      </c>
      <c r="M36" s="127" t="e">
        <f>'Анализ чувствительности '!AN58</f>
        <v>#DIV/0!</v>
      </c>
      <c r="N36" s="127" t="e">
        <f>'Анализ чувствительности '!AO58</f>
        <v>#DIV/0!</v>
      </c>
      <c r="O36" s="127" t="e">
        <f>'Анализ чувствительности '!AP58</f>
        <v>#DIV/0!</v>
      </c>
      <c r="P36" s="129" t="e">
        <f>'Анализ чувствительности '!AQ58</f>
        <v>#DIV/0!</v>
      </c>
    </row>
    <row r="37" spans="1:16" x14ac:dyDescent="0.35">
      <c r="A37" s="414"/>
      <c r="B37" s="122">
        <v>390</v>
      </c>
      <c r="C37" s="125">
        <v>1.06</v>
      </c>
      <c r="D37" s="126" t="e">
        <f>'Анализ чувствительности '!AE59</f>
        <v>#DIV/0!</v>
      </c>
      <c r="E37" s="127" t="e">
        <f>'Анализ чувствительности '!AF59</f>
        <v>#DIV/0!</v>
      </c>
      <c r="F37" s="127" t="e">
        <f>'Анализ чувствительности '!AG59</f>
        <v>#DIV/0!</v>
      </c>
      <c r="G37" s="127" t="e">
        <f>'Анализ чувствительности '!AH59</f>
        <v>#DIV/0!</v>
      </c>
      <c r="H37" s="127" t="e">
        <f>'Анализ чувствительности '!AI59</f>
        <v>#DIV/0!</v>
      </c>
      <c r="I37" s="128" t="e">
        <f>'Анализ чувствительности '!AJ59</f>
        <v>#DIV/0!</v>
      </c>
      <c r="J37" s="127" t="e">
        <f>'Анализ чувствительности '!AK59</f>
        <v>#DIV/0!</v>
      </c>
      <c r="K37" s="127" t="e">
        <f>'Анализ чувствительности '!AL59</f>
        <v>#DIV/0!</v>
      </c>
      <c r="L37" s="127" t="e">
        <f>'Анализ чувствительности '!AM59</f>
        <v>#DIV/0!</v>
      </c>
      <c r="M37" s="127" t="e">
        <f>'Анализ чувствительности '!AN59</f>
        <v>#DIV/0!</v>
      </c>
      <c r="N37" s="127" t="e">
        <f>'Анализ чувствительности '!AO59</f>
        <v>#DIV/0!</v>
      </c>
      <c r="O37" s="127" t="e">
        <f>'Анализ чувствительности '!AP59</f>
        <v>#DIV/0!</v>
      </c>
      <c r="P37" s="129" t="e">
        <f>'Анализ чувствительности '!AQ59</f>
        <v>#DIV/0!</v>
      </c>
    </row>
    <row r="38" spans="1:16" x14ac:dyDescent="0.35">
      <c r="A38" s="414"/>
      <c r="B38" s="122">
        <v>397</v>
      </c>
      <c r="C38" s="125">
        <v>1.08</v>
      </c>
      <c r="D38" s="126" t="e">
        <f>'Анализ чувствительности '!AE60</f>
        <v>#DIV/0!</v>
      </c>
      <c r="E38" s="127" t="e">
        <f>'Анализ чувствительности '!AF60</f>
        <v>#DIV/0!</v>
      </c>
      <c r="F38" s="127" t="e">
        <f>'Анализ чувствительности '!AG60</f>
        <v>#DIV/0!</v>
      </c>
      <c r="G38" s="127" t="e">
        <f>'Анализ чувствительности '!AH60</f>
        <v>#DIV/0!</v>
      </c>
      <c r="H38" s="127" t="e">
        <f>'Анализ чувствительности '!AI60</f>
        <v>#DIV/0!</v>
      </c>
      <c r="I38" s="128" t="e">
        <f>'Анализ чувствительности '!AJ60</f>
        <v>#DIV/0!</v>
      </c>
      <c r="J38" s="127" t="e">
        <f>'Анализ чувствительности '!AK60</f>
        <v>#DIV/0!</v>
      </c>
      <c r="K38" s="127" t="e">
        <f>'Анализ чувствительности '!AL60</f>
        <v>#DIV/0!</v>
      </c>
      <c r="L38" s="127" t="e">
        <f>'Анализ чувствительности '!AM60</f>
        <v>#DIV/0!</v>
      </c>
      <c r="M38" s="127" t="e">
        <f>'Анализ чувствительности '!AN60</f>
        <v>#DIV/0!</v>
      </c>
      <c r="N38" s="127" t="e">
        <f>'Анализ чувствительности '!AO60</f>
        <v>#DIV/0!</v>
      </c>
      <c r="O38" s="127" t="e">
        <f>'Анализ чувствительности '!AP60</f>
        <v>#DIV/0!</v>
      </c>
      <c r="P38" s="129" t="e">
        <f>'Анализ чувствительности '!AQ60</f>
        <v>#DIV/0!</v>
      </c>
    </row>
    <row r="39" spans="1:16" x14ac:dyDescent="0.35">
      <c r="A39" s="414"/>
      <c r="B39" s="122">
        <v>404</v>
      </c>
      <c r="C39" s="125">
        <v>1.1000000000000001</v>
      </c>
      <c r="D39" s="126" t="e">
        <f>'Анализ чувствительности '!AE61</f>
        <v>#DIV/0!</v>
      </c>
      <c r="E39" s="127" t="e">
        <f>'Анализ чувствительности '!AF61</f>
        <v>#DIV/0!</v>
      </c>
      <c r="F39" s="127" t="e">
        <f>'Анализ чувствительности '!AG61</f>
        <v>#DIV/0!</v>
      </c>
      <c r="G39" s="127" t="e">
        <f>'Анализ чувствительности '!AH61</f>
        <v>#DIV/0!</v>
      </c>
      <c r="H39" s="127" t="e">
        <f>'Анализ чувствительности '!AI61</f>
        <v>#DIV/0!</v>
      </c>
      <c r="I39" s="128" t="e">
        <f>'Анализ чувствительности '!AJ61</f>
        <v>#DIV/0!</v>
      </c>
      <c r="J39" s="127" t="e">
        <f>'Анализ чувствительности '!AK61</f>
        <v>#DIV/0!</v>
      </c>
      <c r="K39" s="127" t="e">
        <f>'Анализ чувствительности '!AL61</f>
        <v>#DIV/0!</v>
      </c>
      <c r="L39" s="127" t="e">
        <f>'Анализ чувствительности '!AM61</f>
        <v>#DIV/0!</v>
      </c>
      <c r="M39" s="127" t="e">
        <f>'Анализ чувствительности '!AN61</f>
        <v>#DIV/0!</v>
      </c>
      <c r="N39" s="127" t="e">
        <f>'Анализ чувствительности '!AO61</f>
        <v>#DIV/0!</v>
      </c>
      <c r="O39" s="127" t="e">
        <f>'Анализ чувствительности '!AP61</f>
        <v>#DIV/0!</v>
      </c>
      <c r="P39" s="129" t="e">
        <f>'Анализ чувствительности '!AQ61</f>
        <v>#DIV/0!</v>
      </c>
    </row>
    <row r="40" spans="1:16" x14ac:dyDescent="0.35">
      <c r="A40" s="414"/>
      <c r="B40" s="122">
        <v>412</v>
      </c>
      <c r="C40" s="125">
        <v>1.1200000000000001</v>
      </c>
      <c r="D40" s="126" t="e">
        <f>'Анализ чувствительности '!AE62</f>
        <v>#DIV/0!</v>
      </c>
      <c r="E40" s="127" t="e">
        <f>'Анализ чувствительности '!AF62</f>
        <v>#DIV/0!</v>
      </c>
      <c r="F40" s="127" t="e">
        <f>'Анализ чувствительности '!AG62</f>
        <v>#DIV/0!</v>
      </c>
      <c r="G40" s="127" t="e">
        <f>'Анализ чувствительности '!AH62</f>
        <v>#DIV/0!</v>
      </c>
      <c r="H40" s="127" t="e">
        <f>'Анализ чувствительности '!AI62</f>
        <v>#DIV/0!</v>
      </c>
      <c r="I40" s="128" t="e">
        <f>'Анализ чувствительности '!AJ62</f>
        <v>#DIV/0!</v>
      </c>
      <c r="J40" s="127" t="e">
        <f>'Анализ чувствительности '!AK62</f>
        <v>#DIV/0!</v>
      </c>
      <c r="K40" s="127" t="e">
        <f>'Анализ чувствительности '!AL62</f>
        <v>#DIV/0!</v>
      </c>
      <c r="L40" s="127" t="e">
        <f>'Анализ чувствительности '!AM62</f>
        <v>#DIV/0!</v>
      </c>
      <c r="M40" s="127" t="e">
        <f>'Анализ чувствительности '!AN62</f>
        <v>#DIV/0!</v>
      </c>
      <c r="N40" s="127" t="e">
        <f>'Анализ чувствительности '!AO62</f>
        <v>#DIV/0!</v>
      </c>
      <c r="O40" s="127" t="e">
        <f>'Анализ чувствительности '!AP62</f>
        <v>#DIV/0!</v>
      </c>
      <c r="P40" s="129" t="e">
        <f>'Анализ чувствительности '!AQ62</f>
        <v>#DIV/0!</v>
      </c>
    </row>
    <row r="41" spans="1:16" ht="15" thickBot="1" x14ac:dyDescent="0.4">
      <c r="A41" s="414"/>
      <c r="B41" s="122">
        <v>419</v>
      </c>
      <c r="C41" s="135">
        <v>1.1399999999999999</v>
      </c>
      <c r="D41" s="136" t="e">
        <f>'Анализ чувствительности '!AE63</f>
        <v>#DIV/0!</v>
      </c>
      <c r="E41" s="137" t="e">
        <f>'Анализ чувствительности '!AF63</f>
        <v>#DIV/0!</v>
      </c>
      <c r="F41" s="137" t="e">
        <f>'Анализ чувствительности '!AG63</f>
        <v>#DIV/0!</v>
      </c>
      <c r="G41" s="137" t="e">
        <f>'Анализ чувствительности '!AH63</f>
        <v>#DIV/0!</v>
      </c>
      <c r="H41" s="137" t="e">
        <f>'Анализ чувствительности '!AI63</f>
        <v>#DIV/0!</v>
      </c>
      <c r="I41" s="138" t="e">
        <f>'Анализ чувствительности '!AJ63</f>
        <v>#DIV/0!</v>
      </c>
      <c r="J41" s="137" t="e">
        <f>'Анализ чувствительности '!AK63</f>
        <v>#DIV/0!</v>
      </c>
      <c r="K41" s="137" t="e">
        <f>'Анализ чувствительности '!AL63</f>
        <v>#DIV/0!</v>
      </c>
      <c r="L41" s="137" t="e">
        <f>'Анализ чувствительности '!AM63</f>
        <v>#DIV/0!</v>
      </c>
      <c r="M41" s="137" t="e">
        <f>'Анализ чувствительности '!AN63</f>
        <v>#DIV/0!</v>
      </c>
      <c r="N41" s="137" t="e">
        <f>'Анализ чувствительности '!AO63</f>
        <v>#DIV/0!</v>
      </c>
      <c r="O41" s="137" t="e">
        <f>'Анализ чувствительности '!AP63</f>
        <v>#DIV/0!</v>
      </c>
      <c r="P41" s="139" t="e">
        <f>'Анализ чувствительности '!AQ63</f>
        <v>#DIV/0!</v>
      </c>
    </row>
  </sheetData>
  <mergeCells count="7">
    <mergeCell ref="A29:A41"/>
    <mergeCell ref="A1:P1"/>
    <mergeCell ref="A3:P3"/>
    <mergeCell ref="D5:P5"/>
    <mergeCell ref="A8:A20"/>
    <mergeCell ref="A24:P24"/>
    <mergeCell ref="D26:P26"/>
  </mergeCells>
  <conditionalFormatting sqref="D29:P41">
    <cfRule type="expression" dxfId="1" priority="2" stopIfTrue="1">
      <formula>AND(D29&gt;$I$34*0.5, D29&lt;$I$34*1.5)</formula>
    </cfRule>
  </conditionalFormatting>
  <conditionalFormatting sqref="D8:P20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Паспорт</vt:lpstr>
      <vt:lpstr>ФинРез и инд-ры ВУЗ</vt:lpstr>
      <vt:lpstr>ФинРез Кампус</vt:lpstr>
      <vt:lpstr>Анализ чувствительности </vt:lpstr>
      <vt:lpstr>Диаграмма эластичности</vt:lpstr>
    </vt:vector>
  </TitlesOfParts>
  <Company>НИУ ВШЭ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Спасский Елисей Алексеевич</dc:creator>
  <cp:lastModifiedBy>User</cp:lastModifiedBy>
  <dcterms:created xsi:type="dcterms:W3CDTF">2025-06-16T12:31:26Z</dcterms:created>
  <dcterms:modified xsi:type="dcterms:W3CDTF">2026-04-11T10:43:49Z</dcterms:modified>
</cp:coreProperties>
</file>